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0bb4b85cacdedfec/Desktop/"/>
    </mc:Choice>
  </mc:AlternateContent>
  <xr:revisionPtr revIDLastSave="365" documentId="8_{94597B44-CA23-4E9A-93AC-D08463C01BA9}" xr6:coauthVersionLast="47" xr6:coauthVersionMax="47" xr10:uidLastSave="{C9D3E6D8-55A0-4217-9C8D-BD5724AF0B7B}"/>
  <bookViews>
    <workbookView xWindow="-110" yWindow="-110" windowWidth="22780" windowHeight="14540" activeTab="2" xr2:uid="{E3CD00EB-7525-4C26-86D4-928AB9032625}"/>
  </bookViews>
  <sheets>
    <sheet name="Furniture_Sales" sheetId="2" r:id="rId1"/>
    <sheet name="Calculations" sheetId="1" r:id="rId2"/>
    <sheet name="Dashboard" sheetId="3" r:id="rId3"/>
  </sheets>
  <definedNames>
    <definedName name="_xlchart.v5.0" hidden="1">Calculations!$D$38</definedName>
    <definedName name="_xlchart.v5.1" hidden="1">Calculations!$D$39:$D$86</definedName>
    <definedName name="_xlchart.v5.2" hidden="1">Calculations!$E$38</definedName>
    <definedName name="_xlchart.v5.3" hidden="1">Calculations!$E$39:$E$86</definedName>
    <definedName name="ExternalData_1" localSheetId="0" hidden="1">Furniture_Sales!$A$1:$W$2122</definedName>
    <definedName name="Slicer_Region">#N/A</definedName>
    <definedName name="Slicer_Segment">#N/A</definedName>
  </definedNames>
  <calcPr calcId="191029"/>
  <pivotCaches>
    <pivotCache cacheId="3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1" l="1" a="1"/>
  <c r="I52" i="1" s="1"/>
  <c r="I18" i="1" a="1"/>
  <c r="I18" i="1" s="1"/>
  <c r="D40" i="1"/>
  <c r="E40" i="1"/>
  <c r="D41" i="1"/>
  <c r="E41" i="1"/>
  <c r="D42" i="1"/>
  <c r="E42" i="1"/>
  <c r="D43" i="1"/>
  <c r="E43" i="1"/>
  <c r="D44" i="1"/>
  <c r="E44" i="1"/>
  <c r="D45" i="1"/>
  <c r="E45" i="1"/>
  <c r="D46" i="1"/>
  <c r="E46" i="1"/>
  <c r="D47" i="1"/>
  <c r="E47" i="1"/>
  <c r="D48" i="1"/>
  <c r="E48" i="1"/>
  <c r="D49" i="1"/>
  <c r="E49" i="1"/>
  <c r="D50" i="1"/>
  <c r="E50" i="1"/>
  <c r="D51" i="1"/>
  <c r="E51" i="1"/>
  <c r="D52" i="1"/>
  <c r="E52" i="1"/>
  <c r="D53" i="1"/>
  <c r="E53" i="1"/>
  <c r="D54" i="1"/>
  <c r="E54" i="1"/>
  <c r="D55" i="1"/>
  <c r="E55" i="1"/>
  <c r="D56" i="1"/>
  <c r="E56" i="1"/>
  <c r="D57" i="1"/>
  <c r="E57" i="1"/>
  <c r="D58" i="1"/>
  <c r="E58" i="1"/>
  <c r="D59" i="1"/>
  <c r="E59" i="1"/>
  <c r="D60" i="1"/>
  <c r="E60" i="1"/>
  <c r="D61" i="1"/>
  <c r="E61" i="1"/>
  <c r="D62" i="1"/>
  <c r="E62" i="1"/>
  <c r="D63" i="1"/>
  <c r="E63" i="1"/>
  <c r="D64" i="1"/>
  <c r="E64" i="1"/>
  <c r="D65" i="1"/>
  <c r="E65" i="1"/>
  <c r="D66" i="1"/>
  <c r="E66" i="1"/>
  <c r="D67" i="1"/>
  <c r="E67" i="1"/>
  <c r="D68" i="1"/>
  <c r="E68" i="1"/>
  <c r="D69" i="1"/>
  <c r="E69" i="1"/>
  <c r="D70" i="1"/>
  <c r="E70" i="1"/>
  <c r="D71" i="1"/>
  <c r="E71" i="1"/>
  <c r="D72" i="1"/>
  <c r="E72" i="1"/>
  <c r="D73" i="1"/>
  <c r="E73" i="1"/>
  <c r="D74" i="1"/>
  <c r="E74" i="1"/>
  <c r="D75" i="1"/>
  <c r="E75" i="1"/>
  <c r="D76" i="1"/>
  <c r="E76" i="1"/>
  <c r="D77" i="1"/>
  <c r="E77" i="1"/>
  <c r="D78" i="1"/>
  <c r="E78" i="1"/>
  <c r="D79" i="1"/>
  <c r="E79" i="1"/>
  <c r="D80" i="1"/>
  <c r="E80" i="1"/>
  <c r="D81" i="1"/>
  <c r="E81" i="1"/>
  <c r="D82" i="1"/>
  <c r="E82" i="1"/>
  <c r="D83" i="1"/>
  <c r="E83" i="1"/>
  <c r="D84" i="1"/>
  <c r="E84" i="1"/>
  <c r="D85" i="1"/>
  <c r="E85" i="1"/>
  <c r="D86" i="1"/>
  <c r="E86" i="1"/>
  <c r="E39" i="1"/>
  <c r="D39" i="1"/>
  <c r="K7" i="1"/>
  <c r="K6" i="1"/>
  <c r="K5" i="1"/>
  <c r="J7" i="1"/>
  <c r="J6" i="1"/>
  <c r="J5" i="1"/>
  <c r="I7" i="1"/>
  <c r="I6" i="1"/>
  <c r="I5" i="1"/>
  <c r="L7" i="1" l="1"/>
  <c r="M7" i="1" s="1"/>
  <c r="L5" i="1"/>
  <c r="M5" i="1" s="1"/>
  <c r="L6" i="1"/>
  <c r="M6" i="1" s="1"/>
  <c r="J51" i="1"/>
  <c r="J17" i="1"/>
  <c r="K20" i="1" l="1"/>
  <c r="K21" i="1"/>
  <c r="K19" i="1"/>
  <c r="K22" i="1"/>
  <c r="K18" i="1"/>
  <c r="K53" i="1"/>
  <c r="K54" i="1"/>
  <c r="K55" i="1"/>
  <c r="K56" i="1"/>
  <c r="K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BD4A87-A81A-4590-95F3-188AA64A1734}"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<sst xmlns="http://schemas.openxmlformats.org/spreadsheetml/2006/main" count="31934" uniqueCount="4441">
  <si>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</si>
  <si>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</si>
  <si>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</si>
  <si>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</si>
  <si>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</si>
  <si>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</si>
  <si>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</si>
  <si>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</si>
  <si>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</si>
  <si>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</si>
  <si>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</si>
  <si>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</si>
  <si>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</si>
  <si>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</si>
  <si>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</si>
  <si>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</si>
  <si>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</si>
  <si>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</si>
  <si>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</si>
  <si>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</si>
  <si>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</si>
  <si>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Duration</t>
  </si>
  <si>
    <t>Month Name</t>
  </si>
  <si>
    <t>CA-2016-152156</t>
  </si>
  <si>
    <t>Second Class</t>
  </si>
  <si>
    <t>CG-12520</t>
  </si>
  <si>
    <t>Claire Gute</t>
  </si>
  <si>
    <t>Consumer</t>
  </si>
  <si>
    <t>United States</t>
  </si>
  <si>
    <t>Henderson</t>
  </si>
  <si>
    <t>Kentucky</t>
  </si>
  <si>
    <t>South</t>
  </si>
  <si>
    <t>FUR-BO-10001798</t>
  </si>
  <si>
    <t>Furniture</t>
  </si>
  <si>
    <t>Bookcases</t>
  </si>
  <si>
    <t>Bush Somerset Collection Bookcase</t>
  </si>
  <si>
    <t>3-days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</si>
  <si>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</si>
  <si>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</si>
  <si>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</si>
  <si>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</si>
  <si>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</si>
  <si>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</si>
  <si>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</si>
  <si>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</si>
  <si>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</si>
  <si>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</si>
  <si>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</si>
  <si>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</si>
  <si>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</si>
  <si>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7-days</t>
  </si>
  <si>
    <t>Oct</t>
  </si>
  <si>
    <t>CA-2014-115812</t>
  </si>
  <si>
    <t>BH-11710</t>
  </si>
  <si>
    <t>Brosina Hoffman</t>
  </si>
  <si>
    <t>Los Angeles</t>
  </si>
  <si>
    <t>California</t>
  </si>
  <si>
    <t>West</t>
  </si>
  <si>
    <t>FUR-FU-10001487</t>
  </si>
  <si>
    <t>Furnishings</t>
  </si>
  <si>
    <t>Eldon Expressions Wood and Plastic Desk Accessories, Cherry Wood</t>
  </si>
  <si>
    <t>5-days</t>
  </si>
  <si>
    <t>Jun</t>
  </si>
  <si>
    <t>FUR-TA-10001539</t>
  </si>
  <si>
    <t>Chromcraft Rectangular Conference Tables</t>
  </si>
  <si>
    <t>US-2017-156909</t>
  </si>
  <si>
    <t>SF-20065</t>
  </si>
  <si>
    <t>Sandra Flanagan</t>
  </si>
  <si>
    <t>Philadelphia</t>
  </si>
  <si>
    <t>Pennsylvania</t>
  </si>
  <si>
    <t>East</t>
  </si>
  <si>
    <t>FUR-CH-10002774</t>
  </si>
  <si>
    <t>Global Deluxe Stacking Chair, Gray</t>
  </si>
  <si>
    <t>2-days</t>
  </si>
  <si>
    <t>Jul</t>
  </si>
  <si>
    <t>CA-2015-106320</t>
  </si>
  <si>
    <t>EB-13870</t>
  </si>
  <si>
    <t>Emily Burns</t>
  </si>
  <si>
    <t>Orem</t>
  </si>
  <si>
    <t>Utah</t>
  </si>
  <si>
    <t>Sep</t>
  </si>
  <si>
    <t>US-2015-150630</t>
  </si>
  <si>
    <t>TB-21520</t>
  </si>
  <si>
    <t>Tracy Blumstein</t>
  </si>
  <si>
    <t>FUR-BO-10004834</t>
  </si>
  <si>
    <t>Riverside Palais Royal Lawyers Bookcase, Royale Cherry Finish</t>
  </si>
  <si>
    <t>4-days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</si>
  <si>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</si>
  <si>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</si>
  <si>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</si>
  <si>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</si>
  <si>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</si>
  <si>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</si>
  <si>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</si>
  <si>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</si>
  <si>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</si>
  <si>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</si>
  <si>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</si>
  <si>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</si>
  <si>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</si>
  <si>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</si>
  <si>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</si>
  <si>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</si>
  <si>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</si>
  <si>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</si>
  <si>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</si>
  <si>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</si>
  <si>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</si>
  <si>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</si>
  <si>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</si>
  <si>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</si>
  <si>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</si>
  <si>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</si>
  <si>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</si>
  <si>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</si>
  <si>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</si>
  <si>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</si>
  <si>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</si>
  <si>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</si>
  <si>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</si>
  <si>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</si>
  <si>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</si>
  <si>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</si>
  <si>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</si>
  <si>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</si>
  <si>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</si>
  <si>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1-days</t>
  </si>
  <si>
    <t>CA-2015-135545</t>
  </si>
  <si>
    <t>KM-16720</t>
  </si>
  <si>
    <t>Kunst Miller</t>
  </si>
  <si>
    <t>FUR-FU-10000397</t>
  </si>
  <si>
    <t>Luxo Economy Swing Arm Lamp</t>
  </si>
  <si>
    <t>6-days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</si>
  <si>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</si>
  <si>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</si>
  <si>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</si>
  <si>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</si>
  <si>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</si>
  <si>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</si>
  <si>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</si>
  <si>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</si>
  <si>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</si>
  <si>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</si>
  <si>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</si>
  <si>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</si>
  <si>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</si>
  <si>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</si>
  <si>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</si>
  <si>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</si>
  <si>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</si>
  <si>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</si>
  <si>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</si>
  <si>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</si>
  <si>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</si>
  <si>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</si>
  <si>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</si>
  <si>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</si>
  <si>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</si>
  <si>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</si>
  <si>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</si>
  <si>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</si>
  <si>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</si>
  <si>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</si>
  <si>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</si>
  <si>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</si>
  <si>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</si>
  <si>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</si>
  <si>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</si>
  <si>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</si>
  <si>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</si>
  <si>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</si>
  <si>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</si>
  <si>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</si>
  <si>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</si>
  <si>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</si>
  <si>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</si>
  <si>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</si>
  <si>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</si>
  <si>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</si>
  <si>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</si>
  <si>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</si>
  <si>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</si>
  <si>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</si>
  <si>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</si>
  <si>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</si>
  <si>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</si>
  <si>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</si>
  <si>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</si>
  <si>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</si>
  <si>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</si>
  <si>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</si>
  <si>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</si>
  <si>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</si>
  <si>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</si>
  <si>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</si>
  <si>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</si>
  <si>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</si>
  <si>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</si>
  <si>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</si>
  <si>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</si>
  <si>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</si>
  <si>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</si>
  <si>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</si>
  <si>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</si>
  <si>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</si>
  <si>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</si>
  <si>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</si>
  <si>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</si>
  <si>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</si>
  <si>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</si>
  <si>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</si>
  <si>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</si>
  <si>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</si>
  <si>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</si>
  <si>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</si>
  <si>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</si>
  <si>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</si>
  <si>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</si>
  <si>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</si>
  <si>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</si>
  <si>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</si>
  <si>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</si>
  <si>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</si>
  <si>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</si>
  <si>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</si>
  <si>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</si>
  <si>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</si>
  <si>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</si>
  <si>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</si>
  <si>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</si>
  <si>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</si>
  <si>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</si>
  <si>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</si>
  <si>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</si>
  <si>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</si>
  <si>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</si>
  <si>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</si>
  <si>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</si>
  <si>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</si>
  <si>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</si>
  <si>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</si>
  <si>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</si>
  <si>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</si>
  <si>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</si>
  <si>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</si>
  <si>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</si>
  <si>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</si>
  <si>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</si>
  <si>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</si>
  <si>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</si>
  <si>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</si>
  <si>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</si>
  <si>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</si>
  <si>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</si>
  <si>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</si>
  <si>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</si>
  <si>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</si>
  <si>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</si>
  <si>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</si>
  <si>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</si>
  <si>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</si>
  <si>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</si>
  <si>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</si>
  <si>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</si>
  <si>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</si>
  <si>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</si>
  <si>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</si>
  <si>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</si>
  <si>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</si>
  <si>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</si>
  <si>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</si>
  <si>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</si>
  <si>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</si>
  <si>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</si>
  <si>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</si>
  <si>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</si>
  <si>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</si>
  <si>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</si>
  <si>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</si>
  <si>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</si>
  <si>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</si>
  <si>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</si>
  <si>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</si>
  <si>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</si>
  <si>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</si>
  <si>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</si>
  <si>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</si>
  <si>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</si>
  <si>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</si>
  <si>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</si>
  <si>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</si>
  <si>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</si>
  <si>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</si>
  <si>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</si>
  <si>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</si>
  <si>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</si>
  <si>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</si>
  <si>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</si>
  <si>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</si>
  <si>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</si>
  <si>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</si>
  <si>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</si>
  <si>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</si>
  <si>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</si>
  <si>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</si>
  <si>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</si>
  <si>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</si>
  <si>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</si>
  <si>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</si>
  <si>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</si>
  <si>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</si>
  <si>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</si>
  <si>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</si>
  <si>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</si>
  <si>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</si>
  <si>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</si>
  <si>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</si>
  <si>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</si>
  <si>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</si>
  <si>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</si>
  <si>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</si>
  <si>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</si>
  <si>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</si>
  <si>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</si>
  <si>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</si>
  <si>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</si>
  <si>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</si>
  <si>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</si>
  <si>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</si>
  <si>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</si>
  <si>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</si>
  <si>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</si>
  <si>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</si>
  <si>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</si>
  <si>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</si>
  <si>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</si>
  <si>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</si>
  <si>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</si>
  <si>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</si>
  <si>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</si>
  <si>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</si>
  <si>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</si>
  <si>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</si>
  <si>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</si>
  <si>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</si>
  <si>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</si>
  <si>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</si>
  <si>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</si>
  <si>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</si>
  <si>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</si>
  <si>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</si>
  <si>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</si>
  <si>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</si>
  <si>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</si>
  <si>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</si>
  <si>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</si>
  <si>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</si>
  <si>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</si>
  <si>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</si>
  <si>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</si>
  <si>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</si>
  <si>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</si>
  <si>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</si>
  <si>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</si>
  <si>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</si>
  <si>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</si>
  <si>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</si>
  <si>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</si>
  <si>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</si>
  <si>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</si>
  <si>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</si>
  <si>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</si>
  <si>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</si>
  <si>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</si>
  <si>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</si>
  <si>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</si>
  <si>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</si>
  <si>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</si>
  <si>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</si>
  <si>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</si>
  <si>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</si>
  <si>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</si>
  <si>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</si>
  <si>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</si>
  <si>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</si>
  <si>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</si>
  <si>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</si>
  <si>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</si>
  <si>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</si>
  <si>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</si>
  <si>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</si>
  <si>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</si>
  <si>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</si>
  <si>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</si>
  <si>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</si>
  <si>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</si>
  <si>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</si>
  <si>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</si>
  <si>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</si>
  <si>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</si>
  <si>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</si>
  <si>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</si>
  <si>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</si>
  <si>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</si>
  <si>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</si>
  <si>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</si>
  <si>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</si>
  <si>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</si>
  <si>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</si>
  <si>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</si>
  <si>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</si>
  <si>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</si>
  <si>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</si>
  <si>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</si>
  <si>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</si>
  <si>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</si>
  <si>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</si>
  <si>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</si>
  <si>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</si>
  <si>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</si>
  <si>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</si>
  <si>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</si>
  <si>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</si>
  <si>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</si>
  <si>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</si>
  <si>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</si>
  <si>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</si>
  <si>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</si>
  <si>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</si>
  <si>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</si>
  <si>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</si>
  <si>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</si>
  <si>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</si>
  <si>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</si>
  <si>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</si>
  <si>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</si>
  <si>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</si>
  <si>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</si>
  <si>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</si>
  <si>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</si>
  <si>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</si>
  <si>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</si>
  <si>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</si>
  <si>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</si>
  <si>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</si>
  <si>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</si>
  <si>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</si>
  <si>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</si>
  <si>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</si>
  <si>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</si>
  <si>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</si>
  <si>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</si>
  <si>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</si>
  <si>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</si>
  <si>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</si>
  <si>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</si>
  <si>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</si>
  <si>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</si>
  <si>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</si>
  <si>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</si>
  <si>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</si>
  <si>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</si>
  <si>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</si>
  <si>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</si>
  <si>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</si>
  <si>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</si>
  <si>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</si>
  <si>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</si>
  <si>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</si>
  <si>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</si>
  <si>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</si>
  <si>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</si>
  <si>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</si>
  <si>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</si>
  <si>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</si>
  <si>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</si>
  <si>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</si>
  <si>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</si>
  <si>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</si>
  <si>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</si>
  <si>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</si>
  <si>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</si>
  <si>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</si>
  <si>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</si>
  <si>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</si>
  <si>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</si>
  <si>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</si>
  <si>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</si>
  <si>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</si>
  <si>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</si>
  <si>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</si>
  <si>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</si>
  <si>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</si>
  <si>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</si>
  <si>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</si>
  <si>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</si>
  <si>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</si>
  <si>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</si>
  <si>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</si>
  <si>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</si>
  <si>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</si>
  <si>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</si>
  <si>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</si>
  <si>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</si>
  <si>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</si>
  <si>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</si>
  <si>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</si>
  <si>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</si>
  <si>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</si>
  <si>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</si>
  <si>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</si>
  <si>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</si>
  <si>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</si>
  <si>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</si>
  <si>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</si>
  <si>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</si>
  <si>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</si>
  <si>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</si>
  <si>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</si>
  <si>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</si>
  <si>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</si>
  <si>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</si>
  <si>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</si>
  <si>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</si>
  <si>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</si>
  <si>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</si>
  <si>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</si>
  <si>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</si>
  <si>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</si>
  <si>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</si>
  <si>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</si>
  <si>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</si>
  <si>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</si>
  <si>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</si>
  <si>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</si>
  <si>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</si>
  <si>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</si>
  <si>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</si>
  <si>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</si>
  <si>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</si>
  <si>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</si>
  <si>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</si>
  <si>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</si>
  <si>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</si>
  <si>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</si>
  <si>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</si>
  <si>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</si>
  <si>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</si>
  <si>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</si>
  <si>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</si>
  <si>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</si>
  <si>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</si>
  <si>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</si>
  <si>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</si>
  <si>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</si>
  <si>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</si>
  <si>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</si>
  <si>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</si>
  <si>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</si>
  <si>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</si>
  <si>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</si>
  <si>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</si>
  <si>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</si>
  <si>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</si>
  <si>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</si>
  <si>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</si>
  <si>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</si>
  <si>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</si>
  <si>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</si>
  <si>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</si>
  <si>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</si>
  <si>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</si>
  <si>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</si>
  <si>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</si>
  <si>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</si>
  <si>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</si>
  <si>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</si>
  <si>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</si>
  <si>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</si>
  <si>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</si>
  <si>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</si>
  <si>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</si>
  <si>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</si>
  <si>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</si>
  <si>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</si>
  <si>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</si>
  <si>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</si>
  <si>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</si>
  <si>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</si>
  <si>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</si>
  <si>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</si>
  <si>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</si>
  <si>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</si>
  <si>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</si>
  <si>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</si>
  <si>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</si>
  <si>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</si>
  <si>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</si>
  <si>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</si>
  <si>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</si>
  <si>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</si>
  <si>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</si>
  <si>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</si>
  <si>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</si>
  <si>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</si>
  <si>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</si>
  <si>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</si>
  <si>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</si>
  <si>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</si>
  <si>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</si>
  <si>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</si>
  <si>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</si>
  <si>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</si>
  <si>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</si>
  <si>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</si>
  <si>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</si>
  <si>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</si>
  <si>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</si>
  <si>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</si>
  <si>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</si>
  <si>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</si>
  <si>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</si>
  <si>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</si>
  <si>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</si>
  <si>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</si>
  <si>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</si>
  <si>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</si>
  <si>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</si>
  <si>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</si>
  <si>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</si>
  <si>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</si>
  <si>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</si>
  <si>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</si>
  <si>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</si>
  <si>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</si>
  <si>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</si>
  <si>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</si>
  <si>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</si>
  <si>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</si>
  <si>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</si>
  <si>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</si>
  <si>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</si>
  <si>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</si>
  <si>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</si>
  <si>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</si>
  <si>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</si>
  <si>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</si>
  <si>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</si>
  <si>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</si>
  <si>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</si>
  <si>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</si>
  <si>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</si>
  <si>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</si>
  <si>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</si>
  <si>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</si>
  <si>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</si>
  <si>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</si>
  <si>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</si>
  <si>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</si>
  <si>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</si>
  <si>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</si>
  <si>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</si>
  <si>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</si>
  <si>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</si>
  <si>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</si>
  <si>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</si>
  <si>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</si>
  <si>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</si>
  <si>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</si>
  <si>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</si>
  <si>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</si>
  <si>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</si>
  <si>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</si>
  <si>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</si>
  <si>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</si>
  <si>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</si>
  <si>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</si>
  <si>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</si>
  <si>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</si>
  <si>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</si>
  <si>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</si>
  <si>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</si>
  <si>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</si>
  <si>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</si>
  <si>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</si>
  <si>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</si>
  <si>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</si>
  <si>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</si>
  <si>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</si>
  <si>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</si>
  <si>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</si>
  <si>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</si>
  <si>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</si>
  <si>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</si>
  <si>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</si>
  <si>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</si>
  <si>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</si>
  <si>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</si>
  <si>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</si>
  <si>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</si>
  <si>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</si>
  <si>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</si>
  <si>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</si>
  <si>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</si>
  <si>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</si>
  <si>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</si>
  <si>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</si>
  <si>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</si>
  <si>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</si>
  <si>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</si>
  <si>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</si>
  <si>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</si>
  <si>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</si>
  <si>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</si>
  <si>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</si>
  <si>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</si>
  <si>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</si>
  <si>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</si>
  <si>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</si>
  <si>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</si>
  <si>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</si>
  <si>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</si>
  <si>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</si>
  <si>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</si>
  <si>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</si>
  <si>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</si>
  <si>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</si>
  <si>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</si>
  <si>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</si>
  <si>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</si>
  <si>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</si>
  <si>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</si>
  <si>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</si>
  <si>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</si>
  <si>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</si>
  <si>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</si>
  <si>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</si>
  <si>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</si>
  <si>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</si>
  <si>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</si>
  <si>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</si>
  <si>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</si>
  <si>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</si>
  <si>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</si>
  <si>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</si>
  <si>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</si>
  <si>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</si>
  <si>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</si>
  <si>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</si>
  <si>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</si>
  <si>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</si>
  <si>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</si>
  <si>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</si>
  <si>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</si>
  <si>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</si>
  <si>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</si>
  <si>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</si>
  <si>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</si>
  <si>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</si>
  <si>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</si>
  <si>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</si>
  <si>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</si>
  <si>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</si>
  <si>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</si>
  <si>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</si>
  <si>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</si>
  <si>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</si>
  <si>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</si>
  <si>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</si>
  <si>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</si>
  <si>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</si>
  <si>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</si>
  <si>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</si>
  <si>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</si>
  <si>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</si>
  <si>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</si>
  <si>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</si>
  <si>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</si>
  <si>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</si>
  <si>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</si>
  <si>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</si>
  <si>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</si>
  <si>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</si>
  <si>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</si>
  <si>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</si>
  <si>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</si>
  <si>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</si>
  <si>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</si>
  <si>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</si>
  <si>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</si>
  <si>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</si>
  <si>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</si>
  <si>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</si>
  <si>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</si>
  <si>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</si>
  <si>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</si>
  <si>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</si>
  <si>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</si>
  <si>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</si>
  <si>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</si>
  <si>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</si>
  <si>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</si>
  <si>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</si>
  <si>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</si>
  <si>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</si>
  <si>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</si>
  <si>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</si>
  <si>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</si>
  <si>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</si>
  <si>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</si>
  <si>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</si>
  <si>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</si>
  <si>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</si>
  <si>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</si>
  <si>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</si>
  <si>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</si>
  <si>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</si>
  <si>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</si>
  <si>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</si>
  <si>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</si>
  <si>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</si>
  <si>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</si>
  <si>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</si>
  <si>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</si>
  <si>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</si>
  <si>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</si>
  <si>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</si>
  <si>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</si>
  <si>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</si>
  <si>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</si>
  <si>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</si>
  <si>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</si>
  <si>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</si>
  <si>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</si>
  <si>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</si>
  <si>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</si>
  <si>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</si>
  <si>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</si>
  <si>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</si>
  <si>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</si>
  <si>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</si>
  <si>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</si>
  <si>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</si>
  <si>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</si>
  <si>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</si>
  <si>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</si>
  <si>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</si>
  <si>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</si>
  <si>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</si>
  <si>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</si>
  <si>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</si>
  <si>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</si>
  <si>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</si>
  <si>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</si>
  <si>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</si>
  <si>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</si>
  <si>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</si>
  <si>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</si>
  <si>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</si>
  <si>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</si>
  <si>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</si>
  <si>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</si>
  <si>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</si>
  <si>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</si>
  <si>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</si>
  <si>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</si>
  <si>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</si>
  <si>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</si>
  <si>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</si>
  <si>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</si>
  <si>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</si>
  <si>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</si>
  <si>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</si>
  <si>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</si>
  <si>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</si>
  <si>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</si>
  <si>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</si>
  <si>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</si>
  <si>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</si>
  <si>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</si>
  <si>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</si>
  <si>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</si>
  <si>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</si>
  <si>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</si>
  <si>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</si>
  <si>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</si>
  <si>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</si>
  <si>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</si>
  <si>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</si>
  <si>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</si>
  <si>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</si>
  <si>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</si>
  <si>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</si>
  <si>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</si>
  <si>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</si>
  <si>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</si>
  <si>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</si>
  <si>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</si>
  <si>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</si>
  <si>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</si>
  <si>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</si>
  <si>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</si>
  <si>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</si>
  <si>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</si>
  <si>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</si>
  <si>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</si>
  <si>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</si>
  <si>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</si>
  <si>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</si>
  <si>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</si>
  <si>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</si>
  <si>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</si>
  <si>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</si>
  <si>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</si>
  <si>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</si>
  <si>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</si>
  <si>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</si>
  <si>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</si>
  <si>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</si>
  <si>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</si>
  <si>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</si>
  <si>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</si>
  <si>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</si>
  <si>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</si>
  <si>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</si>
  <si>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</si>
  <si>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</si>
  <si>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</si>
  <si>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</si>
  <si>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</si>
  <si>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</si>
  <si>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</si>
  <si>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</si>
  <si>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</si>
  <si>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</si>
  <si>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</si>
  <si>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</si>
  <si>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</si>
  <si>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</si>
  <si>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</si>
  <si>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</si>
  <si>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</si>
  <si>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</si>
  <si>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</si>
  <si>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</si>
  <si>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</si>
  <si>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</si>
  <si>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</si>
  <si>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</si>
  <si>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</si>
  <si>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</si>
  <si>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</si>
  <si>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</si>
  <si>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</si>
  <si>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</si>
  <si>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</si>
  <si>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</si>
  <si>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</si>
  <si>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</si>
  <si>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</si>
  <si>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</si>
  <si>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</si>
  <si>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</si>
  <si>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</si>
  <si>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</si>
  <si>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</si>
  <si>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</si>
  <si>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</si>
  <si>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</si>
  <si>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</si>
  <si>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</si>
  <si>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</si>
  <si>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</si>
  <si>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</si>
  <si>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</si>
  <si>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</si>
  <si>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</si>
  <si>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</si>
  <si>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</si>
  <si>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</si>
  <si>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</si>
  <si>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</si>
  <si>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</si>
  <si>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</si>
  <si>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</si>
  <si>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</si>
  <si>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</si>
  <si>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</si>
  <si>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</si>
  <si>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</si>
  <si>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</si>
  <si>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</si>
  <si>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</si>
  <si>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</si>
  <si>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</si>
  <si>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</si>
  <si>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</si>
  <si>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</si>
  <si>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</si>
  <si>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</si>
  <si>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</si>
  <si>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</si>
  <si>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</si>
  <si>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</si>
  <si>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</si>
  <si>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</si>
  <si>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</si>
  <si>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</si>
  <si>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</si>
  <si>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</si>
  <si>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</si>
  <si>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</si>
  <si>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</si>
  <si>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</si>
  <si>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</si>
  <si>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</si>
  <si>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</si>
  <si>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</si>
  <si>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</si>
  <si>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</si>
  <si>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</si>
  <si>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</si>
  <si>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</si>
  <si>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</si>
  <si>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</si>
  <si>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</si>
  <si>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</si>
  <si>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</si>
  <si>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</si>
  <si>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</si>
  <si>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</si>
  <si>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</si>
  <si>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</si>
  <si>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</si>
  <si>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</si>
  <si>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</si>
  <si>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</si>
  <si>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</si>
  <si>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</si>
  <si>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</si>
  <si>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</si>
  <si>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</si>
  <si>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</si>
  <si>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</si>
  <si>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</si>
  <si>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</si>
  <si>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</si>
  <si>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</si>
  <si>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</si>
  <si>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</si>
  <si>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</si>
  <si>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</si>
  <si>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</si>
  <si>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</si>
  <si>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</si>
  <si>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</si>
  <si>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</si>
  <si>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</si>
  <si>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</si>
  <si>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</si>
  <si>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</si>
  <si>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</si>
  <si>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</si>
  <si>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</si>
  <si>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</si>
  <si>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</si>
  <si>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</si>
  <si>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</si>
  <si>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</si>
  <si>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</si>
  <si>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</si>
  <si>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</si>
  <si>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</si>
  <si>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</si>
  <si>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</si>
  <si>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</si>
  <si>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</si>
  <si>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</si>
  <si>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</si>
  <si>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</si>
  <si>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</si>
  <si>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</si>
  <si>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</si>
  <si>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</si>
  <si>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</si>
  <si>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</si>
  <si>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</si>
  <si>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</si>
  <si>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</si>
  <si>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</si>
  <si>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</si>
  <si>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</si>
  <si>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</si>
  <si>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</si>
  <si>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</si>
  <si>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</si>
  <si>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</si>
  <si>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</si>
  <si>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</si>
  <si>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</si>
  <si>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</si>
  <si>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</si>
  <si>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</si>
  <si>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</si>
  <si>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</si>
  <si>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</si>
  <si>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</si>
  <si>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</si>
  <si>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</si>
  <si>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</si>
  <si>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</si>
  <si>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</si>
  <si>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</si>
  <si>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</si>
  <si>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</si>
  <si>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</si>
  <si>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</si>
  <si>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</si>
  <si>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</si>
  <si>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</si>
  <si>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</si>
  <si>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</si>
  <si>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</si>
  <si>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</si>
  <si>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</si>
  <si>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</si>
  <si>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</si>
  <si>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</si>
  <si>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</si>
  <si>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</si>
  <si>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</si>
  <si>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</si>
  <si>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</si>
  <si>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</si>
  <si>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</si>
  <si>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</si>
  <si>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</si>
  <si>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</si>
  <si>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</si>
  <si>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</si>
  <si>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</si>
  <si>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</si>
  <si>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</si>
  <si>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</si>
  <si>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</si>
  <si>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</si>
  <si>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</si>
  <si>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</si>
  <si>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</si>
  <si>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</si>
  <si>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</si>
  <si>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</si>
  <si>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</si>
  <si>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</si>
  <si>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</si>
  <si>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</si>
  <si>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</si>
  <si>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</si>
  <si>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</si>
  <si>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</si>
  <si>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</si>
  <si>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</si>
  <si>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</si>
  <si>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</si>
  <si>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</si>
  <si>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</si>
  <si>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</si>
  <si>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</si>
  <si>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</si>
  <si>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</si>
  <si>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</si>
  <si>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</si>
  <si>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</si>
  <si>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</si>
  <si>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</si>
  <si>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</si>
  <si>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</si>
  <si>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</si>
  <si>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</si>
  <si>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</si>
  <si>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</si>
  <si>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</si>
  <si>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</si>
  <si>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</si>
  <si>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</si>
  <si>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</si>
  <si>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</si>
  <si>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</si>
  <si>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</si>
  <si>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</si>
  <si>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</si>
  <si>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</si>
  <si>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</si>
  <si>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</si>
  <si>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</si>
  <si>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</si>
  <si>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</si>
  <si>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</si>
  <si>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</si>
  <si>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</si>
  <si>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</si>
  <si>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</si>
  <si>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</si>
  <si>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</si>
  <si>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</si>
  <si>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</si>
  <si>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</si>
  <si>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</si>
  <si>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</si>
  <si>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</si>
  <si>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</si>
  <si>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</si>
  <si>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</si>
  <si>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</si>
  <si>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</si>
  <si>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</si>
  <si>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</si>
  <si>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</si>
  <si>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</si>
  <si>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</si>
  <si>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</si>
  <si>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</si>
  <si>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</si>
  <si>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</si>
  <si>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</si>
  <si>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</si>
  <si>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</si>
  <si>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</si>
  <si>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</si>
  <si>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</si>
  <si>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</si>
  <si>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</si>
  <si>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</si>
  <si>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</si>
  <si>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</si>
  <si>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</si>
  <si>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</si>
  <si>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</si>
  <si>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</si>
  <si>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</si>
  <si>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</si>
  <si>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</si>
  <si>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</si>
  <si>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</si>
  <si>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</si>
  <si>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</si>
  <si>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</si>
  <si>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</si>
  <si>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</si>
  <si>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</si>
  <si>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</si>
  <si>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</si>
  <si>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</si>
  <si>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</si>
  <si>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</si>
  <si>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</si>
  <si>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</si>
  <si>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</si>
  <si>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</si>
  <si>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</si>
  <si>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</si>
  <si>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</si>
  <si>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</si>
  <si>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</si>
  <si>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</si>
  <si>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</si>
  <si>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</si>
  <si>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</si>
  <si>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</si>
  <si>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</si>
  <si>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</si>
  <si>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</si>
  <si>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</si>
  <si>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</si>
  <si>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</si>
  <si>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</si>
  <si>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</si>
  <si>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</si>
  <si>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</si>
  <si>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</si>
  <si>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</si>
  <si>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</si>
  <si>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</si>
  <si>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</si>
  <si>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</si>
  <si>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</si>
  <si>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</si>
  <si>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</si>
  <si>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</si>
  <si>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</si>
  <si>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</si>
  <si>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</si>
  <si>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</si>
  <si>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</si>
  <si>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</si>
  <si>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</si>
  <si>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</si>
  <si>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</si>
  <si>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</si>
  <si>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</si>
  <si>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</si>
  <si>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</si>
  <si>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</si>
  <si>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</si>
  <si>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</si>
  <si>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</si>
  <si>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</si>
  <si>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</si>
  <si>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</si>
  <si>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</si>
  <si>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</si>
  <si>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</si>
  <si>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</si>
  <si>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</si>
  <si>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</si>
  <si>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</si>
  <si>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</si>
  <si>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</si>
  <si>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</si>
  <si>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</si>
  <si>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</si>
  <si>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</si>
  <si>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</si>
  <si>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</si>
  <si>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</si>
  <si>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</si>
  <si>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</si>
  <si>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</si>
  <si>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</si>
  <si>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</si>
  <si>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</si>
  <si>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</si>
  <si>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</si>
  <si>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</si>
  <si>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</si>
  <si>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</si>
  <si>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</si>
  <si>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</si>
  <si>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</si>
  <si>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</si>
  <si>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</si>
  <si>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</si>
  <si>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</si>
  <si>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</si>
  <si>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</si>
  <si>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</si>
  <si>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</si>
  <si>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</si>
  <si>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</si>
  <si>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</si>
  <si>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</si>
  <si>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</si>
  <si>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</si>
  <si>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</si>
  <si>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</si>
  <si>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</si>
  <si>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</si>
  <si>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</si>
  <si>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</si>
  <si>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</si>
  <si>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</si>
  <si>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</si>
  <si>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</si>
  <si>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</si>
  <si>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</si>
  <si>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</si>
  <si>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</si>
  <si>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</si>
  <si>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</si>
  <si>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</si>
  <si>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</si>
  <si>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</si>
  <si>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</si>
  <si>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</si>
  <si>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</si>
  <si>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</si>
  <si>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</si>
  <si>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</si>
  <si>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</si>
  <si>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</si>
  <si>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</si>
  <si>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</si>
  <si>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</si>
  <si>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</si>
  <si>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</si>
  <si>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</si>
  <si>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</si>
  <si>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</si>
  <si>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</si>
  <si>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</si>
  <si>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</si>
  <si>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</si>
  <si>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</si>
  <si>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</si>
  <si>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</si>
  <si>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</si>
  <si>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</si>
  <si>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</si>
  <si>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</si>
  <si>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</si>
  <si>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</si>
  <si>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</si>
  <si>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</si>
  <si>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</si>
  <si>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</si>
  <si>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</si>
  <si>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</si>
  <si>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</si>
  <si>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</si>
  <si>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</si>
  <si>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</si>
  <si>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</si>
  <si>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</si>
  <si>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</si>
  <si>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</si>
  <si>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</si>
  <si>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</si>
  <si>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</si>
  <si>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</si>
  <si>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</si>
  <si>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</si>
  <si>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</si>
  <si>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</si>
  <si>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</si>
  <si>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</si>
  <si>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</si>
  <si>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</si>
  <si>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</si>
  <si>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</si>
  <si>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</si>
  <si>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</si>
  <si>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</si>
  <si>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</si>
  <si>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</si>
  <si>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</si>
  <si>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</si>
  <si>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</si>
  <si>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</si>
  <si>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</si>
  <si>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</si>
  <si>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</si>
  <si>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</si>
  <si>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</si>
  <si>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</si>
  <si>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</si>
  <si>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</si>
  <si>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</si>
  <si>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</si>
  <si>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</si>
  <si>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</si>
  <si>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</si>
  <si>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</si>
  <si>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</si>
  <si>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</si>
  <si>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</si>
  <si>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</si>
  <si>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</si>
  <si>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</si>
  <si>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</si>
  <si>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</si>
  <si>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</si>
  <si>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</si>
  <si>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</si>
  <si>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</si>
  <si>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</si>
  <si>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</si>
  <si>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</si>
  <si>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</si>
  <si>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</si>
  <si>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</si>
  <si>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</si>
  <si>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</si>
  <si>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</si>
  <si>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</si>
  <si>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</si>
  <si>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</si>
  <si>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</si>
  <si>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</si>
  <si>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</si>
  <si>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</si>
  <si>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</si>
  <si>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</si>
  <si>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</si>
  <si>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</si>
  <si>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</si>
  <si>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</si>
  <si>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</si>
  <si>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</si>
  <si>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</si>
  <si>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</si>
  <si>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</si>
  <si>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</si>
  <si>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</si>
  <si>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</si>
  <si>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</si>
  <si>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</si>
  <si>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</si>
  <si>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</si>
  <si>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</si>
  <si>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</si>
  <si>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</si>
  <si>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</si>
  <si>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</si>
  <si>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</si>
  <si>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</si>
  <si>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</si>
  <si>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</si>
  <si>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</si>
  <si>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</si>
  <si>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</si>
  <si>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</si>
  <si>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</si>
  <si>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</si>
  <si>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</si>
  <si>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</si>
  <si>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</si>
  <si>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</si>
  <si>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</si>
  <si>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</si>
  <si>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</si>
  <si>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</si>
  <si>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</si>
  <si>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</si>
  <si>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</si>
  <si>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</si>
  <si>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</si>
  <si>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</si>
  <si>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</si>
  <si>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</si>
  <si>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</si>
  <si>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</si>
  <si>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</si>
  <si>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</si>
  <si>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</si>
  <si>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</si>
  <si>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</si>
  <si>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</si>
  <si>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</si>
  <si>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</si>
  <si>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</si>
  <si>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</si>
  <si>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</si>
  <si>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</si>
  <si>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</si>
  <si>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</si>
  <si>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</si>
  <si>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</si>
  <si>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</si>
  <si>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</si>
  <si>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</si>
  <si>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</si>
  <si>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</si>
  <si>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</si>
  <si>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</si>
  <si>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</si>
  <si>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</si>
  <si>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</si>
  <si>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</si>
  <si>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</si>
  <si>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</si>
  <si>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</si>
  <si>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</si>
  <si>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</si>
  <si>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</si>
  <si>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</si>
  <si>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</si>
  <si>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</si>
  <si>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</si>
  <si>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</si>
  <si>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</si>
  <si>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</si>
  <si>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</si>
  <si>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</si>
  <si>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</si>
  <si>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</si>
  <si>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</si>
  <si>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</si>
  <si>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</si>
  <si>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</si>
  <si>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</si>
  <si>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</si>
  <si>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</si>
  <si>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</si>
  <si>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</si>
  <si>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</si>
  <si>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</si>
  <si>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</si>
  <si>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</si>
  <si>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</si>
  <si>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</si>
  <si>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</si>
  <si>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</si>
  <si>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</si>
  <si>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</si>
  <si>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</si>
  <si>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</si>
  <si>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</si>
  <si>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</si>
  <si>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</si>
  <si>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</si>
  <si>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</si>
  <si>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</si>
  <si>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</si>
  <si>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</si>
  <si>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</si>
  <si>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</si>
  <si>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</si>
  <si>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</si>
  <si>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</si>
  <si>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</si>
  <si>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</si>
  <si>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</si>
  <si>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</si>
  <si>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</si>
  <si>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</si>
  <si>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</si>
  <si>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</si>
  <si>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</si>
  <si>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</si>
  <si>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</si>
  <si>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</si>
  <si>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</si>
  <si>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</si>
  <si>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</si>
  <si>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</si>
  <si>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</si>
  <si>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</si>
  <si>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</si>
  <si>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</si>
  <si>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</si>
  <si>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</si>
  <si>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</si>
  <si>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</si>
  <si>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</si>
  <si>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</si>
  <si>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</si>
  <si>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</si>
  <si>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</si>
  <si>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</si>
  <si>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</si>
  <si>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</si>
  <si>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</si>
  <si>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</si>
  <si>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</si>
  <si>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</si>
  <si>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</si>
  <si>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</si>
  <si>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</si>
  <si>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</si>
  <si>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</si>
  <si>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</si>
  <si>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</si>
  <si>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</si>
  <si>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</si>
  <si>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</si>
  <si>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</si>
  <si>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</si>
  <si>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</si>
  <si>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</si>
  <si>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</si>
  <si>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</si>
  <si>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</si>
  <si>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</si>
  <si>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</si>
  <si>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</si>
  <si>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</si>
  <si>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</si>
  <si>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</si>
  <si>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</si>
  <si>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</si>
  <si>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</si>
  <si>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</si>
  <si>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</si>
  <si>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</si>
  <si>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</si>
  <si>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</si>
  <si>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</si>
  <si>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</si>
  <si>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</si>
  <si>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</si>
  <si>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</si>
  <si>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</si>
  <si>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</si>
  <si>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</si>
  <si>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</si>
  <si>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</si>
  <si>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</si>
  <si>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</si>
  <si>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</si>
  <si>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</si>
  <si>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</si>
  <si>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</si>
  <si>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</si>
  <si>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</si>
  <si>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</si>
  <si>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</si>
  <si>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</si>
  <si>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</si>
  <si>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</si>
  <si>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</si>
  <si>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</si>
  <si>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</si>
  <si>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</si>
  <si>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</si>
  <si>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</si>
  <si>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</si>
  <si>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</si>
  <si>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</si>
  <si>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</si>
  <si>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</si>
  <si>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</si>
  <si>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</si>
  <si>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</si>
  <si>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</si>
  <si>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</si>
  <si>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</si>
  <si>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</si>
  <si>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</si>
  <si>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</si>
  <si>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</si>
  <si>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</si>
  <si>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</si>
  <si>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</si>
  <si>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</si>
  <si>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</si>
  <si>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</si>
  <si>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</si>
  <si>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</si>
  <si>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</si>
  <si>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</si>
  <si>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</si>
  <si>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</si>
  <si>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</si>
  <si>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</si>
  <si>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</si>
  <si>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</si>
  <si>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</si>
  <si>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</si>
  <si>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</si>
  <si>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</si>
  <si>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</si>
  <si>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</si>
  <si>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</si>
  <si>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</si>
  <si>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</si>
  <si>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</si>
  <si>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</si>
  <si>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</si>
  <si>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</si>
  <si>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</si>
  <si>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</si>
  <si>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</si>
  <si>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</si>
  <si>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</si>
  <si>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</si>
  <si>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</si>
  <si>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</si>
  <si>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</si>
  <si>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</si>
  <si>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</si>
  <si>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</si>
  <si>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</si>
  <si>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</si>
  <si>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</si>
  <si>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</si>
  <si>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</si>
  <si>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</si>
  <si>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</si>
  <si>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</si>
  <si>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</si>
  <si>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</si>
  <si>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</si>
  <si>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</si>
  <si>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</si>
  <si>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</si>
  <si>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</si>
  <si>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</si>
  <si>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</si>
  <si>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</si>
  <si>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</si>
  <si>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</si>
  <si>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</si>
  <si>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</si>
  <si>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</si>
  <si>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</si>
  <si>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</si>
  <si>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</si>
  <si>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</si>
  <si>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</si>
  <si>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</si>
  <si>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</si>
  <si>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</si>
  <si>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</si>
  <si>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</si>
  <si>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</si>
  <si>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</si>
  <si>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</si>
  <si>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</si>
  <si>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</si>
  <si>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</si>
  <si>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</si>
  <si>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</si>
  <si>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</si>
  <si>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</si>
  <si>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</si>
  <si>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</si>
  <si>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</si>
  <si>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</si>
  <si>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</si>
  <si>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</si>
  <si>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</si>
  <si>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</si>
  <si>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</si>
  <si>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</si>
  <si>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</si>
  <si>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</si>
  <si>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</si>
  <si>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</si>
  <si>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</si>
  <si>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</si>
  <si>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</si>
  <si>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</si>
  <si>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</si>
  <si>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</si>
  <si>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</si>
  <si>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</si>
  <si>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</si>
  <si>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</si>
  <si>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</si>
  <si>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</si>
  <si>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</si>
  <si>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</si>
  <si>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</si>
  <si>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</si>
  <si>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</si>
  <si>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</si>
  <si>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</si>
  <si>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</si>
  <si>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</si>
  <si>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</si>
  <si>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</si>
  <si>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</si>
  <si>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</si>
  <si>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</si>
  <si>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</si>
  <si>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</si>
  <si>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</si>
  <si>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</si>
  <si>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</si>
  <si>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</si>
  <si>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</si>
  <si>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</si>
  <si>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</si>
  <si>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</si>
  <si>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</si>
  <si>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</si>
  <si>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</si>
  <si>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</si>
  <si>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</si>
  <si>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</si>
  <si>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</si>
  <si>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</si>
  <si>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</si>
  <si>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</si>
  <si>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</si>
  <si>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</si>
  <si>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</si>
  <si>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</si>
  <si>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</si>
  <si>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</si>
  <si>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</si>
  <si>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</si>
  <si>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</si>
  <si>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</si>
  <si>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</si>
  <si>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</si>
  <si>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</si>
  <si>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</si>
  <si>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</si>
  <si>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</si>
  <si>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</si>
  <si>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</si>
  <si>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</si>
  <si>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</si>
  <si>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</si>
  <si>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</si>
  <si>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</si>
  <si>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</si>
  <si>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</si>
  <si>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</si>
  <si>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</si>
  <si>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</si>
  <si>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</si>
  <si>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</si>
  <si>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</si>
  <si>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</si>
  <si>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</si>
  <si>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</si>
  <si>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</si>
  <si>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</si>
  <si>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</si>
  <si>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</si>
  <si>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</si>
  <si>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</si>
  <si>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</si>
  <si>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</si>
  <si>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</si>
  <si>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</si>
  <si>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</si>
  <si>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</si>
  <si>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</si>
  <si>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</si>
  <si>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</si>
  <si>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</si>
  <si>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</si>
  <si>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</si>
  <si>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</si>
  <si>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</si>
  <si>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</si>
  <si>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</si>
  <si>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</si>
  <si>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</si>
  <si>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</si>
  <si>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</si>
  <si>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</si>
  <si>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</si>
  <si>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</si>
  <si>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</si>
  <si>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</si>
  <si>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</si>
  <si>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</si>
  <si>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</si>
  <si>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</si>
  <si>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</si>
  <si>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</si>
  <si>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</si>
  <si>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</si>
  <si>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</si>
  <si>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</si>
  <si>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</si>
  <si>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</si>
  <si>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</si>
  <si>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</si>
  <si>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</si>
  <si>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</si>
  <si>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</si>
  <si>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</si>
  <si>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</si>
  <si>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</si>
  <si>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</si>
  <si>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</si>
  <si>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</si>
  <si>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</si>
  <si>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</si>
  <si>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</si>
  <si>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</si>
  <si>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</si>
  <si>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</si>
  <si>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</si>
  <si>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</si>
  <si>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</si>
  <si>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</si>
  <si>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</si>
  <si>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</si>
  <si>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</si>
  <si>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</si>
  <si>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</si>
  <si>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</si>
  <si>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</si>
  <si>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</si>
  <si>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</si>
  <si>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</si>
  <si>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</si>
  <si>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</si>
  <si>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</si>
  <si>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</si>
  <si>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</si>
  <si>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</si>
  <si>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</si>
  <si>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</si>
  <si>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</si>
  <si>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</si>
  <si>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</si>
  <si>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</si>
  <si>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</si>
  <si>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</si>
  <si>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</si>
  <si>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</si>
  <si>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</si>
  <si>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</si>
  <si>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</si>
  <si>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</si>
  <si>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</si>
  <si>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</si>
  <si>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</si>
  <si>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</si>
  <si>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</si>
  <si>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</si>
  <si>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</si>
  <si>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</si>
  <si>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</si>
  <si>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</si>
  <si>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</si>
  <si>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</si>
  <si>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</si>
  <si>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</si>
  <si>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</si>
  <si>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</si>
  <si>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</si>
  <si>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</si>
  <si>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</si>
  <si>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</si>
  <si>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</si>
  <si>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</si>
  <si>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</si>
  <si>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</si>
  <si>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</si>
  <si>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</si>
  <si>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</si>
  <si>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</si>
  <si>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</si>
  <si>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</si>
  <si>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</si>
  <si>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</si>
  <si>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</si>
  <si>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</si>
  <si>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</si>
  <si>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</si>
  <si>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</si>
  <si>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</si>
  <si>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</si>
  <si>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</si>
  <si>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</si>
  <si>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</si>
  <si>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</si>
  <si>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</si>
  <si>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</si>
  <si>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</si>
  <si>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</si>
  <si>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</si>
  <si>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</si>
  <si>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</si>
  <si>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</si>
  <si>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</si>
  <si>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</si>
  <si>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</si>
  <si>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</si>
  <si>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</si>
  <si>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</si>
  <si>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</si>
  <si>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</si>
  <si>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</si>
  <si>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</si>
  <si>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</si>
  <si>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</si>
  <si>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</si>
  <si>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</si>
  <si>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</si>
  <si>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</si>
  <si>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</si>
  <si>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</si>
  <si>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</si>
  <si>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</si>
  <si>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</si>
  <si>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</si>
  <si>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</si>
  <si>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</si>
  <si>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</si>
  <si>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</si>
  <si>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</si>
  <si>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</si>
  <si>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</si>
  <si>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</si>
  <si>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</si>
  <si>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</si>
  <si>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</si>
  <si>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</si>
  <si>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</si>
  <si>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</si>
  <si>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</si>
  <si>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</si>
  <si>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</si>
  <si>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</si>
  <si>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</si>
  <si>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</si>
  <si>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</si>
  <si>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</si>
  <si>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</si>
  <si>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</si>
  <si>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</si>
  <si>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</si>
  <si>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</si>
  <si>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</si>
  <si>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</si>
  <si>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</si>
  <si>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</si>
  <si>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</si>
  <si>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</si>
  <si>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</si>
  <si>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</si>
  <si>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</si>
  <si>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</si>
  <si>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</si>
  <si>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</si>
  <si>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</si>
  <si>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</si>
  <si>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</si>
  <si>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</si>
  <si>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</si>
  <si>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</si>
  <si>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</si>
  <si>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</si>
  <si>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</si>
  <si>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</si>
  <si>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</si>
  <si>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</si>
  <si>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</si>
  <si>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</si>
  <si>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</si>
  <si>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</si>
  <si>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</si>
  <si>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</si>
  <si>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</si>
  <si>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</si>
  <si>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</si>
  <si>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</si>
  <si>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</si>
  <si>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</si>
  <si>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</si>
  <si>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</si>
  <si>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</si>
  <si>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</si>
  <si>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</si>
  <si>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</si>
  <si>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</si>
  <si>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</si>
  <si>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</si>
  <si>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</si>
  <si>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</si>
  <si>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</si>
  <si>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</si>
  <si>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</si>
  <si>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</si>
  <si>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</si>
  <si>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</si>
  <si>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</si>
  <si>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</si>
  <si>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</si>
  <si>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</si>
  <si>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</si>
  <si>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</si>
  <si>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</si>
  <si>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</si>
  <si>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</si>
  <si>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</si>
  <si>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</si>
  <si>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</si>
  <si>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</si>
  <si>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</si>
  <si>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</si>
  <si>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</si>
  <si>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</si>
  <si>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</si>
  <si>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</si>
  <si>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</si>
  <si>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</si>
  <si>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</si>
  <si>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</si>
  <si>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</si>
  <si>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</si>
  <si>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</si>
  <si>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</si>
  <si>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</si>
  <si>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</si>
  <si>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</si>
  <si>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</si>
  <si>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</si>
  <si>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</si>
  <si>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</si>
  <si>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</si>
  <si>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</si>
  <si>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</si>
  <si>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</si>
  <si>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</si>
  <si>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</si>
  <si>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</si>
  <si>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</si>
  <si>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</si>
  <si>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</si>
  <si>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</si>
  <si>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</si>
  <si>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</si>
  <si>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</si>
  <si>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</si>
  <si>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</si>
  <si>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</si>
  <si>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</si>
  <si>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</si>
  <si>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</si>
  <si>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</si>
  <si>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</si>
  <si>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</si>
  <si>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</si>
  <si>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</si>
  <si>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</si>
  <si>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</si>
  <si>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</si>
  <si>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</si>
  <si>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</si>
  <si>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</si>
  <si>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</si>
  <si>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</si>
  <si>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</si>
  <si>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</si>
  <si>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</si>
  <si>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</si>
  <si>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</si>
  <si>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</si>
  <si>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</si>
  <si>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</si>
  <si>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</si>
  <si>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</si>
  <si>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</si>
  <si>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</si>
  <si>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</si>
  <si>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</si>
  <si>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</si>
  <si>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</si>
  <si>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</si>
  <si>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</si>
  <si>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</si>
  <si>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</si>
  <si>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</si>
  <si>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</si>
  <si>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</si>
  <si>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</si>
  <si>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</si>
  <si>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</si>
  <si>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</si>
  <si>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</si>
  <si>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</si>
  <si>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</si>
  <si>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</si>
  <si>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</si>
  <si>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</si>
  <si>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</si>
  <si>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</si>
  <si>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</si>
  <si>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</si>
  <si>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</si>
  <si>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</si>
  <si>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</si>
  <si>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</si>
  <si>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</si>
  <si>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</si>
  <si>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</si>
  <si>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</si>
  <si>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</si>
  <si>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</si>
  <si>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</si>
  <si>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</si>
  <si>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</si>
  <si>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</si>
  <si>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</si>
  <si>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</si>
  <si>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</si>
  <si>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</si>
  <si>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</si>
  <si>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</si>
  <si>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</si>
  <si>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</si>
  <si>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</si>
  <si>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</si>
  <si>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</si>
  <si>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</si>
  <si>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</si>
  <si>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</si>
  <si>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</si>
  <si>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</si>
  <si>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</si>
  <si>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</si>
  <si>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</si>
  <si>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</si>
  <si>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</si>
  <si>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</si>
  <si>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</si>
  <si>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</si>
  <si>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</si>
  <si>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</si>
  <si>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</si>
  <si>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</si>
  <si>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</si>
  <si>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</si>
  <si>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</si>
  <si>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</si>
  <si>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</si>
  <si>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</si>
  <si>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</si>
  <si>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</si>
  <si>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</si>
  <si>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</si>
  <si>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</si>
  <si>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</si>
  <si>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</si>
  <si>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</si>
  <si>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</si>
  <si>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</si>
  <si>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</si>
  <si>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</si>
  <si>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</si>
  <si>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</si>
  <si>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</si>
  <si>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</si>
  <si>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</si>
  <si>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</si>
  <si>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</si>
  <si>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</si>
  <si>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</si>
  <si>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</si>
  <si>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</si>
  <si>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</si>
  <si>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</si>
  <si>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</si>
  <si>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</si>
  <si>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</si>
  <si>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</si>
  <si>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</si>
  <si>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</si>
  <si>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</si>
  <si>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</si>
  <si>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</si>
  <si>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</si>
  <si>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</si>
  <si>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</si>
  <si>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</si>
  <si>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</si>
  <si>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</si>
  <si>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</si>
  <si>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</si>
  <si>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</si>
  <si>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</si>
  <si>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</si>
  <si>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</si>
  <si>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</si>
  <si>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</si>
  <si>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</si>
  <si>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</si>
  <si>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</si>
  <si>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</si>
  <si>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</si>
  <si>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</si>
  <si>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</si>
  <si>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</si>
  <si>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</si>
  <si>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</si>
  <si>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</si>
  <si>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</si>
  <si>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</si>
  <si>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</si>
  <si>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</si>
  <si>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</si>
  <si>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</si>
  <si>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</si>
  <si>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</si>
  <si>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</si>
  <si>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</si>
  <si>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</si>
  <si>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</si>
  <si>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</si>
  <si>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</si>
  <si>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</si>
  <si>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</si>
  <si>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</si>
  <si>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</si>
  <si>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</si>
  <si>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</si>
  <si>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</si>
  <si>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</si>
  <si>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</si>
  <si>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</si>
  <si>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</si>
  <si>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</si>
  <si>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</si>
  <si>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</si>
  <si>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</si>
  <si>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</si>
  <si>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</si>
  <si>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</si>
  <si>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</si>
  <si>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</si>
  <si>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</si>
  <si>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</si>
  <si>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</si>
  <si>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</si>
  <si>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</si>
  <si>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</si>
  <si>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</si>
  <si>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</si>
  <si>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</si>
  <si>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</si>
  <si>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</si>
  <si>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</si>
  <si>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</si>
  <si>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</si>
  <si>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</si>
  <si>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</si>
  <si>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</si>
  <si>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</si>
  <si>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</si>
  <si>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</si>
  <si>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</si>
  <si>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</si>
  <si>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</si>
  <si>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</si>
  <si>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</si>
  <si>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</si>
  <si>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</si>
  <si>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</si>
  <si>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</si>
  <si>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</si>
  <si>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</si>
  <si>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</si>
  <si>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</si>
  <si>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</si>
  <si>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</si>
  <si>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</si>
  <si>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</si>
  <si>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</si>
  <si>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</si>
  <si>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</si>
  <si>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</si>
  <si>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</si>
  <si>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</si>
  <si>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</si>
  <si>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</si>
  <si>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</si>
  <si>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</si>
  <si>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</si>
  <si>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</si>
  <si>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</si>
  <si>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</si>
  <si>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</si>
  <si>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</si>
  <si>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</si>
  <si>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</si>
  <si>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</si>
  <si>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</si>
  <si>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</si>
  <si>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</si>
  <si>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</si>
  <si>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</si>
  <si>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</si>
  <si>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</si>
  <si>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</si>
  <si>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</si>
  <si>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</si>
  <si>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</si>
  <si>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</si>
  <si>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</si>
  <si>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</si>
  <si>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</si>
  <si>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</si>
  <si>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</si>
  <si>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</si>
  <si>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</si>
  <si>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</si>
  <si>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</si>
  <si>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</si>
  <si>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</si>
  <si>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</si>
  <si>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</si>
  <si>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</si>
  <si>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</si>
  <si>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</si>
  <si>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</si>
  <si>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</si>
  <si>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</si>
  <si>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</si>
  <si>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</si>
  <si>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</si>
  <si>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</si>
  <si>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</si>
  <si>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</si>
  <si>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</si>
  <si>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</si>
  <si>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</si>
  <si>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</si>
  <si>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</si>
  <si>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</si>
  <si>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</si>
  <si>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</si>
  <si>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</si>
  <si>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</si>
  <si>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</si>
  <si>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</si>
  <si>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</si>
  <si>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</si>
  <si>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</si>
  <si>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</si>
  <si>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</si>
  <si>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</si>
  <si>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</si>
  <si>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</si>
  <si>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</si>
  <si>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</si>
  <si>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</si>
  <si>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</si>
  <si>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</si>
  <si>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</si>
  <si>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</si>
  <si>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</si>
  <si>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</si>
  <si>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</si>
  <si>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</si>
  <si>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</si>
  <si>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</si>
  <si>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</si>
  <si>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</si>
  <si>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</si>
  <si>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</si>
  <si>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</si>
  <si>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</si>
  <si>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</si>
  <si>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</si>
  <si>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</si>
  <si>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</si>
  <si>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</si>
  <si>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</si>
  <si>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</si>
  <si>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</si>
  <si>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</si>
  <si>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</si>
  <si>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</si>
  <si>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</si>
  <si>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</si>
  <si>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</si>
  <si>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</si>
  <si>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</si>
  <si>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</si>
  <si>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</si>
  <si>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</si>
  <si>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</si>
  <si>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</si>
  <si>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</si>
  <si>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</si>
  <si>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</si>
  <si>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</si>
  <si>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</si>
  <si>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</si>
  <si>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</si>
  <si>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</si>
  <si>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</si>
  <si>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</si>
  <si>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</si>
  <si>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</si>
  <si>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</si>
  <si>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</si>
  <si>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</si>
  <si>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</si>
  <si>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</si>
  <si>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</si>
  <si>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</si>
  <si>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</si>
  <si>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</si>
  <si>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</si>
  <si>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</si>
  <si>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</si>
  <si>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</si>
  <si>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</si>
  <si>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</si>
  <si>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</si>
  <si>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</si>
  <si>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</si>
  <si>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</si>
  <si>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</si>
  <si>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</si>
  <si>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</si>
  <si>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</si>
  <si>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</si>
  <si>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</si>
  <si>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</si>
  <si>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</si>
  <si>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</si>
  <si>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</si>
  <si>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</si>
  <si>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</si>
  <si>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</si>
  <si>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</si>
  <si>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</si>
  <si>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</si>
  <si>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</si>
  <si>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</si>
  <si>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</si>
  <si>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</si>
  <si>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</si>
  <si>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</si>
  <si>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</si>
  <si>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</si>
  <si>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</si>
  <si>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</si>
  <si>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</si>
  <si>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</si>
  <si>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</si>
  <si>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</si>
  <si>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</si>
  <si>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</si>
  <si>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</si>
  <si>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</si>
  <si>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</si>
  <si>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</si>
  <si>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</si>
  <si>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</si>
  <si>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</si>
  <si>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</si>
  <si>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</si>
  <si>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</si>
  <si>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</si>
  <si>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</si>
  <si>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</si>
  <si>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</si>
  <si>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</si>
  <si>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</si>
  <si>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</si>
  <si>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</si>
  <si>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</si>
  <si>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</si>
  <si>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</si>
  <si>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</si>
  <si>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</si>
  <si>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</si>
  <si>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</si>
  <si>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</si>
  <si>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</si>
  <si>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</si>
  <si>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</si>
  <si>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</si>
  <si>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</si>
  <si>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</si>
  <si>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</si>
  <si>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</si>
  <si>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</si>
  <si>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</si>
  <si>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</si>
  <si>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</si>
  <si>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</si>
  <si>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</si>
  <si>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</si>
  <si>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</si>
  <si>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</si>
  <si>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</si>
  <si>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</si>
  <si>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</si>
  <si>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</si>
  <si>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</si>
  <si>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</si>
  <si>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</si>
  <si>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</si>
  <si>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</si>
  <si>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</si>
  <si>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</si>
  <si>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</si>
  <si>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</si>
  <si>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</si>
  <si>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</si>
  <si>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</si>
  <si>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</si>
  <si>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</si>
  <si>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</si>
  <si>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</si>
  <si>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</si>
  <si>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</si>
  <si>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</si>
  <si>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</si>
  <si>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</si>
  <si>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</si>
  <si>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</si>
  <si>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</si>
  <si>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</si>
  <si>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</si>
  <si>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</si>
  <si>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</si>
  <si>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</si>
  <si>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</si>
  <si>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</si>
  <si>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</si>
  <si>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</si>
  <si>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</si>
  <si>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</si>
  <si>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</si>
  <si>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</si>
  <si>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</si>
  <si>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</si>
  <si>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</si>
  <si>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</si>
  <si>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</si>
  <si>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</si>
  <si>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</si>
  <si>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</si>
  <si>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</si>
  <si>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</si>
  <si>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</si>
  <si>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</si>
  <si>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</si>
  <si>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</si>
  <si>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</si>
  <si>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</si>
  <si>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</si>
  <si>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</si>
  <si>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</si>
  <si>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</si>
  <si>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</si>
  <si>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</si>
  <si>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</si>
  <si>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</si>
  <si>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</si>
  <si>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</si>
  <si>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</si>
  <si>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</si>
  <si>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</si>
  <si>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</si>
  <si>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</si>
  <si>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</si>
  <si>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</si>
  <si>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</si>
  <si>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</si>
  <si>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</si>
  <si>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</si>
  <si>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</si>
  <si>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</si>
  <si>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</si>
  <si>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</si>
  <si>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</si>
  <si>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</si>
  <si>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</si>
  <si>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</si>
  <si>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</si>
  <si>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</si>
  <si>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</si>
  <si>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</si>
  <si>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</si>
  <si>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</si>
  <si>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</si>
  <si>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</si>
  <si>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</si>
  <si>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</si>
  <si>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</si>
  <si>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</si>
  <si>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</si>
  <si>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</si>
  <si>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</si>
  <si>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</si>
  <si>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</si>
  <si>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</si>
  <si>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</si>
  <si>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</si>
  <si>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</si>
  <si>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</si>
  <si>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</si>
  <si>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</si>
  <si>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</si>
  <si>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</si>
  <si>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</si>
  <si>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</si>
  <si>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</si>
  <si>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</si>
  <si>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</si>
  <si>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</si>
  <si>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</si>
  <si>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</si>
  <si>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</si>
  <si>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</si>
  <si>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</si>
  <si>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</si>
  <si>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</si>
  <si>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</si>
  <si>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</si>
  <si>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</si>
  <si>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</si>
  <si>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</si>
  <si>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</si>
  <si>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</si>
  <si>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</si>
  <si>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</si>
  <si>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</si>
  <si>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</si>
  <si>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</si>
  <si>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</si>
  <si>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</si>
  <si>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</si>
  <si>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</si>
  <si>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</si>
  <si>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</si>
  <si>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</si>
  <si>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</si>
  <si>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</si>
  <si>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</si>
  <si>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</si>
  <si>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</si>
  <si>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</si>
  <si>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</si>
  <si>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</si>
  <si>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</si>
  <si>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</si>
  <si>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</si>
  <si>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</si>
  <si>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</si>
  <si>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</si>
  <si>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</si>
  <si>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</si>
  <si>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</si>
  <si>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</si>
  <si>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</si>
  <si>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</si>
  <si>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</si>
  <si>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</si>
  <si>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</si>
  <si>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</si>
  <si>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</si>
  <si>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</si>
  <si>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</si>
  <si>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</si>
  <si>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</si>
  <si>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</si>
  <si>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</si>
  <si>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</si>
  <si>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</si>
  <si>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</si>
  <si>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</si>
  <si>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</si>
  <si>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</si>
  <si>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</si>
  <si>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</si>
  <si>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</si>
  <si>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</si>
  <si>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</si>
  <si>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</si>
  <si>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</si>
  <si>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</si>
  <si>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</si>
  <si>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</si>
  <si>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</si>
  <si>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</si>
  <si>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</si>
  <si>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</si>
  <si>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</si>
  <si>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</si>
  <si>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</si>
  <si>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</si>
  <si>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</si>
  <si>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</si>
  <si>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</si>
  <si>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</si>
  <si>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</si>
  <si>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</si>
  <si>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</si>
  <si>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</si>
  <si>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</si>
  <si>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</si>
  <si>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</si>
  <si>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</si>
  <si>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</si>
  <si>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</si>
  <si>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</si>
  <si>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</si>
  <si>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</si>
  <si>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</si>
  <si>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</si>
  <si>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</si>
  <si>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</si>
  <si>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</si>
  <si>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</si>
  <si>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</si>
  <si>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</si>
  <si>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</si>
  <si>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</si>
  <si>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</si>
  <si>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</si>
  <si>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</si>
  <si>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</si>
  <si>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</si>
  <si>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</si>
  <si>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</si>
  <si>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</si>
  <si>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</si>
  <si>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</si>
  <si>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</si>
  <si>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</si>
  <si>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</si>
  <si>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</si>
  <si>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</si>
  <si>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</si>
  <si>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</si>
  <si>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</si>
  <si>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</si>
  <si>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</si>
  <si>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</si>
  <si>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</si>
  <si>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</si>
  <si>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</si>
  <si>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</si>
  <si>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</si>
  <si>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</si>
  <si>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</si>
  <si>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</si>
  <si>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</si>
  <si>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</si>
  <si>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</si>
  <si>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</si>
  <si>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</si>
  <si>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</si>
  <si>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</si>
  <si>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</si>
  <si>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</si>
  <si>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</si>
  <si>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</si>
  <si>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</si>
  <si>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</si>
  <si>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</si>
  <si>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</si>
  <si>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</si>
  <si>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</si>
  <si>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</si>
  <si>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</si>
  <si>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</si>
  <si>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</si>
  <si>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</si>
  <si>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</si>
  <si>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</si>
  <si>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</si>
  <si>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</si>
  <si>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</si>
  <si>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</si>
  <si>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</si>
  <si>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</si>
  <si>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</si>
  <si>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</si>
  <si>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</si>
  <si>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</si>
  <si>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</si>
  <si>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</si>
  <si>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</si>
  <si>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</si>
  <si>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</si>
  <si>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</si>
  <si>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</si>
  <si>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</si>
  <si>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</si>
  <si>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</si>
  <si>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</si>
  <si>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</si>
  <si>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</si>
  <si>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</si>
  <si>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</si>
  <si>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</si>
  <si>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</si>
  <si>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</si>
  <si>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</si>
  <si>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</si>
  <si>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</si>
  <si>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</si>
  <si>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</si>
  <si>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</si>
  <si>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</si>
  <si>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</si>
  <si>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</si>
  <si>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</si>
  <si>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</si>
  <si>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</si>
  <si>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</si>
  <si>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</si>
  <si>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</si>
  <si>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</si>
  <si>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</si>
  <si>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</si>
  <si>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</si>
  <si>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</si>
  <si>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</si>
  <si>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</si>
  <si>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</si>
  <si>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</si>
  <si>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</si>
  <si>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</si>
  <si>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</si>
  <si>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</si>
  <si>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</si>
  <si>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</si>
  <si>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</si>
  <si>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</si>
  <si>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</si>
  <si>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</si>
  <si>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</si>
  <si>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</si>
  <si>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</si>
  <si>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</si>
  <si>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</si>
  <si>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</si>
  <si>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</si>
  <si>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</si>
  <si>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</si>
  <si>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</si>
  <si>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</si>
  <si>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</si>
  <si>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</si>
  <si>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</si>
  <si>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</si>
  <si>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</si>
  <si>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</si>
  <si>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</si>
  <si>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</si>
  <si>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</si>
  <si>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</si>
  <si>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</si>
  <si>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</si>
  <si>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</si>
  <si>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</si>
  <si>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</si>
  <si>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</si>
  <si>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</si>
  <si>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</si>
  <si>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</si>
  <si>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</si>
  <si>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</si>
  <si>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</si>
  <si>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</si>
  <si>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</si>
  <si>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</si>
  <si>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</si>
  <si>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</si>
  <si>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</si>
  <si>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</si>
  <si>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</si>
  <si>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</si>
  <si>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</si>
  <si>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</si>
  <si>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</si>
  <si>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</si>
  <si>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</si>
  <si>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</si>
  <si>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</si>
  <si>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</si>
  <si>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</si>
  <si>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</si>
  <si>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</si>
  <si>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</si>
  <si>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</si>
  <si>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</si>
  <si>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</si>
  <si>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</si>
  <si>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</si>
  <si>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</si>
  <si>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</si>
  <si>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</si>
  <si>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</si>
  <si>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</si>
  <si>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</si>
  <si>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</si>
  <si>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</si>
  <si>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</si>
  <si>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</si>
  <si>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</si>
  <si>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</si>
  <si>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</si>
  <si>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</si>
  <si>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</si>
  <si>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</si>
  <si>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</si>
  <si>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</si>
  <si>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</si>
  <si>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</si>
  <si>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</si>
  <si>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</si>
  <si>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</si>
  <si>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</si>
  <si>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</si>
  <si>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</si>
  <si>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</si>
  <si>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</si>
  <si>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</si>
  <si>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</si>
  <si>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</si>
  <si>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</si>
  <si>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</si>
  <si>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</si>
  <si>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</si>
  <si>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</si>
  <si>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</si>
  <si>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</si>
  <si>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</si>
  <si>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</si>
  <si>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</si>
  <si>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</si>
  <si>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</si>
  <si>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</si>
  <si>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</si>
  <si>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</si>
  <si>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</si>
  <si>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</si>
  <si>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</si>
  <si>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</si>
  <si>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</si>
  <si>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</si>
  <si>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</si>
  <si>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</si>
  <si>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</si>
  <si>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</si>
  <si>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</si>
  <si>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</si>
  <si>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</si>
  <si>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</si>
  <si>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</si>
  <si>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</si>
  <si>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</si>
  <si>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</si>
  <si>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</si>
  <si>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</si>
  <si>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</si>
  <si>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</si>
  <si>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</si>
  <si>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</si>
  <si>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</si>
  <si>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</si>
  <si>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</si>
  <si>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</si>
  <si>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</si>
  <si>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</si>
  <si>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</si>
  <si>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</si>
  <si>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</si>
  <si>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</si>
  <si>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</si>
  <si>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</si>
  <si>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</si>
  <si>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</si>
  <si>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</si>
  <si>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</si>
  <si>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</si>
  <si>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</si>
  <si>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</si>
  <si>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</si>
  <si>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</si>
  <si>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</si>
  <si>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</si>
  <si>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</si>
  <si>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</si>
  <si>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</si>
  <si>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</si>
  <si>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</si>
  <si>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</si>
  <si>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</si>
  <si>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</si>
  <si>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</si>
  <si>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</si>
  <si>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</si>
  <si>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</si>
  <si>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</si>
  <si>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</si>
  <si>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</si>
  <si>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</si>
  <si>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</si>
  <si>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</si>
  <si>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</si>
  <si>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</si>
  <si>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</si>
  <si>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</si>
  <si>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</si>
  <si>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</si>
  <si>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</si>
  <si>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</si>
  <si>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</si>
  <si>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</si>
  <si>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</si>
  <si>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</si>
  <si>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</si>
  <si>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</si>
  <si>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</si>
  <si>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</si>
  <si>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</si>
  <si>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</si>
  <si>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</si>
  <si>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</si>
  <si>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</si>
  <si>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</si>
  <si>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</si>
  <si>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</si>
  <si>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</si>
  <si>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</si>
  <si>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</si>
  <si>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</si>
  <si>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</si>
  <si>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</si>
  <si>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</si>
  <si>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</si>
  <si>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</si>
  <si>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</si>
  <si>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</si>
  <si>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</si>
  <si>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</si>
  <si>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</si>
  <si>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</si>
  <si>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</si>
  <si>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</si>
  <si>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</si>
  <si>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</si>
  <si>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</si>
  <si>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</si>
  <si>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</si>
  <si>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</si>
  <si>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</si>
  <si>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</si>
  <si>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</si>
  <si>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</si>
  <si>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</si>
  <si>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</si>
  <si>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</si>
  <si>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</si>
  <si>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</si>
  <si>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</si>
  <si>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</si>
  <si>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</si>
  <si>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</si>
  <si>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</si>
  <si>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</si>
  <si>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</si>
  <si>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</si>
  <si>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</si>
  <si>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</si>
  <si>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</si>
  <si>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</si>
  <si>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</si>
  <si>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</si>
  <si>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</si>
  <si>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</si>
  <si>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</si>
  <si>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</si>
  <si>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</si>
  <si>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</si>
  <si>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</si>
  <si>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</si>
  <si>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</si>
  <si>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</si>
  <si>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</si>
  <si>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</si>
  <si>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</si>
  <si>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</si>
  <si>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</si>
  <si>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</si>
  <si>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</si>
  <si>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</si>
  <si>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</si>
  <si>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</si>
  <si>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</si>
  <si>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</si>
  <si>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</si>
  <si>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</si>
  <si>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</si>
  <si>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</si>
  <si>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</si>
  <si>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</si>
  <si>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</si>
  <si>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</si>
  <si>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</si>
  <si>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</si>
  <si>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</si>
  <si>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</si>
  <si>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</si>
  <si>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</si>
  <si>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</si>
  <si>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</si>
  <si>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</si>
  <si>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</si>
  <si>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</si>
  <si>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</si>
  <si>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</si>
  <si>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</si>
  <si>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</si>
  <si>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</si>
  <si>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</si>
  <si>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</si>
  <si>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</si>
  <si>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</si>
  <si>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</si>
  <si>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</si>
  <si>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</si>
  <si>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</si>
  <si>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</si>
  <si>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</si>
  <si>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</si>
  <si>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</si>
  <si>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</si>
  <si>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</si>
  <si>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</si>
  <si>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</si>
  <si>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</si>
  <si>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</si>
  <si>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</si>
  <si>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</si>
  <si>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</si>
  <si>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</si>
  <si>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</si>
  <si>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</si>
  <si>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</si>
  <si>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</si>
  <si>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</si>
  <si>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</si>
  <si>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</si>
  <si>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</si>
  <si>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</si>
  <si>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</si>
  <si>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</si>
  <si>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</si>
  <si>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</si>
  <si>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</si>
  <si>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</si>
  <si>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</si>
  <si>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</si>
  <si>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</si>
  <si>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</si>
  <si>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</si>
  <si>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</si>
  <si>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</si>
  <si>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</si>
  <si>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</si>
  <si>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</si>
  <si>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</si>
  <si>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</si>
  <si>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</si>
  <si>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</si>
  <si>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</si>
  <si>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</si>
  <si>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</si>
  <si>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</si>
  <si>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</si>
  <si>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</si>
  <si>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</si>
  <si>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</si>
  <si>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</si>
  <si>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</si>
  <si>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</si>
  <si>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</si>
  <si>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</si>
  <si>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</si>
  <si>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</si>
  <si>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</si>
  <si>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</si>
  <si>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</si>
  <si>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</si>
  <si>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</si>
  <si>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</si>
  <si>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</si>
  <si>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</si>
  <si>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</si>
  <si>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</si>
  <si>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</si>
  <si>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</si>
  <si>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</si>
  <si>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</si>
  <si>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</si>
  <si>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</si>
  <si>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</si>
  <si>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</si>
  <si>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</si>
  <si>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</si>
  <si>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</si>
  <si>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</si>
  <si>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</si>
  <si>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</si>
  <si>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</si>
  <si>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</si>
  <si>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</si>
  <si>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</si>
  <si>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</si>
  <si>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</si>
  <si>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</si>
  <si>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</si>
  <si>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</si>
  <si>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</si>
  <si>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</si>
  <si>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</si>
  <si>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</si>
  <si>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</si>
  <si>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</si>
  <si>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</si>
  <si>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</si>
  <si>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</si>
  <si>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</si>
  <si>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</si>
  <si>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</si>
  <si>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</si>
  <si>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</si>
  <si>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</si>
  <si>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</si>
  <si>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</si>
  <si>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</si>
  <si>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</si>
  <si>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</si>
  <si>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</si>
  <si>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</si>
  <si>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</si>
  <si>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</si>
  <si>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</si>
  <si>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</si>
  <si>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</si>
  <si>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</si>
  <si>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</si>
  <si>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</si>
  <si>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</si>
  <si>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</si>
  <si>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</si>
  <si>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</si>
  <si>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</si>
  <si>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</si>
  <si>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</si>
  <si>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</si>
  <si>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</si>
  <si>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</si>
  <si>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</si>
  <si>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</si>
  <si>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</si>
  <si>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</si>
  <si>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</si>
  <si>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</si>
  <si>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</si>
  <si>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</si>
  <si>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</si>
  <si>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</si>
  <si>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</si>
  <si>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</si>
  <si>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</si>
  <si>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</si>
  <si>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</si>
  <si>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</si>
  <si>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</si>
  <si>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</si>
  <si>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</si>
  <si>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</si>
  <si>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</si>
  <si>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</si>
  <si>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</si>
  <si>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</si>
  <si>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</si>
  <si>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</si>
  <si>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</si>
  <si>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</si>
  <si>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</si>
  <si>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</si>
  <si>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</si>
  <si>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</si>
  <si>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</si>
  <si>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</si>
  <si>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</si>
  <si>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</si>
  <si>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</si>
  <si>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</si>
  <si>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</si>
  <si>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</si>
  <si>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</si>
  <si>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</si>
  <si>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</si>
  <si>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</si>
  <si>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</si>
  <si>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</si>
  <si>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</si>
  <si>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</si>
  <si>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</si>
  <si>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</si>
  <si>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</si>
  <si>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</si>
  <si>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</si>
  <si>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</si>
  <si>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</si>
  <si>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</si>
  <si>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</si>
  <si>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</si>
  <si>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</si>
  <si>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</si>
  <si>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</si>
  <si>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</si>
  <si>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</si>
  <si>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</si>
  <si>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</si>
  <si>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</si>
  <si>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</si>
  <si>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</si>
  <si>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</si>
  <si>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</si>
  <si>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</si>
  <si>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</si>
  <si>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</si>
  <si>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</si>
  <si>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</si>
  <si>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</si>
  <si>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</si>
  <si>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</si>
  <si>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</si>
  <si>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</si>
  <si>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</si>
  <si>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</si>
  <si>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</si>
  <si>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</si>
  <si>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</si>
  <si>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</si>
  <si>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</si>
  <si>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</si>
  <si>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</si>
  <si>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</si>
  <si>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</si>
  <si>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</si>
  <si>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</si>
  <si>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</si>
  <si>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</si>
  <si>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</si>
  <si>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</si>
  <si>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</si>
  <si>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</si>
  <si>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</si>
  <si>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</si>
  <si>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</si>
  <si>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</si>
  <si>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</si>
  <si>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</si>
  <si>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</si>
  <si>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</si>
  <si>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</si>
  <si>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</si>
  <si>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</si>
  <si>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</si>
  <si>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</si>
  <si>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</si>
  <si>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</si>
  <si>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</si>
  <si>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</si>
  <si>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</si>
  <si>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</si>
  <si>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</si>
  <si>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</si>
  <si>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</si>
  <si>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</si>
  <si>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</si>
  <si>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</si>
  <si>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</si>
  <si>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</si>
  <si>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</si>
  <si>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</si>
  <si>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</si>
  <si>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</si>
  <si>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</si>
  <si>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</si>
  <si>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</si>
  <si>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</si>
  <si>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</si>
  <si>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</si>
  <si>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</si>
  <si>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</si>
  <si>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</si>
  <si>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</si>
  <si>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</si>
  <si>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</si>
  <si>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</si>
  <si>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</si>
  <si>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</si>
  <si>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</si>
  <si>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</si>
  <si>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</si>
  <si>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</si>
  <si>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</si>
  <si>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</si>
  <si>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</si>
  <si>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</si>
  <si>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</si>
  <si>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</si>
  <si>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</si>
  <si>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</si>
  <si>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</si>
  <si>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</si>
  <si>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</si>
  <si>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</si>
  <si>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</si>
  <si>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</si>
  <si>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</si>
  <si>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</si>
  <si>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</si>
  <si>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</si>
  <si>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</si>
  <si>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</si>
  <si>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</si>
  <si>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</si>
  <si>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</si>
  <si>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</si>
  <si>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</si>
  <si>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</si>
  <si>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</si>
  <si>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</si>
  <si>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</si>
  <si>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</si>
  <si>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</si>
  <si>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</si>
  <si>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</si>
  <si>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</si>
  <si>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</si>
  <si>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</si>
  <si>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</si>
  <si>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</si>
  <si>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</si>
  <si>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</si>
  <si>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</si>
  <si>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</si>
  <si>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</si>
  <si>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</si>
  <si>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</si>
  <si>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</si>
  <si>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</si>
  <si>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</si>
  <si>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</si>
  <si>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</si>
  <si>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</si>
  <si>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</si>
  <si>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</si>
  <si>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</si>
  <si>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</si>
  <si>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</si>
  <si>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</si>
  <si>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</si>
  <si>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</si>
  <si>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</si>
  <si>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</si>
  <si>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</si>
  <si>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</si>
  <si>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</si>
  <si>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</si>
  <si>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</si>
  <si>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</si>
  <si>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</si>
  <si>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</si>
  <si>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</si>
  <si>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</si>
  <si>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</si>
  <si>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</si>
  <si>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</si>
  <si>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</si>
  <si>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</si>
  <si>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</si>
  <si>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</si>
  <si>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</si>
  <si>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</si>
  <si>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</si>
  <si>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</si>
  <si>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</si>
  <si>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</si>
  <si>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</si>
  <si>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</si>
  <si>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</si>
  <si>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</si>
  <si>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</si>
  <si>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</si>
  <si>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</si>
  <si>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</si>
  <si>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</si>
  <si>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</si>
  <si>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</si>
  <si>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</si>
  <si>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</si>
  <si>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</si>
  <si>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</si>
  <si>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</si>
  <si>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</si>
  <si>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</si>
  <si>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</si>
  <si>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</si>
  <si>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</si>
  <si>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</si>
  <si>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</si>
  <si>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</si>
  <si>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</si>
  <si>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</si>
  <si>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</si>
  <si>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</si>
  <si>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</si>
  <si>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</si>
  <si>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</si>
  <si>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</si>
  <si>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</si>
  <si>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</si>
  <si>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</si>
  <si>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</si>
  <si>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</si>
  <si>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</si>
  <si>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</si>
  <si>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</si>
  <si>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</si>
  <si>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</si>
  <si>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</si>
  <si>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</si>
  <si>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</si>
  <si>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</si>
  <si>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</si>
  <si>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</si>
  <si>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</si>
  <si>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</si>
  <si>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</si>
  <si>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</si>
  <si>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</si>
  <si>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</si>
  <si>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</si>
  <si>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</si>
  <si>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</si>
  <si>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</si>
  <si>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</si>
  <si>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</si>
  <si>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</si>
  <si>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</si>
  <si>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</si>
  <si>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</si>
  <si>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</si>
  <si>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</si>
  <si>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</si>
  <si>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</si>
  <si>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</si>
  <si>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</si>
  <si>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</si>
  <si>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</si>
  <si>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</si>
  <si>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</si>
  <si>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</si>
  <si>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</si>
  <si>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</si>
  <si>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</si>
  <si>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</si>
  <si>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</si>
  <si>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</si>
  <si>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</si>
  <si>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</si>
  <si>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</si>
  <si>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</si>
  <si>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</si>
  <si>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</si>
  <si>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</si>
  <si>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</si>
  <si>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</si>
  <si>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</si>
  <si>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</si>
  <si>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</si>
  <si>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</si>
  <si>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</si>
  <si>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</si>
  <si>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</si>
  <si>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</si>
  <si>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</si>
  <si>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</si>
  <si>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</si>
  <si>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</si>
  <si>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</si>
  <si>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</si>
  <si>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</si>
  <si>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</si>
  <si>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</si>
  <si>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</si>
  <si>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</si>
  <si>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</si>
  <si>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</si>
  <si>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</si>
  <si>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</si>
  <si>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</si>
  <si>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</si>
  <si>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</si>
  <si>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</si>
  <si>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</si>
  <si>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</si>
  <si>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</si>
  <si>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</si>
  <si>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</si>
  <si>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</si>
  <si>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</si>
  <si>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</si>
  <si>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</si>
  <si>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</si>
  <si>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</si>
  <si>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</si>
  <si>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</si>
  <si>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</si>
  <si>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</si>
  <si>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</si>
  <si>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</si>
  <si>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</si>
  <si>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</si>
  <si>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</si>
  <si>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</si>
  <si>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</si>
  <si>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</si>
  <si>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</si>
  <si>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</si>
  <si>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</si>
  <si>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</si>
  <si>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</si>
  <si>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</si>
  <si>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</si>
  <si>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</si>
  <si>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</si>
  <si>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</si>
  <si>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</si>
  <si>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</si>
  <si>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</si>
  <si>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</si>
  <si>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</si>
  <si>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</si>
  <si>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</si>
  <si>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</si>
  <si>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</si>
  <si>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</si>
  <si>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</si>
  <si>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</si>
  <si>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</si>
  <si>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</si>
  <si>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</si>
  <si>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</si>
  <si>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</si>
  <si>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</si>
  <si>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</si>
  <si>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</si>
  <si>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</si>
  <si>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</si>
  <si>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</si>
  <si>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</si>
  <si>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</si>
  <si>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</si>
  <si>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</si>
  <si>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</si>
  <si>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</si>
  <si>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</si>
  <si>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</si>
  <si>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</si>
  <si>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</si>
  <si>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</si>
  <si>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</si>
  <si>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</si>
  <si>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</si>
  <si>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</si>
  <si>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</si>
  <si>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</si>
  <si>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</si>
  <si>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</si>
  <si>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</si>
  <si>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</si>
  <si>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</si>
  <si>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</si>
  <si>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</si>
  <si>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</si>
  <si>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</si>
  <si>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</si>
  <si>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</si>
  <si>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</si>
  <si>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</si>
  <si>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</si>
  <si>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</si>
  <si>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</si>
  <si>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</si>
  <si>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</si>
  <si>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</si>
  <si>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</si>
  <si>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</si>
  <si>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</si>
  <si>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</si>
  <si>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</si>
  <si>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</si>
  <si>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</si>
  <si>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</si>
  <si>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</si>
  <si>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</si>
  <si>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</si>
  <si>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</si>
  <si>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</si>
  <si>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</si>
  <si>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</si>
  <si>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</si>
  <si>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</si>
  <si>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</si>
  <si>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</si>
  <si>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</si>
  <si>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</si>
  <si>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</si>
  <si>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</si>
  <si>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</si>
  <si>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</si>
  <si>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</si>
  <si>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</si>
  <si>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</si>
  <si>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</si>
  <si>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</si>
  <si>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</si>
  <si>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</si>
  <si>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</si>
  <si>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</si>
  <si>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</si>
  <si>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</si>
  <si>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</si>
  <si>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</si>
  <si>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</si>
  <si>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</si>
  <si>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</si>
  <si>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</si>
  <si>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</si>
  <si>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</si>
  <si>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</si>
  <si>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</si>
  <si>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</si>
  <si>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</si>
  <si>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</si>
  <si>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</si>
  <si>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</si>
  <si>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</si>
  <si>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</si>
  <si>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</si>
  <si>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</si>
  <si>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</si>
  <si>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</si>
  <si>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</si>
  <si>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</si>
  <si>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</si>
  <si>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</si>
  <si>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</si>
  <si>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</si>
  <si>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</si>
  <si>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</si>
  <si>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</si>
  <si>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</si>
  <si>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</si>
  <si>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</si>
  <si>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</si>
  <si>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</si>
  <si>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</si>
  <si>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</si>
  <si>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</si>
  <si>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</si>
  <si>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</si>
  <si>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</si>
  <si>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</si>
  <si>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</si>
  <si>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</si>
  <si>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</si>
  <si>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</si>
  <si>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</si>
  <si>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</si>
  <si>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</si>
  <si>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</si>
  <si>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</si>
  <si>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</si>
  <si>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</si>
  <si>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</si>
  <si>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</si>
  <si>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</si>
  <si>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</si>
  <si>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</si>
  <si>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</si>
  <si>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</si>
  <si>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</si>
  <si>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</si>
  <si>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</si>
  <si>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</si>
  <si>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</si>
  <si>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</si>
  <si>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</si>
  <si>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</si>
  <si>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</si>
  <si>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</si>
  <si>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</si>
  <si>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</si>
  <si>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</si>
  <si>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</si>
  <si>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</si>
  <si>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</si>
  <si>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</si>
  <si>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</si>
  <si>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</si>
  <si>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</si>
  <si>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</si>
  <si>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</si>
  <si>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</si>
  <si>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</si>
  <si>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</si>
  <si>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</si>
  <si>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</si>
  <si>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</si>
  <si>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</si>
  <si>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</si>
  <si>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</si>
  <si>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</si>
  <si>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</si>
  <si>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</si>
  <si>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</si>
  <si>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</si>
  <si>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</si>
  <si>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</si>
  <si>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</si>
  <si>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</si>
  <si>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</si>
  <si>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</si>
  <si>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</si>
  <si>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</si>
  <si>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</si>
  <si>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</si>
  <si>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</si>
  <si>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</si>
  <si>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</si>
  <si>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</si>
  <si>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</si>
  <si>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</si>
  <si>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</si>
  <si>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</si>
  <si>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</si>
  <si>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</si>
  <si>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</si>
  <si>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</si>
  <si>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</si>
  <si>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</si>
  <si>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</si>
  <si>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</si>
  <si>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</si>
  <si>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</si>
  <si>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</si>
  <si>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</si>
  <si>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</si>
  <si>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</si>
  <si>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</si>
  <si>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</si>
  <si>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</si>
  <si>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</si>
  <si>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</si>
  <si>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</si>
  <si>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</si>
  <si>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</si>
  <si>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</si>
  <si>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</si>
  <si>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</si>
  <si>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</si>
  <si>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</si>
  <si>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</si>
  <si>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</si>
  <si>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</si>
  <si>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</si>
  <si>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</si>
  <si>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</si>
  <si>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</si>
  <si>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</si>
  <si>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</si>
  <si>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</si>
  <si>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</si>
  <si>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</si>
  <si>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</si>
  <si>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</si>
  <si>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</si>
  <si>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</si>
  <si>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</si>
  <si>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</si>
  <si>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</si>
  <si>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</si>
  <si>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</si>
  <si>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</si>
  <si>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</si>
  <si>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</si>
  <si>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</si>
  <si>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</si>
  <si>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</si>
  <si>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</si>
  <si>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</si>
  <si>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</si>
  <si>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</si>
  <si>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</si>
  <si>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</si>
  <si>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</si>
  <si>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</si>
  <si>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</si>
  <si>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</si>
  <si>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</si>
  <si>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</si>
  <si>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</si>
  <si>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</si>
  <si>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</si>
  <si>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</si>
  <si>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</si>
  <si>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</si>
  <si>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</si>
  <si>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</si>
  <si>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</si>
  <si>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</si>
  <si>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</si>
  <si>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</si>
  <si>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</si>
  <si>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</si>
  <si>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</si>
  <si>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</si>
  <si>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</si>
  <si>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</si>
  <si>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</si>
  <si>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</si>
  <si>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</si>
  <si>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</si>
  <si>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</si>
  <si>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</si>
  <si>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</si>
  <si>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</si>
  <si>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</si>
  <si>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</si>
  <si>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</si>
  <si>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</si>
  <si>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</si>
  <si>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</si>
  <si>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</si>
  <si>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</si>
  <si>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</si>
  <si>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</si>
  <si>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</si>
  <si>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</si>
  <si>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</si>
  <si>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</si>
  <si>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</si>
  <si>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</si>
  <si>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</si>
  <si>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</si>
  <si>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</si>
  <si>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</si>
  <si>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</si>
  <si>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</si>
  <si>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</si>
  <si>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</si>
  <si>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</si>
  <si>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</si>
  <si>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</si>
  <si>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</si>
  <si>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</si>
  <si>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</si>
  <si>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</si>
  <si>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</si>
  <si>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</si>
  <si>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</si>
  <si>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</si>
  <si>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</si>
  <si>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</si>
  <si>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</si>
  <si>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</si>
  <si>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</si>
  <si>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</si>
  <si>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</si>
  <si>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</si>
  <si>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</si>
  <si>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</si>
  <si>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</si>
  <si>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</si>
  <si>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</si>
  <si>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</si>
  <si>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</si>
  <si>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</si>
  <si>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</si>
  <si>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</si>
  <si>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</si>
  <si>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</si>
  <si>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</si>
  <si>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</si>
  <si>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</si>
  <si>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</si>
  <si>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</si>
  <si>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</si>
  <si>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</si>
  <si>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</si>
  <si>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</si>
  <si>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</si>
  <si>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</si>
  <si>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</si>
  <si>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</si>
  <si>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</si>
  <si>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</si>
  <si>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</si>
  <si>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</si>
  <si>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</si>
  <si>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</si>
  <si>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</si>
  <si>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</si>
  <si>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</si>
  <si>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</si>
  <si>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</si>
  <si>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</si>
  <si>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</si>
  <si>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</si>
  <si>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</si>
  <si>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</si>
  <si>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</si>
  <si>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</si>
  <si>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</si>
  <si>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</si>
  <si>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</si>
  <si>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</si>
  <si>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</si>
  <si>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</si>
  <si>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</si>
  <si>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</si>
  <si>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</si>
  <si>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</si>
  <si>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</si>
  <si>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</si>
  <si>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</si>
  <si>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</si>
  <si>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</si>
  <si>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</si>
  <si>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</si>
  <si>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</si>
  <si>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</si>
  <si>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</si>
  <si>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</si>
  <si>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</si>
  <si>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</si>
  <si>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</si>
  <si>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</si>
  <si>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</si>
  <si>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</si>
  <si>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</si>
  <si>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</si>
  <si>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</si>
  <si>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</si>
  <si>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</si>
  <si>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</si>
  <si>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</si>
  <si>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</si>
  <si>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</si>
  <si>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</si>
  <si>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</si>
  <si>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</si>
  <si>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</si>
  <si>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</si>
  <si>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</si>
  <si>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</si>
  <si>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</si>
  <si>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</si>
  <si>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</si>
  <si>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</si>
  <si>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</si>
  <si>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</si>
  <si>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</si>
  <si>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</si>
  <si>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</si>
  <si>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</si>
  <si>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</si>
  <si>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</si>
  <si>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</si>
  <si>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</si>
  <si>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</si>
  <si>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</si>
  <si>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</si>
  <si>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</si>
  <si>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</si>
  <si>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</si>
  <si>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</si>
  <si>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</si>
  <si>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</si>
  <si>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</si>
  <si>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</si>
  <si>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</si>
  <si>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</si>
  <si>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</si>
  <si>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</si>
  <si>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</si>
  <si>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</si>
  <si>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</si>
  <si>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</si>
  <si>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</si>
  <si>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</si>
  <si>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</si>
  <si>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</si>
  <si>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</si>
  <si>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</si>
  <si>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</si>
  <si>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</si>
  <si>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</si>
  <si>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</si>
  <si>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</si>
  <si>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</si>
  <si>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</si>
  <si>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</si>
  <si>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</si>
  <si>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</si>
  <si>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</si>
  <si>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</si>
  <si>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</si>
  <si>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</si>
  <si>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</si>
  <si>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</si>
  <si>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</si>
  <si>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</si>
  <si>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</si>
  <si>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</si>
  <si>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</si>
  <si>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</si>
  <si>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</si>
  <si>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</si>
  <si>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</si>
  <si>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</si>
  <si>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</si>
  <si>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</si>
  <si>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</si>
  <si>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</si>
  <si>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</si>
  <si>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</si>
  <si>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</si>
  <si>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</si>
  <si>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</si>
  <si>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</si>
  <si>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</si>
  <si>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</si>
  <si>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</si>
  <si>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</si>
  <si>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</si>
  <si>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</si>
  <si>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</si>
  <si>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</si>
  <si>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</si>
  <si>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</si>
  <si>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</si>
  <si>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</si>
  <si>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</si>
  <si>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</si>
  <si>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</si>
  <si>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</si>
  <si>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</si>
  <si>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</si>
  <si>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</si>
  <si>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</si>
  <si>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</si>
  <si>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</si>
  <si>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</si>
  <si>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</si>
  <si>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</si>
  <si>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</si>
  <si>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</si>
  <si>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</si>
  <si>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</si>
  <si>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</si>
  <si>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</si>
  <si>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</si>
  <si>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</si>
  <si>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</si>
  <si>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</si>
  <si>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</si>
  <si>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</si>
  <si>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</si>
  <si>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</si>
  <si>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</si>
  <si>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</si>
  <si>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</si>
  <si>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</si>
  <si>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</si>
  <si>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</si>
  <si>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</si>
  <si>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</si>
  <si>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</si>
  <si>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</si>
  <si>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</si>
  <si>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</si>
  <si>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</si>
  <si>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</si>
  <si>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</si>
  <si>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</si>
  <si>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</si>
  <si>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</si>
  <si>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</si>
  <si>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</si>
  <si>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</si>
  <si>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</si>
  <si>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</si>
  <si>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</si>
  <si>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</si>
  <si>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</si>
  <si>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</si>
  <si>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</si>
  <si>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</si>
  <si>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</si>
  <si>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</si>
  <si>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</si>
  <si>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</si>
  <si>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</si>
  <si>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</si>
  <si>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</si>
  <si>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</si>
  <si>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</si>
  <si>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</si>
  <si>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</si>
  <si>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</si>
  <si>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</si>
  <si>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</si>
  <si>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</si>
  <si>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</si>
  <si>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</si>
  <si>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</si>
  <si>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</si>
  <si>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</si>
  <si>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</si>
  <si>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</si>
  <si>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</si>
  <si>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</si>
  <si>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</si>
  <si>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</si>
  <si>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</si>
  <si>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</si>
  <si>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</si>
  <si>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</si>
  <si>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</si>
  <si>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</si>
  <si>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</si>
  <si>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</si>
  <si>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</si>
  <si>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</si>
  <si>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</si>
  <si>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</si>
  <si>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</si>
  <si>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</si>
  <si>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</si>
  <si>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</si>
  <si>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</si>
  <si>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Total Values</t>
  </si>
  <si>
    <t>Key Performance Indicators</t>
  </si>
  <si>
    <t>Total</t>
  </si>
  <si>
    <t>CY</t>
  </si>
  <si>
    <t>PY</t>
  </si>
  <si>
    <t>YOY%</t>
  </si>
  <si>
    <t>SALES</t>
  </si>
  <si>
    <t>QUANTITY</t>
  </si>
  <si>
    <t>PROFIT</t>
  </si>
  <si>
    <t>Row Labels</t>
  </si>
  <si>
    <t>Grand Total</t>
  </si>
  <si>
    <t>2014</t>
  </si>
  <si>
    <t>2015</t>
  </si>
  <si>
    <t>2016</t>
  </si>
  <si>
    <t>2017</t>
  </si>
  <si>
    <t>Sales Trend</t>
  </si>
  <si>
    <t>Peak Sales Month: Dec with $121,818 in sales</t>
  </si>
  <si>
    <t>Top Selling Cities</t>
  </si>
  <si>
    <t>Top Selling city: New Yourk City (75698)</t>
  </si>
  <si>
    <t>Count of Order ID</t>
  </si>
  <si>
    <t>Orders By duration</t>
  </si>
  <si>
    <t>Most Orders (28%) Were delivered in 4 days</t>
  </si>
  <si>
    <t>Sales by State</t>
  </si>
  <si>
    <t>Orders Shipping Mode</t>
  </si>
  <si>
    <t>Most orders used in Standard Class (59%)</t>
  </si>
  <si>
    <t>Sales By Category</t>
  </si>
  <si>
    <t>Highest  Sales from Category : Chairs ($328,449)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</si>
</sst>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7" formatCode="_(* #,##0.0000_);_(* \(#,##0.0000\);_(* &quot;-&quot;??_);_(@_)"/>
    <numFmt numFmtId="170" formatCode="[&gt;=1000000]0.0,,&quot;M&quot;;[&gt;=1000]0.0,&quot;K&quot;;0"/>
  </numFmts>
  <fonts count="3" x14ac:knownFonts="1">
    <font>
      <sz val="11"/>
      <color theme="1"/>
      <name val="Aptos Narrow"/>
      <family val="2"/>
      <scheme val="minor"/>
    </font>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7" fontId="0" fillId="0" borderId="0" xfId="0" applyNumberFormat="1"/>
    <xf numFmtId="9" fontId="0" fillId="0" borderId="0" xfId="2" applyFont="1"/>
    <xf numFmtId="170" fontId="0" fillId="0" borderId="0" xfId="1" applyNumberFormat="1" applyFont="1"/>
    <xf numFmtId="170" fontId="0" fillId="0" borderId="0" xfId="0" applyNumberFormat="1"/>
    <xf numFmtId="9" fontId="0" fillId="0" borderId="0" xfId="0" applyNumberFormat="1"/>
    <xf numFmtId="0" fontId="2" fillId="2" borderId="0" xfId="0" applyFont="1" applyFill="1" applyAlignment="1">
      <alignment horizontal="center" vertical="center"/>
    </xf>
  </cellXfs>
  <cellStyles count="3">
    <cellStyle name="Comma" xfId="1" builtinId="3"/>
    <cellStyle name="Normal" xfId="0" builtinId="0"/>
    <cellStyle name="Percent" xfId="2" builtinId="5"/>
  </cellStyles>
  <dxfs count="34">
    <dxf>
      <numFmt numFmtId="170" formatCode="[&gt;=1000000]0.0,,&quot;M&quot;;[&gt;=1000]0.0,&quot;K&quot;;0"/>
    </dxf>
    <dxf>
      <numFmt numFmtId="170" formatCode="[&gt;=1000000]0.0,,&quot;M&quot;;[&gt;=1000]0.0,&quot;K&quot;;0"/>
    </dxf>
    <dxf>
      <numFmt numFmtId="170" formatCode="[&gt;=1000000]0.0,,&quot;M&quot;;[&gt;=1000]0.0,&quot;K&quot;;0"/>
    </dxf>
    <dxf>
      <numFmt numFmtId="0" formatCode="General"/>
    </dxf>
    <dxf>
      <numFmt numFmtId="13" formatCode="0%"/>
    </dxf>
    <dxf>
      <numFmt numFmtId="13" formatCode="0%"/>
    </dxf>
    <dxf>
      <numFmt numFmtId="14" formatCode="0.00%"/>
    </dxf>
    <dxf>
      <numFmt numFmtId="13" formatCode="0%"/>
    </dxf>
    <dxf>
      <numFmt numFmtId="167" formatCode="_(* #,##0.0000_);_(* \(#,##0.0000\);_(* &quot;-&quot;??_);_(@_)"/>
    </dxf>
    <dxf>
      <numFmt numFmtId="13" formatCode="0%"/>
    </dxf>
    <dxf>
      <numFmt numFmtId="13" formatCode="0%"/>
    </dxf>
    <dxf>
      <numFmt numFmtId="13" formatCode="0%"/>
    </dxf>
    <dxf>
      <numFmt numFmtId="14" formatCode="0.00%"/>
    </dxf>
    <dxf>
      <numFmt numFmtId="167" formatCode="_(* #,##0.0000_);_(* \(#,##0.0000\);_(* &quot;-&quot;??_);_(@_)"/>
    </dxf>
    <dxf>
      <numFmt numFmtId="170" formatCode="[&gt;=1000000]0.0,,&quot;M&quot;;[&gt;=1000]0.0,&quot;K&quot;;0"/>
    </dxf>
    <dxf>
      <numFmt numFmtId="167" formatCode="_(* #,##0.0000_);_(* \(#,##0.0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167" formatCode="_(* #,##0.0000_);_(* \(#,##0.0000\);_(* &quot;-&quot;??_);_(@_)"/>
    </dxf>
  </dxfs>
  <tableStyles count="0" defaultTableStyle="TableStyleMedium2" defaultPivotStyle="PivotStyleLight16"/>
  <colors>
    <mruColors>
      <color rgb="FFE1EAF1"/>
      <color rgb="FFF0F4F4"/>
      <color rgb="FFCCDCE8"/>
      <color rgb="FF7F7F7F"/>
      <color rgb="FF385F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[Dashbaord.xlsx]Calculations!PivotTable3</c:name>
    <c:fmtId val="4"/>
  </c:pivotSource>
  <c:chart>
    <c:autoTitleDeleted val="1"/>
    <c:pivotFmts>
      <c:pivotFmt>
        <c:idx val="0"/>
        <c:spPr>
          <a:solidFill>
            <a:schemeClr val="accent1"/>
          </a:solidFill>
          <a:ln w="28575" cap="rnd">
            <a:solidFill>
              <a:srgbClr val="00B0F0"/>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rgbClr val="00B0F0"/>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rgbClr val="00B0F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Calculations!$C$17</c:f>
              <c:strCache>
                <c:ptCount val="1"/>
                <c:pt idx="0">
                  <c:v>Total</c:v>
                </c:pt>
              </c:strCache>
            </c:strRef>
          </c:tx>
          <c:spPr>
            <a:ln w="28575" cap="rnd">
              <a:solidFill>
                <a:srgbClr val="00B0F0"/>
              </a:solidFill>
              <a:prstDash val="sys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Calculations!$C$18:$C$30</c:f>
              <c:numCache>
                <c:formatCode>[&gt;=1000000]0.0,,"M";[&gt;=1000]0.0,"K";0</c:formatCode>
                <c:ptCount val="12"/>
                <c:pt idx="0">
                  <c:v>7239</c:v>
                </c:pt>
                <c:pt idx="1">
                  <c:v>3800</c:v>
                </c:pt>
                <c:pt idx="2">
                  <c:v>2006</c:v>
                </c:pt>
                <c:pt idx="3">
                  <c:v>4125</c:v>
                </c:pt>
                <c:pt idx="4">
                  <c:v>7657</c:v>
                </c:pt>
                <c:pt idx="5">
                  <c:v>4680</c:v>
                </c:pt>
                <c:pt idx="6">
                  <c:v>4962</c:v>
                </c:pt>
                <c:pt idx="7">
                  <c:v>2912</c:v>
                </c:pt>
                <c:pt idx="8">
                  <c:v>7842</c:v>
                </c:pt>
                <c:pt idx="9">
                  <c:v>4013</c:v>
                </c:pt>
                <c:pt idx="10">
                  <c:v>10942</c:v>
                </c:pt>
                <c:pt idx="11">
                  <c:v>10628</c:v>
                </c:pt>
              </c:numCache>
            </c:numRef>
          </c:val>
          <c:smooth val="1"/>
          <c:extLst>
            <c:ext xmlns:c16="http://schemas.microsoft.com/office/drawing/2014/chart" uri="{C3380CC4-5D6E-409C-BE32-E72D297353CC}">
              <c16:uniqueId val="{00000000-7551-42E9-A5D5-CED6A0E428EB}"/>
            </c:ext>
          </c:extLst>
        </c:ser>
        <c:dLbls>
          <c:showLegendKey val="0"/>
          <c:showVal val="0"/>
          <c:showCatName val="0"/>
          <c:showSerName val="0"/>
          <c:showPercent val="0"/>
          <c:showBubbleSize val="0"/>
        </c:dLbls>
        <c:smooth val="0"/>
        <c:axId val="377317376"/>
        <c:axId val="377317856"/>
      </c:lineChart>
      <c:catAx>
        <c:axId val="3773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17856"/>
        <c:crosses val="autoZero"/>
        <c:auto val="1"/>
        <c:lblAlgn val="ctr"/>
        <c:lblOffset val="100"/>
        <c:noMultiLvlLbl val="0"/>
      </c:catAx>
      <c:valAx>
        <c:axId val="377317856"/>
        <c:scaling>
          <c:orientation val="minMax"/>
        </c:scaling>
        <c:delete val="1"/>
        <c:axPos val="l"/>
        <c:numFmt formatCode="[&gt;=1000000]0.0,,&quot;M&quot;;[&gt;=1000]0.0,&quot;K&quot;;0" sourceLinked="1"/>
        <c:majorTickMark val="none"/>
        <c:minorTickMark val="none"/>
        <c:tickLblPos val="nextTo"/>
        <c:crossAx val="3773173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[Dashbaord.xlsx]Calculations!PivotTable6</c:name>
    <c:fmtId val="9"/>
  </c:pivotSource>
  <c:chart>
    <c:autoTitleDeleted val="1"/>
    <c:pivotFmts>
      <c:pivotFmt>
        <c:idx val="0"/>
        <c:spPr>
          <a:solidFill>
            <a:schemeClr val="accent1"/>
          </a:solidFill>
          <a:ln w="28575" cap="rnd">
            <a:noFill/>
            <a:round/>
          </a:ln>
          <a:effectLst/>
        </c:spPr>
        <c:marker>
          <c:spPr>
            <a:solidFill>
              <a:schemeClr val="accent1"/>
            </a:solidFill>
            <a:ln w="9525">
              <a:solidFill>
                <a:schemeClr val="accent1"/>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noFill/>
            <a:round/>
          </a:ln>
          <a:effectLst/>
        </c:spPr>
        <c:marker>
          <c:spPr>
            <a:solidFill>
              <a:schemeClr val="accent1"/>
            </a:solidFill>
            <a:ln w="9525">
              <a:solidFill>
                <a:schemeClr val="accent1"/>
              </a:solidFill>
              <a:prstDash val="sysDot"/>
            </a:ln>
            <a:effectLst/>
          </c:spPr>
        </c:marker>
      </c:pivotFmt>
      <c:pivotFmt>
        <c:idx val="2"/>
        <c:spPr>
          <a:solidFill>
            <a:schemeClr val="accent1"/>
          </a:solidFill>
          <a:ln w="28575" cap="rnd">
            <a:noFill/>
            <a:round/>
          </a:ln>
          <a:effectLst/>
        </c:spPr>
        <c:marker>
          <c:spPr>
            <a:solidFill>
              <a:schemeClr val="accent1"/>
            </a:solidFill>
            <a:ln w="9525">
              <a:solidFill>
                <a:schemeClr val="accent1"/>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ln w="28575" cap="rnd">
            <a:noFill/>
            <a:round/>
          </a:ln>
          <a:effectLst/>
        </c:spPr>
        <c:marker>
          <c:symbol val="circle"/>
          <c:size val="8"/>
          <c:spPr>
            <a:solidFill>
              <a:schemeClr val="accent1"/>
            </a:solidFill>
            <a:ln w="9525">
              <a:solidFill>
                <a:schemeClr val="accent1"/>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Calculations!$H$27</c:f>
              <c:strCache>
                <c:ptCount val="1"/>
                <c:pt idx="0">
                  <c:v>Total</c:v>
                </c:pt>
              </c:strCache>
            </c:strRef>
          </c:tx>
          <c:spPr>
            <a:ln w="28575" cap="rnd">
              <a:noFill/>
              <a:round/>
            </a:ln>
            <a:effectLst/>
          </c:spPr>
          <c:marker>
            <c:symbol val="circle"/>
            <c:size val="8"/>
            <c:spPr>
              <a:solidFill>
                <a:schemeClr val="accent1"/>
              </a:solidFill>
              <a:ln w="9525">
                <a:solidFill>
                  <a:schemeClr val="accent1"/>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Calculations!$G$28:$G$36</c:f>
              <c:strCache>
                <c:ptCount val="8"/>
                <c:pt idx="0">
                  <c:v>0-days</c:v>
                </c:pt>
                <c:pt idx="1">
                  <c:v>1-days</c:v>
                </c:pt>
                <c:pt idx="2">
                  <c:v>2-days</c:v>
                </c:pt>
                <c:pt idx="3">
                  <c:v>3-days</c:v>
                </c:pt>
                <c:pt idx="4">
                  <c:v>4-days</c:v>
                </c:pt>
                <c:pt idx="5">
                  <c:v>5-days</c:v>
                </c:pt>
                <c:pt idx="6">
                  <c:v>6-days</c:v>
                </c:pt>
                <c:pt idx="7">
                  <c:v>7-days</c:v>
                </c:pt>
              </c:strCache>
            </c:strRef>
          </c:cat>
          <c:val>
            <c:numRef>
              <c:f>Calculations!$H$28:$H$36</c:f>
              <c:numCache>
                <c:formatCode>0%</c:formatCode>
                <c:ptCount val="8"/>
                <c:pt idx="0">
                  <c:v>4.4444444444444446E-2</c:v>
                </c:pt>
                <c:pt idx="1">
                  <c:v>3.3333333333333333E-2</c:v>
                </c:pt>
                <c:pt idx="2">
                  <c:v>0.1388888888888889</c:v>
                </c:pt>
                <c:pt idx="3">
                  <c:v>0.11666666666666667</c:v>
                </c:pt>
                <c:pt idx="4">
                  <c:v>0.26111111111111113</c:v>
                </c:pt>
                <c:pt idx="5">
                  <c:v>0.18888888888888888</c:v>
                </c:pt>
                <c:pt idx="6">
                  <c:v>0.14444444444444443</c:v>
                </c:pt>
                <c:pt idx="7">
                  <c:v>7.2222222222222215E-2</c:v>
                </c:pt>
              </c:numCache>
            </c:numRef>
          </c:val>
          <c:smooth val="0"/>
          <c:extLst>
            <c:ext xmlns:c16="http://schemas.microsoft.com/office/drawing/2014/chart" uri="{C3380CC4-5D6E-409C-BE32-E72D297353CC}">
              <c16:uniqueId val="{00000000-F28A-4A7E-A999-FE22E3BCF76E}"/>
            </c:ext>
          </c:extLst>
        </c:ser>
        <c:dLbls>
          <c:showLegendKey val="0"/>
          <c:showVal val="0"/>
          <c:showCatName val="0"/>
          <c:showSerName val="0"/>
          <c:showPercent val="0"/>
          <c:showBubbleSize val="0"/>
        </c:dLbls>
        <c:dropLines>
          <c:spPr>
            <a:ln w="9525" cap="flat" cmpd="sng" algn="ctr">
              <a:solidFill>
                <a:schemeClr val="accent1"/>
              </a:solidFill>
              <a:prstDash val="sysDot"/>
              <a:round/>
            </a:ln>
            <a:effectLst/>
          </c:spPr>
        </c:dropLines>
        <c:marker val="1"/>
        <c:smooth val="0"/>
        <c:axId val="377350016"/>
        <c:axId val="377346656"/>
      </c:lineChart>
      <c:catAx>
        <c:axId val="3773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46656"/>
        <c:crosses val="autoZero"/>
        <c:auto val="1"/>
        <c:lblAlgn val="ctr"/>
        <c:lblOffset val="100"/>
        <c:noMultiLvlLbl val="0"/>
      </c:catAx>
      <c:valAx>
        <c:axId val="377346656"/>
        <c:scaling>
          <c:orientation val="minMax"/>
        </c:scaling>
        <c:delete val="1"/>
        <c:axPos val="l"/>
        <c:numFmt formatCode="0%" sourceLinked="1"/>
        <c:majorTickMark val="none"/>
        <c:minorTickMark val="none"/>
        <c:tickLblPos val="nextTo"/>
        <c:crossAx val="3773500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E1EAF1"/>
            </a:solidFill>
            <a:ln>
              <a:noFill/>
            </a:ln>
            <a:effectLst/>
          </c:spPr>
          <c:invertIfNegative val="0"/>
          <c:cat>
            <c:strRef>
              <c:f>Calculations!$I$18:$I$22</c:f>
              <c:strCache>
                <c:ptCount val="5"/>
                <c:pt idx="0">
                  <c:v>Chesapeake</c:v>
                </c:pt>
                <c:pt idx="1">
                  <c:v>Concord</c:v>
                </c:pt>
                <c:pt idx="2">
                  <c:v>Henderson</c:v>
                </c:pt>
                <c:pt idx="3">
                  <c:v>Jackson</c:v>
                </c:pt>
                <c:pt idx="4">
                  <c:v>Jacksonville</c:v>
                </c:pt>
              </c:strCache>
            </c:strRef>
          </c:cat>
          <c:val>
            <c:numRef>
              <c:f>Calculations!$J$18:$J$22</c:f>
              <c:numCache>
                <c:formatCode>[&gt;=1000000]0.0,,"M";[&gt;=1000]0.0,"K";0</c:formatCode>
                <c:ptCount val="5"/>
                <c:pt idx="0">
                  <c:v>3414</c:v>
                </c:pt>
                <c:pt idx="1">
                  <c:v>4978</c:v>
                </c:pt>
                <c:pt idx="2">
                  <c:v>3342</c:v>
                </c:pt>
                <c:pt idx="3">
                  <c:v>4574</c:v>
                </c:pt>
                <c:pt idx="4">
                  <c:v>5598</c:v>
                </c:pt>
              </c:numCache>
            </c:numRef>
          </c:val>
          <c:extLst>
            <c:ext xmlns:c16="http://schemas.microsoft.com/office/drawing/2014/chart" uri="{C3380CC4-5D6E-409C-BE32-E72D297353CC}">
              <c16:uniqueId val="{00000000-8E69-4968-BA35-EBD3252A70E0}"/>
            </c:ext>
          </c:extLst>
        </c:ser>
        <c:ser>
          <c:idx val="1"/>
          <c:order val="1"/>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Calculations!$I$18:$I$22</c:f>
              <c:strCache>
                <c:ptCount val="5"/>
                <c:pt idx="0">
                  <c:v>Chesapeake</c:v>
                </c:pt>
                <c:pt idx="1">
                  <c:v>Concord</c:v>
                </c:pt>
                <c:pt idx="2">
                  <c:v>Henderson</c:v>
                </c:pt>
                <c:pt idx="3">
                  <c:v>Jackson</c:v>
                </c:pt>
                <c:pt idx="4">
                  <c:v>Jacksonville</c:v>
                </c:pt>
              </c:strCache>
            </c:strRef>
          </c:cat>
          <c:val>
            <c:numRef>
              <c:f>Calculations!$K$18:$K$22</c:f>
              <c:numCache>
                <c:formatCode>[&gt;=1000000]0.0,,"M";[&gt;=1000]0.0,"K";0</c:formatCode>
                <c:ptCount val="5"/>
                <c:pt idx="0">
                  <c:v>3303.5999999999995</c:v>
                </c:pt>
                <c:pt idx="1">
                  <c:v>1739.5999999999995</c:v>
                </c:pt>
                <c:pt idx="2">
                  <c:v>3375.5999999999995</c:v>
                </c:pt>
                <c:pt idx="3">
                  <c:v>2143.5999999999995</c:v>
                </c:pt>
                <c:pt idx="4">
                  <c:v>1119.5999999999995</c:v>
                </c:pt>
              </c:numCache>
            </c:numRef>
          </c:val>
          <c:extLst>
            <c:ext xmlns:c16="http://schemas.microsoft.com/office/drawing/2014/chart" uri="{C3380CC4-5D6E-409C-BE32-E72D297353CC}">
              <c16:uniqueId val="{00000001-8E69-4968-BA35-EBD3252A70E0}"/>
            </c:ext>
          </c:extLst>
        </c:ser>
        <c:dLbls>
          <c:showLegendKey val="0"/>
          <c:showVal val="0"/>
          <c:showCatName val="0"/>
          <c:showSerName val="0"/>
          <c:showPercent val="0"/>
          <c:showBubbleSize val="0"/>
        </c:dLbls>
        <c:gapWidth val="150"/>
        <c:overlap val="100"/>
        <c:axId val="459933072"/>
        <c:axId val="459923952"/>
      </c:barChart>
      <c:catAx>
        <c:axId val="45993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23952"/>
        <c:crosses val="autoZero"/>
        <c:auto val="1"/>
        <c:lblAlgn val="ctr"/>
        <c:lblOffset val="100"/>
        <c:noMultiLvlLbl val="0"/>
      </c:catAx>
      <c:valAx>
        <c:axId val="459923952"/>
        <c:scaling>
          <c:orientation val="minMax"/>
        </c:scaling>
        <c:delete val="1"/>
        <c:axPos val="b"/>
        <c:numFmt formatCode="[&gt;=1000000]0.0,,&quot;M&quot;;[&gt;=1000]0.0,&quot;K&quot;;0" sourceLinked="1"/>
        <c:majorTickMark val="none"/>
        <c:minorTickMark val="none"/>
        <c:tickLblPos val="nextTo"/>
        <c:crossAx val="4599330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[Dashbaord.xlsx]Calculations!PivotTable8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DCE8"/>
          </a:solidFill>
          <a:ln w="19050">
            <a:solidFill>
              <a:schemeClr val="lt1"/>
            </a:solidFill>
          </a:ln>
          <a:effectLst/>
        </c:spPr>
      </c:pivotFmt>
      <c:pivotFmt>
        <c:idx val="2"/>
        <c:spPr>
          <a:solidFill>
            <a:srgbClr val="385F7C"/>
          </a:solidFill>
          <a:ln w="19050">
            <a:solidFill>
              <a:schemeClr val="lt1"/>
            </a:solidFill>
          </a:ln>
          <a:effectLst/>
        </c:spPr>
      </c:pivotFmt>
      <c:pivotFmt>
        <c:idx val="3"/>
        <c:spPr>
          <a:solidFill>
            <a:srgbClr val="7F7F7F"/>
          </a:solidFill>
          <a:ln w="19050">
            <a:solidFill>
              <a:schemeClr val="lt1"/>
            </a:solidFill>
          </a:ln>
          <a:effectLst/>
        </c:spPr>
      </c:pivotFmt>
      <c:pivotFmt>
        <c:idx val="4"/>
        <c:spPr>
          <a:solidFill>
            <a:srgbClr val="F0F4F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5F7C"/>
          </a:solidFill>
          <a:ln w="19050">
            <a:solidFill>
              <a:schemeClr val="lt1"/>
            </a:solidFill>
          </a:ln>
          <a:effectLst/>
        </c:spPr>
      </c:pivotFmt>
      <c:pivotFmt>
        <c:idx val="7"/>
        <c:spPr>
          <a:solidFill>
            <a:srgbClr val="7F7F7F"/>
          </a:solidFill>
          <a:ln w="19050">
            <a:solidFill>
              <a:schemeClr val="lt1"/>
            </a:solidFill>
          </a:ln>
          <a:effectLst/>
        </c:spPr>
      </c:pivotFmt>
      <c:pivotFmt>
        <c:idx val="8"/>
        <c:spPr>
          <a:solidFill>
            <a:srgbClr val="F0F4F4"/>
          </a:solidFill>
          <a:ln w="19050">
            <a:solidFill>
              <a:schemeClr val="lt1"/>
            </a:solidFill>
          </a:ln>
          <a:effectLst/>
        </c:spPr>
      </c:pivotFmt>
      <c:pivotFmt>
        <c:idx val="9"/>
        <c:spPr>
          <a:solidFill>
            <a:srgbClr val="CCDCE8"/>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5F7C"/>
          </a:solidFill>
          <a:ln w="19050">
            <a:solidFill>
              <a:schemeClr val="lt1"/>
            </a:solidFill>
          </a:ln>
          <a:effectLst/>
        </c:spPr>
      </c:pivotFmt>
      <c:pivotFmt>
        <c:idx val="12"/>
        <c:spPr>
          <a:solidFill>
            <a:srgbClr val="7F7F7F"/>
          </a:solidFill>
          <a:ln w="19050">
            <a:solidFill>
              <a:schemeClr val="lt1"/>
            </a:solidFill>
          </a:ln>
          <a:effectLst/>
        </c:spPr>
      </c:pivotFmt>
      <c:pivotFmt>
        <c:idx val="13"/>
        <c:spPr>
          <a:solidFill>
            <a:srgbClr val="F0F4F4"/>
          </a:solidFill>
          <a:ln w="19050">
            <a:solidFill>
              <a:schemeClr val="lt1"/>
            </a:solidFill>
          </a:ln>
          <a:effectLst/>
        </c:spPr>
      </c:pivotFmt>
      <c:pivotFmt>
        <c:idx val="14"/>
        <c:spPr>
          <a:solidFill>
            <a:srgbClr val="CCDCE8"/>
          </a:solidFill>
          <a:ln w="19050">
            <a:solidFill>
              <a:schemeClr val="lt1"/>
            </a:solidFill>
          </a:ln>
          <a:effectLst/>
        </c:spPr>
      </c:pivotFmt>
    </c:pivotFmts>
    <c:plotArea>
      <c:layout/>
      <c:doughnutChart>
        <c:varyColors val="1"/>
        <c:ser>
          <c:idx val="0"/>
          <c:order val="0"/>
          <c:tx>
            <c:strRef>
              <c:f>Calculations!$H$41</c:f>
              <c:strCache>
                <c:ptCount val="1"/>
                <c:pt idx="0">
                  <c:v>Total</c:v>
                </c:pt>
              </c:strCache>
            </c:strRef>
          </c:tx>
          <c:dPt>
            <c:idx val="0"/>
            <c:bubble3D val="0"/>
            <c:spPr>
              <a:solidFill>
                <a:srgbClr val="385F7C"/>
              </a:solidFill>
              <a:ln w="19050">
                <a:solidFill>
                  <a:schemeClr val="lt1"/>
                </a:solidFill>
              </a:ln>
              <a:effectLst/>
            </c:spPr>
            <c:extLst>
              <c:ext xmlns:c16="http://schemas.microsoft.com/office/drawing/2014/chart" uri="{C3380CC4-5D6E-409C-BE32-E72D297353CC}">
                <c16:uniqueId val="{00000001-7E0A-4EC1-8936-5277F4726B21}"/>
              </c:ext>
            </c:extLst>
          </c:dPt>
          <c:dPt>
            <c:idx val="1"/>
            <c:bubble3D val="0"/>
            <c:spPr>
              <a:solidFill>
                <a:srgbClr val="7F7F7F"/>
              </a:solidFill>
              <a:ln w="19050">
                <a:solidFill>
                  <a:schemeClr val="lt1"/>
                </a:solidFill>
              </a:ln>
              <a:effectLst/>
            </c:spPr>
            <c:extLst>
              <c:ext xmlns:c16="http://schemas.microsoft.com/office/drawing/2014/chart" uri="{C3380CC4-5D6E-409C-BE32-E72D297353CC}">
                <c16:uniqueId val="{00000003-7E0A-4EC1-8936-5277F4726B21}"/>
              </c:ext>
            </c:extLst>
          </c:dPt>
          <c:dPt>
            <c:idx val="2"/>
            <c:bubble3D val="0"/>
            <c:spPr>
              <a:solidFill>
                <a:srgbClr val="F0F4F4"/>
              </a:solidFill>
              <a:ln w="19050">
                <a:solidFill>
                  <a:schemeClr val="lt1"/>
                </a:solidFill>
              </a:ln>
              <a:effectLst/>
            </c:spPr>
            <c:extLst>
              <c:ext xmlns:c16="http://schemas.microsoft.com/office/drawing/2014/chart" uri="{C3380CC4-5D6E-409C-BE32-E72D297353CC}">
                <c16:uniqueId val="{00000005-7E0A-4EC1-8936-5277F4726B21}"/>
              </c:ext>
            </c:extLst>
          </c:dPt>
          <c:dPt>
            <c:idx val="3"/>
            <c:bubble3D val="0"/>
            <c:spPr>
              <a:solidFill>
                <a:srgbClr val="CCDCE8"/>
              </a:solidFill>
              <a:ln w="19050">
                <a:solidFill>
                  <a:schemeClr val="lt1"/>
                </a:solidFill>
              </a:ln>
              <a:effectLst/>
            </c:spPr>
            <c:extLst>
              <c:ext xmlns:c16="http://schemas.microsoft.com/office/drawing/2014/chart" uri="{C3380CC4-5D6E-409C-BE32-E72D297353CC}">
                <c16:uniqueId val="{00000007-7E0A-4EC1-8936-5277F4726B21}"/>
              </c:ext>
            </c:extLst>
          </c:dPt>
          <c:cat>
            <c:strRef>
              <c:f>Calculations!$G$42:$G$46</c:f>
              <c:strCache>
                <c:ptCount val="4"/>
                <c:pt idx="0">
                  <c:v>First Class</c:v>
                </c:pt>
                <c:pt idx="1">
                  <c:v>Same Day</c:v>
                </c:pt>
                <c:pt idx="2">
                  <c:v>Second Class</c:v>
                </c:pt>
                <c:pt idx="3">
                  <c:v>Standard Class</c:v>
                </c:pt>
              </c:strCache>
            </c:strRef>
          </c:cat>
          <c:val>
            <c:numRef>
              <c:f>Calculations!$H$42:$H$46</c:f>
              <c:numCache>
                <c:formatCode>0%</c:formatCode>
                <c:ptCount val="4"/>
                <c:pt idx="0">
                  <c:v>0.12777777777777777</c:v>
                </c:pt>
                <c:pt idx="1">
                  <c:v>4.4444444444444446E-2</c:v>
                </c:pt>
                <c:pt idx="2">
                  <c:v>0.2388888888888889</c:v>
                </c:pt>
                <c:pt idx="3">
                  <c:v>0.58888888888888891</c:v>
                </c:pt>
              </c:numCache>
            </c:numRef>
          </c:val>
          <c:extLst>
            <c:ext xmlns:c16="http://schemas.microsoft.com/office/drawing/2014/chart" uri="{C3380CC4-5D6E-409C-BE32-E72D297353CC}">
              <c16:uniqueId val="{00000008-7E0A-4EC1-8936-5277F4726B21}"/>
            </c:ext>
          </c:extLst>
        </c:ser>
        <c:dLbls>
          <c:showLegendKey val="0"/>
          <c:showVal val="0"/>
          <c:showCatName val="0"/>
          <c:showSerName val="0"/>
          <c:showPercent val="0"/>
          <c:showBubbleSize val="0"/>
          <c:showLeaderLines val="1"/>
        </c:dLbls>
        <c:firstSliceAng val="0"/>
        <c:holeSize val="8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Calculations!$I$52:$I$56</c:f>
              <c:strCache>
                <c:ptCount val="5"/>
                <c:pt idx="0">
                  <c:v>Bookcases</c:v>
                </c:pt>
                <c:pt idx="1">
                  <c:v>Chairs</c:v>
                </c:pt>
                <c:pt idx="2">
                  <c:v>Furnishings</c:v>
                </c:pt>
                <c:pt idx="3">
                  <c:v>Tables</c:v>
                </c:pt>
                <c:pt idx="4">
                  <c:v>Grand Total</c:v>
                </c:pt>
              </c:strCache>
            </c:strRef>
          </c:cat>
          <c:val>
            <c:numRef>
              <c:f>Calculations!$J$52:$J$56</c:f>
              <c:numCache>
                <c:formatCode>[&gt;=1000000]0.0,,"M";[&gt;=1000]0.0,"K";0</c:formatCode>
                <c:ptCount val="5"/>
                <c:pt idx="0">
                  <c:v>8717</c:v>
                </c:pt>
                <c:pt idx="1">
                  <c:v>26805</c:v>
                </c:pt>
                <c:pt idx="2">
                  <c:v>10873</c:v>
                </c:pt>
                <c:pt idx="3">
                  <c:v>24411</c:v>
                </c:pt>
                <c:pt idx="4">
                  <c:v>70806</c:v>
                </c:pt>
              </c:numCache>
            </c:numRef>
          </c:val>
          <c:extLst>
            <c:ext xmlns:c16="http://schemas.microsoft.com/office/drawing/2014/chart" uri="{C3380CC4-5D6E-409C-BE32-E72D297353CC}">
              <c16:uniqueId val="{00000000-E6DA-4D3A-AABD-BA981137C5B7}"/>
            </c:ext>
          </c:extLst>
        </c:ser>
        <c:ser>
          <c:idx val="1"/>
          <c:order val="1"/>
          <c:spPr>
            <a:solidFill>
              <a:srgbClr val="E1EAF1"/>
            </a:solidFill>
            <a:ln>
              <a:noFill/>
            </a:ln>
            <a:effectLst/>
          </c:spPr>
          <c:invertIfNegative val="0"/>
          <c:cat>
            <c:strRef>
              <c:f>Calculations!$I$52:$I$56</c:f>
              <c:strCache>
                <c:ptCount val="5"/>
                <c:pt idx="0">
                  <c:v>Bookcases</c:v>
                </c:pt>
                <c:pt idx="1">
                  <c:v>Chairs</c:v>
                </c:pt>
                <c:pt idx="2">
                  <c:v>Furnishings</c:v>
                </c:pt>
                <c:pt idx="3">
                  <c:v>Tables</c:v>
                </c:pt>
                <c:pt idx="4">
                  <c:v>Grand Total</c:v>
                </c:pt>
              </c:strCache>
            </c:strRef>
          </c:cat>
          <c:val>
            <c:numRef>
              <c:f>Calculations!$K$52:$K$56</c:f>
              <c:numCache>
                <c:formatCode>[&gt;=1000000]0.0,,"M";[&gt;=1000]0.0,"K";0</c:formatCode>
                <c:ptCount val="5"/>
                <c:pt idx="0">
                  <c:v>76250.2</c:v>
                </c:pt>
                <c:pt idx="1">
                  <c:v>58162.2</c:v>
                </c:pt>
                <c:pt idx="2">
                  <c:v>74094.2</c:v>
                </c:pt>
                <c:pt idx="3">
                  <c:v>60556.2</c:v>
                </c:pt>
                <c:pt idx="4">
                  <c:v>14161.199999999997</c:v>
                </c:pt>
              </c:numCache>
            </c:numRef>
          </c:val>
          <c:extLst>
            <c:ext xmlns:c16="http://schemas.microsoft.com/office/drawing/2014/chart" uri="{C3380CC4-5D6E-409C-BE32-E72D297353CC}">
              <c16:uniqueId val="{00000001-E6DA-4D3A-AABD-BA981137C5B7}"/>
            </c:ext>
          </c:extLst>
        </c:ser>
        <c:dLbls>
          <c:showLegendKey val="0"/>
          <c:showVal val="0"/>
          <c:showCatName val="0"/>
          <c:showSerName val="0"/>
          <c:showPercent val="0"/>
          <c:showBubbleSize val="0"/>
        </c:dLbls>
        <c:gapWidth val="150"/>
        <c:overlap val="100"/>
        <c:axId val="459958512"/>
        <c:axId val="459960912"/>
      </c:barChart>
      <c:catAx>
        <c:axId val="45995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60912"/>
        <c:crosses val="autoZero"/>
        <c:auto val="1"/>
        <c:lblAlgn val="ctr"/>
        <c:lblOffset val="100"/>
        <c:noMultiLvlLbl val="0"/>
      </c:catAx>
      <c:valAx>
        <c:axId val="459960912"/>
        <c:scaling>
          <c:orientation val="minMax"/>
        </c:scaling>
        <c:delete val="1"/>
        <c:axPos val="b"/>
        <c:numFmt formatCode="[&gt;=1000000]0.0,,&quot;M&quot;;[&gt;=1000]0.0,&quot;K&quot;;0" sourceLinked="1"/>
        <c:majorTickMark val="none"/>
        <c:minorTickMark val="none"/>
        <c:tickLblPos val="nextTo"/>
        <c:crossAx val="459958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5947311-7869-4B11-9E9F-488952F2718C}">
          <cx:tx>
            <cx:txData>
              <cx:f>_xlchart.v5.2</cx:f>
              <cx:v>Sales</cx:v>
            </cx:txData>
          </cx:tx>
          <cx:dataId val="0"/>
          <cx:layoutPr>
            <cx:geography cultureLanguage="en-US" cultureRegion="US" attribution="Powered by Bing">
              <cx:geoCache provider="{E9337A44-BEBE-4D9F-B70C-5C5E7DAFC167}">
                <cx:binary>1Htpj9y2svZfMfz51YSkuB6cHOBK6nWmZ7HH6xeiPR5L1EaJotZff6u95Nhtx0mA3BfIwHAyVotL
rU89Vf3vh+lfD+Xj0T2ZqrLu/vUw/fo087751y+/dA/ZY3XsLirz4GxnP/iLB1v9Yj98MA+Pv7x3
x9HU6S8EYfrLQ3Z0/nF6+p9/w2rpo72yD0dvbH3XP7r52WPXl777ybMfPnpyfF+ZOjGdd+bB41+f
btyxfv/k3vpj+fTJY+2Nn+/n5vHXp9988OmTX/7z719+9xg/3OrTCX/46PtTPFqXmuMfneDbA3x3
+SclyMf37+H0IbngVBJJFUYff/DTJ6Wt08+PAxleUEpDQZH89Dz8svf1sYL3N398oI83O75/7x67
Di708b9fvfiN/ODf/+fpkwfb1/6kuhS0+OvTF7Xxj++fPPdH/9g9fWI6G3/6QGxPV3jx/EdS/04N
IIX/Q8X8jyuOdXeE4/3cNv6CZuiFVEqiEDP18Ud+qxlFLmioMGPss2bYl70/aebPnOjHqvnvm2e6
+Z9n/0zdlMd3x+rvdRrBOSWEiG91IvmFpCgMCSKfdKbOdPLHJ/kdlXx58VwjV/9IjaxL68z7v1Ej
RF4wxRjm+LPcQfDfhDFwFilCSmT4wzD2Jw70Y8X89uKZYtb/TMVcQvTqH4r5i9n+Xor7C2FMXDAi
iOTss0uchTHJLogUQoT4s2bOwtifOdGPVfPfN890c/nmH+k0V7Y3nTnWf6PbhOhCSUj8/De/+dZt
FIYchCUhEn3yK/rFMD7lmD91pB9r56tXz9Rz9c9EAAfTdac/TWO+COlv8B5yIQiSQn7GAOo8rqkL
zjhBkIs+xTX+Ze9PCvqTh/qxir55+UxJBwBd/0CYdm2dz57ER2dL87c6ErtgoQoFCz87yhkwEOoC
SxZKzvkP9fTnz/VjVZ2/f6at6/gfqa3ntv+/0VZ4oVCoKMGfi57w27AnEYQ9qHgw/gwnzrzqz5/r
x9o6f/9MW8//mdq6f6xrKPEeH7+EoL8h/DHA04AbkPxc45AzRfGLkIaEYwiSH3/wl70/hb8/daQf
6+irV8/Uc3/9j3SmlwaYg/pv5Q4A2mEiVcjFJ3RwBu2EvOBQwDKFPj8HN/tUHX/Szp850Y+V8983
z3Tz8p+JHdAXwfyey/yNzMXPs/bX7MU3n/zIsfwF2K8uGAqZAOrok2eehVilLhCWIYco/ENkecb5
/P6xfmwgZ69/c5P/T4TS76vsNz4uOfrj6iOV+COq8odPP14XOM6zhz9jnT7Jbvf+16dYQf37lSJP
i3zjkV+B8u/eejx2/tengZQXEnOIyTSUVJzA59Mn4+PHR4peICrA4YXkOCQSw6P6BLiAZgwvEJEE
KS45EYoowEfdKbv/+hRKd0i2UGAIQhSCtIx/I3JvbTmntv5NXp9/f1L31a01te9gYahImk8fO92Q
QcqGKj+kmAmGqWDk9Pzh+AzIYvg0/n9mdmNvDXY7VmshkzwP8DOUtctBDqZZ2zaXPmKNQO+6QOh7
kSm3m6ta7wNn9L5zZIhFKfCVRbzeFHQZYjLgsoqkLIJ72VRdIrKGmZVFXsU4y6cbXAf9Y+4Ivpqy
tHxJSetXTSVNnGaVPlhEsympiRgS14Yuxily48ZXwbK1bcWf93U/Qb4BVvmT7/1ABABOziRAKSeU
gRhApiE7Pf9KAvks3WCHptlNDk+3XHdqk869ion3p3vBuX++HxTo3+2nQhRSirgUGEEW+Ho/EmA0
pUXR7MbAhdGUlu/SZRxio0EGP98JjOR8JxESLCRgaYVJeHazped46TJe7kbddgnJ8zlSMws2MtTm
+UBKupmzXAOJ+TNx/uB6giqBMDAYYKbo9PxrcSLSjVXdlbueZ3MRBb3Low4RwZJ+Ym6O/vpujGIu
KZaUC3kmzFRJ6HtUebnDaGTFoXbVsp64w+NNX6r7n++FIc2cy1MJ8FZgxpCimJ5tNhVpmVUFMrs2
m8owDjPdlUnbVjaRDi9RNmfTTe96fDV2xbBdSuGblel495fvzBDUuNBjEAr+FmdqLXEn5qoP813b
F1WWTN3cJTzV+l7xxqI/2Ox7G2IIYwaUBpOSUnKSyVfqdK0qQ+94vmvwstxZ6brEB+DBTdYU2W7u
DMsTUatC/sG+35sRQ4JDQYE5V4Kjs7hUpPloUt7ku3pshyYaQJtj2I9jVJs+/2t7UcVgfXXq6IB6
MaJne1ETjHjIlNkZ3KZJO82iiBrk5st0HsMXPzei01pfxduPe51QIAV+FVFgYL+VZ155HrgAbGiZ
lxEnVotqX5pwwMnP9wGi4/t9Qi4VhyAD5kq+3afnZee4ncxOIzbkyTTmcCk61yTSQ8ieZ8ZUPpqc
tyZaXJPrFarS7PDzM5zZzumuWEkIdJgLwtG57QwzLkzLPJxh6NKkwUNLonQJ0oMO52pvU8mSjofz
H8TzjyI8EzGBEMR5KEPIofJMnUPKB7toYXaZ1OErl/Nqz0M6Xzd5nW1c2NRd5AM71dE4T6mI9djP
w27k9fQe87J1D82gqn2ha71NUVDttdHw15IHdz+Xzo/OyUAxSgHcpwrxM9cqWKjHRQTBFoWCv5vn
nrp4aEsFKir5yLd1kDcimvNAiFVgx+KABjKXUVhrvesLSy+VV3o3GRleq4B3Ys2HzOaJzZQYNj8/
6/dWC4016AVIzACRACnzrTUhVXvblaPZVQrNRVykciriuuv86uf7nHk9WIwEbu4U3IBCBQc5i7Am
ICCUoDM7O9rlTpklMFFdWHZZdpQ9//le5+H842ZCSALZkSkJlde3l5plxzo65RDOrSuSVOohQWXT
xyW4ylqTJo2baZwvcT+JN0FVp5vJMv8HgsWInTzxW3OVYYgEUkCGhXCcszuXrgkIeIbein50806U
BIKpV1PY7NK+We6CkKN3LNMmNqavXDQ3WZ7C/xdORrxC7LJLB71XfT/f+kGRPuravHFxW/rexKSo
lkOZdXqfmZY8W8pQfximvnwp53I5LKWbxki1jj8X7VTsSSXZ5eAQBNyuGskz1hf8Oc8atPVY4qus
pnOfoMYE94EYl7s51WEflXU23FQOwSSAntG7JQAY1wXNvERqqvWHSgas2ddVWy1RPTR6u3SYdutc
ZH0WhcKdMIItKIrqltBjpjR+ADwbvhjDsGmjSQ9VEHeTph/KwdMxqfwUZqtO5tkhDcGzKYPQgt1g
3vUZBG/bpexDagNJ4roC2BjXGsk0Ho1K+zXKON2MFAEYqsXUvZeiJ6s6b8Ub2Y5OPrM4B3sD70+L
dWEVbN80LriTpIPYibpevFmoZslUqPQgTu92zMIxZhbSVWvGboyEKYN7ZcP5AHmmfNm283jzUbya
j35F6gzdNWGbFXu7iDLbaZzycE9QlR2KVFX9ql2yvFlBYw6iVY/nS+cXiFAST8Hb2hZgkRZNGMVl
iZdtbxqQ3cyk6WKHUHZPJ0Nf9Q6VQUxSVN+GBRF1klNYZ8xMduC+SZOuFeadQ2qsI+3cnG7Uosol
ogySQp6G4QtZD45EAQHZViEx78q0ImvsLD3mrA3KCJymdJE21XLHxmDysS/cdIuGdroxMx2yRFBs
3pbcQ2hacPkSz4iWq/Bkh9Vo9V72+ZjGcya9SZYJA4DBlV3W9VCCLYnKL4d0nEsdaejuzJHvhuWu
YgFC8VIBzumzrpnjHC7QRVU+LjruwMBWqMuaYzamaGsnCdbLCjrdOp1NdttnUDFwZoN7nhUgMJTS
+ZAGZb4vZLlSS1Akk6PTjQ3Kdu1zgbfpuNhV22kWz4F1d6nPzA5JV1+O6UhjU5Um4aRDBxzWy75v
Ed8C0a3vUy9WlvbFseV1cZhht1hrJm6qRWwKszRxW+tpg0wevpES3K6h1QbZ2UdB0YcJCqYlhsYg
iTGv3VpNtoqpq8siBqmSl8oMNyat532O1TrL2nA99pndK3CSKAv6JiqqUUVtBdcqC+nirCjKZB58
H5GO6sgz+saJLjyklblxk5fRMIRTMsySxpBwwjVrzQuuebWau4ZclqyMUV+wuPH1uClUheJiwVmU
LYgnqqFLZFT2rMvmd6ohx6YPulUeVGEyc1pHZBnILkDydcs7XUdD2JTxPEnIan1D3lYh3S+hxNFA
zHXGzZgUlN8Pg760tUhf+4Ysq4zO0z4rKwjA9ISRKjJfcxOGB7907R02ZbcPBlYky8KvCtHOsolo
lYtOFacgknaPLSqa7Yxt3ke1HnQbzWmY77GlFkc6SMVVz0o4kC1piKJhJssLttBwPY2l7ld+IOrS
Y9zeAFCiWTJyiBeFQOUL18zpi56g8flsGeAH2zUyjZphmQ+FWMKVrrhY08LL93ll3G4q+bTLWlXB
poCiDy5FzyQbx2dinOdVuPT96pR/WDTZZshi07TVbefFEgvwtHJHAwpQgBRWx24GLFLICXJhzbuY
I2EgFNVjlFINGUGkSmybHEqfHuwvqQDmrdWC6KYfB9rEriHVTYf8S1EubYJHM1zTdpF5nJZW5onn
Bc3XLCfVZdB0xbrOC3aL+qlbc9Gnr3yejpdhPyXe6HGfjz3yEZGjehvmU6cjVpPOxAPEyV2tXLYP
W8DtERllt12GCgwzB+wAJUIZ3JWzE6tqdq9rK9kaVX5409NafvB0KuaI15jck4qJV9O4qGWDmAni
uR+nSNse8Fg9tdtmWdT1FLT8zpXdHIfWNnHgW7GFClpt1YSJjxrcu8eGSLlqxnzetz48iIqig9Ju
LGOY67qiTNUAYWqx6UWp7krd6izSoQ6h+M8zCjSFw/eBCYB98KXag1LV84n1SwJJuPRRHQz0YVpQ
dyd8AKxBW3eJtC1JJAcT4HndRLNO2WYUQbnm0g+rURr6opg7e5v6LowqjfOdzltyAAmaJKyGuB00
3gyMgWGr+sCBPoh1pcht2pZsy1oRXqk07SLXLOy5Zi1OKjnaTYmWZl0unTz2Hq4EgaaNh240YSw9
DJREhWZykw01KaN6xF2Udjp9WaMpvO6RtDdo0QD7VWh51HRBXq/mIrA0MvlQbsqiFm9YwYHEsW16
OQVM2kRrWu7mQM2PHsrxKx+O/Z2nwSSjsFFDFwdFDTmdqtHFtR3YNVTszaaohIACANt9iWcP3uWb
w5hX5W3Dmb+R3TRtw7bLVGyU3FbT4najrINowFpe2nbSh7yv5YamQ/WuqFvBV0Wj2lc0Ze2a87z4
oFhldNyIxu6CvgYuKS/dS9E1bytYeuVaS8tYsYWUcaeX4Ygamo8QBLpglzY9YFno9/u4zWqW0Hzp
L7GeTYxsvgKNm1VRkYcxUE1i+kYXEVNht6rTdD4I1dt3AtfDfpnyIJEKcmCbhctmZrNOqCz8LUZD
9y53BcTstoSsAUHAFamPByragr3wqK9F9wBjU5JGiNZT9iEL5jb2piszcGxfQ5nkgw8tz+rDxBpy
bUbWvwhSPbyjzsg3aa9cHdW1CspkQotkkPbmqhRVDIxIvQ04nfeE5CpdVXx4NXtsrlFRtUkghxJH
eZvbyIwFjgFFpdczmUXiyxZYDdLqHbPlFMKp/LSldY4OdDRlUhYj5AxL5rmKy77nHNClzfoI5+20
xXr0e+yqpk88JRbC2bykz2WYkzmeGOl3TE2QRjCwQ2CXpYLo0y3BvSkVWqvCgt4gKWxC1Ph9s5j+
oYHaCCqMrEzqoAIpOGneanIyZWCU0CETDakjQdy05SjUL2dGwmNAmuAD4f14peWc3rN6yWNsYdmJ
TuoFrs0QkZ65t7qhBuAkUnHbmRcAjPXKa46irGif8fBlmi51NC8QXnWpwaiql4jVKEIyeCaGqYhy
US8xEnJNl4BHrvZzTAtURROAk0SILItw7dJIQo0d1SG1sZrMu6IkWR0HUCdHfeYtpMp0S6aArHs+
PvolVBuo5WncOqLWBZYiLiq+J13FYmwGHFWsX8tUpTGTJEiEBnNG+YQvZ1Zt+gUflwYWzmwvN2Ru
i6iq5nJDvZmet5xkMellesjr4UPQoDBql6qO+DCQvQFid9UBm7U3bi63CgE9QKZhBn92/abJPHpX
eKwiqPEh6wAQ2tPe0lWnTLuuRt9dIT/lVwWeNgVPAc0D4IqhqOaJH6ebkSMcZXTiW+baLEbVIKE0
aZKylxkkCKtvJ9yhyJd5s5a+e/QusKsmsMsGc2OjqlVv3RxUazc3/NI3wB0sKdrlY3fXh8HRcLq2
OpsBp6jruur2VdC+Gavlpi/03lv+onH6ACEXCKPS+Evulg95m76EBvYzQepNA2g6rvPyqJAZN0sB
JKXw6h1mqIsXl/aJCjB7AVMRboUseTcpDMAqSCHIZ2RXcucTRdA675vLKRNj1Kf8oRpUE5EKWO2I
BVARpGPfv1rC5WEazI7nPVm3ojRjPKs5fYWaLl0i52Sxp64ZonmeI2NNuMHLamjN62mYui30A65Y
+wLJob9vZatWWWeeizDNtmJURezaoX8dECdX0zj47QA1zFXfu2Drpvzk5jPas9CI17yj9cZULZdJ
l41uZ1oO9OiYn8oJobJpY0cMENq4gkYL5suVH1jg1lk1PWOEq/eIiznYB00JhE5UqE6iDRnIGF56
WXVdHrXZMN2WxJ3WI22RH2cgnUcgLrD2u7TyYNFiLBoXAatJcx+hvMRr3KWZjQrAQ1sR9iK49r0X
JukCm7dRoIA05d0IJWehTOx6ot/ItNAfOs3BAWFXaDEwLaEQgWG5MkuItFAWpWD2fWIhvADPdOpp
zLbXb/oUCgQdtFBjWMIuc7NM1y3kuJey1fMhoAyqZCOClZ9bjq7zgJlh5dUMZUcvICyNXR7GNT5V
J9hMw2O+kPEm5zO+QrhY1jh1xT4rRv0mrQIguVMq8DPcMb/izEElki4DemftyNnBZ8Op5FXeznHG
mu5VWw8AHcqAo02DQ7cDbA9LB7wOVpmFAj1hc7qsBRZQX43cv+VlRRLjAP5FNGtumVviAg/1rm7S
PF4g5e9I0UEi7UK9DzMGpEAHRb7sBXAEp07Nx/2Ghgar2XK30zyEnk1RDhskaPX640eUrMgzxKHs
tyJXG8HYsiVh0Ry7ykMNNjkCLIEMx5txAdgTQLEJvZ6l5s9VAcI0LmMRyny7/kgUN+UEbZTJyqQv
gDcuK9OgyJhMbQIFR6yysdjzxdcbXrHulTUeLmByWBHiyHLXAfFyy0yJX1c9Aq3XBYIzj5PbOVZP
t8UEeHcJMrRdin45TM08+3hCcC9aARfeMCj72iFrbMzmvN0AVIPavu9L4ZKh0GMRmQVYESAvIRj0
GKoT5FRi6cDaXaFRVYH9oyW4UjZtjkD+mQ0qcmAU5XKpnOtIhEvlgZJptc+iOl3s2hfjSK/K1qNr
hkd2afMFOmQLA/JKL8X+o90Fpl7WQw4aCBdfvixdudxlvuNQJk3B6XxZoz8ENbBrUQBl1l3Zn2RS
9tBlw/Ar6Gq6tmIAsQFJGVPcLAdS43pjT1Rc19fLQcx6vFnKUSbWmmXNKViApwjWVsNpwTLnz1Oi
gpXKBpk0pQU+XzQymWqBXlcIXilq6naiPj21HqSF+QQGi0MxHwZYaDUvTrGkHQP0OsOM5knhC7Ux
Hdh9FgC8xgJ41uQj8YQDoj8smAKplIM1hQssmk+BPQKVWIcJpPPhhScTvlJ41Psh0/aoMzTdzjoD
1wkycGEa9tCbHL3e6wbbYyE6v1PtFITR3A0lGiJXavwMigO4YU040F86TQtAwHqsN6o25ArqFvfK
q5N4K1QW+96CmIbOkmdj4XNAWnBw0hXZ+2qpmmMrDWw99d2wL/2sdx4o1yrqZdAdlzmNUwSMnG/h
PeVMcQnB913PuiHOsIHSwzcPNZIqVtDM23SD03vkQTvea3D2CTxQ97MCxqJWG+8Gv0otnw8hUOCH
phr0GzeymcULX/BlmRJ8U4dc71kZwsk9VD4sqSEcbmCMAMgPaIvKhJ2sYGyAmmMNA0qBUTrEhfRQ
E46qBysRC3qXorw5QisysDH0YsGnrWM6sVCdrnsE8VFRkFTK0+B+gYLgg9ANXFj5kw06NIPlsUbv
TUoqDThgXraB6GUipICyT/JseJQc6uQYCozpdWfN9HYaJHShOgDkDqjUJl1lACsgMzZ5e4W7ob7O
Rt/fGzTK981A9QdjJ7UfWFbOUTpCZqJmbNczE3MaqRosYFCtfpNzxuqoc6HTibBAcCdlY+z8iX7+
PFpw+4l1/dQef7DN7EwKzvWxVfzbr/+5txX8+fjdl//+46mb/N/fDl++YvXTT8FXfU5zO935h06n
+W0t2P3z6U7DBd/88t2kw5ee9tksw7ffhzp7+OcGHQg0iKB581ub97tBh+vH8cn2WDVdZtzjl+Gb
0wDB5zc/DzsIdAEtO5h3gNY2AW7/86CDIBeMCWghwlwaMNzQ6vht0IGyixDx01d2YKKdAssIE2mf
Bx0ofNVKQbcVOCyBAdai8K8MOpx3MKClAAtBnxha0jAdx89YdhrwKW2lWLZFzbI4XLiOCE9ffiWU
z+bz9TTFefvi4yZKwrEZ3JOfN928HYIGvqME3GxBgLsW3ZJkYhBxU9A/6pSc9/dOW8HUhhQM2sCI
hWf9PVvpqQW+dtkCuvSRKU/BiIQ6wrapohK+r7atsAs208JopORsP3nK7w5NfCdOmFZhVCoBAySg
tPOhCVJCvTly0m7zegTWRrwCFjr5uTBPndCv+yLytAVTMP6CQG/QP/y2PeNcMPdI43YL2fR+YuHL
TmEb9zDvEKGlBSv9zZx/oLlQnjcrYbtT54lRDjM50I4DQ/y60R2mLeWT6rotHcN2nxYVbmKroP9X
MOj/lQN9QfXYVhFNIcNHLLR5FUGzbnFRVbjKJZ3VBgrSFMqlLJfFrh+FqmKYLFFtPJVlaqOuUznQ
oy1uxqjKVORyRXYkr8J3JB836dD5DzWVEOydR+Tl3Ckgt2bVV0kR1OF11vYqCbMiTHo0Ty/nXLsr
w9MxjUIiXJZQIBrvOSvTV2YWNlKVC+90atkN83XxjLMgjwbqIJWlPr3uhxpHaaUgD8i+jRgCNmXo
l2VXQKHY58GwDqvqAxXlM2voA1/knXdASI9UVvsGTW/TgULfqMr5KmCwZhXmS1I0S7spWoDTrsYJ
6/Lx0WWq3Yk8u2lmHiRGWbeiBNocI+Dh62kKixgal3pP0vClCLDe55kBLgZSR2SG4THkgbqfaqDI
Zpzn14tq03sPgCbuZREjNaSQCVIdTaOGYQtT6lWOpuxQdyzuMx0h4ADGS5YCmF2NLoAiPR3nVO28
zPtpbaDyuW8F4JFMMhwTacRVg/IcXdYN1nhdT87xF7QWwausGNxNbTGsI6eJ3FtcDJelMz30bVkX
Ged8BVpl2aWuWnewJWLQ6WkLqJAVmEjV5retBQSVjzVeDTPUgYMp0UtqCwkMfTvFQWZI/6Y3qMVp
jKCwCBaR3hsYwlrV5sRY84omGbDpRTQarHZL4PSV1pm7a5ba3Vauu9JqDt8Ap+vvaR8W2xag0wFP
Id9WNdhCu3Cz7n09beoqfJMVjs1RYfoUmnAhEDydUXeIp/kmgLL/sKSBve3LOSFdD40S4KbbWDUl
Wrsxb99YztI0MrxJIzwxs3GK9pdADBeRXjJ+a0S31jq0AOG9wJHC6du8hzkReO3VNKR7gOZtMjXj
HbSuXuRQA0bBkAcbWtXDJcBgAOXZ0EVDn453gR7xhoQGbTFqyu1cebqDoqm9nC3SJbRxmL2poPtF
wKIJl1GgU3QX6nY+Qg0JLTJwmqshzYNLn3KyCSeVJbwMGDTEqhrae7oVSYta2A3QogV/CYIQytdJ
r3WTzfspkFByFr6ONdAuG5iuGS+nPM9jYfsx5irIAN8hDb5fBRGhKI2o7qe4YoWKQl6O+4VkMOGm
QrnWOVcvrbV5XBXwFWousiNwza8UXuZV6j16ZqYZbckQvhWg10CW6fMCxuAiLEDSoVn2nto+HnTh
ooUGPtHjUCStxFnMl/wQAKVyl7caeLJ2eW9S2ckoQ8CnS50OO2h29CscoLtp7td+suk2D2B8Bnqb
J9IDlk01b184HIgKwtMYJE3r7LonNjwCui4imzV81U3rtknDe8YaBZVw4aDiFEN32wdNeIS4LXem
Gv+XvS/rzhNHu/1F9EIDAi4PvJPneMxww4rjFCABQiAQ4tefjV3Vlbj6S1bfd9VFqhz7BYSG/ezh
MTuGpGryZa7ovqomvKGI9+t10ShLQQz1/lGTpLnEhrSekSWF/EWjz4N2Y0bTJMhcUui86Qu6G8Pq
sky6Y4UDIGvncLZZWQJ7Ni3priH2nTUzfYTvKcxoQbq8TAYwKEkAMSgodoUKkquyUN+LBQzjasY9
ZFr+dQp5/ywnNt/0fGzTLIJGtsOWICBZyuUyFaQ5Ey0dTiyp1U671X3Si2MZ0BCuHKbS+xyKZrdk
QbfIP1IZNB+JM+FDEa/8lq1S7FiTkhzORzlmGpD9CFYCFAAKfKwTsbyAmQhulOmgn44QH4ZYPkVV
1J18WusGrF8z5YQvPJccu0eTmAasXoxqkgEMg41bobCPSXAiQDa5MfG3mLDSQqrGezdFJM8SmcQP
zbiQYxfV7X6g3Ofx7OsTVZzuiUgr6MVaX+hlgqBgo+hG1ESdqqAsvyTRvi1rf2x8heGfq+WRYOfa
UZ4mBwxS88CSkuSwifUgX62i99yIvXBt+9F6xYH3RXUtBrF+HFHTaVW7OoMBYbieSG8PqpWYeT6W
J65A18DYEuxweP7RKdTQhRnUAda18QznozubJcOeYRYdg/AjrafNjjbj9IYr/gfy/6MZ/gdfMjIf
gHH/RkX/APnvehO8OqDffuYvLzNyPjwkKY9DCvcjZwDRf0J8xFIFPJE0jGOBfAPZjJh/eZmBkv+E
9MhPbh73DR/D+Yq9+b9B9LA8v0OIME4J/BuhgIAzMRIbHP/2t3c5pbrDtpE0WLblZ6eqBXYBpfcC
TEYXiPthDk5dOJlPSUs+eefIYYr9YVzmc8zHZL8Ghp4x1/qzETAu68DZnKFobo6DD/tdHJguh59m
+MMXs4CpCuZonYzhZVA2/ZcQjsK7gHp6XAM7YfFDrOiTuj4U2CD2UxnfyblOPri13m3l+EXnQPza
eYJ7yxmzHwNKd97xAfwAnDpze+NHGoE/4DaTzXI2jDHcFXAg7HTs4px4Nz3QGpRv6ZfiDF4OCN4B
uXUri46jLT8K3tag1F1zjNumurJhTS4kwz2FYVd/IGIc9lEgzAdUZ3teN0/T4rOJLWsGyjM6tfH8
VU8E+JDNbjfwfnmuu7S8UA5CP0tXnfWNEcdodOF+4EN8dJ0fgQWbZd8w9mLlwg4cFO2uVoJnRTx9
pbN3EGbnc5mq9tDWxu3k2tVHcH3lHm81c1Xc3bVmPNjGH1Yd3BReNvspgJDUMxwOS6zJHbwFzSdw
0f1HOBgPbepuV2LbOwWj6mXdJMOUYdNTcFlMzdXQs9LtaTKHYDmN+jStur5VrOJnbAxszli3OS7K
ebg3LCjuKUqrC678GmdBGw2n0gpzWVR9fY0kpPtUpHR8gbsxfVpapiD049DfCR0nlxXcQfvRKQ7z
bZPcxg7Ip2uYKrOGztHJsqT/HNcyFrmMQTFDr48uogaMZ0gbcs27FdwtXDFaHcAkDZexoaDZakYw
eLBuQS+ZjMlG2nfnw1gUMlt12J2bYAVIN0kXG1R6ygWo8lqoeRYbuk8YOVAXyy8xnQOxW4qy20e0
Lp4kbTQEuKLdL22t74nS5JqBy7vgTqaX5bLIL31foNxISVyXhxoOj0Mrg2VvQwYKLprr68lCJge+
4sseWV68P9fijLRuO93r2cOin/CvJmTNk69h/RqmmJ0FjE2buGcxqoPG92zqAAYwyOfF1zCFhSF5
mHXUnS8WHxnTafOUdaX/QEtMzWgqvDqBUsPDG1/6u7jZyMsWxqc7JSZ9MepIqJx5vIc+afCBxC6V
2QOQQ8CeW79bbNt/rrD+jrVA1CpbFvBVxQIjdhZXIF17CIHX3vDxpTbrfCQT679HC/TbYtL9zeud
yUL2CQoigo9v0NXitlyrIK+jIRI5RK7kli+YgwBj7R9NW/HzLuqmh1Fyl4PQgy5abw9uWevv/BTZ
x3hBMdU0haRn0YxNZJcwUFewMM1H6bj88jrTJIyyKySudIbQ4CFU1ItL96hU9Y3rU4iKVSmnPFoN
MhOpox9dF9R6b1se3w5Ryc8geyx3ZHF6h4KEwgE2xfwEbwp2PbgszoN2xVujhYNjwLX2xcZVfd2F
WtyAzvEXpiD0rghlcudM0O4rzEiVgXIsvqR0MJmL2gr8arHgg+YEV4w9QHRTVsG9Xs18XIXU96Y0
6VE3Nt2/vq3Wtfq+Lv2Y5CPctBZuijnJtcTI+ZhHl8RsziSRNNUM+zo+fkJ9hjTJglkPUT2rk+Rz
MgDHUKPrfJTr9dhV17PxAJ7jw2xQUc+R/tLVCSpZ4fM0uaJ2ugld+aGaQ5U1tjq1cvgjcukFTA4N
TL+ArzS+W0Z2YHN1tGJ9KodR7KJwSS6FwAf2RbRXIxB973We0E7foYyJYKJiejqSmog73svHkUhy
LWbs4VBqSyD6nuUk7jZvmL+ul3TnFrkbC33Ourj4QGyA1MtC5SHRpZeAuqI6Cq1kloCS3/tetVkM
3H2a56bPbaJMBWGFvHTlAjsw/Q7VRl+Yqu4v4E+A/YC25IzR6NtA7KlLoluEMZpczRO7oaYsPkOk
/DQGyTc/oQqDSNMemhmuldZ38x4eLb+T4wpkTzdBqBdC30/QQPK5kutLO0c5Xasui9ZqPPR2ue+g
cJ6nsToyaascYhBecC3IYTFTkUnn1aUS5FH4kGYxSn21+BZWOcpODpvwLkymfr90aoPQ03lfwq0S
aP3ZhBPPlk6Hl16F8fmAiX+UXoS7CBx4SFqTB63JYH/8g/n+rq+T+HtN4xrEjAm/xCLQO6LUgyUj
lEYfsD3WOspwZhJowfB2I8Bjz3lacJPN64r9gM3NqZQrsOXmPs5XvaNpcW/a8aXyFg6YLvHXSzW4
fs9KkGl5Z2nos24dpj2sbN0lSv/rBnv+LaYV5GBRkA9s9Xzv6NTpvJ0CCVJR9Ts+BnM2Etp/HyOq
9mtLEZXSCvC9/zo1mqJoG9OdJPOnEE4UmExw2qcgDo6BmL6FPPwMA8kx9KZ4dKSHBs/UDJ7JqVzz
KLgaePRY+C7MBZZhJhHg+pRInMPdyHYWKaNLl0zlHiAheUHOa76Lo5rAdGQ2DAFqNB+58OfQUVwE
612RLHk5y0cZT0gFjBw0dhHL73YYmvN0aGMoWiO4oRlEEM50d1AjfrZsGcQfyFtxIfUtgsbLrqwM
kBULosz1Q3Ldz7370oW++eIoYdcClWseAWFlg6jXXYNVhJ3c1lOcw29j8kK1SZqJRZaX82IVOR9R
0i1ZNa7imqZmczwYeEZsUj5ZsQQ3ggxJrhhdDF4iavxiKIP9rOR0GUcDx4zpijLTBl6ZjK8Ox+Ay
6Wv4P2K4hNtiX5io3RejKZ5SU1uoP2st93AUdh3s1h0UaAQSzoAU1JGE2uzrpSnyxkUwPFTD8kfX
UnpD2tI+uqF2p76KzUdhrM4a7IW7ck2r3MUOmijvYSCKQaW1QGHtPAfnIaS4vCdgS3URjXk/WJnL
whcHBO8S3FZjjp43z/HYwCExQL+D7yq8Ggr4QBumh6Oh1ZxPThU5MMPVouWBB8GxpKXIm2T9LIdB
9zvYO1B+OzPkK1EERMrYHOB7sznM7fy4akikdeWPA3yucMEUsHw24/xhRWYvU7MecXLNyY13prk3
cnSnhKngM7PpNen68buLawAQ4e0h7UV5mJoC8hwzJRwMdb2bhhVLHG2esjkJ73CC6hv4q6esTyeP
7JeLnli/HBe3wH7M1nsvWHy91JRkNknk0XfkKBxMzA0Z9nrW5XckcI7M4sibjW72cy2n/RIuMKnM
ZMwnORZnzhSXdWnuYMeO4IZJ5JlfxXJRyKRK7U4GlSJ7wda7VGF3JRfxFAio+rKvGrI50pwsb5mA
SQJLeASDigfmM+SmIChxJJQmDOFzCEv4nGLX+AVOTgNbBFxM8IvJslURbLJy3i1JT2UGk/wiG8ir
06R3ragVzeDIr/y3SiVu5plghaYnnIYfl5bfBiAuDxAAQb3wyd2DQFj3xK/jdSkjfZBzxK9stH4y
K6v3ay/uQJoGuVytvavSju6aNJI3Ju6j53FTZSXt1mcyEnvl2jg41GT+PpSe7l1EZyQ4Z7YJdfyc
L6h+sqgaP6SuoZcuFuZu0x73tID12AfxF8gmBbjKSX51tvQ5zI+c4byHSB/UIisltH9lwFzMc73k
RQ8HTw+d8LhYDmE8SR/SwC6b6/piZQDaUJlfYurmjJt2uBZE5Y3m36qGjrvC1uk5bA2i20uygf7S
D/Y55M6+xCqSl851I3D8yE9M1NEZOPL7cJ7SMDPAMsFOzVadQadMRoAE7i95DYM+BMv1YwMvwtVY
td9QgJbtHk4UmE+dXaML3xV6V3fVN9O2OPUD077Es9j2rMLawwRb2GEg4fAZ8EXsIaIsd7ZI1xwY
6I7VMroBuQ3vJaENOw95anaxX7HSps49wWo2XZiedZdrMydweHvb3GwuRai4CaueOzOCGSxkvRxa
UuEoCNMhhtZfJxo4oEmTl6QMsXHMZUTuQMgmH+0Q959X1nbPa6VD5N4KxgNs+TH8nVPougcEcfQ+
ImtyUWirDyM2xn1C1rPaw2vdOxRZkP3VdV1O7jOxK9kJuEfhXOwq8PJSOg3HjMYUKgFKpE4qFL51
ah/Qom0oYYPTpluZzoCe7QrjXu1WkI1shI98MOP8RzW2Lfw6tj4NxvWnJei+q2Wts9EXMcrH8VIN
U4s6C2EKRFPmD9Bf+zsmU6gDzgDdwvmQRaVO9kPB6p1Mk+IcN/aIwg+yblrpQyA3hk8E5fCW8fsf
6/M71ieEbvoL0uf//dUp7wei6PVH/uJ8traKSNfyfwu7f3M+yb/gjaBQZ6HOkXecz7/CMI7irR8j
FzBIQ237mwOilLMURY0Q6Hnw3+XX3+uQ+BSYD3EXIcUUZe/zv5L0lI9YIifs3Rw1g4RBYUr5+PDD
mPwHeXBjkn7UIrfLACSBb9pCcFCyf2aaVjIOfl7BJ40rJw9Ko8xk8FDftG4O2reZ+n9Kq+91z63a
Qyp/i+Uj+ApJ/Odr4V3IMZ1ZsQUY0hsYmuYrERF2zlc4Y3rR1tVvLgi59h+PFzOQ3KBweQIjz3vt
c1EjPOVQH05oBwAIVRhtL/UwoSDSQaujPEld+hTC304P4VTiVImww3sUMQ5WShOVqEvnTRGcFuw/
vayHU6oXVO0+HcLnbqmHS5MiVm8KSCluHeoj6jUEtLZy0g+kvW1Ukx6bYLCPxIruPJ0HVAoFKI7C
2/qa42jsdqxEetObsD2ry9HvjR3bWxrw9XsKZ9VTpThc3315FU6+3ru4wXYJ0eq0wrx2BfJQJHkl
2XQLUav9A6ZMfbMyJx8p4jhZBz3pEMECDqstvPjwB7lTqHFmmNXQYzKHGpufd3tSLT2qSjZexMTq
66FPHNyrin0NmzI4gdk2u3UI3Mn4JoYetKSFyJOA6m9j0raXYm2X21SvMEyHxiE3MiT8EI50+Fyr
IHVIIVVDPJos9ogZjZ/TiEZ+ROSul4f4dft3r0dB+HoshNsJMW1nhdxODdBs9C59PUpcOKYvMhl7
mZHXwwbhGRw8wXYGDYBnJXzMOJlU1SQRjOK8uQlfjy7BS30Zb+eZ3062ZDvjVFEPO7qde7DG4wjk
22kIsuquWmqg70X6O8RbIBBtp2cb6/mgl9AektfDddGifRm2E7fC0esH2e9KhnghIvs4mMkaVSDS
MDhVVzRXZjvBOaPBLevq9RLJBBzwUDPUGSSUEMd+LYsQOcHgnm+ooOAhP80bUmC+VpehLKeXchT2
Wb1CivUVXgQb0sAQjLuqEN+MbXJH3HDdbaaxJW5ewHK5DNmXi2LDLkqVj+kIm5/ZcE2wIZw1aBdE
D10HXZCHeVoACcW9vZCv4GjZcBLEL/kVVWWBb46/sA1NVRuuWjaEVWxYSwB0wZoF+IW2AhxTG6sH
fvj5im3CDIrB78uG3CIo1FdqQ3NQ6XyONxs994tSN/WG+tSG/5CkRpzRJnfGpPV+AkiEE55do2Cn
e7ohyGDDki4V7h6hAOBLAqTpATk7QM/4FYTWb4jUvsLT7hWqFq+wVbxhWCSpAGjXDduqV5gLPx0g
r3+Fv8krFIZff8PF1StILl4Bs3pDz8sbll4DbXZIVI/ygQ8yKW2DgABCee4h9rbap+heUMLYWg0q
DwpVR1lkQrH5zbru6OZVxJ+WgJfJIfaKRmfIuYzhDqlKnxxGOdaGg+yx4lAqt5Z3s4rwnayv5/Ja
mAHuWt0OnftQAkAkLOuR3Kou0iKYUXeOqHw/077a+lGEXRFUcAUsKX2Skwuig1lgRXqJlwovqrKV
Dc6V78tpuFdtgezqkaSj+owgq7pP5xayN3j17WJxdJpDcIpx4REXKhgtfOYmZDqjZYYJDujJTXCD
g/+NLGPnjhbwwC1LdKJtsFGTCrzprl1T8kArXaJRhtm+HBeiuEce3H0TtCsSSBNdj1wZY2eIZeC6
4PP8Tk0NP+tH0MOvRKFtpxURIFOAtwsQDrownI8GGmAMr7UY9e6VIIWCC35jDBElC3zV4g0U6Zdl
wH8ZG3T36xiCdo3QoaXfzbNrbxfG++8cHbEvcSMgiRXl+qIH97ruJoFuGPvBO32WhE1600S1+Nq0
BvfHmpkcijFubwOnYsTFkxb3FogefxdtpClNhuaJhRa2cSXFuktWUIUlKEbkjgEjCBJx4Hqxbpv/
aX9vuO0NBX77sRH4Tza9rafF/638vWv/9DcUpNvP/YkEhfgXTHpMwJLHgFBg8fsLCaKd3NbZDG3n
UhbBQPWD+BcTKH48hoeVbnauf6NAkvwrBUmJuAWhMUHfnfi/kQLZhon+xmfbFYEAgWBgdUI47p8Z
eiLhOXIq+p4gczCle9rzPkBEpp+BDaJo6tVXHgzReOiMHz3fwXQcIasS6AL+2G7gXbB5P1R8nlYR
5AiVBp05QQRvxqsmavvAZ1otUf8cwTG86F0gRINUQInuLOR7jA17umsqnClfkwRm2W+sZUZcl6JG
aZi1pB5xK7yHUeqmQtjMgS1qokH1mQat3sIv7WHt2iO8gKA2bVkn/wjGGTRN/sMr/Q8Y9meDG0RX
9JrgAJdbZwyMeog3+6NaGpO2nipRJd8LpxF6P0E6aPip4fM4xAjllxYS5Vr3DaJRYVHT4vDry2/d
rH56R+hVw9COCKrxhjX/0ZFklSwZRSjqF0kUU3VuNYtYlaUpDYw8oBFBiVTNUNmSV1nAg7XvPjjO
IIzCGbEKx84tknDwQGmNxlDkGq0kDP7u1zf5M/aGrs2Au2HcZFCU021a/jxGS4UOFNXAghc0aZlD
ClovLmNzaBJukRTuBivEFxWFyLX8+rrv3s12XQ5ZndIIndChwr67bj95HeuAJS84WxsIVTMsT+On
iiPxVmZO1lN90xX4RRA2qypNqfhNBfCzkL49dgzgj99rkHKI8lhDPz92Ca0vgHeOvQRo5oUMYORC
EX3FQgrsmV7ruLmuA6IJMIvx070aw3CtMniFGwzKrwfin3eC5r2CC2Cm15aj70yfVYw9X/pweOHC
YckdPPJIRAEeuWnk+zopuPgyTBgCqKQijsUXDYv6kIIkBFvifvNWfi6LMCyIN3E0B0EzboFX895j
a0UdSq+64hvooC4ajtr0beH3qEzG1B/RN2zBFPn185N3OxmumYYAuttCZdhO3zclKdNVRmlvg2d4
j+I2OC222hZEu+gKv+cBqS2+bjrT6GGpB3xBWhNSbFhN920vpM+7gAzdfdpWwEE7E+mB3rVz3Y3P
v77Nrd79Yb+F65ehTdLWvwgNk7Ba3u0lkyuSITTr8owOQgMmQTipEO8nhGkqCtBWiM3BfU+V2RaN
dXr7owac+s37+cdgETQW4gIGcjAUjGNr+3neJoaO1o9CP3dNFGAPl9i9VodEf2h9dMEK4LWvI1Cc
+tqihMSOOvTtQKJTEsDiqhBcw2677fy+wk+h8GjmC2TRezhdfz1c5P20Rh8ruGIoGpRRvGG0ZPr5
Rhfmuj4Fs/Y8FlRAX5V27Jvpg1lt3Xe5Mx6dNRAObcEm7LU3LeTjRK0+uHeQ6M/GdGjQ8qVd19Bf
tJXpbJF1cNkXNp+iMGjAtaXl2uYgFBZsiTSQnnTnIRp74FMV3JnwFPzmgTY39I8TAIQPWkuliHCi
YR5+lcC7HQMzszMz2rl8iSMdSTSKgLMaU7EopjRFbh5tjbC1F/5t92wmdPnLptftBO5a1J8w7Vom
zGFy7PdriL/fxSnQRoqFREBObWv33bRQ4DPaotL9l37AKjJ7NqqEX1FSMX/B4GrFcKTF3KxPbbV4
HyN1NTgkVLHhO3FXmrVAhLJFyfs0BNMorhNkTTFNFj63oCnUFG2vR48sxRTy86a19YNU69PaCAU7
SNg026FVY/TxgnSXIuaWMYRR1qekXRa8OxZJCI/ZuIalhf0jGtlrr4Xt3amlrAEwzOvl06QMvMsS
vUh8hAZ4wJ3XQbdhA9tHrfq6jKIz/QGECZnvOdOrvRwGVcBn17QDBb4vi3Y5wb/hys9d0hX8CYZK
gkkWJyVwxmw6DYjy67nxftfE6MewgaFbKVrTIRvwbmowiJQoPfvmy0raETnoBaaxfsyclro5Y5Nx
2Ch+fcX3uxG6fXE40nBug6ZM/3HFcUD7F9cy9xk9NbbJ6Ca+bX8UbXtweIvZROJLIdmKSQjBx47o
3oONBfP017exwdmfFgXadKFbJ86KCHQkB0r+eZWvbJ4MoqvtU8vRfIhlVk9R8F2bymA3qtQI//dQ
xLr+MI9JiR2nryJd7svE0llnCHy4Zs4sLQ0Cg4m4X9jQJNDPHBHznU3QMy430Qr/DiZRWGUy5AXq
JV6AuMVir9Dm7U6ji13C0FtC2W3lzyAXbyjO+01NVgNbftcW7P2+hsZVSQi4gafG0yLA8+64VqKo
0J9vjB/nCU67dB8NAwWIhVKDeQtKmfNTRdyCabuolOGP0r4iW9SC25SGUwgl8X2xiG1KU1Ov8BfV
PWXbFmlQjZKDaeZ+cx5FXmHVFa7dMDXxqCifhpgYLKPfvMR3O1sCBASDwuYmxBtEw/N3W7VhXbtq
2dHHxFYMawtNk7YbsAGbtqX7uo7hmvS4N8RUtyWOvXLbUoYebtavcN4DxsMbv31JGzWqr2h2ACtO
7ZptHEAkanFdmAXfVVdse0RftmI8qCAe2KFHM1I25h7nBR73N4/2DmXi0VICWplgqYRomvm+f6Vd
FImbSftH+By2ncoOBlNrbdZaf7NhAvop81CA1ick5LfzsQ00wQtZRNuUHn4GQWx5SFkwuUeg1AHD
Ad8Zw+xj84rdpKuDFFOMu6bfdrcJ2+appr3DtmaBSHDB2hZgPBF+9gRD0ZYcQ2HhRIJDL2omiSVR
pVTi/97GZ9sK1ddfD8K7NYqWI9ChgbQ3A2qKtqPv1ihxK3wQwgQPMwhL7A5v8JZWyTLDVZbQqux+
ty28O462S3IGYB/iWAoRjXt3HIVSA7X2S/wwTgQzxHq7Gd9w9mN8uOy5jvaFQ0NCRN4bNEYcTs1c
dIAs2PQwSmCpGvshFmNSyENheYLNAAtyvhvwC31wArQBFr5FTEZc//naSuM6DOXSJB3WClbR9jpK
tWwvAjwwwR+pl+l8F+pW404ihfZUT0rYrU799WjzlP28J+Lht0MAmwQhHCjofWUDODgGZbj4h6ry
Am297KRYj56LIJquBV35ACq/GkSfwApDU1nBUWBqcx428KfCEQu0E1wMiNbzq6KtYpYbp5fyW4gE
zckVExfozNTp5oXLZh3uWnDO+E14MFgiRjqTcAG1JLs0gjIL/DhOB+eiZL5GO4pi0RkUypZcsnAg
6a7rBvj35WKnocjQQ8ysMqvQCY3DJ7OoGYthXgf0JcvQCUeiXVJKycTvBSLCHJmdhYA4P/apq0gB
/FaU9sxWMZBZHiOKva4oazEV0StI+WLKDMh5cZjTuISQ0qLv14MTmtZPE2/KYse4pST3qE81miKV
FpahtKZwAZXIdp1iyuzO6NCtF0XaheGROFLRQxmMSRXueyhT/BHWzVIFjyksk8vDYhdmkRKxXXCH
EyOeXqJBiOFxjeeyg+FNa1KNt+kCT9ixqMFuwI6LlBcCMUoztA6JBzhkkmfSyqR7qWiv52WHqeLN
93SyzsEW0Dj44U626Ey0Bf3DqBHHog2UuIaxNFDqOIueoqfN9yrpmMUoL4TB13cFnRkmz8NKhrGv
YMcIrQj3Xcf7Pj6bQLZXzWUXLcqUezmX1s2XLirKzWLNWzdFd0VHmUFfDV5tFPCCcgpNW+cVCnve
jEmNbmhlwGHQAYs4rNKfuXJE0Oro6hanTa5Sx7HBzn09RZ90MIloPMPkcEGROwbYQq6nHqgrzaxn
ySJuGhrH+MO+fTGo6wZ/h95JHJdb9cjNMyy6KYXjWaAPBj0RxPnjOPcyUlN8XDpJ0AAo4vN2LoZR
UONxSgZCn31dCljf0lxGVRqVMOD0ro8/yCKQrjnEiqGnzZlCajyZb4RkUY0mb2m6cRLxYKNKPcWI
JgXrBefNiJFCAyFs2VfYtU0VXQSsGOLmktSmJs0HiP8yKfZOYiMo97AeMdw7tqztlvwcNCHdh2Xl
a7MLeyWHZNfZEHmpT7SkMB7DGtyk6SPUJmPyAaU3RpYmU40TJCcCnYuQB4xKQJYM8sSG6Xk14unz
viKIsR9k5bYRYw26JKRonAaG/b5r423L5zOMV3GeOqsxAdYOeONoYULD9yFMuz1qBUcMhs/IGP/g
LBkLXK2pCIrMjtTb6yE9r2j0kTRoKIhmVzyV4JKCKRjwKoJOJRX/bgwKGnOAXwlIK3cJ8eiWVSdV
BGcypvxkpicru6nuMF5BtepjNUHrXa4SdAPFrdR40/16LzCzcAWGvzLPRbBsE0wMwfbmIx/ga03a
bkMzz+hZXeOIRWdJ3MOMFCOe8c/nGQbGzDMItwpfi5Zei3sV8QImPe5SEEBZH1cEY/Hn7CnWMcVH
xjLYHq6w/nUwJsyaIf8T46LBVbT9HxvRBJuhlUtw/+dQI8Czfftfg/z2fWAKqLqKKfquI13QBdX8
rJDpq4cj2jJ4PLShK34BaVZSVtbhPQrwUiM19fai9DpbTDVU3tNQnnUk9UWUEVXNiFOhh6XGKM20
bfAttAfHNkA9ZsWcZiqE7Qct61r85jOs0bgMzXP6NoK6xwrCvvb2TBWtUaPlve6EIyePdkH4sfDt
1b5ND1GoBuMjeI2f2Edxsz38Ijw8eYeSDNtlKl4JfNFrE8bV4xrUfLLneFK2De/bRFrhPMdd4iG3
TyH1MOLnkF9hmF2jrbZbfxvQYEVHuiHXMONxtOJFNyi0AllpFC/9sdxIpHDv6kljTaey3JiPERHi
53qOqXkmouwwfcYIiBUPP8wAu2jGh9oaH0jn7Q9Yz9A/LG+6cFsO7Rpt999BX6nc49SUCHMfujLB
56LtIynZCWZMCNAX7G2u1BJ+1/j455Cnch5wO0vNFD4EJ4DGxWVfK5zzM0EQNHwEcpPJjKRfYDs4
FccSfcnySFYaJZNFBM+eNSAMQNngNVXTGTK2/5+9M1uOG8my7RehDfPwikCMJIOTyBT1AhMlJWbA
HYDDAXx9L4iq25Wq21lW711WVrLKJBURCLjj+Dl7r70tZ8XzlX9WLcovw0NFsTgvFwfADIhNZJ4A
UwBJunUzob/NaBsC9lb8PCyYgT8oGr362ki4i9elQX/2xTO1RatI0suvr1M1pjQFdF/y6laeddPr
pnLlFJAu2H7HREds5eVhdqTNDhP2ORCpfd3wiMXdYLRpNMAX41E1v5nISdlvQBt2VXX61U4uxzrv
y4PKa8673xYEr44DMDHnchydn2tGYiPigjEkrNL11cnDTo8v0tE5HObx46PPUTZwiZAyrhWfqGJK
7+391bTY5cbe3S6fNYvtrqFftd3iH/3TcACbZsYWxnU+71gUNn/03OD8vCzoPhp4Olb6yrirqhZX
eF4sfnPnCKvnJ3wY2tzUk6cG7quPJstqeXWfIlyTfWqfs1Su/B3rR+st5VhO11B6bkWLMrUqjr54
D6sOM1NNY8K7aSp/W0+wdAua8FAlR7ZKQCMIMa6Q5CMuM2e97eIpRv1cX+BhFb34ssaj4d3ACeNT
vmnKs9S46HRAAXqNnHJrUnaKx91dUKWOPz66tLGWdD+nJZPGg68FetOE1gXwiDigCeR/cTMHTWzM
wzDiy1/RcvCp/LbZHhuNl263W2+jzLOTjytZjh2daBzBhTNd9IqkN3isVsa3zz3FNF2FVaBG+MJ+
y/1laLFyBfBTbp8hFRjC5IHj5dalqgvqVSrrqOm0+OJHSy6tdxcgSn31fSkQ5kKwG2DvYbcu53TP
E82pvXjA5yONXVgjlXmlIwk+5pOZQWHIdqm3OPn8pANqG/k9mgqE+28DIobePPaVmppoZ9jrUL2u
GKXcDqmyz4EjhjLaUVMGgRcpS3GXNyABdrASkWROcaCZTM3Jr0/y8V1KUdIgRonvgEbbpz+3m7qe
tv0PrNi2m1D9b4u3GHCcNvv2Z/ce58n2zzzLNPgJXDXbD8Ju9vgJTu7bbAP/vGApZ1SL6XUdF0vs
SxbqtiqjZvs3v25Zakp2Iobl27/6aMFv26mR7fp56Z0AnWRvhg8qDzK0htpsadi7y4qjCtFuu63y
zFi3duDAnIg/XMqy8SzBaaLtMJk/XOlbbu8caQC/+uuFvD7ikQbjhy/748TWFuUawOJrhXIfERdu
n6/6aDRKkI7cDfB8tybk0Pu96yZN1sgujbHRK+NZFZ7g50fNFG+6FHa2lXGg6ngNXFvb21I/Fxxg
ap4jcerhjqOUsbcxY9Lqebsng3S1q2IT1bYNhpkScnx6+Lgg9IG3Ta9CMMXf6w6WUd7ktlNjOvz7
49VvB3p6OewP3ME2m5tPUMJvvYp8ZIZAv9p+zrsOGAcg2GxmNWgcyFdpuNsKqicaLyipC7m9979/
+e3g+k9N4O3lifVFxIefkyjZ3/usvZo7Qw8BraqPrbGkB8y74BzASvr7l/qtgc5qgnJi8lq0rPjf
362eGldMmFJK/uMeMau563ZSpK57j/pw+/YjQOX8oZCLc5O4vctX9mtz/Pv38tcWwpa9QVcI6kno
Mw7nPrf/2uYjP8GmfVtmzxFTNf9L4VlbkToMYeDsV3w9//Y6/+sLEhJA4wACJAQrL/qtZ1HlvWnV
jZk+ybnlQZEBeRvP6GPY5n6t7L//gL+T8fmE9G7JJbLIICIP4/dG5lyXbtaOtf/0a8fQ+SZnjhHu
L553mN0hnA6lSNf+UWlnKZMGRCvL3MFx+2wgkeR59G/e0V/vdK45R6ktWhUJJhArpoN/veZLZBo6
WBz5VH8sKk1dxxqfoT2yrxeEFW3nBFfhREoinK+8AyAY2xspAa6rFScVJ/uD1zidZ8YzWwviLSkk
P876SK1rsTicJ3f6Y54lPrbZv/8Qv3+NfHGu6cDqIRYDStLvrSeeu3IE+Tld86Hadqb1ZyEkBsyD
j4sRKpeM5P+n4Xj4WIh/QyNiAIJ6lIQpc/vPv4Y2BDPVCEwmdf312Jtx66B9wqHvoWgciuw/aq0R
12IRNERnkY2bpfov24GjUzrRuDWuH48liuTt2wiqmnXRwp3nI//9B/zr/rPhhxg/uaxA9ChwEX7v
Z+plnYt+9apT0Bo9tPKgaQLni9+zYP6zrW57Kb66kAke+YocMn/f6prUBi0JJO30UYpMHt0R7iNb
Nvzx95/qlxTjfzZWj14hLxUhkPk5mA9/39dNk7lMgIPn2K+2meOHQE7GpVSma6vuz2FtmaHviDqg
txqBk145Lcajl8FMuOFpjYIKEmcl6Pzc2i69B/OhScG2dKeF2sDrrphhK2tedqnNyOltIMGIY1Bf
2m4r902tVnvEnGb6Q0OukUer7daZrc7xH6KPeV7lcxhx7tHFWXImuABPNJIZNUGUoCdSItU4cdAI
iiapSTDhq/hVoAQGv5ZvpPrtVtjg4zws/J/b2MdRo9ImW7fOG5utm6PhVgboyYb/e+oAetfX1lb8
ACWWr4KrM9RbMWd81DagwemrxCYwPPwI1TA2JDK1Qw8CMPFFUIOC/0fLQ/LYzONfhczPCorJmub6
rkBW2SQCOdFZ4mxR+TYeY6zLzw0WHyoFk2lFke3qGQJpcaSfX5f1i0PZG2F2W8bIFefSN4nzuGBg
BhK5Wz7OYZFeBkcmeaUa2q50YAKmDHGZjyFwd0N1mQYfLFG3e/ZDJCMR6H0mWdzyk7dE09p9Yt6w
TbSoAU3bv3bjwBDhEzRNVLsQh13kBIe8l5YFY8ai6Pxz4eg5hBfPn7X9xfLmZQyvtM1S8dhGUVkh
PG0Hw+QkzMZBhAOZdMzS92238N3iXrVXgrpIJKDbt6M0s7xwt7iAJW+hv44D3NqadCZO01HYMxct
cnM4umY96nffbKolT1KXgruNm6BtoL3TeTFUjM14G7n92osk8/DMvw0b9u3y0OY1SlOq6J91Fo3v
rU5c0Lryx8etUf+sBtugrjiy9Ui+0RBPvenD1u+HrAt4G3aF80pXxhR9YhPvwmexobGhD3iZh3k6
08/esqVVLYVOj4U7OafCdNZz08/TiU5G9xT0vr1DB5pfg2KsAQm4U/8p5aY+QRvvQC66dg7QW9Sf
M7PoEpjAOKpD4rGOHHZpKdl4/UNhfukqlmOrhX+LrQ2ShJvnfLsmSN0ymN192RXqfi3r0dxTlY97
OL1OzR3rN99yoZ4hb4ib3jUyvINAPb2BFjTal+w0dQDA8khDHRC5ZK4viu8FbsakzqExLW7bJl4a
yUu42s0BNxBT4FZ4Ln91uLQ7t2yDg+avPIecx977GUMzuof0u4xAXlSzRQjIEpXeIS/N7lm49ObB
yJlywOfXZS96XsOvtdF6HOVV80mHdrE37dG8uPiXCmwChnPr0qY79ONA6m0ZpI80DyHT5aMTfcc2
6XKesYT1NNlAvg5igXFrDc34NEwuDQe2gmRYZnVxMFrgVmp0uEuDCKv954I4huWMAkF9G2y3tPad
EkAzsqLJFyxHXvgjHL2gSYzU6C9NhBwhca2xfJwn8GIes/obbxgtzKZh3n01y0HczoFr3gy+td2h
qbfNULNJX2bK2TszqKYz3W/jUgCPgPbM7vfd0tppsZuBXOLYLIw3LaT+IQ1jBhxsrV9hIHc2igKB
fHBdB+7cvN5QORYWikSsupovvsowS5oWgInFCtiIOVLtJu1s0nrUs+LSz7I/2ELZ0CIa7L2O9+rp
5Rt8zvTqWiyfaVBjQmvRLOJsbqYACXXn7N1gbK8id/u3RczUZCbjbYT6qkIDUe3AOgCFN5TjfmUy
3cWOXYOK3cBGRM6Mj7PVVo+EeIwodMcxe5H5Ij/3s2jsWM7ArFKLYDAYG2bNxDWk58bCm/N1B/xA
P0DIAPfUrlP5tWzEGjPkaV7bDpuoEJOF0cENz8LGrwutPb24OA2+DqE/35b0+yfGDq7iRdORUBBD
ciJV2e1GKC3i2qqir71BUZOE1GeokctBPvjarw5s9LAVCIUKTqPV5Q/odNB26Lx/AQQjjpOCflSK
yf/aO1ioOSe/rIQOhUcp3AXefZP9WLggx3wMSN6gDFyeR0i2ady7koktaH7QxdN09jGNHiV1KIS8
YIheyK+I3p1ZOJ/KPu3esQGtPxQ3eDIFnX3nIiw4mjwpEjnL8Zn6Eoebbqdbox+qL6vZtUenJlRg
19JOvuaE4fAsm9mRzLKAezWSsXAiKI4Eg6Etj5Wn+he0XQ7vHz67ZbbOofSd4Y2+nHyI2rw/WUsd
PTdNv95kQylxGrDlcgzGLNO65njplasf2iHtP/Xk+X3DQ87mYMuFzI+lYfHQ07q3nFHdzH2gz4We
cfuBjW+P/ztlbrXD/CWkdfJBmOOBn51YbMHdahkjGibgcnWUerdMuC1nNzZRjaB7ackPQIt2+MmT
q2jBP/zOkhOjcjEbeet6+z8YuQzD0Se4lqDz8qyZ905QhSeLmR8ZI6t7H06ZQ2e+N74bKSpyEAKe
uxbRbmlmat0kULS0w9vKcybY3SbWZ9AHdSTSW22I7IEuS301iEd5rcf+K7+T0egtrFeYYCopVVBe
wYYhv/SEVVyiTthflJEqvatzbd4h9VEvhT1N8pjjiXF3UW4FN27a9eEhMrH0ArQOBWDdAUv1xLw7
CaMVKz3m3WiKGydtr53BvP9mMSSJJIlv6nEzRk0MeiyyR/W5xS5778yu8Ri0USF2Psr8bp9Hon8q
s2IC61V3S37TFFVXgIhoPUSIaWoZR2hsw/q0hC0WiONWepjJhtECM8NV63RWXYDm+H0NpYLKZec1
Kp3u6JaUw85RVvZJByumk86s/VvkeqmVaIsS8WbkID6+egWnv559pBej51M4ZS2yotM0+sHFs2ez
LT+tzpLaQOxnuYEebDY78xy6TASOsl7aPgHq56nnyMiAXmg7q6M+7uH1EW5Exs38XDioZmI7d+vH
brGM9ag5aJaY6KVt3uqonNsdEBIzuAtqttMEgdyaAHEuLqUNghtrYnUZjWUeyvt6Mfxodbj8xJw0
CX2aptpUWsDmmvtxdMtwJHmh9AHEt2roWA8h482dArjS7F1L1fltlTOdjZuWNu9uHUl3ieG4MPgJ
VFmd2sL1Osj+nr6rCtqkSTkX5JdkxKEkfmjmAS2xsrfOVdYLxpEKijFcJqbf/miPV4MMjGDXlKk7
xAF+Dlpx9OxeLWH03yeM3YnTC5BSXZdazh6Pjq3sHSVcDrmZ2TxSNALGcv9pMVwY4DupwqWod+yk
pBny5RnFXHxjE5Khv89FTRpIJq05IsMksIJ8LwCxe96dZUy+emGY26SncsP3ZNP0ZV3z7CXLxZcs
El4JFUo3zxptxz4N0/6I/1qabBJ+z/grWG9qwGzX3inUYcr7aCekWEUMFgy7ctN4zTOpVX4CPhPG
FME37K/T2HwbsxSUfVczxssIdWHCGJIGMg+baY6HjfsQDbnzDMeh75NiotfD/cANE6OH09+B2laP
gqCdcD8EQXY7dC3cEgn6aq9m0u9wiTXZhnKao3PT4euHv1kfKsh4z1DjrX005t0NaTjGnV3N7o0t
GFp22cDwmlgdcCB2On1tVaCO64zdLcbZWjcJRn34gcLyuyv6QT2eRa/TOIKCNe8k+aQ71x9AhUdW
k6IhRRCpzoPPhwOub1jPa9oX31Pm3vIIjoA0Yxaljtel6kl2s3n4Fz4JXUVJfcFbSJ946sDoxIC6
U63IX8sis77QeZsPiHaArphRcwhEUD4YpUlKZOPnn822ealLlGAZB7dDYKflG35MgBTg9bo3x0z7
i4IITH4SeRDhrqA5CkPd5kNnJh1usgx2HHad+5JjyWXSVvGtyp3gS5Vm1ufKcvTtxOQ28YTszg4t
41ea73a17Wm4IJ3SlHc+pE/qVjbH7SZ0v7nVdhhesEvx1J7t4b2boNnua5+swphmcuefASUV3W7o
i3lk1rR2NAsDXZJBU7OPxL5RlN5dLQb7Pc/zEUgNRqIWIlqQw/3g793R/uKeyBeBM8xXNpE1OULO
nlqryi4NvPo/BKe2fFcJxzG/8ODVPVQHMAwnwIXEkojSOBFJar9suoGDhbldxcViiHvPm8t3hYef
xwMnzwPBEaihwHU4t4zuejxPiEriPqOkuZ0HJd4re5yhEtFmnIDV1vO3EVo8qA5FUFyiBF3M7xNT
qylmIjcRMjjh/pLweUC4zivFPLLRH7ikp/TQBPl442KI23IvvHRMCKQyvD2YAjS/5jp5r+NQ12+B
mOZdNTjkKJiGNK9KB9Yz07UwQhVEDRf7o87rI4SX8cLu1+r9LPMciNYMNzdGxWF0Vwd7m7ED/oGu
aGlMT+x7MeEwQJHCTbRz8yYv3Wo6ZJPPKKUBdlFRpPX77RgLvH6RhU1NTQDp+rklbaC6tzsL5Amn
irRiS4v8jpi73lJZvRwN0y5b995XDg62ypKF87VGNmrAkDDCuQR+0rfVbN5VGCa7aMdpe3ZFrNa8
GRSgem16S5IzvwrrWKHmdpeknZa0qSCepTb5WIPiACYe6onuEDHayLwjdeiVIDyFAAC3yxLNUmGM
ghvHaft4mmXnj2DXKr89EwpoNH8OEhigtycrr2igxUhmbc+paTN7OQqEUmOb9ItrmOVDqUTF9+Aa
yKXApyocskxvCMPorB+NERGi04uhxJQXiXz2PsMJs/Pnj2atIbaBAzliW2vUttJZ3EQRVh1Gruzj
9C9Yh2vwnSA3c/aP6KpX1pu0iNh5U0LnBuESIY0uCKlVWmo4oz3b8fhK1BDAo9uRgnK+mmVkLu5O
ZYOS1XFlusW3xSOv7Mp3J1Tt1GDYHtXSkuPGxyO9r0NlQaKPNzhN+uyMniggeiJULUBcKCWXDh1S
MVLjcHbI5EGIsGQ/NsgtqlAh3dmIuSjd4bscVwimFFGheyzGoFkWQRd2opNa7JBUqVqTg9POMAf3
QqO4iegdkP52u1L6Qb4xaj9lCjalkQB65srI3QPXcNwjc7/mVYSqfjFQ1xA412E+i13F2tmjNmm+
m+0GrkH9jo903/kDdN+pR6cyx6stGT6uvlp+quwvUZFNDx7q2BN94IJA99TZVbav7kqLIKu9cBrE
WlPEIFgY9XMZzTo4S0q4gKBdsWygKl21xw3JvRvnEMIG5pyp+i5WE6dl2kM0jn2eo8ReOevyNJAl
PVMgGHBrAsBfO0hynnfsfXdskrQJ53djTecFA3SmpfUUVkXlJYRhtN96EP19jPWWo0G7GmBvzb60
8j3lRD+cVO5V03egHVvHJTM6u92tVQ61j0dXahwaZYWIc2wJJiQ1XRAh7mIOJ2vogjfwXy7cHDKj
sm5HQ7HwOKEGy3BtQt9UiW16avyM9AHZRNwLVHY7NB1yokCybHRFNLeuGSdvyOeSOpygFeXOsXaq
YB9Ufn0xsgG0OcJrzBVo60SDdMNeFJC71osYSRljfsS3wBcTzJkRO2jrThKgZLlTNMzeVwQL3Btp
9KgMc0vrBBLmWwIAIV92AsYrjPYl2oofBuIlmoelyEBwIij7wuFS549B2fRb1eXYxYkKxr/00K+K
d7ZIB4jQ5JZPnXbSO2SS2fest7jyoV5n5GpQI+NqXYs5FmRRvITkvT3oHhjdVWBjYzocNB27adBg
Vqi86MmifRgkUQmn1qJpUSQabcwf2nHxEXoVvJrWBQ8tde89wzkgDsZuzc9+P0C0DdAh5kS9oNAf
1iXGcrRc8VTaRYJlesLUVcNYion4jKZz5veo04Z2RQ6akXbD243Ig9M9p+GdaIPFPjAhYs5qOhgL
k2xyJrZeMnfpwowiQF7oZCR6xRmMzjtHCXWb2RaYc9PLRHBACCE+6TkYUR2PLZ8SNQDwnz6HR9BQ
gN9LY6t4B2IUgGIZy1LgkE8j5CgVxl6AYGGJ8op2ycNKPCEMHl8AiK4mBHaJYzYgi2A30aHwkNMh
G2mwETviTz3kLaihgXCw0VveAnaL6WYe254wMDmFT4PXA5gZDQ8mmIGm5+I0dnfn1Kl9E+Z1FSAT
Spcm7q00ujGM3H5fiDsA0S2GB7R6ZLwVof0VV4xqmTMEEfgi6PM97CYXd7XSSznEdR+CelN5Edbs
v71T35SWvXiH0dfeqwH5c77SuaocmgHAPeJaNNYb1vtsiRuEGNcOhYm5D7S3cCiIbFwNklz1Zt9Y
Zf6pgh6piYDj+TxRnye500uimZlM3WtH04Z27C69hnXjfJaoLLIYDuybMzTd5x6YT5wXYAYDFJUI
pbKJW74GRWRoSA3VMBs7g8rjrlfYewb6Ll/aTBlQkVjUCQE0wT2xWd1l9CRejz6obukLBCcjNcNX
OsZFwG2Q+e9kqjr72TWHp6lf7HM1dAAiyynUW7UGUMOLQJjGwTCEp8HJWz9ZI4PCqSkiiPGwCuon
3LJF0tPcSnpudWLqHE/tKV+sm3bpcrSB2vqcp8v8OUpHKxaDMrFOetW+CWtCu9AWJq7nji8h5f7R
clPrvUOB/tnkV7zYmLlwSP4/47kJ72aG/Ecxjay6UH1FoDw+CGUuZM+MnWmxDtaHKDPgrfYW+bk8
D8hAVCEMPJIybuiiGbda2v0fJc2OJJw5qACPbNd4zq3uFba6+1zmjku0Ll39sxCtxSgMpSXeeoCJ
dP974iXpB/XvPKCqZkqYgeNi+syJtmvEU+8OsPjuxzKX7PJDGG7apF7if0YkMC8l6YoYG4TT3bsL
UprlqG28GnbidOY85mdT5U25nhFyL+NLim3f++a15ACcADGBt9+lbm+OhElOnqt7Nq8KNQszLfQR
ZWQVABIR3lkrZWNoElLZV35vzme1zHQxY9+evQNhVjr84rftyKYiRVXPNfuYl5teQp2HTiExyB3M
ELRA+5iQI1PGo6pa8EKzaJCxux5S0Fx0P0xpLJAzGGgi1NsPAtQjPLa1yCrUQiJLNxE59yD5ices
zFZTPk5OOHKEKZzZ7/vXLiSVoUwYxIac+7AMFXN5LctugJE2aDLmrb0pHDXId1Wtk0X0T5mJYtnp
zqUki1dIbXI6pdgkywiIyrJ9EtfPzKg+5tk8BfIPBasNZjJJSxX/Di18AADOGAcOzDdwEdPaJw0s
CoPp8G/Gc381iDD8w0Ad4ZVlyIlMD+HDX0fRrcmZo5xF9M0scZH8mnrbfuUxfuqdJkPtqcOpbXZm
4/Y2NIe+3vLDa+Yow24ERBy8lD8HXX//vv46XeZtBczpsatGzF9Rgf9OQiq8BWtSVgTfq05sg5bm
Q/jRVFHNjWh0jMv+zaDyrzP57RWxcXM1Nu8wI98NFfDPhnKahuFo4pf40Xy84vShqnG8tmc0PwS5
qxDBTSYpl7u8KBlWfnwV/8f0+jdML5SCpv1Pd8e/kNzvCuaP/FeI4i8UiI/f+wfZK/wvtB24MmwH
SYLl+fyVv2jukfVfPmsd+R132f8X424hqgHewGARMZMX/ifwBhY3N8o/jbtZxOQ/oYjgoOZsg3ze
yD/fSAVwSa8ievrclGAqg4xYRcMeGAiuDcl03kjG3yhR2cQ2BiS4RpLYgXiiBr4l0Xt5WVPFeZZ+
jg39k00RFqO1ED5Wpfb80BduBbHPgKonKqpfKuxCYZ4ogkVRLQh774DJu8OMYZ54lzhUlhwP8HXC
/fEjKENH7WRBKl6fI3aNS9bg07Y1wtIjzD3Uen5AhrYehANbMyDO7EIyOOQrv51b8LYuoWUE0Ymv
Du7fA573KmmV4ZwXRTpm7Oeu0YpT/UGasdJVGZfwJ4JmIT89+E6vO/MPOgoM+9WcMD/sG5XN8Guq
3PDecjNaGJhEmu7WTTc6VejEGnucfpB2AAonyEKdkZpj5OGhqxYre9KE4RyIwGug6BRZY4YHm/LT
TAhRdLyz5W4/mVl5BIIHPAWxjBuZh4dtwePlJ7CHbR94j6VDEtx3FuhfiN1x46dm4Meyzd6bdcnu
p4C0qc5ca86FoC22o44MP69qHo09kI55DxuY6G2wLyP/D43y1H/zSjldg7AkfbUykTjXmA0f18Lu
Ep2m0+e+foxCtv6mb8w7awjrI10P0VON7qbalzeYBQ7SlYII5srmhhEB4j7yLiieovRx8pf5pRLe
VnAwXIQNRgCYp2iqcvj6sSV6PIUDCCh8CzJhZswsHVsBQUGR81Z6W+oO0IWkCMg9oSSELZzWJ+xO
9VNel9XjRCFLEjGp8mTgyaNhaf9Cf/I8R8unoKXtR1cnGt69zkqfmioPktlxChrEfrNnANDcECw/
8IClJskJMXrpJsIgpWHlR8Yl0Tc/qyR9p7QvH6C7S7q1FnFFhF2a12gJoTCMpWXAUPT5rcVszUfM
NJQdEhMf075PpSHsN8jWRLPabvWtsH3r1Q9ZVC4HlwPxxu6ZpKuJE+zcnHtH/0hT0sRXeo77SIBW
iKc8G7/SPNqXK1Q3K9duXAl9M7m5d1/T+ztg/XMafEopCtHMrc5dZPl3aRdYbzPCYY45LU1Tm+4p
soOaCQf5h8rtBrxwXXbvaK87VTRobnS+zNcaDfapyYT3KLCNEFIlys+yzcs3vlFYo7NyblS31ifV
tuJarW79TWSjn24c4OBS9M76IL1xum1GGSZkjVpo0UUYPC3liOifCTXbijMXdyE61cdoNX2GESyJ
Uz33qRFv8Q2X1s+cexWq4Xaiwf3HPJj0efADmDSsp4IE10p+UpXSz0XhiwvY/3ZvzEX01rlL+dpP
/ngzeoSGoUsLSgz4wWofLFgM9B+i9CzQaB9HTN8JDZvw0MvJ+9ObennER738MZd0V7PIOIOSbs6j
l97VDA+TVJF0oyNv3lttdrYjcbMwudxhFolJlVPfaUWRr1O19ckE6R+3ngCPzQH1CA8/ONi5OdNf
9+U7ZHN1A3iOWZ1L8ei3rn4sO09eodQuJybVpIUtevmswId+81JreuSCpPfEP6k/1mCxdvD90AMN
45h0zVyedO2WR7LUfc6QqqteMI/UR752Vouh5QFmuPjuGP54XDG9D/GcmhxB/NkFMttjZ7RIpaeN
vZCTYE95HA6e/ee6dfxjsAaKW3npSFi2PsFAm+7ytHngSBBd7c7OPm9KoCN2F4kdYIG4TS1s3sEy
M++isYquRtfYj8s80aezhiW6xeBWH6N6vq8BwsIiY6FeFJEGyepGmBaILZ/PyKGyi8D1m2ShT2Wt
nPZOSejcgcNW09btjeF75cWWrvXsLxhYdtTp6W6QPpTfUs/EbRphD8F+KMsTInr5zrEaZnFJujPG
ZxDPnU0QFjnQ9eDVR+kWxSerL4enLBiDqz3SHTGUXOl0LpV8GVoirWcvWO+mQRhfRacQt1qWfqqL
jlYuqye4bbVevi+EJS+086V3altP04pppmM6WNN1gspxsWu7PYSFlK+a8/jDvCXTL+60HinG80ee
bOLN32Lsw7EN/oSjB6kNDygY5Cj7jmih3LvFGuE3EgdNStwNAzZYywCMwCZtVLgIZ+c5tCo6AuZQ
T1+ZvFr1brJRNZBMZZCXnbvyNUVevu8IAz2HXlOkzLPK6s8W99RhYL7yBxgC39/TrW3enSwLj61k
OKSwB9xMYWvENee7M572E8EsDGaY0vE8qd2xvo6uGd2XBFDfwfwb9xwBu4vsgOilIykYdLG9q67p
/hpTq/7AGc18UUTTQMeeHlo8OFo9imygE2lEyw/TUbWKI2ThbRxxjW9qPRo4Vj3/TZLPdJwro3Nx
rRllu23awkcNkkLLNcPuPqgI5yvMtGVbIhKjCmtSssvUC48BiczbPaELZ2dHyBw2BvCOdKPwa2XS
5sLH8NVlCnlnZK33HGYbZNhEs6fpi7ENLvYDg05SrdP2bvsCL7J2LCJUyAJbELVFpbTvVDiW54y4
LmwjbffQ4WV6CcJxQhaA9EnKboPLo5FHHO3sQ5+HY13RNeI0ICBmm8MjRwb320hzaoytUUB101P0
bHlEssMuhvaZ99YnLy1zd9cYwn0gNm2bzE1z9FhnLUkwOQ9ZbTq3zAk1XzvA8TtpWncjWYqXaLRD
bFWG/JGrwh4hzunolI4yOAXoAndDPaCKSJfhQay1eIC3R5pkbtunmRPEbvUKY6f1Gq24WPrgD2oB
+9PsEMVF19cJ/gwbQ701Xegd0kp89mSNMauMHh27H0o+nzlSd+hwONlseQC+ObJftOgNJoU2wbVQ
ZfD5kvGzfitET9rAACWFwfWceB2Pt6UKM25Nd6CzUXkPKbXpgYDf5kbBiywPOiS/K3HkSv0xswlf
nUzJZJD9a2sC+Zr05GJxXk33yPOuPUyuqpKabtrBoIV4srs6vGckS7i1GRRvFGj+gC8bJJ9c0pMS
ZbrL8ioiUcHqAWDSb7d23Nn1g+7ElO+whJReHJgd5esECLUyKv3EkZseIUjTs28u7f1YQWeOa4cw
7MyOOBL2a7533co+Eriw3nF+pJhmHDzT5LNN/TxBMH0xq65+QeIWHvBkABnyUinvRTVGN2vlU61k
XnqG5AHfmURhBn1VxxMsDpm+Fmrq12TOnPJSjhFNX0DtBYO1LOpOjbSz4YfTlEhpqrjCWBIyPmR0
kaKhTeaR+DbyceSjbwzOnYsd/BrJ3kqYhma7MZPzBcDEus8o/D+vfvjf7J3JcttalkX/pcYFB5qL
riJqUCRAkBTVy5bkCUKW7Yu+77++FvSeK2zJZcXLcUZk5CTTpkmCwD1n7732WSKsO2nFo9frGF6w
3vMuxTFPbe1zjA9yQzyJOrXQcjmS5dYDCh8lDMrK3B4jg4ChgqJrLE9NNH+h8/3aoWR740YUPGUL
7q62hmtadsUYqIYitmgd24kR4YwS8twHwfORr8XY9bOD+aPFMkLvU7hRsviSfbBx3priUVs7TaaB
daakWd3D99Jsqzzjg1nzrFm+7p8NA/SbTScLfmxjV/TOjiF6PlI8fRnNQv9kIKCnW2cCQ6RadACs
q+LtQk6cwgQAo1g1uk3J8st2AJjSYWA8zoo+BWBwq23uOgFeHPtysqKUfo8iPS+4/J6U1vbZD4R3
OTWL+4p9Kt6NVj2P8iz2BjlSi4FweaYA9TrEle3s5raj0ooKKpyfPaiSktZQCEo82bF1X5oqby5x
Mj9eupw5oWq6LS7b9p0Nw69gF3OFYOmmgfNfgFZxmA9/HQyjULDpxURwSIhkc4Sb7PDYLA53aaD7
FlmQon6uOEsVPLLV9J10y68Llb9e3CIIhu/bNCzNffXiS1xgYViq+KBNZfO8EOs4VXEWXTqpm978
NJ3/xqn/2sjO+zRw0BnaOv2yqHz1UuSzE2weOS9V6TU1RppDKqyYZfntz6/zisH38p4wzIOa03Qi
LG8CQyBUZtGktjz0VTjvImL4B6ufdD8r4u4KfEnqngY3gjQzi/ypsiUTNZzV6JIN+TpchxH/uj//
k95+xTjdDaGtwCBm2td8iF7tnKhjyjggly7nat6g2iQjE7RgbaV5JNKb56kf+J416tRfXvvf+6N3
9kcaa0ICNP+XJXmzPzqDANo/p/PPy6O//9CP5ZEGDBSK5Bo8W3+k/7c6ctwP5IYEeyE2RFTnrtfy
jw2S+4GKZVdjb8qmkmARIS+yCF303/9hWB9ok3QNTJUERzCUW/9ko6S9/j1RFq5ZuoMOtqIm+Qn/
et9gzxQ1zhLK4wAOlGHf0OzrUZPLDg5bF8SYO4+D+iVBqj1UtRDjhgW8S3HJ0O2B7g2BUWt1oHYx
rRc/fYy/+aGb+q9BNpO9MW/OVB18+pTMEfT49Z/GGXo2U92xDjbFduWl66bqpYNazb9BCc2UnDCl
WaxigB1yQumk4W6UinMr1qY+/AokWbtu8ePXiKazTe/2UinyggDr2GHfaLXHHOOM1fhQk5bdMliK
42VmoqvUh5pOq3jC6hRnv4acPaGmRRd5sFJEOnkk29PmYzQPcg+6HUFn65pZfeOELVXAgjxjvlGI
Jx+dpsc1p8+JPzU0KDuw03ofU7pxtWgYyzBNIjk0NTsFN9MzuelpDf6SYzahq4XO7LWDukq2MRRz
KmpRzrTdEOpRduxo6Ep3lMrhEKOpFWp13VIaIcdd0YSfaLVTmGiX5ljLRAv63mifoR42AAfMybOS
9kyTJROc1bJziacrzaVCxsYyfUZP8oBUOFA/bS81YDQ3sS6gwcynQkYcyBI4rFGvlTf4fh5VA6lQ
iduy9JY0ix70EFM3cEPsfoosleulT90Jc8rcEvgfppO0l1uA+Nllg1q9mRa3QIoeWYvtnFQRX5o2
TzZYQhh/iXEumCnU2LoBtFTdwGQ0tnnosBrA/kG9j8FZ79wostb4mEgOc5OmxJfLUiPkh/qudrPx
blZVBvzIYLdkVWYA4q3YVTY7ia3WWP2WyKkFPsPWOECHlW9zsIRToWIRVpm+xNKNW62W1jWfen3G
LLDGETL1KOGAHFnaOEdSMJn0wkLNHqpOa+9Akibf6xEE5Dal6/cWsWe5MAp9OhmDimUFrXMnOM/7
5PopLdeHbpvNqPl6XHbWhs9d7BZ0MhzhaRU9pVz2KKHNtO240jYAZ8cb1R7GC5bMw5k5tr2fidgN
RB1lfqcsNKUzOPGGOuMm6vJm16tsb2UDNAOWdW6HuxHle94utbAeqJEXW2XKlA1+gd433VF70mUS
Ybac529rL9p5TVEfiuDU7EUlBto4k8R6bAGnk4QGt3HQB5ybdP8ac4Tv0y7mgA0zNHTbRBfdEPSy
MWO6dVaivLuzt3IZlo3VhsqdyZrI3gglY8k1NdoZHkqQThOf42Gwl6YFAYyvVOI7OmO5y6cn+hAX
/ZD4STtEO+yUeC5pMhXP+ShGiyj22NwtY1WckG44TdOrnp6bJpYpo3TDLV3l66+LxA4s9EyEA4Cd
zKAqt6Mh0y7U2AzsFK9d2jUfYQ8uX+xhmSBMteLgUtNHeTf8bq/S8INxJxwfqSpyGtZftLiB5Fro
bk/jJnWpSy9GuMfQgT8XZDF6z6wxEm5KFvnDhZFX4jBpCxlvjpw2uxYk2/wExpa6Z3fGRl9KiygG
6w6k6SR0skuTjDI2rFjql23G9slqBg0HQRENEzJ0m10Kfhgopg6mtZEeKGWHeaICVNEs1gWYwxb0
pctSmW7p/FPYFTWNOUZX+hO9YuchybaTQh1X62HeUC9jJynv8Ocrmaf1sfDUkv/d4hp1fUwg0XFY
zOZ8xMd0tbKVPiL3F3eO2Wk0rPa5l1dj6nN75ubL/jd9TmSnFCBg4gK4utFYV208Z8oDnaPLuMVx
697oxujEPl58yZdSETnfCTV3vzWLUR+RosdHiZOBwV0bbrRuqPfs1bxFgTK8kX0Z7fHKDays60ic
RS5lp/Y4NLf4OKFQhfidrjWC1fcl5PkbG7lX27eEnq6EgJUE7LRLYefZUfu5ZAOMTQdaPI6jtVsp
hOv/REVDTfmTNg3nnZNDGpTauFqADCfFAQOT/1JhNZ965tDycpnshu/c390bhAO26oDHPlsKGaGt
dNXlJLg375LZSA4NBBC/Hs3a594wHaDkhA9DOmj8Fxcd93l+5MjqmK9ZY7LZWhs0scljXErM2j5p
0nTlBjtLBDGz1eojxqs4PKBw92edY1kvX9tecbC7qw0uuJ6tkj5ott9G1jPj5+iNDlN2Wk/Gp5jV
xSGpbPuKqLvGq+bPet0yQbtmalziEzklNE1vFpP+cdyDz1NbHlybQdYycWhJLUdzV4vKr9hnXsxm
aQeiVCr+AHbgy4IfusC16YwXZo97Vtd73SN7RO88ZgpaKlXlMyzD+rrRjelMmLXItgCtikdofMPz
YGTtWQpUxmvycgrWc8mXTEnLZ65SE97PbGPSEIk9OD5hrAhn88A6lMdpc2Y4NYtTENlQz7SWNnC/
nxXY5WPeuMZubqj/9KalVz9ZSdcVfm3V6RfRoZ75s1sY00YKSSdv0mIgoaakI1XkRPb4hIk6W4Iq
jQecoBQaPsYtGCmOcHxd0RMlOsOloor0ZlahEk2hGSQJ7ATfEI29UB0QMefGo8W6iIPXZZgW4sAR
q/yMZbDbdbgqvRJsFHYI0MklP5ak+GzgTuHvjIevOokjnwUvkTY7avJzCN7aqeV2xq+oxVojGdfx
A2JgZHuBYYcLxNbTJ7Byjy3gEA9uIJ7EMXGrI24wBYve6CiCBf0URltK6ej8o30ivxkjtbsok2S+
FpYW307ZoBqe1dKZTnRRV3Z9y+rVHXlYm455DoUz8tiG6PppFUhMz51aUhK4h4h9mbmgsnjtKMW1
YT+T3ay/YPuoBiy1inu0RTuuB0xTb3zUS5fZbenEpsGncnASy4ajhnH+1OXqIjCaZb0OQW6x8cUl
yXDCzUFAa+Q+kmwbSBkmDJ2kudcTBEsMFSIXQc9D/5pfLcgW9AQR+m6ZWcchaXgSsEYGU4/NHUrI
NIZRyKNVcP4CVOTcTpMmvLK2FXpbaNc8c5qUG23kGlXglODrz9mBpBMLODu/SApn+tRQuXiD79v+
XFOoF5SWbLoN/kTlWWigXhxoiZT9tM20YmVz1dhE2sIjo7ajPohxSV3psYzyo1PF7iXls9V3+HQi
3maqVA/4RwlUFhRKsnqFtuRNfR0Z3ZnlzHpp/XXI/vdY995Yx/T00zjyZqr7H+CSRfvU/jLVvfyZ
H0Odi+xvWuCJwCnppOuZ3X44AsQHAB8uYxv2SX4ULiPXj7HO+mDyR4DwuqoO6dJmGPwx1hkfVI4D
5jra0QUGy+mfjHWg6BmOfjIKQGPlPxAUbE3jwGy+TuEDhtRFpfeCpahDstCEpdAUHfXDkFiP2aqD
0D6DJFKu6giRXftkpgLJxFnVEzqooYOsikrGufcc4pp7sUCkubMS0hYbi2WZJ1thX0TZ0CIaDvEd
QxPZ2FW3yaWlfS6rEOpUgrRHIZoPebz+Qs1NQg3eKv7EL0IQ2YDlGYAeddGhJE8cTql+C2whPWKy
K87CVVFiesEH2xXn3HPiLZ4DfFlJHh21oSUEFufIUrliGZ6+alUcrvlJhwhYJX3XQZU57mmmYJKT
qTXp15OCWGSv6pe26mDziyQ2lEa9022EL21VzDQ3di80Jb3SJnzPIbIahlxkwlVpK2ryDhu1rozv
xjzz6Fk1OedFnmtWpY4ljKDAB4QDAHaeRw0LucDM1OrrOPIiRsMTvl61v2JVAesXQXB60QZXlZC4
OPCuVTlUVw2x0/T+vlx1xa6Pxutu1RrdVXXEKm5cy1WJJPjVXFhGMl2zdgBPhkt2R44H7XJVMXOD
FT2JBXtXDdkQIDfyNlbdU6wK6LBqofWqiirIo3FjzlsDwZQOhYOA1ef3UEPB0KGqtsir+aqzKo5y
wGGK8lqXyz2B7zqoV11WYvTFKtLFhODEGMDaCw/6quSCNkfUdRWkPcbAUPGNJenPqlX/lTNKsF2z
Kk9WdTisaGKqhrG+o4s4PkdvVs/HF0G5X7XlsBPtKenV7FaUogrwPuruZgTtuTenjAN1mhnG9cL5
4FxKsexm22YyVlY9G5Q+0naxqtxxawxryly9clcNvHyRw5NVGe+hf1yE9JTsiVUbZ9aqoOeVRarA
seOHetXXi1Vpx6G57KdVfVeVwTjTV0WeggV5CdStvaM12d1CO8gOyC2HqgjXBFRhOhd6jbGgWLX+
elX94UtW+yTJcInnqytgfPEHoKToq2NgKGm3VlRUutVNEPXYF8kK4jHQq9B+IpH6zVz9B3Lmqcqq
wDyUPNJ29upTmO2ChTjWBVqGMTEoUuiPtlPclYOxfGpXr8Oyuh7KFwPEFPGcAjhLJsrFI3kRvZgl
xtU3QSA2ueJshJkC9pv7jG0wCorVayFX14UTq/l2MBTqnYc0P0tWd8a4+jSsniybA9fu1jbajjSF
i6GDquK7DouH1PF6MFgEBfibLciLnCFh9YQYqzvExCZizWN3tMKlOOAmxflYUbfcc7N87Eo3Ptgg
zHZka6gUXf0n4epEqVpVfFvIqmyNlPl1WR0rRAjSB3gU00e7qKg71fNyyxeKyaVZ/S41fvkrpZl2
4+qFqV9sMa67M7skRw3Gu4BPFdE5ux5WL41C/QsEV/w1yeq0KVjLUr07qgNt8DhxjFWMpl/NI+Zm
B8R7Jn/ItF7xOYY6D92Load6MffA4ynhi+H4WdoyDRgiAG/Ms4k3apis1bXJcCjpy+iLpWXQK/ve
8Vx3+Cgpz2bQSF3s340krKe02IjcqlHPZFVX5/S1gmPUlAccEY2zkRL3cpy59oY7ADVsTUHtsRLf
k8lTD5mKL7tUk3qjJ2n5JYNtRzFq5F6bpBsObWtOlKDDI7yO1xHHtoutidf+yUpsBBN28Vcq3IUO
icZQLwaHTmknzNHhgRJaPllu9xPHN/ViAeFwT19ffMqX4bMLuXnPE3HZ4iwfLlpJB24xjMmpTSww
e7PinvJeNFcdU8d5oo41BvM4I0SYV36ptXKnuaSTcDtUvtnWxn065vre6niXTeiUuwgnyLfFlj2q
r1s9CaNeHy6kxx9WseYjdOABoT5O3R3FqjJgsCIBM8txq2hhdKVplGwRPKPlG/WM7RQffRGZizfP
XeW3k+6cOaur1puyMro0bBZ9Rqqx7VMYXTaV2i/BLI0+YIvWHVJ3qT5mPbgMrUp84MXLVcqx1K8G
CmpghasLKQ6lEERNp51Vl8OFNkidbZJMP2PDTr0RoM5m0HjcxvzEz2i/qPYIAcCX07pxH9EVYy8v
RvUhC2mf5M4UMU3o3qxb5tXSJ8pzBd7oWEG/3xHwbC+1uMgOplDgBCJSXmfz6HyUoxPuNLVWb6Mh
JiU02OQxZ4LAO0an5qKZ6y8FsYtndem5/fdNtxAHmIQMaOXQPJxs4BBa5cwsVDZYdPzEbKwInEBm
3mhFD28hT2MVuwTd71mSJPKuNzmIsKQk27wtDLe7rmWd7cuIn/Rmquw0ZbnVkBOil7r+7hIEPgxZ
RCX5NCoMGLlPTju/GoYi3Xdm/0hY7MXTQWbD6cf+S9pZj0Sun9Sw/25nyyPtDzeFhv0fCmnF69UY
tYiB+GCy71hsVUeayO27oUr1T1gximc24tN9E/IHhwJR9cmK565Jj5XkXfTHqm7roQsyayK3f85R
i3wAkalUNX0U9k6QAouj0wTbFCvA1DtXdVfP1kNrhd97EFnOPhtGvjgQIjoVnbAQtmGpBoBUqyXI
MY6fx1WtlI8VN1DOXu4AEjNMd3UK4/7oKGnjtWOiexzyUja2c3Hsm9h+ZCVef1btUCZX4RRlZ3Zk
as0dUaAoDDIWsZTHERQmCEZ9gJl8daKpVT6adTiZdHLCSgc/QiT+UNux4RWKSsm5WyK7W+09dsVx
00wy8wD2E5CR4h438ri30DhhBnT9Bf/PaeeC5mN+jDCRiVPv6qRhVKU0Nykggk/EAZU9Z5GPxcJm
MrJ0+8gTBBqrEktYIhk7o0KbMYzK+qLh2zyyad10UTw+rQzOY+NaDD1C6QOtmGZSVetxiy4K/CYm
U36MFzDcgXIDRs0IvYcng/BcO3HQIiNs51Bc50vUekmtyMMiIIuDBEEFzfX42KlQMzQEb9Bc1YmW
S8LtoOg+94aVoR+DB4jrISb007o+fI7Qb+Ks9MdQVNguI/YzHc4GAMS9s+/VSmdLoOcB7VbqdzaU
HKPZ25Ip35CB0L5aTmE5963aF3b73Au7Ts2PYY1xp9vGdRZjsPu3Nld0cTe/O8QJ5qf/X5r7H1SO
soDMhkTH33b4+t//gWrMH/l7hkNV+6CiIkMetw10OBMg/98znKbR5awJa52fXqY7xqsfM5xNX/Oq
PQPYW+e+VdD7McNpHwwsdaQPDaCHrvaPRjj9tf5F4sLk37XOgsxy4g1aMK+JGU2pNULZrgBoWeTb
cGcWG8e0SvUMh4tDbU1S293SBykY6Vy9BwNFXCQtqry903PRLc1mzSOgWjfQmMZkaw+U4Di3scWj
3aITKSlird9W40QuXiD55WRR3XmP3jcqpBtZ9OTDgXBq3g6cS4iNddV5kc3Y/6i3d0jiOezecT1N
R+qPB/XAcX4+n0UY3iVGXcG9sh4UFnUBW2p7pf9D6McxdcKkQLNxMvVsWxE77iIr5s4VR/2obNx8
JLPkNOyfGZvqkZPPIqkg4EZ8s5AtfuL3R5606NrhHGGLzLUedSOt60Mf41AxpMqENQ1Y0QZaYTzT
LTmb5rK2L1y3G5Jty+0tqBWFPJlVzV3ALX/osaZQQRDlIt1X+LN2ycIOD9dTwV9MWjGcCImEw6Vu
hsVjN87azUjD3hCUXQI1v20HySp7hlXQSlaIHF8aj9Xt8NA1Yv4ULqVtbTm+sfudSiikZGFN3ig5
5l5/oMSthtfPANrqqJFCSwcfFzJ76FZrTiOezJWLBeZMRaqtNnE6mgcrbO1P+Lumk96NbhvEiai7
XdQ2agbniWUWDSyzel1bqa+zjs8Do8vCLSLDxLY56WyQt0mibM0BOtKGjrmm9NSecxCwh3wP+5Ud
nxww2+jjOPpjl5RbsjqD3M1grPigZVWZ7Fmz8bsdxurTQt5gl5r8GndrDbIPyHZ+ytdIxA42vRn0
5VTdakUTnaVWlz1wBEXyUgdOUgiyHY/JSKqe3tiX0Jcb3EoRd9+IFRpA/EzjotEmbfClxFCD5Dpx
um7cy8msIQ+FTb/tCWgdIzec7E1p5OktAg+LQjPqqS1OlPIAflQ/dDnYK+o6w8/r4YSJMNHcL2GO
92qDe2dIA9nV+l3IwH4YEcx20BRsJqMibG8dMTyro6l4AyZyjzI34pX8AuIDTk0jh8c0DQhAlqOd
cisTxzQynUf8K3owsH4PEUUWTUMwwBPS0mRreG1Y34Eaay5qR12+sGwOPdDq86c+rvJ9uIAK3CqK
6iabSuGYO1RKezmXU3FRm7QSbDpWtTGuwtUe2qaOp0Vh+dGSGHBHxS0OsHDkfVevXCx2wtlNyg5o
2y6IRYBFgq5k9mrsUFC0K1L12ozqfjvDPnR3ZSF06rNwM4dnLxH2HiP5ZZOH7o4myuxboaXzoXbp
1ZtWMuYwze6mCLvnREUxwvU9bk0AJvu1+ADChf40jfM96G1zW6TSnTx30O0m9chC8j1ikaqjqreu
xhayDS8Lebufm38/Ff96jr33VOREyNPq/38s7jK8tF9/fSz+9Wd+7DbVD/wVKsBafvocXx1WpX8/
Fx37A5eutWaQVlPKywLzx3NR47nI89U1+MuoaDFYe/79XNTFB1MHPMqjkYob3XLNf7LbfGODsgxT
YIMC3I0VF6Lzr7YQOU7q4uD03iMvcaRiOGYJiBnTPYl+DR4BxilOdCLHhYdd0fF++qx+Z0v5da9K
moztkqPx+azmM/21KQUuyQJmcuqCsdcH355zC9+unrF9ifP9v/BSHAJUkoO4kF6jTRsjGTQtN7tA
aA0ITV2jcqFlEubwUf8L74qP0jUsRkrrzVFj0aYUgINg2pmmmGlvqb2mA3bXTfZ7TZSvXD0vHyAV
TxyhUHoMjlG/fn2r4TPNTD5ANw5dJFn9mo2m9X3CWCqLkBNKaQAkppt7W0FneMdUxDX481b87xfH
17dexRpewl9fvGPtFRpV1xHyFBa72inyC2Aa/4wmzKuYHNkoeqPSiXjpa3pxKx2jHeqwZ7jCPM21
WcDlMKfaHvykyrnB//k6+TVcar683EoT1gkhcpm8DpdyztDRcrs+AFYPRTJtvgHi/u7IMt/Awj6z
4Gr8dW99nv5LfsP6nmGXLH7GJb/9GDn46a6OR0vDmWW9Mo2FEeOzY5T9uhfiFh+6GV+WW/p/fl/r
l/GThPHyvnRccJgiVM7tBgftn7OODFZooHXaE8IYaOVTlBPdTZczJjbiyrn5znv63af486u9ujSI
b8OdpFotcIZR24TEBeWQdxSg4HoqOTlusHx++fMb1LmRvnmHa4mvaVDIyAX56lY2RzBkYb1ARY0s
cclyO/sk4VgegAMxZ5Yy5WhwY3Pw2NaZaL9apCiOlWnse9mUwdC7A0wvnp/NaFfP02Qoh5lK642O
0eh2AUsLDEqSPayXd25Mr02D6zdDiNnGOYgFV39zxTktck1JcD6IR7L/+Hnort9Mkzn4RMfWQgUg
ohW9IJ7Bp+frrJA+o8hOV6BXqgvmFfrAK+leMprId34L5m8uTQO/LiZog0i5oa//+/PTTVzIlvHv
PxOXZlHcC10ARQCQRmR6cQN2BNJb51P71H6k7wVe3miBXixZlxyBPjenlrNg6uVTN4CsKTapaKFB
AXzYGFoV4vNyaOXV5Xwme7250InsHJaU3TD7ITQbey1Ng4/5qR9j5VMHkW3rGjHVT0Kxdwa0Fc7k
jeNzDD52KR4niDf9tgtNl945yi5F+rEnfnGRitnAarKku8boYaYo3WXp2su+xo0HsxbsxEQK8UQw
U71XyBMESYF0Fprz93Q2bjqQAoSwJJsyK+ou+ZuL3Z+v1rc/EBoUOBjwqyfW/8Z+DDbKxN23fult
dKGkfUQllHrQ4umuXzDR9T2A4X/hFU1u1jCHMO67r34ebjMNMNTSLmjCEJKM8BkHnt1CnBqjYPPj
Wg9/fr31hvLrDYeJm7sNDOK1ROC1F7aV7oBvv++CZIYJqBPjO0hcbr6jN+8VTL69TB00W0tn9+2q
YLdeXaayN4dkHEqegiAszkql1g7l2NvvfIC/fRVhORxTDIwVrx3j9CAoeUf3CsmmRm3wH7jKnmHD
ufrz56a9vY/xblCGHU6LRCxep9LTWMHRWjGI4qQoPRb3yc6acomPhN48wbDKkYILX7UNeWyc+0aX
QSnS+L3bEvuaN98fRxg8vRqBfO11xSoZLgCngw1hG1nQH3GC7sIx6XZi7GJna4hFHFgsYmtTy29Z
Odo3aZeMgTTV4ZzCaOMIqf7djtTf/ptsFkKs/lzOrK8eK1IoCokAow2g0RQHtTF9V8XBjFezvggR
ubYRINbHzOSnTAnLfNmvaA/a1OlmcIrSs4vsW4Yf7SJ1SKcu42c2/Tox+666nWlg21RdbO5N6q+O
xQyvVe3eO1zov30DZCbp70C2BpX06w2VRJmbz87IhxrNN7Kxq10/Cvkx4i62rWrCXaQo1W1uWx1P
rCY/UhD+5MT2HWUy7pqdCLeAuAY/Ukv3ulzs8s4Ry7eFPcrRcCJ3N1Zy9sY0UXhWdBmdc7Cb3rk6
19PI65/1Ck348Q5e3UbGDtu2LOc2mJVEHkOsx1CApsJLFNXr4oabfA+AM0nUg1HOA440pNk//xOM
33+IjkqhOa72N50Izsy9ZDb7dgVcErfrM8f8wrHqCk9Ugc9a/Vpmw3RP1ix6btc2rEFuAWVHXgpj
CHWq3elqW3qNJWzsddqYb2y9r7YRLxhM7AVAlkvt21xoGrdKG/0VSyZdqh5uxHv8RM1eG0z1pLBk
2i9l+WQPKtlcXkjCcWX557bmO5/526ObYzENChIKmGSYln69aExKG2DwcUOok+y+CME9JJmnLKjN
5WIa75wTf3PbJnyEB4VzPX/x6xriFtB90XDTCSpZfHdjh+phDc+HwGT+ziuts8mrK4lXolrGFcKy
QTX8+raAlfVww0yupEbepXjk7ulShWyfz0wT1C5jO1DJERwpmn6vwOM3T19LFRBEyHgxm78u8Ogk
hp4Q6EPQ2/Nj2DlXk12vLaXfM7v7wshreX++ZF/Onm/eq6m7jgZyiBzGq68QCGM7xTGXLGN4cdMb
nHvm0PBmTMhbSAbf1DC/K+Ns8uRccbgRTrwdWtngXlne+fX89mLCwcSTxbCF+vqxHPfdYAJIboPR
KTtPrSBoCAygpA9KuTWj5Puf3/lvHpr4uljks8AnVvr6jm1BX5B5P/Elz80UyEoLtwvFiu/MiL/9
fDU2GVxJfLzk9n69lpKWGIYmqjZgRqb4cZjAMhYQnKwQn83YQjyWpGGhUNUZOpRk04847E+DcraA
knvn9/p2KHcsjamQoVwQRXr9ex3n3kQ5S/nHADnxI2nLXdsscLxnuZU5INSqzYsgWh3rZdqr7/ys
tN/9gjkN8WGv4UXx+lrr4BLrBoHgAAdV9KWyG8UkGSO7yzbWzHxD5y80e8yhZAfAlJB4G6w6M2FD
IOVu0EnIdYxEps+HyAAbq3ddr21NabZf/3xl/OafSfEpUUB++pxzXuOsIsWJZ7Ow6sCaQkIWYhl8
0dauz1k+fucj+c1L0dgjbBc9UnWc17ufONHaqm7sOuiWMP9OBse+xv6fQ0ix1H/hbXEGpRzNWldq
b+5qVVEtXeWIOsBi11zjgrR25WyHZxTDPv35A/zNTYxXYi3CEREI1+tNhU7OLCl7Xik2QHsQTKhu
EWZ0n6fbsoFCLiA2UFXx5xf97UfJfI1/2dLEm0owKVVaCSKzDmbsIFtCUCP+w1z3GlV/L4SL7Pz2
CcFJQ3VJ/Nlova9P3A403V4uROIQVdR6Z2EladC1xLjQXx0W5P6bVvcszuRkr41hVHZMjv3kL/Tc
5DjMTH5cMVkJ9xC2c/ZJx7sXedB/HeoxMvDQ6NB19ITlQjlPCeO2OxllcJ5aKDzgb3lLxta2Sgf3
0GCO2o46TWM+M5XIDeIZRcun7I3MiEwj7Q4o9KJ5mZhMfUfn8mT5OAAj/YFAUJx/s+g4QrMAgm1F
ZHHoiVghik30sc1KbT5kgE/ph4i1nPZAtdKO+TJNStD26dBemDlJ7XMBRje8xkqeFWtyWxl3+UjR
w7TphZvSDZgOQpKvL1b/BPkNOkdBE9wO8O3R7Aul3NMAX8CYko0OmTqKP+WtZQCZhYmTHDAryGrr
9FSX7uY0nqWfV3PRnJKBcRJmi1uNCGrtCEUKSN5MaA8isnqWK22osnfIK92rcnM9XMXor082prcZ
F0o3Ee6mn/S2gqmAp6trk/lqDO3hFpx90/n0Ebj2DWXwDjh11Kj+wCF22tXO5MY7gUGEhpRKLsuW
ohM3KNbggZ+F6/qPqiNC/XVrOh9BIhKWz/LSALGB8Q7TWmXuc6e/Zs+76wk73gMfzx4yxVFvOpp9
NyFS6V5ZYypG7V722bwj47ObIru4IW60ATEk/XQp4gBy0UhLW5rvZD8cjWEetzoeriSlSZRIBlJT
Mhk7KM9fhaGM/gD5lH9DYwcW5jffFbEVCHcpN5yYF5oyXHnW4oD4YnfIsAIQ16awh6eltsz9YKxa
Ii4NM84+qcTpLLyDV6abNz5VHPFVSrPcFkuQdubkWXRujHwfTAuArmIyiothBqaiXccxkiaOyvAQ
uiLdTknac6ho7W3GU8JrW3u5hsx4qDvRbeIFAma8pJcQsrfTKJpjOk00Uakpub2OzHsC4HyLQZVm
LyOCjB87V6EjbnIlggg0OtFuWRqMaErXe6FOecDC0fWGaoXqc+G06qmIbEyUXW15k9o13y2lLrZK
N1Sew8I6sMvSPDQZVGabut0D8UT90M7UVLKkOOratIPop6GCzg+52tcPRRzubVPcxv38YE5h4Y8q
aNimDx9ysOxEmdLcOQy9jfdGoZdoMZW71HXCYxsalHDJ0vHVRAB1GeuFTIILFJe54Yay6uGqlg0c
2B633mi0J1Dq9sp+QchUaBMCZrF3jC7eU2qa74vcGb6LFsQCTU4Q3D3ITN0yb/uyLuiU33DSbGRI
wbnb3aUl5dEbnYvnPifoP3l2zRzBw5SbRCL78bHis7+oR66yhMokEqnagUDnTIykK+EQLw5kNWjK
Ez8IPzR1c25PzjzKsX0EiGa3YNT1UIypt7R686hoxk5NJO4hBexIFcBtK58nG6Vyb6SZ3nu504Ck
mUvNdk6KYnW4fG2nkRtik+b/sncm23EjWbb9lVo1Ryw0BsAwqInDe2fr7EROsKSghB4wwNB//dsI
xcuMjKzMrJznJJZCIulOOGB27d5z9jHOtGdNTZO2SY9ty5VCZ1oVW/hJw3NCV//BLjLGuWWVp6cx
Y6ruBmlzZ2GY29fpgOUK0Si4jFSb3zwzop6kv7vaQM3iothkf+20jL3d2iYPs9FNnZtp0t6TGPLo
R0Bzv0cZ6ZUcvqPB3C6znF6YM5U/WsxsoMVKbX1Army3HNHc+6Cy1YrHHbc60fOho2J5log63wfc
HdyMxbQDMducF7AlYTrhEbJBH7/RhWMMkulk2XdDz50AU6/5khAp/2ujRL7PJ6P54jeQnEna6YoT
GnkswYCs39y6YULto+vfepFbdtseiR3UT9vAm4pbaRt7mGcyCq5TD0uQHBigBpxKg3afc24qj2QD
8PUdLPDXJhrjZSfd1JKbIB6jlOwM0QRhyWgQiXNSrPegMZ6RgCdPZpngp/Hb3oZX1CnjtQoEv6Kv
8iC5xPbCW/Xy4XWwp368jaMoxnmILrs21XJbd1LeiETwUx2VHgTm36ehs91lQyXSnD2VJPfZqNUH
rTt7R+PMvcdy03jksJWYt/spB7w0raAPMi/ui0INJMi7gNd4iBoeKj5dmvDNOS8Dce8nifrWDnEL
+xxmj0653pib0UfPWFklmepHA90G/GS7eVRuq76RPFS1YeUteCzzJksPXNn0iGCWH2v0eKhb0ZyV
lQU3y6DVt25W7Zch4bouvt/8Wltx22wW7N8kehAmcibFYj70Qac/g1G792JpjBHldxDfT+kasjV6
KCE+lwzaB8hte3RIJkOAGc03Ftuy2o5kp4cQCJsGaHGCFkf2faQ3COKtZ2XN7n3q1tGL8pL4znP7
+sOLvXyLjQAGHkj7yNoMCJk/3d6xd3EncV2SO7WNjX64rFq5I3Kp6UXCHYKgHKVHR/HdyjTi+z5o
vGWTSJcKvDIlEwunKXA3RoDdu4AmzhZ1SnROyo4viIZgFSSPRbfNFlX3GwzOoOhkpd9QPs8/wM3q
Tz8WbhhFc3Gy2m69y3uEAcxcbPeJ0LLhVdRdT1xczZssAKlcZdcCiMwS78kIFgTqqhqTezLAK9Qy
omq/FM0yPUhP968mOLRrun7cNlLhGzeDKdiIgRfKoQsFvm+Sa2Og6xWaqyazZH4wY2P+YS51ikB7
pVHStI+udpmJU2Mm1Y3njPzEesmvlOzTS2AykVnGQRjnpaUlvjNwOv7wFW2+EBJdhKPPtTTBcp4x
VqFn1JB1RLaUuF0ML7qKhCPXRvW6mU/lMBAWlPTcSYuBc3hLA4k7jTUrgRyY1RY4rKV+wCFIExfb
P5+1qWVC/pZTA3TBOfKjlgZnpsEs4aqXY/MDb4/1KmI1bodRW9+9IeuBYdlT88hqseBazVQbenYF
nKzN3P67LfvF5TPzufeV4rJ47OT6YI651W48St7nxS6Ma9CZrGa+N3yflGweuwgraN/Y6q4bZvVO
VEXzaHUyvidpNj10ASr2VEvnxDoWEI0heb4JROrewISu/EVDatb4Ol9tDHPNxUNyd8uZONqrPmpZ
xBCQ0jftnJ6BsCM/Fi27u6hU8WEgJ/MoYGidGrbNG6cVOZoWP04fPKHVXlVCv5DXQaDOkvzo4pq/
0kqpbTQo5xtuWvjPqgDaI/D24EVF6j443sHiem2YaIothnCew84p56tVttMDRQhgd3Rgr4AaBJr6
+gny2C366ZRZpJlyliGMZ+yDjDBpeYZePYAxUi0vm3v35lhad4lfsm44C+N1MzVuJ48olWp2oycv
svHYTmkfs+iWC0pqho0NfNoToYDnYZ7JvuHZvDXjsYXE4K8wpIrMSduhBAwY/9FC/Rqg5TnlfjVd
c/wen+QYnAE0wUCbJf9xdLOrsD6EUycu05SJN+ptiObmVH8LxnXOVCMfo7N8auBRMi1LKEiHrJ7f
4CbFV7PC3uxP6ujVRbMNQM7Em7Spj3JcvtL/K9/JTSIEwq+5SLZB/mLmccIJfQg6yZqLok+5gQmS
9AXzPi+F2uu+Z/Bl9TDvkQ494GYnUyLL9FPfGB5LXRBfe0J3wZdF/kNvQqiiMY0RBunSVwxa3qun
u+KYpv7rlJnlgXZpQh1IKQeIHSttnY7JbSpp3NSWfYqcxfqWmNG4J2PHPGAKWLYSP/x2HHgY8R+j
ncppFcYz1k+KC/GWCReY+1TveZxYgOuM02nsNQFsxCD4QRCO/TYpYd0FZbCgWijFM1km8M2oYfcQ
RNxLCQrk1XJ9/3Ee+JSwi0/N3qcu3BC3Ge9wYanvC6MmO4TKmd41GbcBcv04hdtUYWFTCnuZKMkc
mxR0fgYIG5wUdtj7HgW9iAkSxBR0BjtwhF9WkCEkjJt6xgm2mPZblxrlnkcRwPiSrXJRiJiR39+V
wo1eirymzBADOmrfRGQmu/QqTZhkJBLJi57TNRUj2SVuAYLMad37EkRDHSZjYDG0KJbTPNfDrefC
96NGwyhH6nmFZH4iUSxzknrTZAtk4LatOJYSastjxAxtuIV2n30pbeEdXIsGPK01NOrNomhp9Kkx
PQQk7dzMNLM51flDivenxTcW4Ne6ur44t7hQjhHYjEHq/LbgU77oanUlixrWIQMeUkR1d0Pfd4Y0
kR2tyQi+BMxMOed8beuqD0ucHaSgE2eV+VWC92HorC8TjKdTbfvfrMX7HrV180HFWnwUJA6waCGd
9wvX2DtDH++IQiwfZ/JLtsUMgGQjAqhf5HMlkMTM6TgglE3PBICOYjv4pobcl1sWe4zw6ntjjJG0
VrNf39O+qc2NLTMkrX1RsAjVMAQ/yjKrHu1Glo+YEIANpAQIHbJk7D4LbZu4MrLkkxwFsGW2wQ9s
UAGc3Tarn6CgyfFLS8XD55ZyyCkTj5QnCLjOqVCSHSWY1Du7Jb2zpcBUSNOff6qj1H6mPuZkmkP7
OMf5pD/LvO4+da9pImjYDj9yUdFV0EsXfZg6s74RFs1OX4t5etDAJz/wHHEIF1FqEG22RPrTcJVR
buxlCPzdkrvVU9FMLAw6mcZ674NLqPciGOlo9FPC7ZHYPQUOyIP6KQG/QGAq8V4fruXyPYGainbr
ZwGhLwJSh9pUDviG7aB5l7sMm63cVqi0QAIQFE5CcCoqfUkXt+PcaFaDlYSjgme4p3jlJy8EKUF2
GWk/bhMRzMYBMjUlQMeENNpwmApussQU1dZrMU6GRYTEemMsbHVEGPfRx9AOQP3jnpyHTRS75Q+7
x8C/6RsH8tZIvMPHz4vpDkZMrgjjyTRctIkyzbcWPDycJ+oDTKc4dBpP5/Bs1qYAUt3qyUU/Vh2K
NKPdg7Ig5YBJJOlRAWEK7u1m5f6QFute5rarn9wRRQUfIfPWcIwafr/cd+mHtMrMs4tGxTAcyhnh
x20wQKcYPHqjm952VXLrQUp+zufBxn9aVW8IdP3H3A8a8jSVNJ/HROn5ONGGj+5Fzy99tAeT90hV
zrtOq4gPDzp0BRJgrKH98Znw7NL7T+YtfRmu4kCkQMciYevPlNNLuuHNrgbcQX9PM52Blu3bhgFG
UKbZwcxT5NKFyfOzGfk4l2NF/+88poQtw0vsqOjcRKjsZHotTRTSKQtspk1K/gnPFAduNmH2r7Ds
13ChSvbIquxlWor7ZCDyqllLyAJHJIkxaANfLPJedxBpzDMz6fY4lphoy1hON2iZ0ldC/caXEbjO
z7b6f+z1/0KDyn2L+eGfaFCfVpbZf22/8kHSQv6rP+P3b/xdiBqAOkNhhsgocKi6wBr+RYhqmeIX
k6kJI+mAqR9Vxl8MGsL9hYMlgyusRVSUf/DYC/sXAoOYoXmM4v9tdJrt/GmwbNKhR+iHOQMpITM5
a213/0FrFJi6IhypMS7MQYdH6Ypyt4iWvD2cWDvwn3prQum4OoU3AJIQ5HENcwAHWCbbOK+hVOVe
eXGQhYdW08kjrjPyPKIsq8A/kE/ue1Wyy7v4GivnKHK0SaSeFCHJJa9jnz9wv7J4j7EMjdxOgIxk
RGhp9F9BCURGI/AmekcU9hP8n4SSwvbDxYnLOzEO+hkzHiu734nt3Lco5YlNniU8LTBW6CMbWqH9
4xzM3TWrPfcAu0ZwHsr68ppmS3/GXt9cZlhcHZ2UMj/gME63WVFNN/Po+RAAJozdhLmeRYuAvNO9
QxlYr7USl/Ou9WBwbkZoXduBSog6f2rWEHOzmo+L2Zo7U60hv27j3pgtNrrCvirTgmDSBRZWdIJ0
IgJLMyhvm1h29i5P8nlDlme053RSQp4S9U5WnFuaOKfXPzZhTCUT8mGVF4gj+d53DWABQK1w5EUs
4gJRw2THU3WcKsdyUdZP9FMJoWrcqtmOc/KKtd9+GUvXO03CH94rWAGbRDcBXjmHwCIF3sbc4RJN
CflsDOhglwFcwvJU4fnP+13KCdb4lUOExXC0Lnpj2fdUKZQ+Va2X0HRr0g8N0SHjx7U3XxunkncB
FCFjN8oGQE07D814KG3dHm3fnQ7YpyHppwyQ7qey6q6G35kdTT7OoN1GLljdMfCl7g34MDPM1oTa
nZEvRr4hvg3/WYZq787ATq2MLUmgU7wcathRbXtbZ0Vq0MehGyh9FwLJQEpUqAaIk9XZjyqAee+1
HbnXdmF3RXGm6xSDP3Vt3WYjh8u8BExdS7owjr8Mw7gnmXx1yopFtd01ILB59l5Gs9fmkzHMHn10
I8iKMgjtdegKRhmh0YTHOcetYk635L3Nqtk3OqKEwxxrwURQ0yOotKXcYENqyPhKLQwquRFPW6aF
sF6If8XFl86D8Zrkbppv7YW4vU3nlRMEbBPfaxU0n+4Sr9m4TNWvVZEYKmQladSG7TV5jdwqL++M
jIlRyFzBvF+G0Rv2heGPEYaTpK42FlEGZ5IpkiP1iwHcFW1TOMp+fmqjxI+Rq7bTW44Xm4j2xnM+
4FVBlI7L+H7NDr/nfCx3NJdJLk4sILq8ARPugXZ3DMRMiGigBtK5Ug+ebqtX0hamfuM3Fl158AnE
09AHa092lkWnhLjxk1Q+LSRXw4vD+Dm5W8sgqmNjWlD2umHJqY9c7Ooba0hspDi6u/aDXz00krO0
3wj4NAOtymyI8cCo6UIkLnlB2CiX999W+f9siP9iQ8T9sCpR/7Ep465u/9cN8fdv/OuGiBLDY6tB
MwCj2WKO//8di+uGyBYJWAZN7k8gze/ODIHNkQkMDSnEKyaSBrZRvW7A//Pf6165+jWYMyMRpK1v
/TvODMbTfzP+JFHJZ8NFO4FSyZXi73Q/gEuV9ibfvlmQsLCqpPjhumhb2/DyCNkzOhHsVOmDUB8k
QSYb9u/l3bALzwp5jI+EBBs3Ee99NzecYeMZtoNfL/q2jqtjgiz2LJvR38K79S51XxlP5ByrsK5i
44LCjzQ1UdI3ZoEgtTnoSDurM+NgEcu7IfuuCT2tGfLVi7W3myaFXz9EziFrWDJ43wCf3Jg9mELZ
KdszEiAmU030OC7NPRQ0WHmWyZlcWcdGKwfXnKTDAV+KjDaSJ/Jgi6n5s3cteNsZVuFyaAFVOdV8
S+RGvBvJjpkG89fEYIbbFNrYsc+TLGguy4GOPYfD2D4YZP6+QQTMdhro2HYpULxO7X2bzwxZ45x0
Ebtz9oVfSnZH1R6d0uP1S9CAXCmx7SoZHGfdp1c/JoWltKzlyLghoH9KKNyo1HCMuwwAZ0B9rPMF
GGVqcTggUFyYymFdcJ1tnK7aC5ZiGtKFPuepf5tYQbSxnPIKk25E7OAfgrI/KmY5sHaI/p0DEoQE
vsutHZkHOKGIL5L51aUnGA7d+kuARqf/zAi5mPs4bF2D4Yrsv5U62DrTVJ4Jl0svqkX56EDKQyUI
bbRQe3dpCAjOMYWn9FI2jesdgyg4d/MKn8gBn6VLZLzOTlpvHMijO01dgphvmvb0SIDBEppxsusk
e/YztZw0MMat75O4oSfLJc/HmLd6MgU5NkQeuBLKQc+YtEGsuwus7EPR47nQzTsB2eBswfhg2wMr
2DhFfEgctLpBo5ptweKfZ81zrb1XOS03mU1XIh48sTeqFDaHuSQHX5WYJLOPjDnmIaujNhzBD+ww
+Rnnxg6+CyIgtuzM7pZ74rnQ08YbVxRTGz8GdVbv+zif2R+jggCLtQNigcTUABqszj01dmZ9zJwH
Q6Tll8nIv4EMmXZTIhVsnWw+gi0ow2WpJBZX7oW0IvPbj5U4JosgmJDha2hiQd3S6MWqS/Rq7k/R
1qs0Skji4w8WSYA78I5i75Efuo+c7KW1vfi2MpNy78hvcaDN8xRj13SVZzwToFrqsCevaesXaXrl
RCph4XkmOyu5TxDP2mezmnAu+rDBF18KxrzLrWaAu5dZPq6afW+/5KAlqb39XTXB3+9sw3xIvXbZ
mexlO2KNYNjhG94mnQNm08+8k0WbP0xjORxtOyYTZrAvnCTRT8EOeVn1BfteIl+zAQiGHkC7rUsA
FM3emmRqNzNfoAdAlYScx5PbMHRLoB4E/WLRQc6rp9xwZrINevNsdXqkUeF5SYrmKE92npIjcP6S
NPICZJ8zE4DAW+1vMA87fKFxUyGTO5C2RV52/i2l1R8CkQN42lAm9BLcrr9wPdWi3aOf0MxDHPOD
vpIEVFe7ZzXAcs287skE7k5uhneWiw/zu3WvOHsaBstOvUuoEDYLUJutEBMZwE3wa98V15ROTWT1
DwW+7Y2ZpdaBEvF7KZZ5j6n60nb+TTry9dqvDiNaFU7WFfnosUEmHulI2znC9b3SbDaWSL82NYSI
WC5Puranoz/Q0oIHRdyy7LsQFdO84mzR1RBMEpqx194Ss7fvS/tr0IDxl9D3ibHR7hMQ4xjBcLBC
Gjcmj9phEs33AT/xxl/m6I6+lnMwC8s6w0LN91mB0Y7ICw1FJV+HX6U8Jo55Xxf2h+cBhopFdoJe
84pImSZ0iq29mB3vhPigegai8wYwZdwq5X/3EnyqQ5R2IU2+Z9vqL77o2jsl7XOKdHlDo7O4LRgH
I0V7KJKISCGHOHXCHX60LTmdaUBigbv09UGQr7zFepGB9eyKmxkMLaJzCDyuEwXHgq4r6aAfxE4F
z7MgMwi5zGXxsn4/2HOz72QxbFFFYyRelueGRIQHxgQ3mcUmNBnE0Od0W0OCdtBD9y4hx6X7pGjT
bb2uSS9zQ2BsS6k6QGGi2oOTWCRsL0nZeO9FPn0Zo74/+rP/WWNR3CRxkex7fOKHqZqMPR47NwTc
Hdx3xcDIC5tzwyGcNz7eQjyBi+jadDSja50tADC8dD81KdNJTzA6S4y3PlBYY4zp00kVkOKi709y
WFrWGpzfcxR5R9bf9AzRGGU9ky8OMAye+1aWG1nYziFF+rGP/dHZ24Vywkko6xD72dtIJOKJLt3z
3OmLBnmD/zn+4RjKPxdVEe0NAC9oazxrD3SUrBRRmmep6ODVoGY3C6vqviUPGNQpqdgVdCOOey8i
7SJCyWKJbIfDHYMLOKgTNLB6fO2igTh5+AkcxJjLcveV8j5y24A4ED+x8/Uhq7OS3O9jY6MasJhk
e3b04vRj5XiwWucWlcDO1TWrN8qen+ehaj0b0Q3z13PSz1NT+/MMBTd9PVFVvx+wqp/nrf+U1/8X
EgglJ/2ff1xdhzWe56+f9R9bTT+/5y8oEJvqGZMGij6PsvUPluffKCEuUwzXor5d7dB/7TRhebbw
sALOD3Cb/A0KxPtl9UgHkshH12EgHPxbhfWfO01U9NIn7N6XvByZFLyHP3aakFYovDyLccHV32TB
Hv+SnPsv7RAw9T4zA/PBLDEJlUl28HXncfR3goJqLWYC7vq4T+sZYdp5DQnPndvKoNmF54HAcQJq
WJsLJtiHPs+6KTrkEhFCeuPG40DfCI57FvXHqKGpL15MF0jfAuyip0JMGLeUxDyTYybZBhIkfqEx
QL8pz+i46aKjAWNSs5p5B/PdBk7fhbXHBH9+yhqoCBirRDz6jwiG+iS4T9OOMpkllimetA0aOX0F
VbboocdSts8GluCYWln+7mb9z6H0XxxKmUKsvrN//Ni8pm2cVunfdmh/ftPvz43v/sLIjr/CfoFO
Eq/AXw6k0vkFk+CaoMITANfU+etz4wS/CPq5tFr+t3QLfhrEQd/jXrdt799Kt/CtP+lxkdUD48F+
5dG9wXT+Z5W9HLy6hvhmHaWcKwqMoZZhawZuuFRzQ/FD0l4VfcyVdOFuyzh5MXvYicjk60uaxP2d
U3NeC9rB2QMPsQCT+K58SOZYXdB6Fc91xeGA4kgyOO+eoyGaZDj3zVfTUXlLDDgX+EW3RvVqd970
oMqRm3uwjfYT/1N9qZMYaAFDz6+V2TAJnGztfkVuwxdhug1eO682vucTapzcIUnwO6LjAKJqqsV4
ByBl11JpSyavF9LzlDx48L2eEQtxyCOKtBd3PbNua2sntfEMsk4xm4FZs8MQBCyaBJuNLlOOjbgu
pjurnUhJzxP5UeSFpHbGxsplAevPKHWMbzKFU4ijGCsCwoN6F+FbdvdWY4oNO+w3US7VJR6Z0rly
EVsXPcYXQvuqnWtF0GhweDJSc8ZXUgLma1kDjDkJDqp0HUv1EK3DyQMVrziRIWm8d5qgpV5PyOpM
jQeKyRjHsoV6+VXplBkwNFcj2CHmZHaE5gSddRTEBVFli+js+4axd7M3XM96JlxefO2VQNjoFaN6
F7GQN7+pWabRWa9ybnEtoNFZz8wZKSZme7Se4xQ2/qZAP7ZKQAoTfnXdWXcaKy9ytk5TiTqqKkqE
cQMTXlxsK7OlbSpEaKBdL1ZLoRP+9sfCwiAUgjdtSX1l6gYvJin5HteZc/9GVYxm7WBhSujCgXnN
EEKkLHuevOnQFaXUdWjJt/HkBq+yzllRmTcEryAmO+jckhAWbk1hUcm6/Bol8N3D6Nc0W6cOfZ6T
dO5XpqiM3ATZYcROTHq5BBWtbESKVn2xYytfwozOLNCMVeJjN63ILl2+gHcz5MwbGK2GVrgfU7Rw
LoowKo4lk744Av0JYhxEBTkRfkFahF979l00kPK1111kcgRTAzimuM66T8LMUT3lC/8vpvXHJlBO
iwOIwK4Ja4NsNmJVDZN/EGwehIJ56y8vly5bVuAeV7Ad16TgBUXq6TfVzzQlfCyL7tS7F/dGKBAt
oQftbfOBbDBK6fUVPb/PJ/S1jLvHAobWphlsrm82xtHr2Obdagl1Y9pJo03SY9ta4qtJFr0MBXmy
F89s1XuDWGSg8UAURpxmrniMsz7Y5Q4t4FPqpK1ecwMcJ0SIuQodnIJfay7RMiaEqr+JLpuN19/e
JejYPj4WM8VqyIiBN8tpmbuMjRgdScvJkbOUZrvT3rjunOsh9AnrLvJ2ahs+UgYn6zXJkHjedXRc
LoGna2bCNf8fzCnTdBnE2tsYNQqjvMbpyBwIDYE/FqxQfgZWlpLZmvdpo4ofC5kOHqdKOFFhZdkk
dcSuIctD3Q9jffFxA2BMVTDPJz/vxm0X2MtRL954NUckBYgs1LvDneaEZo2nn/u0wvwNG0bddLIP
a+VKhOG2QeidtunF92UVOyEFs3+HhwdnSTAHr3yYXrLFtGldUd/RrS44cr53otfR3s/sCQFoQHtu
lOV+gXwRmkPsPvZpp3/NDMdyoN7zWBTElT5Jj2rBt1tubLsdW34ZLsANdjqD3w65gANR1a1IlB/b
wgEIVukm5JIN0HwD1z+OTMJR1a7gZquqpbMTEebWja1zIn9j5H9OtV7fGXjIa+ujR/Z6+J28YDne
j5YrdgKSJ3OMzkH+1ERWsClboZDkps6BAMOEIEJ2jMfKUtW1GGo0wkO+DrP9PLFJAVq7XWM7fxd+
6ZyjFu12RovnsyDV9FXG/eTvmZVnN03rpd+dZhqfORLOp5UjssMRgMYpNV7azGhfE1vobdXkHfr9
ACribBnZBnFEcWNN1cjfTdXelOW8q2Jz+Y5ngs4MFZq+SHf0YTqB0hebcomc9zknJqjD99CEwMyt
U7+0+S1Zri5dE3xZm2jqbA9q9wI1fEU5Ipr47rpBInZE44FcneZmPlfdJO+K0UBBx7xvR1ObIVwu
B3IMipzV/HERTnIazODQDd5EApMzEAyZq9uRqdgmN/rooRpaVpPZ31SpofqrVVVfnHiECdYFekEF
2CPNVjk00pdIOfXrmBTtE9aFh8Qdmuts06AYY21dI8vynyrifygmp07eN9B2jqlfqB2ZaeYXEFSk
UUTyeYlt761nRHWoJ7duD+5Y1QHPB+OQ49BiHKegPU4qKMNe2Q9ar1S6UiXurjATE1TbUgChbDrz
USerEN72mQlmLdLUzGlpLxP7onbggyvO6lEyfkRqKovQEr2boTSDn3DE6wcawrBEsRscet8SJ8Kz
jfvnPbWZNrMV0vfoM/hdpWmo0+A53NWjk32gV1WXkcP4XWebH2Mrm1sFyJXoiXFSXohlobvR3pJt
B9LInrDQics8ZdZjbnndj4HOxceM9qb5OnVmMTzSvoriS0fn6xQXeYXNu/1C+k/0mCRWBBA5x2Mn
rekGBZUTFkyjBo675147xn3bdt4OAVG8qvXK70VHiE9D8CKOgNl+zNJueJeph9oYmdJDoAL3HjV4
7G9yzG1rO86HD0Khf2tGjV1tk940HkVOOI4v+nHH5fIxu5CXutoRPzCGEr1Zq5eoV+Y5N9tXBEY4
zZF+bHVmvls0ArMx0zfG7Iov5FcTzOXncxtaWNZ3kZEkF03yx70j6/6299uj7NGR5T6akcS0elbN
Wk3iZkxIqRigZIV2IggPisHqd2x+xp0nuFVMILAlztSjXVhvUYZDOy68koynWpByjmLJmwqSdRQ+
H20rsUsmL2CnCIgViwVQx8pjC9+jaDCnjW0r55EwVe9BBm33VLcCUWhbDeCws6QL82WiD9INt3WL
pEn18YtnNozDsRltLWdCF4SgdB90ZfmUZvVQbTLKj71Nc3074Yggz9OcjE3feS5mDE2gTzm1Dqp/
c34223a4zORigRbhGwcsKLesQMMxnTQpuF0ZPDqdORxU1UNY7WyhLk65NNfELYshJJNo3PX1qhZL
xto692Tf4O0hvKKNvBPBu/KmzuP5xdQIq8gJ6V8Ren/J0I2Hrmth2I6nIX4ZFAlOvl4hLI12EP2X
03EyY3DAJDjtvd7jc+iYMnubEgPCgk6wJzxohrjHk1BCq1JQAfci7dkdiyRA/eCXpACMQr6qgF98
UFP7FGW1zwCgibId2+F4lJlOt806ppVRtDGn1rpCh62g95Pki7kj1hcEb8LZwF3pL1Mr6v1o25io
+J7p1i9ptBPQ4g6fWQPFShbJuEtzz12OSdARuu77zTEggGRXrKUVWE5i1YaZXi1t8josyszbkfpL
q74aUuxsEpK1suwtivguZOaP3QAQyyXPyuFu0VI5L+xv+W1XFQ427DKYygfA+8j1cre+9uUUe9ci
IL09dI0AESDBXRtZjeJbbtlmvA+8inkwQTYp43Urv4/ZZOOhmG7QAerdzBBrCjMto0dNGXBLf06x
8s5O/IV+ISyKZY18i8h+i9cQuAW0htqUJMOBaJpvXO26dyTQ07gLmsbY9rXbnwmq6y6T1eCqqFJs
Em6nn5OxPJNAdVFymbZNYDfk7dX6V6Te5oFIo5ZoBzc6tLF8pVBDdqxb9JSteMx+y7tzhzynJQxc
pDhjjsHimAbLMqMmacnKo89Kbl6JjA7Duqm+TXlJrh5LXjFgFUD44FQ9F8SJlpu8b43y13mY9AOx
1su9kaDi38UqdftvslPPqp8roEZt2ovIPuAbhK4UTd6BLBb/Sk76m3KKKblUReNHN3iXv3ZjoG4n
hAPkHHEvnHIymvicsznfSfD0/pXcNdd8S0v+xBRp9TY+1Eo3CBSLTYv5x1Xj25KAPBMYD2L/IbZV
88Dud+pKdtDx+IeT/MNPI/8fEV5/MtUTQIKvHBmUQ1ilhQf9Tx0lJiD9jOSlPfotyaajw0kUlLb9
TIwCtpTWSg///PXcP9lweUHhYKjHveSbglLhTzwBYoFmOD+6xpTWBjcddrZ3JnDu19zo6Gzbdf9r
UphC3MWD7J1T23pONIfaMpLyNnOzgpWPB3vnNZVo78t2sO7I/VjUuWVI/jpgX9oNOWrvjSCnhLKt
9PQnaTpOwIEeDO6T7RmAYpspb49pD3ClU5n7taab1T1pnKx6v3QEn2g8PmgZPxbOE3kYyYkDWxy5
DrV+zFkkZ8V4Ln1HvY/FjNo1WaofchmqJyeIqei7RvP1no1FwizFROYhZyNjXTtNDliWET0uBura
fZBxcDjAZ2uPM1/YAv5SlndoE8ubdkwp6/ffzsKl11h3//xDWJkCf2A68BmAM6CbL9GiYWH/cxsx
p0KOPG3WR3dez8tumnE26JHVxKd//kLr3fN3L7QilCS9D8f+890lIZUYTcELFUnBR6xkWe6QofH5
8OyJrxqh8qoLnziEgIRRP1Um/xBP9/evLnGZg3CSAiPa31H+lDFbvjlPpHNkyn72xvH/sXdmy3Ub
1xp+lfMCcGEG+nbPA7lFURRF6QZFSSbmeegGnv58vRUnEuVI5fukKrFjk8LeQKN7rX/9AzKUNkXK
URXdgchOruoPAU2AIUvatl9/dUsb4vz43UOMOkywYitwcHV79WZBZjWglXX1gUg+/vRJxqN7G+St
/VBlOANv8Ezhy09IT85D3FCjmh2EXCTccVAcYldZD9cP9D948zfwJtQZ/Wz+O7z5jXOzhv5fpD/a
hP/rV/8DcrJh+bwuOAQDSWqu6V9+qO4fjs0Oqr1uYKMyQfj3cICcXu2JhQifxfgNyfyLdeM4f/Cj
FiuExWmyvTj/ZDgQmD9trWQFQ3bl3eZ9g8yjQdDveKhBDgmzK1A90NywtCyRJwEy2xjRtj11Qmmi
mQkH3SSG9Ij0OXaPlV2JcO0vPWo1W0Id3TmLKknH8Oq4PRho/CUTuKkqTQofB2lA6oU3s4boGo2F
QQB3j7TqvNCznbUfiwaQZUotMDWZ4aRNJA9aoHJBmyWQwn2sqF0+koXCHjxRcEH5JkzlxqJjfa6u
e7kojUoTeXwf0o4dNnsbDnu37XO9bU9OBESWZ+l8Z7cDPnuYf9kQWjQiglRX3V8RsjK11H2XoWuN
cg1SOY0KOmqcKq9PtdfV4ckXnG19yCZeAAvEKyupjLVFamGqlWDqbi6Uxl5GwddohMs2AZegO+Bv
ZD2YruU9B7ZSd3VtjAcHq5H3iwZDKod9nMIZMMdH+nuJ7ZbvTyA4eJ5f8EdDNeJwCAR6kn0jlv5r
1mmwqHJr+yHtC5CUqDWnlXI6fozXvz4DkHrPc8zvrcaYD+BZ2hFdFlzNdGL7IYsSAu9H4BNwTaH4
1m7ONZnsANAxDCJ4qPDArUa4ATQpaXlG255cnNzIbsIJ/WcnU3WbRemE45XIydEK+J3gisBhbaKx
RMXpumFdc4e/PVDOCCIpYjxbH+1RP+FpRq7II+37Jx/xnrqR5KRbGzK8MiKsMGVK3xqoSTHPnDP+
lGYiBGIV9lrxgssm90VmBp8xAZ+AnDS7TIkDAwXfvh1Kb4K4VCbmh87vXRhPJVllbKTLSwLTig1z
qsQjM/d78km8HY5EPpK8CF+Bxe6ztwE9roskvsW1xirZdV0WIGmyetWi50I6jbPobiblI14tkQYJ
AsKQACU1zDqgfL9LfJ2qTqPFarA7qlNc5QfQITFTCkB7Yz8vAjwRUG/1LD74awnKQogmq0A2w1dG
IjLemkOD6E+2vISBUDxgyEkgzN9QujxrKhAS1C0pPobEE2+RNLPeLF7Lm7rhZD0EWeQcjWwCSp5p
8TEYWLS/fZlH6h73FA7uSpasGPgd/VelXC5ZMYmOV5NeJ7NW/ZA1ghrWGZxj6VHzhJZW9gwt9vcC
46dtgLxnT/4slDzXaj5SQEeP1yWM9QX3NwdfrPXLDt+0+Rj5k7oHmuSWSDue7xQitrtyseuziwI5
310HFrDyuXFD3QCJkr7GghkDk2YMDSwrQL8SY4G8W+esgMAlDABak40jtdL240Ihemi9RtMcRrB7
V9bRo5GZk7Fq6H7rVdZCZCq6gJfTr2fwf9J990XiyQlPtJKvgxX5MSUxgcbPnPkp3NFYYIbDS97n
HMPbSIPlkz3wrc2FHYRT3DkGwP9gNwXa7VYfzAP6q5iHZVHw4cDRkXYSEOV5l7UTWLHR9TP7KdKc
jVk0wcH3OnMHf4rquVV42MnE6Faqzvm+juroXxaUVMlW8FIAmnQlH2hx2LFKu5bJ/dyr5vYKKV/1
XoRzot8UbM8h1p5iSxgyf84V8M5znKyzgS3DNCPrYfCakTtIlXnfsNBxhE/y9mMOanIQxCbtyRm1
HwI04xc/15A8c+EO3g7jb/egRrZIZ+ELqzxnRRkCHdcGfwDrAYEZJXVcQzHfOvRLyamMULtnJpjy
6MKJWE+Sp1Sk6DD71GZrRpTOmsJmgwU++wuPteup+ExJ/PBaYUj30I6z9ZB5RNdtcrRVFdBVzXqx
ekp2AmWopcUEbn2tdlM9iSlLi8+DehZnign+FG+iVdTzycWPqNU0uP4r+G66TxOP1a3nFow5xWOX
elZ2dpuxO4yUf+3uuuZdG1b92oQk46ztVq9/NJTWZUwn8Qj0EPA9r8A6nr/t8HbCEEHtTDRItGT9
gNQvcfR6FHoq0LSheKS35kF+29Kw8EpJhw4kS8kjGGA8ZmHfYl4N94XMeSjYd67P21VgUU74k+T2
0jMSYsA/K6fQfZRApNZatV6X7K47a13TA+wlyv5Hi0RVdB5xPOcfPOmwT5Bfzb2wJok/gh7tiEKK
bTa25VsrGW0GgdXXKlHi2DWNPgxaqAurOYrZgUWxWBe5kPK4KqgfxnUIid5aqSSprOSNPSfzge3H
KSUBgSMlBJU5AhTyIhZxLtGpYRsQRAokqk9F8XbJij+x/dc5QMVgxI8cpd2hGrySR1SZuk0aFXst
72SH1K6CnGlIYrsRvnX+17oqH+vY6k4ENoymRHQiGZn6TveA7/oRv1vubq8nq8DTzZkzJryDw04e
T6RnsF3rwJ61rOGCHhgF6FjE0CGZ2qZBywCXWeynFkEIXiLtTa+nvDDcSPzJeAdW47cueqCh7pOx
OSMtRM14Z+qOG/uPD1U77hgiMTn0A3HXIMjIaNWja9M++wVsJPDAEq69ZdUluypWNo5L+PIC9RQz
IZQnG9u3STGBf0FMlU++47qp7fJgWW2crGAeIdRxc/C2yp4EPLVlZ45KnrwsyfM1yoJ5WtlVk8y7
2UfAd0D8keIB148euGCQiPOAgembUA3BCW8hjjnCt0DnDMa6pbTeo0Cqbw3Tr95g0xKeAjti9Vou
RUkS1ts4zBomt42CSpgH4xnTGvMWxQKq7N7w1HOBp9J7ANv30CPb4oaZofu2zRMygqE7MhBbOrEL
Aehf+rkTn5NwQGAkSY1eWGTb1gvSDbkYYHFGJg6mhq1mNZTbMmxUgl4JehQ5ntltiPfUTJLW6H/N
hrDCt0NGnOPQZONUvhcia3bwjbt9EMlPjNJ1fxp8JpptBmacq41VoPZwckYV9uB1b3vAe8qfyt9i
xKG+ZKP9YGQB03jZ97dhmiykQc3euka3i5+Z4e4jMTFzFam7jdv+oRUj45HOpzLa9mVb3+K0xhaV
l9QnaCG3MXXDaSw762QzwT8QI4OMXYzuTe0s5pqbVoE4tN47BcMAFVQbImSBCpPpDCtWSH7nttkm
oOo0ltx6wyGg2ZVTtYOM5h+LzpnfxhhAOVBcDqT6dftQnxAOuY4bFYvx4KFDwStpNj72kWo3WdOJ
2yXTAzCsy9CemPd5p2FVgML3trKNm7lsinZlhAG/Bxrmfx6mQlCX2PZyGlTV7gHf66eM8l2PihEr
s77t/EG7Yxyg4xkX0ycykJM32OShuxsDb95ldV4eJUjCs5GXT1jOoEy2goL8x67rNSXPrYH5JU4C
C/bzCDGTtRfmDI2KlNQ+D6J0FCfDcaq8r00Su4TREPpiNSaRWwSBHckvdZ6jzoRGHdW9eqIi3lJd
kxoSpGa1mXMz3w6t6z9ELTsKO39XbtOazBYjtYOD2Stnj+cMLG57nnlohSVvktEI0AE4Y4Y6rPfD
jns3eOb9JPPC2uLv3s3U4riEZPdpZCGqsbLSLQ7BQoTPVzb/GBsEu8VJiNSdyJgqMPUkWrpVHTvR
Hmdtg42pS/1DmI/y0ch7O+TYi2x/lY4WRm3NQAeStFvmIeS79bwXqTPIx8aH77v4iPpFN+f4UA0L
AZ+4oYosSHe+XZjvZaxClrhT1hiKpMjrJ5uNtEzFFyGc+CZuSzI6h/4DVm7juezCWz9n9sPhFb0r
GXvj2tb76MnoXYZT3rZz+qH34Ssfy9wXwwl/6cUecYaCO+YIZ2zlNrMMKqeYxi16Ew0ClVyjCQXK
S+vwY9QWbOpIFGQDS0zOZLquPKtbnD1h3Fi4ru3CRacbQ7GWOER65uh8DJOSU9ceSdBehynW7jvU
Ul55bk3thJfXlFwbE0OikNVjYweCH5nYJsRyIn6QPYWIP2nSmJ5PzycT1TQTPNgY1KLFumwlZbkw
qM++6/j/Bgb9CSrCEZDG3qaBtgPa6FdgDT4tRYqHcnaIaoHevKxrR31Y3GXsn9x5gUfiloJqpK7w
Q/DxieDw/fUHeO0D6gqNkFn6L9ib8Ck0Zvdd8y4T36oXe4gPnhLYYaELj2G/CCuyySHuE4wH4qjB
MBE60nloyEfdNn4fXeJqwLbGHK2LWzNN/ee3BcKW45mU7ZgKv7YxrJyRZNAMJ48KDfwerT8sEJXW
1KQTzfF6SG0qn7FcKI6MKf4dfnc10vwBQuN+OKGv/6s1Sa+NvDFKyGG6L9yTuaAVyqx2xhWjxx4h
44Eks2dQRcvQecgJsDxauvyuXJKUz5PbNvYb15+nHPUb2tnkMOgOumnjKnvpI48epnLYaP/xQ0SA
Ynka7zNNbYH+40OcBLIZxwiLAzJ5VPGCIOF+nfh5Q9HkCa9dV8zrt77q22cixub7dgCraBN6+RQQ
9L6s2m/K8/8Kgf5EfEPgTA3kQnxzA5RJ12X33bIyvNZYRuoGMFCDstE3SE8bgKQeeyCefhWiJwJS
sNHqu8CYx2aiv6hkDX/F6jiSMTBsdA/Gnf31rXpthc1CB0DTNpx+iAYbJduPtyqYzIa07DY5NH5M
hYo5CILYlYBXECiqIqev3pH7FbrHmXgG8ASn7vPT5NrT/ehOxPskkxSPpjnTLbvXuhglJo5NejiA
LQLlexrDOCki/NTgSIH1VMLkzcbmAbQkDzo13s6I8b5+a0rTUqr7EZIRm9DcKGZ/muoxZdhI6Tru
Oa1y1hajN6JKGU7TAf36dtivLFH17QjIg/ctcAPX/4nZm1gGyPQUGHsn8dgD7Rqb11M46lanUnx6
Nn48FOxwMt5V9qJJghiZPKczKbfvFByg6l3soIdZewsjJIhy/C03i/+FloUr5hUecmwNM8tOB8aN
cozTQx2DgK3ToJlwo5ngBi1zydU9m0njxsckghVCQ/D1+mX/h0T/DokO/F8Tbe+T+uuf/3fsi+eK
W/ofOwT72y/+hUNbfzCmBW4mSgukl+zJf+PQgfVHiCc5YpmAqYe2PPhL+wmvHZIn0DVv248UdZc/
jomjhp8t+x8lclFV8NJ+v2EzUSI4D5sThktMFl/vf20Xj10pRH0wAgztszmp34kcoIXGQ1Cz2d6T
xOTstjAays6xeSqgmx1NGVyY+xW4oRDMvGl6t3wrprJCrmQ+enAIwYyKNtvVLgOcZTSYClJ8rt2Z
WBWWMnF18MmaYsKkUll3mZLds3DKW18Wt44hwUCIbhnYfmm9S4+x+4jpT5e+jOaYXpAf+es2aNCI
VnWLO2uIKaRnYxdgLudamHe+1aPe6uQzplZq5eWIW9xZ69zTl57c8k0JxWVLeX8JHLWXvEmAgbjP
59WttKZ78nYxcErHHaDJ7Tgvd242nxHbNLitGTTe6fPcDCRltMsXb8hPxWR9qQP/qZ176H4csF2Z
OB+i1j2kXUjZYbKj1X204FgXXqzBecqn4jmgoNphCnZvdvmtvgNDid+amxcvgItAXtCAd06BwRmN
PQ2YVvpMcnqIHXkfVooaDRWfdjT9IqNckEDkHgAbzphb1cdF49aG7Lkxprl2vfRka4hB5erBJwVC
Nu5T4uA/pYrnrs2eKQgvQeKwI+O+tnX5QtJNX+phvnORzO9mZ9i1oqE5cfMTokMInkOC9slmp7Vr
bpSddNEK6c2w4nhN4E8IkkmNifkYYRjb2ND3MimfR2vGnk3rDQYUrWt9rcblB4x2uZO9eTfYco/J
4dkKAQqNyTw3ASzQKU9eHGQIUJHT2zxXZ5uHcwhrVK9ZyjeE3fG4REO0KgYfpzXhGJu850LYx2ab
RLjLTedlp3peHju3jRAJq4fS9DZqruS6SrqB1iV9JtOcM8dWX8J6OZP1CMs06dJL3gZPqTI/4+Hw
BisrIBUIC7M9HBYPmKpV08PSeviYNchjO+cQI0haGWaIznPAWmMclzNIZ7KVkueJjts5McAQW7UM
GMTZpQMwaj5WsfVFOBCXIPNUuD4UJyuYHtpufCAF5aU0CSc2fXzzYYc8OBG5BHk6NLvCrkFQfTJe
SUFPYflx363KJyLVfcIclvwW17s0ZPPsBv17fE/wcZRx0vGfaNHnA3MCoENLXRrbaD5lERZQATTO
TWdE01uHicCmUHG0RpfsrWcxTIc2mKdTy8j92Jd+eFSTYbxBEVpstQnYm8po5p2ZFNOpTNoek6vC
+TJY/ad56vwbK6SQYtXUmq4OSb3JNnBbnU2QL/I5CuoOGRyGyf4+c9vqEWLFY6kMf9wsbk/OOEMI
Qiuji1vln2i7sQhW+Ogn/owdSrpphhlegKsSa9Nh/Y76Etj2RNBAtvKD9lIYyV1VYygiDfexNqAe
Ash422n0nlU1d1+qinTqysiSbeEjZw+wSG4W4e/KtBw39lxHd4h0B2w6Wf5LZn+prbqhkC3Rlk/m
2le2tYNIy3ObeQVGnLZQy1hIxUHD3jDCH/cKRukKsvhTYPiX0W7lMZq6FwijZ9fPT78uRl5zQkIm
kuQfMchk2un95G+fZr47ZnCOD+6EVQhd4qA5EBfy6G9xDfV/UzS/nlrqqyGRgofimi6pg/pM+a5C
FS48T38OqkPMq74hYPRkw2pa+Q4b+q+/1+smjyuRfhQGXMy0RXA9vb67kgwC5WRRA0VvyJ9FxG6o
t+PMkujN+1VfH/k7c/fra/7ohKDVMFwz5AAnjVHov/747WKngrSGa8lhHrxk6/XTQ614sQ3HPUhD
22fxfZmFnbue3e3Xl/6pxL5eW1D/657E+onmQbEn4R2F1aEvO2eT4VZ+N0c4jLJdnHH4yQ+mUF9k
rzABlBNGlVPPeytQK8NT/qJDa+NqOY8QcQA3vYNgNrvORmKWQ3mWPts3XVuzztHCtnV2C38RqH26
h5L1aHoJ5aNCeRIWxlrVtdh7EDQ/xp7nr13tFPbrb/o3S4ggUBwvcGAyiSR8tYTsIhVlbbt4Q9j9
zq3NO2iBDKVw2/3NdX6SEfE0XcvRpRWTe+b6Pz5NLPFDxb9krQoG30hT7mYLHNEs2IQrEkM2NAi3
Q2yVb2H33QWDWb5Fd5sCnMYv7cS+rEsVLIZzJnzqTIwhI1o5PuB1f3G6aZ+EbPdek8I2ihM4ZspW
T7Fnz3tilxsa7zk9j2bX32MM96g6jv3RTt0TlhclCt2BEVyVvkQpLgZVjuVhp8J6r4zsJaqvDHK4
TT2HNyZSdM4HQP90HUPz1gPyM/rtYm2Py10wtw7jbv5sERqfOg/HgQDlz29u5N/sMPSj2IQgBw8w
Knn1wJbAqFuXidwB5t61nFDsbF4DfmZI5/Drh6aBkx9rUlzD8AjjaQUBA03977976zt7huLtzhVQ
6nTv9umprH+3YV4JU6+uwbjIdl39v8J+LS9LE9j2hWlWh1pM2JqmysYOcfmid3qEzth9d9Ept92D
MOyLjESyJc/rZKjoQ59ln0Mfpi22kR36y8zBb5VDPMFGedXM5a1lxS8ILpwtFrP5oXAwXsbChzEG
E/ebIvW32Jy8Dwf+sd+HqKlmzDMKpmwrdJXDuhVts7M7bMGwDbf3o2JKYNrpi4fhLyZ6+e2EfWju
xfM69DMKVKJllYc/bFVhazCZw31d2ckWc5bzb57J37yxPAvaXJN92IVW8+NDwQx9UPVcVgeroFGY
kjJdpwTCrmwA5lsLv8tVSrm1KebwgttWg6EZ+VyLVb5BC/QYRjkTCb8adzJa5GoAOdsAoz5BRHU2
sFvo7yf/EjHhW4+Rd0mYuiJFYydqABnwkpwfTVt+wZZxlQbpO5AFqqqWL9wZap8n5uNMIYape9Ls
nULuiZC4j0mmXmUd65PBop5MTXIFeT7blFEh9viTP4qmm25/fZP+5iXhzND/sYhjsV9DNzJuMciR
U3WQIMKUOMAiko/jEr0eNfFvnohlvearcVqEnMJsa7BmNFvpx0fSus4MKjlWh85GsGchK9qEUXaK
OKmExfNZapYkPsLEPdhsU9imPaVxAf5MATjW8LnrSjTrFMXSVvi4cqUFLpDVHH7uc+vGmMI3hUCn
CB87W6mqdjZO038ps+VeFfO5DPRhzDKLnfw5krpKlfY6W8xb1HJYvNX2mnJ1C5E53JGyc7m2l4ur
nE3q8YOiy0++gTFu1shp10Qjbo/LkBwVDIhrExRVCkuAAQZQxfw1HWgkwzwe10tLq+ct8qEbYqYX
2jTPmR6QA94xTD85DtWaFYwb0J95o//GKPkn0aQXZDNOO8tF+aVfo155lzqQD36sGwgd4hf6jU7y
o1oyo+xWtWS0Bw0/3RneEz6/vGIouG+Ep750OjsUhB/UJr2FYFquMYHmyCjcpyyZ4Fq4/tqp8WFG
T21M2Wkp8XvvmAevhqE40RTvy4iTBR0TC5O3w5fDbWF5n5JeVqfc8i7I6jYO0ZVr3Rgp6M172Xb1
OaSyLwb3ycZv5zfnsf83rze1DlIfgu5YUa+j2PDdyFompuWhD+YvWMjc9ybn3kSbFXm81rr+urba
9SBwNRVUetd3vkqG3Sx7iXkwv9aWDgbcVbYVuCqFU+cEm2KIGf3bYbUVapwPhdVD509zJCOxm25b
rJO/wLoSt0zJcIKOOReHhUDwir18jTPbxTbYY7Jhfpwcyi2zc/BdM9NxrWJSU4uQyjqmMeQ8TBwM
YTKYc8cgGx8GSD0oORjqYCeFHUxxO43jvetp5WoBWTftcmfTyuVcJhJWVhliumQAo9XzF79fml3H
PCigO8BWyr9MHCI0meODgxRYV/ND8Nf5+j+E7XcIGzT2X3M9/5T/9xFZzA/o2rdf+g+6FnpsgDgO
/RtE+xfLMxB/BFinuWgQfNyygWn/g695WEAgb8dfDfE5bg8caH95q5l/uMzmPHZxEykiAvR/wvL8
6c3SLxT5aJQ0Hi3a627JIvFsMs24PmJirkljVey9cToSFZaCTe0fHkBcC+IMJRqgIqmur6rdqTeN
pQ2t6nhlEC3TDAdsdKCEcQdu2vafxiriyQo06dooPALXZujz6gTqDGZzkOO4HtQfgGq4FNEqU5BW
BuUSGTBEvrN1VGg94EdjP/z6y74G4Lk4jRIMIVLWEHG95sS3BnPkGpPF48KG/LUsSJmCJTPBdtUj
SFAO8RjZ5u+SJH8647kqd4s93NGA7WvAFKPkrMM1ozx2paXjBZLhK/s8ELxIiRuITfhtv/6aP13Q
JzHA5HKsXlpuzWH+vhrOTEM1EBnEIYGdfg7ChqyjBApWGTrGJ4ej7Tcc/Kv57Q+lccD8yScRWEcp
/1wazz3WZ3GkJlJhOQVXox/19hsmqua0CqXL9GEeU+sSFiTeBHNu3beTVz1WSI6kHpwt1SoO+uB+
mG0Alm7yRhQ8TdIjZRXqiXnIb1YB4zpuwKvPS/3Duw/rj6rrdTZdVTJ9zcoB5gW8GPcB7qoXnfu4
YHaNMpKdvY0tebLIp0NSxGjIeuAdnO8NxsYH0DOc+K5RF+XceM+x0wOGYsTOWuqJdziXEAouKk3K
5DSZNnTPb6xn2+Q+tLnHnGu0ewoko0shNs/2Eu4aT1kXowuMbnslUaJqUPfWwNkRpZqgvHRwtj5D
ymnw3+4WNSEzwgzu3DnQ4nx2CX+ThlMuDppCSU5pIghA6aAgHjtsw+DhBf1soGC1l8Sy/mSVKgIX
wAIzdYtL4+S+Bd+SN7i80cb6XgYgCvgPfUhvBN2s6dNq6tWdIQd1J/BrYuIUtXBOM7v5uHQQK/0p
Z4ilpgnmaelMd2bfw1oW7cL2pcwM7prVec9hZ6p7xo6MAq8GA7gWqHujhYzoDTo+ZEm9ZyaodnWs
4LR+BMnEhAFJEzPM6zh3dDu+aZO70M0pPOGeEL31aJM6Afk0lN4zkl+W2TJx3zT9cxQ8tCVsxSNG
Nt7zdS56nRi2jvSc3VynEBRQC8I06OEg3X9bq0kWQ01InFSOt6m2yke/zVSV/qb5aM9T0+97OTGc
M6B3JKC0UVoe89Zoy2HlYxI0bgdMyD9cR5dhw366GfIR7iG5sayTqfLd51oz5JO44eXXEz8Bz+qx
QR+IfO2qPlc5deXVmKC7kludplZ34zjrhBdf2xrwdpPAojKY8jGMgHY3jR0PSSSWcxwTncMgG2bA
qXQF7EAtPrref+zivLUzhghTkRoSOm0k/bplZnq5/gz+1tW6nM2MfWNJyKCbmrcJzOiNjIXYjVfF
E24OIdZkOdFjxN5F0dnqGfKup16OpCWpUMBXDqzOWQ3MkMbVUIRmdhlav2+8VVjmiBAbH8c1uA+1
inDZzcx5FeGfC7RSpJZ5lNYQTGoVIxFITn1PvAX8XYDKTUtgT3TfNJAzsJTwPEj1yThEN/Yi5o++
sOXXicC+CaZ5v6R3cjZs+aHn9if7vqqmfW8nyOIXM4ehyHyVbKscapE3edzn/qFxokRDLwmUDEFi
kENgY9IqpHKtu8NDxbl46IbX0yQPEfN+tDw105FyJCujiRi428Z8cb3cX/dBYj31JqwiyH0+SK+y
3hh+MtxLkG68DaPJ+4QrtXBZX7101rFI1ZmJMAE3YR1jT23aNbnC9XKBYhp/bclEvfhlGpyQ2/qX
xqzg5oyLSzgUhHAeuDL6GqwZJr0O9vwqACkIHzMY+25Y3OLkRtDBNsKdekGTE0SPiMgHqEeG+x47
KIw6uva5soLskhWYuB5a6bBlwxFgz+lMbfo35ySrJhb/Z8W+DBud2B6FbyPYwQGZHae07jVmbc7h
Wcg1Spje2SqgKvdW3gSNfNFOCldGfqOJ5zgmKvQEuXxWdRg/Zp6vJRBw0wjozj5AXObFulLvI7OH
9ktCMn7HQrOnBBZ9HKP1g+9hvY6abYNg0I130KhC7+QViyk+LBAZPpWdYSxH1JVjeMTdFfIINLQe
0UtHyOTJR13zeYknz992FbCsaKIbaTTxXQfx/MgI84HIsPaxGLrnGY0tu39qPfalGDfZyH1SSDtQ
NTdWehJ1Y38ajWiUa5TA5m0jZID2MMwD8gjl0XMYa20c2Vpr3ssA04G6C3cCMQ4yeHLRdotrP5ZY
d25q1eP1PNFXbBCZt+TeFq43rUonqi5VYLifCwTfEFY5sbr3HkhH9FmEMsXzvG2iereEeE6u7Dgf
3XWOiOamLNKRW1dGzWqBnvo0ByjWicwISUNzzE3GV9oHVtPla1L6+o9g1dQizYDox5GpgRfhxGNt
BbQt2nuXzcIt4u7Shf18pOcLL4bC0aMrMczbGHjvff1GiWem5yM1Xlg07chK6WMzxM7G0EtpJLps
g0+tdfmmGmh9mz396gxypej7Aw1cL3k066Ig8AzSYsZnCsgUXKUNgeerBOcHrZtBugo/F0JSbOfs
992ErjKZ2AcnL0Zzgz4QFVIDDJSFNVfOOExK3L7BCBqHy/uebMl3nLU2kPHu/qpQXOZM86T1Nhkk
hFFtgythZpZmkdwNsgoZHKMsv5HjaO6Dq9qmG4z+a+UwnsIst2NF2Az3noFy1F1POKTclCh9uw2e
xshFisELqBhmWpT9t49lVUBVyIvJTjpFhsHxBVelPrcFhPur1maYqH3LkEGjtRSoR2xpa536qFUA
t5Yfw203O1F/lHbbwOr2Jj51WjZ8Vznh6LOp6PeDewhSRc9pgZi+LrXBkOZ0ytCcgoA0G9c/jXmP
VXLaevO7yKi9j/iTs7HOHdoh2XQK6XgxEkzkjFb8IIOFQWxtFv6Ni6yhZ18MrHdFbZinZkyMl6Fr
xT4ZJaEpfGaqnKuyxFaSZYHnHCd5K6CxOZ2WOsWdQhfQBS4km1ilcNq6tuaJg2pyrI9NiCgBV9Kh
ehfpJ5oRj/e8jCUrruh5jIbV0jUMtk4Q2Hh9Y6R4DMMieLSM2fVc7hOl5TvfIUvrHX4jBVgOMVFx
Et4XeSiYFuaIs7RPaQx5UmfKGrGFjTTVMsbAcvBQIcAeQ9PqbVPTxYsuKsp0M0itXvJnLRFnorUK
7AQrCkJ2L045TOvUSJhPY/i+waFDnAqS8G55/O19TeLcMUcTBatWkBsEyW819QlHzxyWB3xILPxm
AmNXjBJ7kZBQ0oqolJUZiLM749IJRvKW9Mx040C92FlmzPgSmBTsX7XHeoLjGw+FdV+5bDErypBu
lcF9WFk5Fcngl/kLVpgelO46OpD3WiLaaRnC8QbKNbvCS9URIVfMbwS6oiPrmsJgbM03YmjMNxD9
p81konTu5xI1iddiJB1HEKFHzRg2803W4oKgXPIBzcG9VfZYveVpcy5Xqjhx8pV7t8wNBGcg1WHp
bxmq3I45XHWHW/XGRJr1vmF++7GrbedSTyX2/lDVKSBVu8fwh5Ce6c4prXsqv2prG9J88QhkBLbD
SVXPe0VmViTVSjxdDka2/IkBPw/EHXmFd7g1ymRDagyeR1QEU0PGq3a5nXHPYgchJwwdgVYmBUNW
n8fWNkjZm9vmts9hiq5KbdmGPworcpkinn2kiqS/m3OZAZxTdv+mFXdfdyXaFDQgIB5HdSCI123/
MtmZ4MRrDg3JBhT9k0JD1mke46/bw5+6Hwg8TAbAMmj7sbd71R4S0jCMWT00h2+0uJHJ4kML7734
pkj04V9AS9Pb4a+vq6GEH7ourstA1mO07rguneKPbSkteeFkNdFyKiv858Eou0PZK1QyElFet63L
ar7Ha5m9+Jt516+v/vOQFvDbpivmBedDvOYizsCmhbT8+iC9iAYE8yL7Acp4fc6CnjPrX/LspkOj
qS3BGMr/RUD+H2L3G8QOVq8FzvPf1dnfIoL+Tp39r1/9C7cL/9BWkjDlfFavbwOc/SXOdv7gxWEE
CHAG51T/m3+x4hxsK3ncXkj1gEmB910iggNhjumUB4gNYmKzKP8Raif0QOv7BY4q2/RMlyE8n4MX
7BW2NaZ2XnVZWh/UFFhyKxI8pBizpZyLFTM6v2L0siYrL3wr8C1EAoQh50X6jC1IfifHndAD5HNR
6nzw+2S+w2Wvejf1fvQJ5I4Chkq2Qb6xeIem07xmHVl0TjWhIsirWq2lImNoMxgK6xacS4Rzw2Q+
ueRWDcODktI5jeSotttWpPFCzMzMXDbHvV1tlimrXvpyZNMLxOzucqN331zDlfMkctdGDYNna7aG
c+qiudJhnV6VbQwnsTH1Uj0OB/Xs3+J1GTUMINCyjsSOn+QSOkfmHGa1xZlwwiiDD7Xh5B7+5CoW
Z75b4X0djRX0u7BpcRQK/GL+Jr0lR9vHQoyJd45rjoQ5hQtDsEWPU76kPPCDx8Z451f/z96ZLUeO
bNn1i3ANMxxmMj0AMQcjyOCUmXyBkZlMzKNj9K/vBVb11a2SqVtS61H5RkuSEQQQ7n7O2XttB6+n
odLol4J0BBcXR9C3RmEMCSPe2Te7ceS3aiJO1s912gL0Ze6nAXZmI0V938tuXM5zO8cEz+GsoP5L
PIFzriwIlNQNUnbhaDbiNue8r5ZxD5MFIyJHSLdS2N12Nns3UIdkFcdCPEQFs8eA6YtubCLiM6i8
ijUMT5QgAJV3nCFgronm/oMjE1BSme07B8n12411698VbtruVZKszhbf3M1f59rUqeonbGXiptEc
QFeQ0FdZhHMoDaZITIVwctbA63APWSetwBY7D0QP5l2LiljZEOBcLzNOtgSHjtFjsJmmmY48KI24
aEz91g7iXfsxMXH60WHH/9boEJBCEneRcTgx1Z+hlSSfA3HhHDct/m1u8GIR9+k/MVWKbzMwgZhR
TYcqzBmtNyR3EkVxoTl4lxJtehd41ChMDP+uaSwv3g2LHp/sOavSA9C5Xh3pbCB/SKNBuzPx4UyY
jr0SryYmGWxRlp/1x8TJHXj0E2A4D5FrfpdYM8Y9QbR4YKDleqmMxb4kf1hUrC+/ivjDvOJ+OVni
+cvWov1pcvlyvCxf7heOQviGvzwxyZc/Jv/yyuBZWI0zdM3FLu6+DDXUb1p/6r+cNkW7um7MhvDr
k8M/on9XY44XxdrTMnWI2vIIYFQ5nmGYym8Jjp7Ix9pTfLl8oIaslh/zDwNQXOpetfFWY5BD1Dze
b/oQ+mobiugw7WA3J0Fv6cURGPP0mvZmutH8pL5Qr7ZbydQpW+1IZGiYLuxHE0RjzjP06rpR7B74
eGvPABmjfd0R+kTKqlU2oS6wPKWr+cldbVBMVSWOqIr3AKUmxSk1DsSyL/08nzUaOMd6QAW5+NVj
rcCVZjI6ZqMhSVKpZ1L8smHrEeOEGJTYRMLW9+jnNDKXWGnA8YdtBKRUQP5fUpOTbtN7V3zVT/j5
Y8Ippj3IMOfV6LqFfuNAdPQy1PcUKY8GDFZEvIhXNMmkL7aJyRgLilqBm2CHdyaUmVOd9aqRn9ni
XXVlRj9A3YLto8h7qjig3WdjLcMlp7y2Czk+AHoD5rW6BaaUgArbVde0Fcu+4PAaJoksdouRY5bV
+CkDBQ/9ka5u8MipH3XkIW4svHvVdBdgnYSWmWC5gPV2+zaqul3mavql66Lp3pWFCFJJ3C6r7b4i
UH2bRku0o+LMQpD8MgRe1B5UzfixGEeN9ODUOC+k3QeDF7/VqSk3sYFWIfdwQpr+AOORyK1vU9ZO
B72M+xcUWj0PxqTtKaR+D50LiRS75bbvMFGNgH/erNwhsvKLLeRmpMvS9TL14+Ay3ydKxnbOFWXY
jhqfzmYT47BuOJSfRIRCaNY07zY0iQ+/n60pK2nE9OTd8VS4yrsusiWODM8NoD/RpmvOVxu9+i1d
GcspI4JZhuQKDKT9qGqQpoEikOx7g5FwZwzIX8giFbsSQ/i+VnSLmynSv/ldrG37ETxJPVXqWgm6
6Es7cTykt3Oz+I8LSUPaPeKXV4+WqR4aPg7eWCr32plY+wJQj7lxcuYsvvPzUgDdqzDiFH1KongO
wxgnsZuqjT2RDeZQDROPbVhXK6LMwtc0d4HWYCzx6kjsvcbLT1oXg0gm3ztotUF7pRSS33jiSIhL
h6k561a3BnLUN+S5+tXKcmLZe/voDgWPgT3t9NkkzneVWZt4Lin2bI1OvJd9WujePzGaopzDbY7F
vo8mh33QBRCBsInovKV1Ni45pi91MoyPiZ+LX7MgkhZeHvO4yHzT/OE3kdrxd9d050BbKj2UtvNS
2Y6GrZW4UdPKadYZmPnU0kYvcWfvkUS+Aa/9KczW2auaLEEVqTG00uX7Qkzhpi/I8vC87r0tiQIm
U/OYJ3O+BSHVfMaRNwZ5plExYik8jFR4NembxBQpNzIeGHt021xO+a0y3CsB3tUdorxhW/YmrV0z
HtcEjqSbmq00SnVdI6K2oPF+DVnyjHCYoxTnC/RTBnLjEXMmKIYNlbzZEjfH4po77XqYaUXYo8MA
NqqRXVRF6buZ58+a6aJ4n1r9LTEJM69T4X3S5HscRuN3hF4AEDIzAs37UWGF37QODZ85172TvwCF
a4CFBZ7V/qhjpvfKH05TBeySlk6zHSGrbkQ8WodsXsqjNTZHZ6EYy1zjJZ2W/K7gmQdUSkKF0UnE
QVmfhI2e7QGiNqe6n59slcidAYMbLwKRGEmmfuHptsPeGuonhLa0C6TiWkeltaCAAtVNJ5RUv0qW
u3mgW9Np4mcUm98xlEc/9Nax7oECYY4Uzq01ep4r52dplsYRUgjS+CRtzg3syLWI/fTKKeRc8Aud
Ykv8Lm8J8I0Ef9hEWSBtuJSEzWN8Em6y58TiPdI1iTdJMYEm5fR4b1Ze9NBF9anjptdFB31BvyaL
BMDpEeORoblnnjiT/mJkdPSa7IWBhYsPIhkgMALVozNSgShM6I9niDe8Eds2kEmSp2Zxp7XS3cAn
fe2hTayHzdao7muvh8Q++egy6t9OGhPDUdLnJ0M8muS9KlY8di/hTXhB1pRvOBnIAZHz8ySHh8bo
73utunBaw8rmKrRxPYbyBcYhZ0AyqBYYOrDKodJtHCt1EJd7tnNXZaCb3bKtGEF2gbl4DoRmHOEP
Jn3hP4RX/7/w+08KP5PCjyLpf134XdKq+pR/C4b986f+rPkEAQLEu1Kjceb68jX9s+jzvX+YiBeI
f3YZc68F4T+rPnLwrFW9y50EvPWXqs+2/itaDebGfyv7ViMWNB8PkStvEA3f38o+K8n9sgeHca50
rU5asittV9vMRhUdUryfzTa3LTjNC8tIt5tXnvXWbXrrc54LTwLOItOmGRZ5mcml8ungWZn6Rrix
bb8afmHlm0kaH7Ew4xdI3R65V67zbbTt/tLqcf+gJl+LdmmdwaGoE827xBP/SXtq9ps9XoX8wKmj
goAxq0M5O7ei660PjXYZHiXJwC5ACdPfjRnhIi9Wjp7yTqoW6MFQuAjWApuE7F+ZWjjgmpLMWZeK
aGU3qEVOG4V5hqakboXkRg0/pgyYAnvxWGqXnA+aCtquJG6V1GrniUQzYrMsFoZ82wBwejHolAZx
woYfdmk2usDeKTY8ctmfsCaYRwnDeW/O2a+i9ZctIk4+3Hqbsm6NprnPzJRIXYtIejAQ2YFvsS4L
GCXq39lKD31l0QbtqHm3vaG9z7k9gwjKyunIEqIRCOFblMEmDNRRsCyoxGudLSRI+WjohXMhnm3e
Gv2w4rB9v8WcpHyIU6XwnhrPiVASokpgR+8xEGWMNoszgxIYgx7j9u/j1CXbVeZC9bom2XUNjNth
rkCS1QU2J28tFsoJjg/ebvKvqcPP/dCv2b5xg2o4ddVjW6F10yEq0COD24wMsGMUYvbTYckmRbUg
lhHaBvkwO0EQ04H+vvmdBsFSsixq6tkvkEPT05rYFjHvi4L4D2KzX2LkKZCqh8qGFU4CS+EzNFlt
/Lo8JrFDaV9mBaePd85W3Zo3XhDN7RRIR1j9mTXYV+VE9Hv1CIezD9YhHdWjAKJLs8PGypTXUxaS
280ku25LVla/Z/rTS7DxSoPnIh1z2hYqGkOE64xwNe85J8EU3PgRV+HFWUQWqInJT1pf7VYxCnBy
wrbK6ESLY1e5uXzRtISa0wDXysvsYkWkWTkuPwx9UjvPS6NdNC5PjKTkse2ShENKC0+91PQjDqcc
YWlrnnyNiDQqUrmVGhshM5X0RAw6tF9GaWd64eqot3w0TbcA2r6Yb1Uv7LA1YFeDZmY032fjrgYy
TvFnWQSSpdNHh67h1KV2fG5dRKRKlfq2a5Y9PnrOZw3uQIWPItc4Qa74u7jVfGBXRpYAnUg+KZa+
e7ORBX6EZ8htdcRBdkfdTP9qoh+/xHcVFJIVEtLs20w9MRiXoEfIdBzRroR2lxkPvPvsDH0JKhXQ
9uZIATV8NgWaEZFYXBw+bIcW5kjOLk4GpeoPddseq8l5aq3ikSigO2VEe78biBE21XPq9vsaN+KJ
Iu0Rc9WxUuBIhI5LL+Pqx2TbidF+kW27FwuIOVObA58ZMUrIAhlvpIiqjOxXl7xoEICl3Bhl8Uml
xWZbTS4R0snwlLJvCyA/od+7Mmh7h0UwFRe7wViflfMc0PQxAhOmw00fQNSsvrfQ88eJZ6uRBvZT
LBSmRHO8sjIOoit+Km/htI/u5+SyXJ6GzmLDJ8kQiXifHQZhJRs+FcYtTtrbCCebwmgjVF1dZ2Fn
TBRZzfIh8igzObucm8a0H1OzdcnBXs94RtbtCIv0f3ht8l3XCLPACfg7Adt7QMM0hDJtQZYZAkaJ
RnzlsKTWVrKs33qad0GsXP+YZ6CG3O42jb2+Y5kQZ5JLJw9umdt/Y13BSzZ6ERIoq2cubw5j2PZ5
v9e5UTu9bocrXZnkkSxN/9LN+qOiK7Gxs/KHjE3E0f5wv8zlrmpJb5kzoM6qko9QllhdqM6jQc92
mZVbvL3afk/s9JpbCbtDG2HRMCj5sh5gYu7uTFwjTzAwLo3WdtQyffbiadmLg2IBVNr4LpX/nTnk
0RywojTG0OzKogB8b047OXXH2s32SPLxD2WtfTWNuN1PAgudszhbp1PyoPfmcxN5VNuwfFFcYQc8
O+3EQdOwHgme44idvLq5iU2+IAoS52bASrt1Nf8N5B4zSbyG+bqWNpp4ENLaS9RMjzO3rgxwujPV
dJV4y6PY+F44wqW3SgBcrGFkMr3xgj9xO7b5yRNmvyNAwCTiJxNBOzZUDJFfJ2G+FGJfzIM6JnV/
ACF8GtMo3+MAwVHja+SRjtqOzawIFa2+Vebml/hLB/snNFyExn2NfXdRun1LShuEhde1l2JgvL5M
Y72FSJx8NDMsw8kc7uYUknY1FS+GPUKVqC/+qNhYM9/fml3/NC7y2jLP/0nG3IEssO+ZlxMawN/j
zlTYIdST9Dwu1tFAYLizk0iYYFocdZ0dGxi2g1RrM6D8OjupE8NtspZADrH1I6qHBrmOkVdo0fqq
QVTGyjTCbXvApkeWXt0lbtizrzXphLmtRtWN5aDZVUMz3JlgCcPUNJuDT/riKuJ5odu3bs9TvKnh
3mvCucITMl+1qqju9bgZZ/QNhY3Ve1HZ8Fhl5K36ZNOe5tF6sWe9+YBHr8WHqKwGhnfeZDElBPTT
BbZdL2AincLEHuD/LDVaOYmXUhNO/aN0qgdMsxriOu226k/u8xkiTmd1uwFg06lV7jch7eKZRsQJ
8l2/NfjzNiY47zeWVzx6xhK9Z8rotoyGOrI8NHMLUj/Zu3RkAyHAQ5c44KjYxh9+HMttpQvtEoMZ
em38HpPIKMVvd3DizYC9KXASq3gnFX158iYNScQgftCNIWdRlN6r5ynad5Grh/A6MjpzlR7Mk45y
gQ5JYFk0XGZ7/RBxw7LAmq1814qUBdnn7cWdBLSV/UK68bHoGnBxvxq/WXLc6j5Nl0LP6dKNbNle
Bg0TME9nJyH9Kjto9K44S6XqAz02mzNCFV+Igjn0OcNtjbJuC02ofhSlSZPNFMlw01pLHJTntt80
5R/wd8/PIwkKO8NPfTzECPvuKjS0eB7oKtgFpm/X3wxdNLyQCXx2K8vfNwCQNs7EcJ5QJDaI1Hc3
vWmNYeIghmSqkJnXyrLSsDadlkRMyfy/l8tdSSF4IFpg3nhJ+5McdSMcZtRhD00zGk8skBKS32DR
ZHN7YkD2dhXjCIS1wuYltepHSyPlHLvEI8B4TV/1CSdwWAtQmbjSF+sJv73xURWO+0FCDx1L1RMg
HCV41o2CA8PANTd9FkuF24wD8HjyBkUsMaGglWUSG+nYFp/bqhuiU+IXm5KTR5gQRRQn9OONckrO
3TB5O3J94iefuXdnXDhohWU1vna+Orpo1bDSYP1rPLUp+2beDrRqj6SEMZacHZ9Zjb7nroGLo1Pj
p2OzKWpY97BM38be7um+NBiRGyJunaKOGBHjotaw8kLgQ70RrcYmYRQHqzdJe++y8VTpE81k65ol
mfWS2m63B+IrSD0rGX/2TBRyz39aVLIr4IM8dslo73XjYygSDkxZVG/Blb0YMRmmUNlAZdkW7aum
2Uj63mLMolPnLtUWmNxBVTx3ZTczAPBNY817QnlhjxtRkFlbg20MoFcQFNQiDFZ58jb5PXqe1ier
hktc+s3LDI5w6+k+6WKwbNGALxsaDuWGUiXj8dDsArFww55Y1Me6th/9qbT3bmz9LKrhpW4WB72d
uvUldQrkuGU3T5UddpjuG5s+utU43UWDiLcjaNB8JcoVlHtRli9zL8l9NjO2OvBxDHnwmZNogLXf
YeZjZnV9R2/gpWybeVdLznRpHaW/8s7YGLOnmAHxlKMzCRbdLgN3FtELIMu7NiGZrbNXxEHLgM0x
Jf0luaXHhXJQy01u6Xg/JzLZKSYDL52dpZuCHJBdy2Rsa9scdsxWOAGsveKS43sPlikvdzhy2qsr
og9ddvHGz4kqSKZ8vrULKhJfusbaqObUYzT+vd5k12pehqup12FZt1OoJHFwia0vV/QGJ80Qeqhc
8HTeOI6M/7zpDo3fr5p6ozC0H6ZQ73HjIhiTwx1lLj29jOyzQh1Jlxy3StPgsv7WRAtezZX6nSGz
5tDm3QPRbOdqTlgeE7p3KC50kIuUt6PZWXurH/fgIIzAyrKzMCw20Ew/6bl4cdCoBVaq3mdv+BkN
8Udd5zw/tXUb+gsN2pd6VOAS5ip+0zRzDAe7OPapQkZkeXe0nb+Lpsbg7Nf7nM2RBqRorlFk0gCv
dOPOtptbRmxsqBEaE/aDkmicRKxf86hmvqS0hwHvBROUclZsCVnEn8tO0AINaZLdIoQ8djzBb0uX
fFr5xDMSTQv9SdT2gPgK0kwSp/xRII2rt2lqlFe2LIYPc20VHPDqziOhr6tuUw8XYtRmaKWZm0Pr
0+KOeUKnJ2GdI6U0JwPd9DTSGnaa9mXCYn0cx2Q8cqrOj76XVHvbr5CmLio+T/rg7rpqeF46hfau
9u8RIWcPxCgZtNLkcFZJ6p4aS6BdL5b8hI9v2TlgA5/tig4sOoh3avjsklc2BX6sI9yPx3CUdXxn
zR4QVYgyFwPzLfSGed5b6AU32Ui1NHq2tut9j8E1cvLIqqr9WFn2KvqjqGqRuKeyjzf0NrSgIswo
RpEZuk1mbc2kiO5dBO4HwEUfohyI0TK9dy8uuGIcai8V+drQrJaj042MqqfxSoQKxwqZeOzF/puv
6yS5CA/He5kwv2ucimNQpzZTzq+X/hQOfHZiwBU8ruUEmgW9aI9jt0Y1vUtQsR05N+JBqTIUh+W4
Y7lytqzmC7feqbYQrfdZ0txTTInHIQMoSSlMx8Wasx/o7H1O0raeX9iq2YXIzmoYi/hnBgQiaPLM
3phMi4IhX9EklB/ruOfsLXhRXYziB7LGjLADwRzkPS79Pm/7k6yt360CV4XFAGZh8t1U6RUUbgQB
JCb4peM2EiuOZjI3t0ZRkL46aQZw5LRHdy2082RnD6lZAhKsy0vseq+18OWe8zWy/IbHHx/7rjL0
fTzR70CRSC3jwB8d8pRfJQYzIJL1U9XNjTb0ZWlgW3RLhL1uTUhrqbNMC224VlbB1JPgERW0aywZ
6snMquzo0SGhUbxVOTJva15ORBNG+HLRTOlDzxoJT5AspfFj9LKP1HMAa7cPc1/PMJwXc0MJeWaJ
fm0imJn2MG8ptXiSjcUL+xGnIJ8G/aqMwdwLIKqur9h07R5EUGM8Ahw/CiaQanTzsKWX7FPoqOob
1nPaJtM0CcKnQWs15iMw/IW/aOy3uTtReYkpjDvKwV5jyq/gr9MR2BhROp0SgULIsauPqq/9WxZr
3Ejh7ImyARDMwPsFb9GDp/x+Mzck+FhS3/XS8QK76zI35KCsbdzCW/AXe9kzMLJPYbRXqQj3Ee47
hKZdU7z3RrkfevEbBUJDmQu0pjJUFiI13rRZFRoZ5BPVjr+bHqFuoeVvSasl0EsQUiJ4ZKoFirRQ
OHU9lfnxBpmJESRMHJCDR2+QHx66hAUahEnnzswmbO++HEaTyVbikqQZF3hPRorysSUkSw7s5A05
j2hKmnZbybmC59t7wdS656Y0zp3uhAQHAKJHCTHs6OLEJ7YsJ8iV4UEsNZZ2uCOOkGR0aRYQb127
O6ZFGz0IVrU+qCX+D0LXkzYRwcyJvH/WYF3LXSkIhtl1Wj51ZCUmtNpcaoSF5cMc0h0CCaM1Aww0
i8PgF/mjtuh3A7Y+DMdrXOEdCXySjkXw1YT+f92v33/W1/fyU/639Rf/5HDBOpf0//2vX8o/vo4/
6817//6XL7Zfede34bNbHj8BGPOjf0D/1u/83/3PPxFi/0knHi7JSlb8Dzrx4O0+/9Ux+edP/NmF
d91/+JaLHdIyEdxidES89++OSZKxBW4+H0+5ZyBh/B9NeO8fEBk8fJaYrIRl6qA2/t0waf0D3RV6
KQ8oGX5A3/s/kl79TXi1Qh8snFwY+zAvMST4q7JwAehh9YumDqyXuOmc5SKy+3+5Gg9/qLj+NUOJ
v+Iv2i6UHsAMndWsz1t2jL+9RDQRhBCbvjqMkcVTL9bJK3AULuk/r/n/xaus7+JfORYRCQ8o/NXB
q96k9lbPnzh2/msv8Tf1J51Vu6pHXmJQN0+/Leyj6uM/fgk44v+TBRGFqbDxOpo8GcxM/na5JPS3
7As26GhVt/LOqEBSfTK33sRLO1Fe0HmgrasXVFGsn8Nulta8ZY0x9ss8Tvu06bpXM2EwHKZKZpuu
926mU47OJhnn6c4nIXNH8o6+sXpO88YYRU+pbg5IyPAOMBqg2PMyLztLd/RgoDdvAKo3jPzklryT
8TBw0ncAQugg8Q13k2tecikaZuZ5i9zCTTsWom7IjoleeGeKE/eHVnoVK6yzJBeUcO65iFe/OS3A
bYKPCEtQOcxBPvcF+Lp8uBt8yoUU9/4maRL6cl5L7FnpnXCLkYWOU2kjPYU42pR3NvS8Fxx49m2K
BmOvDV6xra0uO9qljnBvMOydzEUbeGw2F6Hn5RY5/BwAjhkfLW9VWOeiv2MbWLboc8wloGFkXKLI
4vPA1oBFbEhuUTZOP4kLXG6jsgCWutHsceTPeL1UfU6VG31PmqGDdgFB/sWdCALfTMr47DpCO0JH
2v1vbUVnhYh3+1ffJNVpN2MsuI2jzi9aLzDSzUu9OEQqlj0iIwpwd1M2pFEWbmQB+7DjkmjICjAe
7y8PfQdg+1Bk2jWL7c9eUnZNS79Om+YXW5mffuU7P2bTYTA8aOn3Pp+zo760XJIuaY09UXefClmM
Twxhqw5ZS6ZiVjTcBCdS/StpkjaYNN4HGr38VJL79ZpqnCioRL1zKYbk0hDRjWalM/aDnJLbVJjZ
Ma5IJvU7BnWTKfQ9mdgg6FA0x6GPhGcr0JFloSpEfHIW2zwoA2sBzXL4gm3W76dS5IfMycanvFbD
E1BCvrnzJQ+GSJm9xUsd6EWUnwTDy8DW6gHGrm/fC5/LyeCPxM2ya8wN+kbvSshclh0z0y05LrRp
y75J6A4H28h4BKwX35Y41Z8yemVzsI7d7znnZPskjvW9YXfRB0dQy+cp0aKrOfmcx0gK8obANsjF
w7ln3y9JZ244E7khZ0z7tDRde9einCTEVY1H12/ch0iztL1siMTwjDK+m2znFWEF9bWX4B6YnVE/
DEnrmsxawMRj+ylmIB5J9NHPQxFAVUHTYKGg2YO2E7+Bw4vfWhz1odTkdO6Q8n0kqFi38dDaZAoL
oW81pEGYA/31ekR67m4MNTMClFxJOQJzwzapHwxpLAdkPuZdEePf1eccsdwikJRammPshVetga72
9F2Y0fiG5Cq56WWrH3DVFC6qxxkSjZeOFqMfQ/w0ctmfWjjp18Gap/fOsioKkNi/nw1lPRd+D4ZD
SqFt5xbB7VciioX+aRc3nXgg3616XxJnuiGonR9mBkRX0L+A7GZvucjWd855Y1V7o3XGsFl696lZ
LLHp1aKw2+FFDB3dXEE9xrp4FWbU3zqFIBCvYpQTyei6Dt5ei2orwvtgM5Qpg6Sok6e2GzNEdq48
GCOLUK6Vcs+jAa3Q9R0qw0bu+3qKy41sCPVkV7G3g26352IiG3ZN5U6elVlGmEfGgt/pRAkzGdys
NCYrdeLdxmSN1+q05Et7djJzRQ5FdMczl+CHwCkz/yg4MexqIDEbz479oyP9eodpmfa2Hmtk3OUp
5EeXHIwQ5RADKF/vt/rSdUetg6YV0BdYdhF5PHCPVtuVqdMlG6Oe6zDXiiSECtsWMW6oU9u+Zxkb
81tR22Kf4BoNe1aBt5REyG09et6hN7Px09MrtaPkd84EoVb7CWOcAH+cNe+SwMCP3qvkEhR+Gv2W
AD5eFzlP97ARaAuv325WrkNzkJPrMsdUUooW9D10tRnh2cJES+T1suUZVlxd8kJsBLjUautLogDO
7cCVNv2IxQRcbBW9/pFT3n3z6CxtRlhpdLE7S6Mr4C6XqomzEM2l+WhXc/Qjs5P6FUtKue/9odrT
uo+2qTL0AFMkjq5W90N9HvAu1sM78LL+KGBX5EE8ZA74nlw/APKj1lm68er3zMmwxjoa6i0/hdwz
jxcDy5EfLEY9HxhHLgQTNRiFO1qx5CuJsTxl0phzIi/cfmCUpBTz83UCp8+uOvhEnD4Zs9S/93JU
t9SW3LqmFEQKNqLae9Oa2kJDkpdN8yk6zQoBtdExtqq9VntuUneaAm3m1gtLGXe1Z3XHAfjfL9/g
uwnHdp/KznXOkQFBLnal3NCDHtdPvyb2nEZpyCO7fp3oO++rqnWf/NbVto7d+aHo+2of5/Sju3Wz
k8ThBMRCzA+T62lbyxj9sPbRljOfnh+sbrHfjbIttlXDA+5GK6CUJzqEXdVvS1uvPjP28KMpdfnM
LE698iDFD+hnY4BUg/9UEcwaAiJlSNY11V50lvu950BKN4p4nLtiAhFA+VYhB4u0+aHvc/qCmj5+
jlWkvSCEiEJgnpmxwa7/533K+zn6vei8WdgXyAZtYqQwDmrPcZQvD5aVL6esMIctCRTpj2qQGAfq
cd5p+uB8s4bF/jZ2mv0N0tByZadyd5RX2mZJU22jNXZy8CJmSSrWusc6AUmOsKncark1X7+ueu9A
dMeKLu7NnFyjitRXHxPsmfg0gzZSUofVoKaw5kHcEZGtn2lLVNtqlWOXS29tm5bG/NzpNh9i9Pyn
wVyK+0gY8dEoE7SzX88yLAR1g6LFhI8K5axEOl/BBkdb4p1jhDL92CIwqPJ7vc3Ko7vM7nc/isZ9
HxEsGoiUzVBXNrdftepCSpW6GK30w3iC/hvqGPBZAg3jkbyxjy5f5iuLwnI0m6i69zqlNmntkKq8
yAYc2IxrPKjUlNHih73rGdC+C59Gx5B72T1eTm03WGaOEqB0zqgsyLBlgEPfvJnvUQOwddN36/ce
+mELkX/p5RvT6LB/CyOBlT8X4xEhK6yyyJbNBW1FZYSVV9XPQDGq3cCCwxmo8uTZsM3+vo0RYHaD
OzL/L9QFL0ZzaqOvvgRyvKDNK+1Z6nrd4ZojvJ6ZA7aEkWVDjyUfTUKhUErIlJGcGFsrYK5f7XtC
L1/1gcepbBTHaj81PvTYXi522cqNPU36xwIfbAjA+1vMQiQDDMkHM8Ucc1LzpG4dXICTO9nLVkAp
PYrFHBuCSkaIWKXvYswndZuVDsOGuunM10HYWuQ1hRFfPDP4jJlXRMl4N/RaFq6+hIfMMojJrVUb
HaSR2ftUtxTZSRHRRy2RXvxFuJJpzCnfSa4YORDODmn5ZJLeusU4WW1Vk2joj2v0PJaDFmMBNwZL
uGqfrNFaSB9MtXMcjQ9DQ3Z8bbfJGjb3KdreA91FhvzAPKzIFoJ7CQrY4Olk5cQr3O2E6KZtXcTm
PiIdD0FE1GPSdroBpJfubTkhJqdGOWXY48Uxm7TGxOCWP71K+ymVc4/E19phby3Xc1t7FIln0opJ
n6c6QdEEc//AakWHRxtDQ8cKEkdlt0PO+12rrC7sM4v+DUziaCMIfgpyC7qwLnrtWDkINAuPtg8j
Hga4wUBuAyt2dZmb6NJUSRzmY4z8Ji2QNdeoo/dKZclbPIzOIZ+NQuFvhBAyI2p4alB3MVWLdVS0
pZmccRw3D1WVN9/xR65dvQXdgNYMPxti3Z8AN9jzpmDgeRzGRZ3M1Ed9g07joCW5M2+Ii7QfbNGp
hyx2u6cmTvPtWA7ev7F3Js1xI9mW/i+9RxrgABzAojcxRzA4iaQoaQOjKAkz4JiHX98flFn1pGAU
o/WsN232zKpykWkSIhAOx/V7z/nOuByGWdI8Sbke0EChPg2RlnpTvGHIzpFcT6NDQJOIGUFTfvWq
KbsymIztpiS1vWrVk7jSq41Lcym5qvOvlPfG5wHNwrXhtY2+rIRd3HdlzEwGhnh/509jsW9GFOox
BItN47Y8iuSEq0VCbAgxDBW/4mrw7a9WaDHx6MJpvLWQMNzndlNsWmJdPsuK+ooRSShuRoBfn8Hy
OJh5o/zZH8mgWpR5a37U5zekNDIadKEb7oY8b6/CyMVpgoL9OW8gpg5N2R9SO+iuem1MXhtrFpuG
Bj9uAZ7irnNU9i2rHR1FnkGQWh0XgkdEOQcjEdYRW429kBoH7MXY5bSFo9pq16PWWE9mjgkm8W2D
kGl6/zeFNn5POsf9JAonZ+A7uQBE02ljgyhfxh3Cdmq8iVch7s120WpDv5JjxU4Wp/EuVh05ldLR
+Xl52x5GThWrAlUQvVVc+rWaVnWUPeIf+jTkDbo8dvkFjRtyIryRQ7GhniszBtUmU4RrNBPLltmj
h0DIk9kjyUHFsZlSscf/QCm1DjLCyMyllSi31XaQLrRsx3FJat/HJm2hk1T23mil+7HR6C1z7nS3
nGIQuGmR/5SaWnPkpZjeUSrGL4NhFk9xmZSfVKsGZ6s0ezQW5G1HyRYqjk8PMqGksbQmvyeItc+Z
s0TDl6SSAj9F1SPcEO33oHfhadLeOQ6em1+ZVLavudJp1vpOvZJacjMVzDSwG2nptkmcctnzUx2T
TvWwJ0rV3FjCDW5iiqFFbKEuW5O7XF6jgvKXdRULRHDOtwaCzqLlneZh5BBQlf1mAhOBRjnRaTJY
QRqCdK3x7o+OAYI78+9rsARfTajaVlz3Xyx8MVMramvjSNr0Wt4b27ic2NmVZqLMaNMHTHD97FVh
TmvrKUNLQp43Mmz1zdR1LU3r0NppbmFtw1A6R5HIkc2lap19SLjNLo5F8BUNTg1uhZRY29SCjRsM
ziNHHd4ngZd98TNHX6nAe7bwg1/p9Le3/C2CAWzZPFiR9c1J3eq2QxHwNUDIt4Hl4SLsM8f42vOm
fttVgM29wnW3TIBmZ8VM7zB959npQusx6gqsMm3EAwu+b9aFdYRDSm9ja/a2wVB4xxnkIxtycjuo
SR7KEl1Y0zcS0Wjuv5BgOpEL2eP1RiZ7M4PJ8wVKK0QLFdXtUOP6QJiRfyDGI6DCRRCSZc2+ccfs
3o80eecgml3JWIobI+zMH0aQYzoh+WhdtVFwAGvS3iK0C4/wHe0HS8Vejn588rX2c5xriASSepux
3a47ZarV1Az6ve+3cpfiTFsWsCfJ2DTTh4Ydd55RqrXndfq2StvHoMXINDi6PJhBMW6bvvoSermz
i5H/LXsKwQMbqYbjxeuOlHIOWP0suKlBNlD/FvmPFs0hw+FGfTXLmDh1t2khbQVlmHwt9DjWrwzV
+ldu78cruiWQRIJaPLZo8ph1MtvybuBRBMy/EIYNCxNXk70p82HiaBZW3g148/QRLBaJjfaIXTXC
m6VoYT1KUaNTbloMaZQqVWlWB33qXx2bUwOzzWxJUcUhqexwmxhJvCfEylhznNhpDNMPPP/2JyeT
HzPiBpCrFsGOqjBd0e54rUXUrgr4RsxAeb+Ofb9DrvPicAQZ4ulI1iZj0lTSOaNNpLWu8QrMqL+y
CC9cy9KkkYLZ9jbwjV2HAvpHKE37ztY1cV8P3o9ysLSPAY/eEyS6KoQRUZTRwqsGf1W7aEe13C62
kLHbtYhKGANNgCABVe6FDPa3XVDh6Y49R714xlswOOQJkXfkiu56i/5dp9GMi1TBmiy3nMez7ftt
1zctane+2k8EIRZoeUo1cwYbvlPhVCi1Anuh1/wjyqD1pIFKV39+KUNg13Vtgd7lNEpLJ2+M9qPB
Fwvd4HGAxb8I4s641puLQPe3tIKZHO/M7mwIi0R1/N4SNxJbH1OTS+XMuI9J2iQ7yWR46bN4F2Uw
ZNuiY3H9+ffDAYZCFkKqgGr3+0Vt8uKEVkT1jnxYeyEs/iErWnacSa2/Z03/Mb3pLZcAmDRYIITX
ZLaAJ/j9Ugmb/6SUhtltDJkVpz4IUa10430i6GimtD/u1IjFLUmn8LpNh+HC9edO/K+mdZdVI/BX
AGQg10XoJ516AsJVqCdBvXMzjQZ8zheUZf/0/v18i37AGyFmNqY+z4pOEYgEXTdj44lq1zS0bp0+
pIoIwEzdpEKfCCQSA5ZTwssL4qI271/63PoxhURS5jG8MeYp2K8jFVJwByMQJgi0PhnXyrThpcRz
I5gMbEIUzYAKDDqiv37/sucefdPSqc35ZYX8mdn1yyTHrD1ZkHAFUqiMienIuieSZaddIFm1Hnjq
/8aCNdlj4Gy7FoIZ8fu3DKpSNzR35HLgCh9LURKs6Q/r0nf0C7vMTzvL6YIhy15YnMBdkAunN5RE
w79/Szm1/Wv9c22OfvttwC6MVTc1rmkp61vpTvoLeYo0k3pa8e/f3XOL1gSNyhwZXjWBR79/3cQx
m6kP9GqHody6t9uCbn7AFvv+Vc5tqPyE8/gKoIM4BaVYg4+eN2Pr+bkLIHRjFAH+bWFYsbrw+537
QhZi9tmzZDJinD/KL8slGcjAG5Gj7Xq8yyvRF1+kW3x5/+tcusbJphbZjUDcxBoxRHM9IQK03Oz+
/UucXRysP2DmLEUb2svv34NcV7evRFPtFLXrddDq4iCKnEEZUcafQo0dpsw7pEAVYxYF6Gfv+ual
He3towd6w2aEwvPn0bo42dEsW7WmVnjlLjCqFCF2I5e9kZTHVIvLPeSnfPX+l357X7ke+FyPOkoA
xzt59vB76O6ozHKX5QMFihzvHYBvF0qJt2vRZIaOyY3WLqa3U1C8FxjNVCUpMcANTPNa4XUsVHfE
1xVdWIpnrsSXcLHOAUWZcSonP2EdQSAYQcaxtWH01uorc3QeVRV/fP+2nfmZfgJYDX4rdi5r3rh/
WfJSZYnpVU6xmwgFrtIXIhWXOKnBkfkXsm7E23cshiBL6P+61Ml2QY9K+pnkUm3n0bjPLQhzPfad
xeB17brs8ulpxOG+tZl/VKvSoruvV6X/GYs1xvRJNChgHQYENW20rDJpgGfEDx5sN1aHBr34HlXV
dO2nnANJJTIJ4GJaxLmqWaeiiZuD06XDTV+0dLDHVhL5RcdxgbZ1uvBFrbd8f97gzPWI6gI5TNjO
7/eUkBnN9PKWe1qHzbOX5foNeOMPo5TRSzbNdhgCyhdV6n+uhoTQ1gTtEfLRvZQktyEDXxolanfR
PmU+B6MGi09eZB9U7xIKRGOJVA2QE0lPvzFCs+lXMYiGoIegUXXCOWixBmbdKqwds+1+1TSuwOeV
xMAwNeeYWGgZ4sTDacJ+vfICpKhOgCeAcsXjbgmNc+NU61+JhM4vvLTOrDUx461RsAACEj+BwL+s
NZ/AAqqPkfsSa/WxMzxzz68+7IK4iovZHtTv3l/cbwse6BQOoReWh+zFOy14ysLCB6GyAr8GYAD6
rdm6DCrEzqZqtr4bNEdwE/qjFXmXQh7OPL5Uc7qUkD6wr5w+voQGdFrYynxHm2v81JFC9qVk3vMI
ESv+/sdfEoEHuxG9Dv5/WjoyF+W8Obb5LusqpiKdwRCPSVC90uK82ss6idxlzYB9XPSCpv37Fz/z
PamrTMksnJMBOpPfl7pDtANtp5zgI0LZkOblj8EQIPWI8ar+6ZWseecwUJ1zvLLtkw2RHlAdFEac
7oTrPo9j3q+ECyOlSk3zj5cp5QaCKYRRnD70UwKcqouCKKYWHb3RYq+VNF7N+Lbvbbmh8fTtz78W
7h7qG8tginz62gogxhCki2gfWY2509SYz5Q8Zjo1puP6wj18+wBaOjx7XlyGzUD79PVVog0JZZvx
zTTrMTS153Jyv8WD+Rj08kINMr83fq9PuRTHUslXY88/jZ3JzDAayU6Ec6LStUmv1CtgBjspQuIp
75At4op4/06ev6JHKerNArhThr5mKcfF7pXsSqM7JJ56KcYZdJmUixYu+CJsxYVg3bdr39IpvEEp
U3VwxZMVaUMYlg3muZ3WtocxhR5sJbeR1C9c5m1hM1+Go6GJkpqbOf/3X3bNztUJKeGvRqouNMK5
wbfjWdPW79+9t1slV0E/PiPadEnd+PtVcFsNeRwbGNVNOlp0epZp3P5wcnkfl2A1W3dammNxIQpH
vH1TclU2Dgc6EwSB00fNz6bG49iX7Dx7pAueYvghuDmZrgdSIddTzhC7RowtFvgkibpH7ItdmYST
bTOUwT5ljrzpKYum0S4/eG2SIG9WFAdzWVDiZ7pCFiefPNHLXYA0+MKnP/vDwDFkxRlzFuzJD4Mk
IUyZbKQ7utP5Oh69mKAp+pzv/zBnVxm6SlpKZAW+KTkzq+Q1EhQEXTdOuiiKbqcnxqPrNJeqljMP
LBnR1LbsQ3hjTxaADRaSyMScjYjcMoQsfrgfpD5s3v8253YgWPG04Ug8fEufnGJdDOiHE8RDNS5F
h9fUYLfNuq7Tr11s/XkVzZkRmSivDBg2ICp+X9VuE8HED3lEx8T/Nt+7KpL3WeU/v/+tzj08wCck
2FD6N2+YoUOdoBoveHjSyHbvktFgxObb3xi2FJsqsN3XPlXxnm5hfeFVdW7Pm2OGqatxcr059NA6
1UPT6hKCZMVtk2svUMhBVH9UmNPZri9c7dyC59hDELLFyfJNkyzlOzpS1clOBSrZZtJ27nsRa6v3
b+abLHoXkTQ30RG8jsizOD3wezOX26blvnPbXv8I9qbYaCiOF34Mm4jZnNM/YUYrlm3RdLflmCf4
exxzG7poOqdRAQYPYrUySr9dp72LHqNt40un27dhG/OHdDhh82SaME9OHpfKr3W7zzLeNoPFmKAp
X4zGK5aoyup95LjPLbbvpaNChhg59sek7+o9luYvIYqOCfDIQWGZ29NF8hZyxMjshXyP92/kmWeN
mTYlqOMAX6E+/H3xpw6fIRoot6F7fFOTAaxMIab0U/Qr48v71zqzECGC8mDbc6OWqvv3awljJArF
bSjtfeObTsMBmoT+Uo8YiByPYCla5c2FCuPMQ2cYTOyoaHhjvSmxuyodCY4t+Hqx/SmM4OgLVDvM
MappYYqxfCqrvlyhxuh2f/5dcVh7c0eKAvF0p7Q0D7mhW0NzRx9aSpzRskrv6cbPgPTgI1jI4EJp
c+6X5NbSBhAGp9/TxByelb6prZKwbx1PPdBOVAmwVe7hw2e7THKQfv8bnnnn8AWpoUxebBSL8+f5
peSAZ2mFUcGtHbqAyYVV9Su9LMqViSL2v3MpT/dIcqJgdE9fosqxoibLOaIZXpHf2WmJ0cxp5FXU
GsaF7evcGjV5oGYfwpkEoA5JXD7RGSCktX1sw+K7bZePKZwEEt3Ke8AszR8fjtjAMF2QlioYn5w+
gMbArE3UE9mbAk+g7vQfqrZaKfoAFy50ZmOmpa6DOaHzjI1j/j1/+b3U1KMAg+C6I+X9OcAe6E7l
44UlYfJ3nBT0v13jZE14Woylbg4tRNBvkLQeqUNt1/YHQc7Qwk/7mruoE/HXV1iSZRw8FX3lIBZi
Vtu6mKd6o0UNmUdMekHJgOYxjDUe0HQXmU1FSLkV3gsvGJb52PmffUI2tlmNOIvTLRSPLvChj7oM
KfRhuMPHhlYX2qTxYfIyxFa5USebIqurrd6VvscBaghuCdOgOizgk+dJVN0Sph1u4cSN+xQ7401n
htl1B+pg5ybeY1Qk9ZI7nMDPoG+6CBEK7hAnApPoJ7X229BGLJz0x8LCKT/DNjfv395za5O3uGOw
TkzmFCf7pyzrshklaxOZ8Es5NC9wr28tU9tAJ137GkDb96937gmn5qbYo33PQOjkepgO89IMiGpt
SuLf2cd6kez7Jr9QvL5t+Vn0ShlsUZvQpvNOLmMNSWhWg5fvEJHfKxVVaAbd1zJ5Ygh9jSAFspD4
ElT5hSOTef66dGm5oxyuT88VnsrKTPU2PRFi5D+FA3R6t7K0e4wuerpGM8MZB1amv26SrlylOSJB
rc3ZyEvR7W1U/sQvaXtTb7WNAVRs6SMMZcGpLfNOJthe/NU2Og7qA1LAxJmwfzfESkQdKIHA8B8E
aP2lO9mQkJvYAkMyqWAd83lgPKrveD6Mu9hNp62CkbrB0cW/zyZ7GZJRtnY0YB2laV/6Kc794pJI
ZcdjDMcPMt+yX/aISK/tLE/IONWbFyzUs4ld3yYGZun3V9a5veiX65wWRp3qsrTwIJW4dqovc/oN
ywwC1PsXOfdClCYRwDZcOUOepgDrJYTCEmP+jqGTuxxtmEy6eC6SEE19PV4wnZ29GP1Kziwe7rbT
Q4Ss2Ixy6JDo72TGSXTadpbaoABFS91EF27fuY2AyEM6GLNl703xm46jKWNUVPiuq3tRO3Jp+OMz
tt7vTYRmIZQX7qRxbl3MM28OsEgInNM5zVSrlPtLnRaTq4DLSxgHd6r6vaAXvypMLdxZilh6aEvm
h4hEjN0YYGoAVgszKnCTjQcU6MnBEoQ9ww+w2b//S5/9eGyItJHo3zK+/n3Z9oNfa0lImdOX6rvp
BR9D0T2kJjqS/8Z1sKxidEG08WY2XnfaGCr0eARqAQ8d0+YlH7V+VbTVhRfpubKV5hSiDc4PHv/7
/QuZvYeDA+3lrsEzEtZIXPv8virsQ+wat2lRPmapd6FRcW4B/3LJ04I1ngAQFbae7bR+2AZt8d2D
wxP48lAV3YUzh3lu/XIinWONHSbCp49/07uWmgYnY5sR45cmVD96iDNLeDguwOU4WGrkxCwzdmT4
p7PXQDNmZWaF6A+CzzMs9/DZL9161wocC7ja8BmFTfUQTB6UhDwFvurX7mZweveja7NrLojkQTCl
1QD0k7m1WYgfei+wswC0GpSOC7u9QYqj1g0lHwF9xNaNZrRus1E8KETXvOyFfWE1nbsL3uzUpcXB
uj0dwKapquscf8JuUoRgNZOxaHTr2Vb2FT3T5yYC6/H+8j33E8/OLIQyDs3W09uuYiMYiQnNdlHp
aeji2go6JKfflQnykbTiWZP+/hV/aidOCkIUM4IvyOPCMfPkBBxo4E2km2Y7mU3eMuxb+WCFRrfM
zdG+AkSQflSCfN7YQjn50y7ghk36MWunZg3Iy9tqfY9y/f0Pdea+U2zMFmgPY+CbI68nyfIBbpTu
Ei8gMqsiDyEPKRvHuKjJNTOmHbrIr+9f0zjTxESVQNdn3rXJQhO/P9HBYE8wE3ii68lHykqW5QZB
qrmp/WomSklIKtJGOWmnay+owuXITAbnhWWs3v8g5pm9cvaFI8cgVJVB28kH0ZFGyKyJMnzLZGkt
fvoaIjOd7tFW5/YVd8bZk4IKdhzI5yJIaSITK8AcNQI2dNebvb4ZR1//FFoU3qKZ9E+UxTlUG5YU
jqlkg6jP3iLJ/z4ixmbL7taWjMM1WmFrVYFz3IWydNYQiB24zVeiSMyHxMyHWx5bTGgjD8Jz6Lak
MunOZ70dkwsH83PfnwkYHnRnntCfNo5ot8UEUpp8/zQZHkJkabuBkM3nyNDCzfv3+tylEF6jNcCN
zmtjroJ+qaYYOpVlNr+WvAJ2hSrd2c03qOTghWnw/P61fv5up0/a3P01Ob3yGjw9/ueaJJQqizgc
dLbvLhoGxpi9JsvY+qroVjl80Cuj0P27ZhD9jRBacC8a6EiWmaqtIuhx//MD/b8GM1xHr1VRFz+a
31EMP/EK/8Vp+P8I38Dxeo60+TdKYAZE/AN+mAkU//t/PX6fQcr19++/Ihz++VP/Aikbf9EXdXhA
rTmf+l/4Bk//y6TB4/DinGUf/PPf/AZT/iVdzjAuYzRidwAs/5vfYFp/YW2TKJWQgNICpQ7+F7zi
7u8FBPfiP2ogLefNGX8WWRoeg1ZT6h7vk99XtTPijQw5puy1DjCr2kLARFA6nz97sWgy3TXASzmi
P/JuH5dZXY4rox7MrQOefldmFgBC24eOBwnauKlLSz5Cek8wyeg4b3AV2su+MtdZIIdPYEXLcjUy
rHzxAhC2QunpsvVs8lFCtm7Hd761uWr2nVkHWxvS/gqzZUkxzBgI7VuLxFvXAWWZFtGb3lBvoJpk
yzR3CdeLx+ITRav7koPq27dDMG30SG7amrhVtLG4QOIouMU15u7yMUofRWh20ZwPgCgREWPxKTTa
cis6bTrUHTMpYg6l/Oq7tHMXeNnRK2ZVEFwX1dg8JXHjHpFK6x9aJFerPHXuu9bwrvXYLFcuiusv
pJUhqSAOAJBfC/cVZQ2tbL3aVo6f7/qIvEjQePeFKpx9RTDlBh8EOm7w+be54x2CPFnZxZDcaeRC
LBwfR4Mx9i56YkJH26S0H4Cl5uu+tPQlJj3r6MVDvW/rSdv52kTmDJa6Q1qjgk9ECSKPeLYV2K3i
upShE66hFsGJ4lX8aJDxuKb/6BwxSdlbXJDZRnAQ5W+tp3vVifraiTTY/K14lEM2vI5JK9d1H4Nh
cpL6fkoA2/ejTDcSrx3ex2H8YEWx87WFA6/y8YueRfXWUMQXtB1+L+a4/sfOjYpNHPvym8sLZrzG
uBtfB3YGccFVM+dgaLK1m6XdKgpdd0fMQbUpJeEro26INdHxKF9cTO8V6b1f3SrvfwSk42wmPR9c
Mk/wW/LcWPfW2NfpcYzVU9ga8ZM70ADXGF1D4J1s/VqDbnblamQLFPiXsNB6oVojZawXUvjuKiQ7
54C5Lr/FzVpcE2D2FA4agD/NtEqmFEVyPxSldnDBFtyKrCIxsIyIhVCpBeCCt0/m7FoNJcimArTZ
LbzWSpLl1M4YpWjaxLnAqzINlbkJLeUuBWkDOG8LgV2ndQkrwZWHtcJqwTXiQ81WZj91gsy/wCF9
lSTBQUzZnabZTFE5hYVtjiVGipciLR3/CFV4CK+UkT7D03A+ZIW9RT9taPCSW8sX27QhOcNZdBzZ
vdfJGstoHfjjdDt1Q31Xt8LNXr2chM6jBbEgx/DwZKvBvKsoAwiYSBPn0fLreA3+B8dRmnuHvnAE
CCO/TkckR1J9UIOWxaQcjl2wU5aTVE8i7a1kWNmYB+BY5WjCyNatbShEjA1iod+yUXLfs05NG1/G
ZFCti8DXP09hie1GV1pwA2Uvc54RtYmyWteYke7zwWv9b/GMYbSjibGKDpTCsDRrrbcFjGPfTuAh
Zi0svMqCfDF0c7yg3tDMcTR/1HYumshibxcpRLnCbbGzde0c6DxHKljXmPg9gnXJGk8A8LBS9HE2
2YaNjmux7PHIN47FyM9sEqzHQ0dI2FgSKdRp+PcWDXlV3jq3Ey45EeQqoWLoyBMCoiBxNKZg2vRe
RYAjrDkGL/GJHsTCjjc4C6LYXHSRlxe3AMdFQYnZlqHZXCVpb+srppoaKu7BCdZ6mMvboZPDxrYI
5NL1tAMgZnOPl5IuwiPngRmxq9UVfLKqhDiYef02plt+nXsWqsyI8s4abH9lJ+lMuGxNZwt4Ltzm
Tudui7BK7nKRHnEo4d6oDLs4DqEdXvlKOZuibyzQCQixeai6SJWrNm859+DyObgOJAgtj+dnNWb/
CmS0ZnRDe1N3oGc4TEfXeFwmY0kkuLaQWp7fOARXfHAxRN406GU/27EPU4Vu0BUjNhMEJtDHZLCC
bVORt0I11Kb6go7x+FqO5VfeUdUNXSq56R2fgGW4h+5C6KXOOdLwN4MewzjEnHNvWXD79ShP92ng
1LdF45IACt7q0JH++TrRSrsbfQNKjAz2bJ0+IqtI/5Q4RrSCEeZ+7oxyKEiUBsAb2+Vw5UzOdI2Z
wcUUNCQr1Y8xsSgmqTglZ23SxDeEZFiLodGhjOG0MtQi7kwL9YA/3UlQI4SCe9s6zdXT5BTNfpQ4
S40qn7Z4fegnxgYJYlONnbUHP3E786Cg8gwCjCjj+zU1pL1SFVnzPdd/GDzs28KIwkUg/BAHA2q/
bgoT+AlesJV8gQ3jXEyJRm+FbI2T9YnCltTSzkY/07kolA0H/EzXMsi2mwldgIHVR9al+azNxirh
wQNURh1siDvHvpU36U2i9+XHlufwmnyk6o4mtHdkkpovyWGJj0TaoBMzw+4mKexpaYMC2aVThzrO
io6jFXL6L1odWKTh8ZfUkkogm7DfuoW+LDJTv6mHMGuWEU/+nQ1lYEu7s3qBNbIk0SRZmWQB3Ve1
PcyhCa7cZ4DJ7hMZTldGnBRfe6xcCzVAhU/GQocrFDz7VU6PLSfOKCX8Z6Fpo7kmQrByF2j58WH6
+tqqAnVtR5F+ZWo1Kc+8/YmX1fCeoaeyQMIazZMmWvSqbR3U9cLC7uPNPXtYKdJblvC3cFa7FO15
IBqSZGfBIM4paSD/4rl3J5MmZlt1zQqeqf0iBpeawiKuBrBFzE5QVYRb8FQRQuY8wCRCuQiANYOD
9ljLUUV/T1b/p76/gGdDQeHSjvvP9f11kdP3e/m1uv/nz/xT3TNv/0unGcDBkKaP4dlU2P8A2pii
knPpoReTTCTQQXM6/ycck5gUpML8JwxI+LhwAP27wresv0xJULHDjBvNIyf7P6rwzZNehW5LJF7z
gMnkzYi64OTcqsBXCt8f2TnAwBoQDbO5+guFvbRL6q+dw5kdTEIShHG0iEx1HQhivFNW2rfax8tO
qHwm1NLVw3LYh1MJirJgc3ydKkE8RR7hW7IyNR4L4LPpc8S49VjUk/4tJs7VWxj4izExIvIcV+DD
O3OLG7R4QgPuiD2Unq47wIqu+utKkTOMLoywhRFcKvEcMrlWnFyWhMc1C4CgR/oHKlpUygVgEecT
1tix+sJGBcEGsOne6gbwNCNN1e+4Z1rcRXNfxnP9UKxRNkPetGQYXdMY7QGhtM5OYza774oshnAY
5QNOd41EqVasCuE99zmnnFAD0bPMAkASJC9O8fNg12pptuwD7TgcQ8+I8DdNRmUYEFANv1m1RUox
Tr5VZWPkzgVVHJ38ejlpPshG2kKghvF0tgbQ0Mg+AH2h5FJ9LK96w7FfuSPjVVJ7sV89ohmZ9k1l
Aei6cqqAXDDaWQtl9XJQ28pVYboWnP6vi9gifpIIr3REPcFhYoJcYSzZ38OGIK1ogDk0kHKguta5
ogTNgWEvjRqtw7Duw4RAMOpT8uyYgxlZYngdqCL0DhKVvoFsMNkjqncctVKodz53KOM+1OQI3kGP
1oZvWGlV/MMDIv6DPpLozRtBWZcZDw5I7o1sIofAecXZ7pPqUwjoZYbPtg8SoDrQ7LlRVeLTHyPu
fB+B1jUxJCT3hlFUaz0Ct4Hxt79FU9It9CiKWZawhVejSmgqYx86uOzwa8Bb02aKsKUnvB850wwf
GtlaEcDsVKwirwopossmOLgu9RotEu72UoDC2Olk22MVoHu5pzarCCOb6pdCqPRVYJczoUbUEhRw
CdyzcX2XDZheGrUOwJtDbUKgt8wgnVMEY2NHrfwljK2uWZLzZt/NihEbLIYKGHZa+lUQW9mGHCBt
y7ufHBkud50iSt8akzHc50Vj0HRLoCdahu9A4XT7doERMbmaIxwgsYoaGHMi833X6/ZN1PgxEOsm
tY7SjadD7k+gVKEzrZI2fOEzEk+jk0nQpsGNDGvq2taSR/yBNZPRxP8SVqHH9HzqtlCBrXUC9eTQ
Go56iuvpBlKcfT+v7FvfqPWVM581ZWlcTzFkVQLPyBM3cTHPjBjYSqbSfxRogW4LOwk+BSqarqrS
YmzeJemuJgF+MUYy2MZxl2z9qOYgXKr6m+gRCShZeQ+BpdHQpz9ydBPn48RJIDdjEn1g9R85OdlH
kiE0/PN1/0xBBRQgBlhAcoMpPmOZxvnWjlMRICTVzQ/0rVvs/bX5Q3Nc6OoNd2OTTIBz2iZ9pd3i
EXnELGGltWPpLZJOWg/K7Dl0CqcrXi13DB5hv+MhL5LK/grMPNrmJPXwdyhtn7qpWJpAkRYl2W77
XifjIBloQZB4Gq/9Lh6IdA3c3UBQ+qInFc5dtBLqcWMH8JGctomuDC9sHxuK6mXK/Xkka/2eZU3R
K8aj14fa0k58bwcTUYHPMkvn4JIT6RFJk5JGKPPwzkvdCBJmkX+jivagqow0B1SGDnI9Fpa+4Iy8
5/j0ockqd0/w1bBKWN0PhlaojJJvFIRGmP6yb0Dp6iCRxsEmXMdxShJu046dvdXNL7BZmJiELVla
PZa71YDg8rPt9t7KNNT0oRgAP1lO1T/DVIcCQLb4tUgV0vXOGV4pEon4EGbzI4DTvUzsElAYDZHt
YAnzkyDL5nYyIu+2g5NyN2IH3xhp0NyJqlJXdJ04GhjVlCxrAkXLTVHUwRoLuf7iMt9YWRhYPsTg
+xrSPELSr+JWW8AXCX4A0tN3eZc7n0262BoS/srDEtGny7AZOwJ0g7Bf5QU7PzY5eipuJ6/pjQSg
9DRzYwWGeApKT+Hjt8NDAYfwroRTsGpKnQy90QvH77BLmgdUKWW8LKmsVzXu6JLT5kyCGEq5MIxO
7CdYdO3SEuX3LCOAxhgKDz2MKK6RBsZLjUL7OOVFf5+CCqIZ7l2XpAhFC5JzQn9v0gW6Dgk/Xhmi
jL+QmyoeY0aT145yxwe9p++20GTofbC8AYq52wz7YvAja1H41sxaifTbqlPJc+YV5XPg5tUdNG//
o0r86KodoA+ElJ1PoGbGNQJLYmGrboTeB3WEPkcdriy+bbEcGqE3+5wCndgcp32y0MiMMCTrfKWR
ibxkAlasSz3U78ragVLtuAQW5jhNGwDh/Qixbszm/Na5V4N0hvvY9J+swbEXdhdKGKMZAVrE3kwH
IzLkK+J3XVsWfh7dBU3YAzvWvedxIihZtyZe9G6uAzSkxo42EivG0eHQ8UgyJklXml1Bmg58N7Jg
+QzHtgRxUSsES39rrf6nOL5QHBsWatf3iuP9t5ew+LU0/udP/Ks0NiAUW0jvGE5hqpkr2f8qjecI
QfrfSNcYX9EV/78ojI2/PA+1NdU21gGGnuafFMZ/+xx/mbEwu8PIwcein44T542ok3KtbG3Hlzcg
IXAS+vlQXuXOOIo1zbLRdoLFILBK5odB92T6MEXK9r5CTPgeFpP9QFeLRqlRmI9I64fn5P+wd2bL
dSJbGn6h5gRjApfNHjQPliXZ1g1hWzYzJJAkw9P3l5I7uix3y3Hu+6KqQuVtbUiSlWv4h9AqLuj2
44pWuxHzV9mKiJ7Yhjbj3vK2Vd2RjVCK5hlM4we7RWbPNE1qr7lASG880bouy+vQzeM+gYocHYsx
b8+adMUgopz6XUPvad8yQ9wD4wyOeQEA8YDr1AeItcDXSntGCs+T8pIGnjqhidCfu/EwP29O/eQ3
Knr249H+gi16eGLLQj4NTWUj3d/AQfTGr1SYDvcb5ciyhe6QX+CFvZzasvOPVDDWNZ5BKbYwoT7m
jARQmhpiN9MDcOcJiv0RLSSkStxiLm9wu3I/aZJj32TJTrFIvLly+24dsSZFO4X2mLI/4XUXPyzB
st4sJs+WJNzLEomDJoNPPd188EurP/Wnwb0emgbhwohTyy6L4rIx6XtgEvnYqr/Gqg8m1loeAimq
ix6PAqxVLY1MeZierWngHQHq1z+auoAiZ0oDVOCjfheNAxRBt/gxmfIhnovlM7i5uU1ovaGAb0oM
LHmjJ9edqkMQ0vBeou5TUzSfeouvbnu5IU016y+psoIDwqXdwa+KEGnGkPoonFttzOx1QMZfxM3H
cFt8kaR2Ls/Mjnzo9SiOEZL3xhmsrk5DdwLekoeh4up1uG9fKiVbe4KGar2QC4rKye78yqlu13Xc
cGfN7V1uaq3cc3GkK+wl4Fu87hAzuT/xyxryX4Pz38cZV+zLwBRo+Sq8KzQpSmSL0vl2Hvrh2I7j
8l0ZMFBCaxy7lMqSP8l4ygl6KdPGJiznS6zAC7KadrxULwXhIubsOX+pEqUMTnNHtWj9TTJECweD
9KRQoX09tyu2C5Qa9DJaYzvUC1reNNinR4wKaMn23uoecZLsUTGjJ7h3sxxRI1OXIqlKiYqzYnyh
mwajA/US1LWJ7zGBvui5qLAXwFGxw8RoOcQ/UVdu/rObtg6BqDo+Dc1hMQTWs6Dbn3h5XuJEwrA8
8QaLyZYxd9h50pPH0Bw4hQZdioDSBQKGxW0TobEMrtb+poVTH11zTlXmxNpeDi9hzjGyCCoDc7aB
hvJurSpl0MRZeJxwLsh2rTkKu5dTMTIHZCSqWe6bFCeBdXK329Ccolsfc56KxThkeFTDtKDuanoC
J1E9T49BjvgahtM5BmxpRc4SZ3gkSkzEArp4ZJ20DvGhYH6MU1s87ppw7pPNnOnOpsuTRaW4d5oT
X5uzX8+9c8wDhMXyGPG+QfnpVW5yBCHIN9JouC8qS9zF3nQ6tN52M082EpRLeB5MvNYIPLt4RqQN
Zsaz6G7LBrSN85KRRCY5oZ0trxqTsLgmdSlMEmMJXJ2ZkJFyvaQ3LTP8j0vZuzvkgXYeOJ2rhjTI
NvlQ5pMZMavBFASQx/U4GUvyoIUZZtIobffxHqU6+2zrnWcHVua1BNR95pqUqxknkRQmDaM7STLM
Qz7Bmzzfp4WEOifXlH6Cpz5uJolj1CMpxcMVeEjjf6BdzyxlMJkeGI985xS4XsKhkPsCI8fEdjeF
V9O0PCDahV+yRJNKmMzRXtCkAiw/n8Umr0wr2sJeZwOUMxmntUCrHnx08fEoDcQXDsHtFI0d64dT
9hauY2Suq/Cnn2Vq4bYZFN3d2OMdJMEeK5PrZluTHXrMRvZ44OiTSI8WLjVpn38BVK4uh6a+M4RV
TLBEu/NM4uyaFHozyfRs0mrbJNgjZUafqCndDj6qgSeNj3SB62Eig6i53k9h7v8ADqwPM1k7llMa
l8yQzmNazfluEIF1mVvICyFYNX+SLym/Sf6FKQOU14kvU5TzbngCOS48ns+colpA3lA0SFM+zEHh
P1WmpIhMceFAaz/Z7M75OjeZv1+oP1JTiLimJAk0mgQ4/aTBR7x7lr20t4g2bn23Uc2QPeB8O+BQ
fKhsU+20iGrtEZH+MNMGoCeNUGQ5NWOymvoINAj2AOhhzo92Jvrz2BRRGchqPMtMaUXctHajsi/H
0PLuGCHcTlmhkh7g+AXTrQrB9Wm6L1e3OYfdnPBKmArQaS/FluVncWTdVWvMVpuHLko8zwiTmJKv
WMR0NFPJw+hN6KNG6WVZQZjqxDidpYweGDpinAMx3T/jhcqPkyktMzUhqLnUPZqRaXOZIQDLUZTO
X0nl8RDWtrjY9Bh+d8K6/jZgPnIdjMOH0WuCj1vkP9irP15D6+8v59ljkKysDaROiK5CEOoHBknT
eSAa46akzvIyxNyqKroTbUA40waQK1msbDxHQnc6+EXm341Z291ufYADOyeXTsryg5NJ94s1t+j+
cyojJ+ek+pODzq1p4AeXjSxKxCrRojYlu03tXgn/ccHlGHnjpj4UTBFpH+r6Po4yiSZn1N/ISKFe
O0rvaPfpj6jKCIFIsZ1EI0TPOR9pGnT1dpn7iOBJ01LQMV5R4ai7vdzqfo9b8fYz6Ot7lHVx6cLU
8yMFTnBUTqV2XN+aiNK70kRV3Nmdp3TEBLLp/PymlB1awdZ6BUDokgmP/1CbtkdvGiA+rADUhWmK
FKY9MtDcYypWDE+L1QpEGacYsWv6Y+EMDaAW45OxLsSzhRZLNuukMgr7NZ0XawrW/bB6wBRMWyaO
1wS+fH2xqAtEnn3UEruGmVDdZRjXUWzlqC0+lJZoP5JUVRftS9snMB2g4qUZ1Jm+UBxm8rqmldmY
flFkOkez6SG1pptEy6k52rmboUiCddlA//I0S03vSdPmuu2Z3J7hEOwcl4gCei1LABn+/ATUo0Qn
egjkyTw7242cQ2DtweCc4yXTHin2l6/TS8trNN2v9KURVtUZqpFi7X3gCdvyva1y+SRWvUMUc/za
ZHG650J+IujeH0v0mOHGtRai3qMd7Zqysk4zlFTELuyrpkTLp2qvEDOrdl7liwOeOCjIWn72nCpA
FT56wRxpYqDzG9vLXVWVN+S9O1UYhocrgHcAhDpsc+qcowGewTAh2wQvYJ+mnmX/BMAVJMr0DSc1
d9hiquzgmIYiqQfDY3qMQbhVHhjydblIYfbt+hYXAptH/dQx3IISm6aH8KVFma1jdT6MeDdkuTXu
+9c+pmlpYmMxxEdnorgtNvtDKDmQwENk5bUzK+f7IsP6BusuAoJ2652XVu4xbTf0iT9GS8q8bJ/i
gt19L6aGTlTStDXCf+GSV5V/ngZRUV2oJYq7+5kOBk4P6nlhVJXELZlyUg4CkfwsqZ0Q/CV8uH2A
YHi4X/OMQp32oEpQZ1t+SCHz5xk2NvLrY/CZv9M9WdmcHo3C8BnWCihFOjpa9vYYFeeTjvqrXvLp
bhTdF483Dy1szNMXjDex32LCm63uSREGsksyubTPQ2o7V+h+RmfCdfBymvGhuQ4ncb/lucSDOxDP
PtDYNGFKSoMniOdDsMXD3dAgnlyKZji3Gtl8sOcchyevQzSzA1d6iqUb/l4A+/dkfTTkfVIYdx6b
JEP7Fh26GrxQHbgXdjv654PNcL2AUH+I6hyMgVgbLwktvs+uZPewFNr/hPFFsGDjLJsQaKzlJr1d
Vzu8fcu7GU2eXVGr9Qs2pDdZGbGsKOIzS53xd9JlVqTGsc7GnQshx1KhlI4UzdInIzJdU5JmMrqJ
OIUhNy/9dIYII0OTUbbN+dKU5X0W1eqLIvWkZhr19dpu2ccm2MZjZBY7bfLyxIJLkiWB2+TXVqph
p3UtQsJikvbZWo79xzRtbIWmNh+dQIacVePQ3iEtPzBydvrHIR+cz46M+s9tl+ETEdqXvoszBbIL
NiqwrjSulRhMJZNGTDxu5EedL/Rz0lS24dW05P6HNu+/hhu99wQoN1AUK7e3XTTbdPoKPCpm454h
bqp6rT+VtgROU87pCQJ3DiqdwAXoXWuAUcM0P2vL8XYS5b6LsckkPbesPSL2wku4MNNOBoE5JC11
PC0V3hq4WubB/G0j6yPjt8CoIie63vZhVIESievibsiwMrf7bUDHkdnMAT8I5+AiC3A2oxrMQGor
L4NcF2coeIbXdUDlEC6CzWRb3+qo2x7AV6BVi3kRN+etBA07qNZPFaHCZefPQCLKcLux1m7bI5Gb
nihX13etyZO8jX01bHiBOqiXnoPDKnaSzHeH+0F32papg6yOk3XUnyaRdYLhMjDK2EVrByaCZYd4
7WdUWbFIbvrPHUj55gaxztE71DACvSt6jGTvGnc9jBpzMRoynS+2ZyyO7PkWpebyVOQdYF3ELNdP
ql3kcr/NVsn5aikKXnU72aMXuocJ2Vucs2OYV/MFSzJE0RHR6FzsvNHppir5j8bXY+4ra7nesgU4
UAgPsm6WvyHE31Ad0BhEHiOAzEJWRnfHABf/CZKV/TKXiEbO15k1BnsEUPPEQQ44XJozK4r2afbk
Nt6JLt1zrwqOlj8A4nMOUYjA9rTR6VUHbvUEAWvM9YqTf/SmfoEf33GSer02aNuOL0IAlG9pL42j
exAe7nwt5XAdSnLF9LT4GxuCztU/OZMvX+LAyAxR5UGC4O0CBKVaKHr1fF24dmL+EVZ9bMPuFYz8
/y3Jv7UkbSOt9X+P6/+zxlHkt2k983n+xn93JN34X3CKInp+CKu8jt1fh/VO6P6LVrNjGy25mKYk
qIBfLcnQ+RcobD4e+lEA08A8019uagF/FNjAsz0PtRYak/8WGvfNqN5cjgPaElUgoydp/8EEi0K9
Ng1mMT+IvkxVa6zgPXsPEhdn8z0WFu76WNbUK8dxRQttxxg2CL4vKXpCl04XdD3+hpbfgNcE4tlR
KcUp7K0kqkHgPAw2TZV1N/gSuXhkvJdMWzvt6R7vFK9miObt4biO7g2UVRlysoC5mx9y6sfhgC5M
BtTFX+PCpccwEQFOAOkWfYCjQYmS/K6eF8Cqx1aXuN5gM5WnrfXahf8/scpvJA59YSjjLsw//sF1
gcry99hCRuJ0CgeAH3KcdQwmJwtzI6rm49dxFWdBzFcuTtE2P3sxFOs91PqYS3PzaeB+WmfOlod/
7K3/JaK8cGz+p4XMJeF/BzzWJ+IxooSW+PslhaW7NB1ewM8OfRvgCtRRmJv4Uz+C66N2nKukCYvc
wXGUEpSJbglhIKRZK7vqa7eMa98zGOTMgh+hRxsT7DTbpv1WLzyKg1Jbvj3mg8DW5CC2qhfX21Y5
fKyJ/RFoGITEKYyT92/K4EH+cU/EbbMHgYIDyjBUpjeUEibuS2FVdfvDplgSHwP8bLu7pk677fb9
LzK0t9+/CEiKoUvRWWXx3nLUVrR84g0l8WcmCIguQJdJK0aYrs0bvnhh6d+QTAZeTmUf1JbaSScL
9V3FEKr8+f6V/B60fW7ZYGPQ5AIZzNHw1sbQgRaNJnUpnjGUH5gH4MKKRuFA/zT0zrORFqL4dxc5
8AD+GPg/wKA/9QItJ7PCDgmT7/XUD90KkkUCwE90tKX/JlHM3B2By0dajw0PYyB880BdoI6VLAL3
GT3esfB/YBcT5vlZKif2Xdb1ZonJRzCiP7y/rH/spIA9BEeKiQ108z/EYr2hHoe4rMbvDFBQk0pK
FOz1XYrZAKv7/le94bSam4RF79oResPsKIBVv7+J+IQ7CK64zfNYM9QIT4s4bR8g9hOjdgqyQiZv
lnhL7eaywzhM2AemkdX2WI6gorAjqwmIeOaWaYPtbClCjOZzbYCvWH4M0Xo6zb7fDH8hL5no8NsL
gO0Bhp7wNA3J4w/ykoMpibvQGv/ermrgKgYrrsqf2lmt4HPXNaLz9ggodir922L9+WBingqDGxDz
6Jm8DVspvheLpDn+bQssx912lIcF5W0Ipmiwd45Xu7RheE2qEIe1Olu6fT8MQywxIgYldF802zxg
HxGBvPwGk6OMAT4Il9lvQ0sq2r//aHkv3qwTFxgCmOQ1wSQHXsybZxtksxyaaei+5VEBGy4pcQXb
bkexDGyqbbVRXjyJRzmKa8tLC96msfV9DoNWrCvBMqY9s35nAzblT3JsVobjz68wDNKO35U/XwOw
jzeIvguWKROfxyyOMcvTWA2xU7Fpo12FGS6oZLVvIQTwRPImNSHaGlH3WffuutTRhzSXavmCMhkp
RNIvm0GauCWskB7EVyH68uj6fcD73SPDvdxKsGDNDzFPDMITT6XjdsvrHwefUcxgaw5bV3KNNGoQ
FgVKNjmf8WGSOPOAKqm3x015ob7XA3OVuxEmN58FbUsESXCg6Hhmbo7WAMQVdPmqdVcCXOFFT1Gx
4WaMdUGeHVfg422QwOhw+aRwipSPFCIcGwH6eMnVBzWHDYfZ2i9Q1Hfj4JfZeiizmK/G7SDm45s3
m2+zMnSYrr0YssuXPioCfZr6ugdu57fRemJGBe0FTsrrdD4t08JeoudpIh9AbWe9oMcN/CmxU2XO
zD5K4VScUtGqEesEH304LDReb4AMO+dWW0QjRbm37dRiQQO7ZfuN6IwRxGoKYAvZzzEV/KdgBNDg
YYg9OFC919/Ry94aDl6RBkW+Y8t1M9YM+RawBpNXrHz1gnJqeb56HfeUva4qBI6ZlQtAovCBGTvu
6hyTvAmXTnyozDd6jBvKn6tMBcsiVwyrIEtlltkuXaw4tbyqw0zsAPelbO5ahWdAeCzNlFwkEhIE
75Ru45hdk7mU4itDEmrtn4gE0hE8qkxVkXdu0ZcE8d4smjXsFl0al1ACIxoUUc1sEfPqENv6GRhQ
qylYs601uVvpLKgM7FdBtshNlLEUC7bqGH9nh87Cxg0DV1cTBQ7D5mlupgM0ypUMXu/zUwYaydPn
NDCgf+47sEa8ClOJxE/Jk1chZ9fgdopLWrl7/uc8leZa/BixMrFDtINXcI36ip3ibUAFTjUyYFwe
4LnI5G2ptqvieoTkGnyGpcIPuxj5Yy4LL2qzxr3GM/4nBBrcfZItCs2eq0kB/VNKLp/1yWyjorAz
qbW+xyGPf/cOvReFH60iNpA6bmQZ/lzwnq/Daiy8AcaTiJW9N5hX2o/NLx2g5PEkgpG8sWX06Hj6
nmmiyyrkXSjH9RSc6Vg2Vxo+L7+wH8aB69vIxcyu9ooCRylZxZuDSVFUB8uwL+37OGfirfdGjtlE
prwG6n2kR3EM4C3TDFcVhgD2nr1dQz7Tttxug3Vd2P7RiHKaf4ibGUEKEoW5E9ciCHSFZo2tsMzC
Urb0ipvOycG2Ybk1mSfcMtK0HYb3dM4t3N5xgsKoaOgVs7elHkdrvqjSEVItlLGRZ9P70LKCry20
cW6mTcs16z7GTZ/67TWMzxhulbALf64PBGLCzUF5Wbli+iKnLsZ2h7x90UnqCpXTgS1Rc8uSqCLM
AhSG4AFPhGC7cs9w1aqNufeQL3meXQLZBHh4rRZQ+2yeojQhJVTz2stjteKlmyf2tIzsodQr+iq7
6DY8zeQR1ZZpcK63wCNUjj2ykZCHKp5Hmyy25UzYvs+CWSRUq37iKbWYv3EWdGsz87tikE4s0sTi
s3PtArNcfbSVnPkkJUzPnyk8PYlLla2b5UOsSpMR5v6UEZ6kjxjnfKFyi+igWUXeBcdVIxtK9xD7
ujOefg8lHjwhOz2qx40Lhz8GCHPnO7QO5ZFwyXGkVxlyyjcp0uloi/i1OWQVKAm24yKYDFocysNK
fFgjpnE3AJwHmSWEqMA/RaMD3yNQVkM3JFvjmhTLtjBb+N5ETHGuftUhRH2zOHOHd0t8UgGf7uMD
YO/Zs84mPCcHmUCwzvY9GOn04NtTSsOxX7h5Go445x70OodcMUgAi1XqmjzkxS5piLJ5omIyK/hr
WzfFbP5s9TuPjbsVi0mcRWeZcD8iM749OhBtWGMvHMCmJGSiGSb1oZUVvLl+lAahQ9cXIOq1WxB2
92NcMdbC3s1ZxROuTPXw0W4WxkmuG4PJGAZaiACJpa6OotOT/C4bzpiLIWss37RWQw/jHQCkTwUx
dztWuALWz4AjtgFWHM3nrzPwmPlmA0piJzNg7+5CegHYzQQHvDiQux5w0zgdUQKO9PXQ5ynUH9Ew
97n0ao7VQxopoNY9z2ggyC9Rb0jhrR78ZQdgW5uUfhtmeoJ+uNZunMjBWtUXhB0n/6Og5exnYOEg
xlkJkqdrSisRGKiTsk/TDPuknJOsRgO1nvFUjIt6A6ScutvcXSy8HKBCVHU127Yjj5opkbcPSNC2
+6x0846DT6jwfASQyKTSV66DihwRjvkYwqjx3upcRj5Agl0UmoI6A4PiqX3f2fN2kcatjZnxjEnb
MZWL06oEJVI8zvLUC6xbWXWN/zAB0Swx85HhKnu0fpHpul8AMqgrrIRb6w4a3rg9KnxN6gSknhig
N+Gf1yW1EuFgBllBhieHrUMp9vGy1QYfrADRgp+Omi6Jq87M5LGTHPvom9OUUQvoBPY7mFah1v5H
XAbeNO2mEBotNLExUDb2lW0fQMqp7KAWJ2ljVeIa5ppV4VkmJGlt/gPUg6cgQuBHCMdp7wRq3cRB
eApPruvB5WbK21/ZNxDPVDh38AABoiYIi5kDVTZeI4OHeQ2k9PcynYdUk0/ZYNpPV41B092YwoeS
xwHPavY/I7CSDGrwFm2OFQzezMuN0Yw5aznAeR1yX5gI1wS2yTBxy05hrJXYUmRQAj3oAdHF1mcW
KSmUZ83Rg61tySmj2iBzt5MV3JACeRJ0JvtDasJUDmHpbFzt6iPOFJ9MAB3EZyA8LZfiSCsEJ5VZ
il6DnPqAMBmMI5l9xMBbuie+G5AFzza5m7WL11kSy8qoMIcGEN2UXr7XjIF90E4rNu809l3M7U5B
+XjEFMZ/NjdKXoIk+C4IGuTfz5BpcTmjZ5i5pCbwdRULRNvcnJxRPy9c6ZDlId89wafrto/aD3r+
rEtjxgYUZl3KuzQG3cD1Q48wcbLyw5qPuKUTc0VtKkdn+BoPsclX41QTbVw1DeIbeLu2Owq3DNvL
rCs1x6KS0uRSrQxNypJjz84aqa4Vyvk5WSPI3P1cOwiCMytq6RskmMgCrGDiOwQsPzF8NSnSS7tH
jI05pX6dYL7TsY5VZ5uOhQCtxNU7XmqxkDKDg4dRWdFQdNQThsAzYaY0VzCNGD2ifvprJbaeVyiZ
pLeRkYZtzm/sGiUaf185uHDCjbNqsxULwELULA2Oi5/rwaH39PoYOTAd55Hyb1L3UZ9COz16Zevw
jKZRg6++brNKz/ktnqx2Gn/RVRiU1WkuRdbMZ8i7CX2/hWjA07xH54Tm04CtcJGfSRtQl8NBWRak
4LO7mkI+Ej2bpaFf5yy7YrbRctz7FaTVaxiIJpvXncQYEjBhNurodlO52xWXAoMcrmfdfPMeeN5g
c6u6IslEn9E3r0jf4EF3vbVlzwdS7ZtEzakpjYveMRvMSyfmRye9G2KEus9eT9dc64xDc+pmElUD
1icLFN5g8k0FUwJwIShLMmubFSh/plvY8gP/33yarGTYbuc6CjkuHbDlnGF5HprUsBIT5nF7x5Pm
al9fj0oFPBdkOjoe6oAmgmouvQXjyieNsyi8IDhPFWJe+J+bbVqs5ATl0R98s3fr1o3bq2Z2MhiA
WT1GznTOL2g8ktq5W3m2k6UbvqvdBm7BlrowzQp4XuU+1h0lXxbGxfBVY5/nNclYTVIRXNbZ9y79
2VF4jKbgzsufDZwcVraUYELubWcxD2T0Y9JLCk+es1qDbb3wZpf6SeAmvOiTxUUP/KvOEbMk63rN
fMbM1uQaYxcN3G2xxBWJwa+KONramMRggYdD9dVmvcdPGTXLgKEmzjPfsUrtASUBaLF3Xi5zyhGd
D9kI/1pIb7oXW+1N1s6aQf7fWnlsim50hkwWNiyOKfLDeDCJfCY79keK6BhPTTU0dJkqRhZaRMWg
g5YcJQaY8Miqm4i7OT3l3lkfYokzmvqB7SQCvp7WXrqZUCmJyeKUcfei8kMbLmz9UydyckqVKiKP
en31Wl2b1AriXAzOcO27ekRkVuvRbIx2Nv0jK/VWsyXRXZzbG9tflrZnQTAFyYn4uIoaJ5zQvOJU
yzBLhah8ktd1LrOTNG+X6YNYwm08iyZ8ZE+j0aWm4GCzfPIDb1Ga0Mn4suPXxL4aiFVl35pM1IVg
RpyZX6vGpcoq3tIeQziCFAn/JHYjnSvXqBBpUwW+FhZ1upmL7nAeXsG59mKFoq6ijYrX11HJRqdI
stn9iJy3PNLCmcylT7jsgHOBGp8qdYDn4VdQE2iO8EFEmGFzuJUJWIrHaKHjUGFoA1zEKhBJOra5
11ZfvW4xFfr6GjnQ8DCJbuNUZle+3zX6X3pGqEEh/MpAJ0QO/E3PCLkHLDLiev62pMrUmRoqH4qe
FmoHdZyM8JR5pO9/5duuGm2qiPLUN+08zCTe9llX2baRrYT6FojZTG9et0aN2gZH17/7VehOkeNi
6+DSPLffqLa4eSY3TXfiW+GnJj6BLfI0SSHBmtj1/ne9dAP/2aZ0aB2HmNpgqwKR9Y+p1Gg7Yz3X
lfdt8RpoouDkGpedGED+5zXMhwa1i8Mm4H9+nVo/GGmi6LrHVEgql7qbLoSZbKCSZDo842tk/jX7
aPHtNilSGOAdexmKfuan9y//j6ditKJJbIEvU46jp/N7Y3gZ0kZlcxh8VUALuQ4OKFMWcrhSQr3/
VX/sOY/GMLI8cIHpq0ZvVSNJowoX5Sb5Nc4jb1pPUwyz50dnC80rItIMMO5fbu7tCMXhwSAghCQV
XVMXvcrfb27oRy/K6N9/xXXexCi18LLdTgWR/S5DW5dXOY3J90kmVn7+UcNhHm6Idk1w9v69v11m
pqYBZhJmqsrr5rzdkXOrFg1cxnuiJ0HpuOY5XaoINRsi4Pvf9HaV3QAuCYNYdABDxq5vm9cViWHk
OaXzNLVdWF0pWZvSvCip1E6Bj5us8f0v/F1hjqEJnBPazgx5AyZ8tI9+X2RVQoKO5nV4GlrmRPlh
QBqFMEdQXHmu6dDXiwMvMsMXexdWQc7J+P4FvEiL/fMNJNVCGsf2UJEywDXP/f0KqBLz2pFh+wTg
bMWCnFnWVh3oeuRxefKatmhAQJx5mJOa+P2rKW4h4EB50QjVci7A+TaL05SBafHQ+l95izs/9qgW
tjpqORKwmOqicR95ysK2uQBSSbQO58AclnqdOkCYeWob1Q+P6EQuokIAYd+dGdwJEhIVLbpDRDLv
qrOC0XK07bvKMrnVqEeTdlmDG1LFjEVvjnMhC3KbcPTMEQ8oQ3JZ4WuDfiS1J2pWlWuSpjJSLxmf
65hkOS0bLCUTfFZn1j/KSjztzl29aNNkAZNY/cUm448NB3PfeEqgFOB6f27ticoit+xt/dLlvUfO
mkllSqB4UyYD+NWyfv+Jm/f2twdOqEV4lhlNBBbgDxQJgzJoeWM0f4kzYXqMUxGL6gpZOreyru3R
5goSv44niqjFSU1SaNWNuZr3L+PtnXvQ0XHyswXC97xzbyUmW9SpZ55l/qXqaH+eg59UzYNbze5w
6Y7qLzqibyMIFrNB6NEpEmjCI2r5ZpMLx86KXI7jk+7xsnhE6cNsi7KUJrN6/77cN680vz0KBcwI
gX8BRan9JjvI5sWu61a7Dy1YcGBJtC9Vdsxoo1LpFuXM6ZAw8G74T0jDhn254B75SLEWoBIiaevS
gqHkMfN7OQMGpI+AEBcZNqYEWBOEBIHveVfmpq21WKYNECnR8RJqIIPs4aphOnJvsHLcnFUFnEVZ
Bj+UsKIbE68pCOAWn1mwjVYARJ2d+VfvL8Kb9WYN0ElB3g51QZS6/5iYBkGm4kZAbpia0pzM6HOb
Vw4REyrn97/Ke7OfzTMleKETFwuORcwzfg9gcyfpqTp+eh/5wDv5rgn02jVC3CbVnwj1hKDX2XsN
SIdVaKGFsbl//TToyXQIYAezuIEfmn4mtaAk0rnNiBL9mVVBBd4uR15VwQQLi8P5ZPUmCqZD1aaU
x8VGUNPHX4M/pkVmiGRhHMi7s0X2xp+hBGEe+BaUfIv1Mh0PXwty7dABVXsryM2TLB2yljkJNYG/
26sBlBeV0esIjTeSvQuk3BTPaUqXw0tWp5lpgby/pNHvj8+YFjPJt10ASwFnIai735e05w50ZMv0
e6298HM5tIELU8kNTkUVSZ8ef66Omb/EF2tU1Ole+ijPNW5VP+qsMPpVmB8wNM28JLZWo3qWq/4B
S1BvvK2XEYpuHmn3tIjLDw2jtu9a+qOEzmXl645ZjrhBlrK7yO1ivOJEyjeq9VxXe2ssvU8bc2R9
ng6AktFDi21/T9ewerQ2C6qxQpps3o3xcOtzKlVHv7a8qxAq8l7JtT8wE68fIQH453XtMiUopaKd
11UzIzwFkxHURHCB1L9VJNPW287ek0N473I+f5V55wRYI4qcFgaaPEh5tO39HHrTY+FBAEsi2wI1
b9G3+1JN8fhcW3L4KHzEHelNTYhhT+WRMcEqdy3zogWSR1xYCUa0+ryG36dmYH1JBJHs0xQJdA2i
FF0FBRPkfisnWmK+g5Fia1n+DnX6D/B/7G/uqsYn9JR8lJaCaZcvArZnOBYQLtbiL5LPvwdrNgRj
ZYIZQu/M9EkU3myIjvZP2AdZ+8zzWm5jN22RYaw7BUlssMXDX7bfbwfU65eFAOXMMU8O9zYjSTef
1G6I22dhhw0YocW+d6BfjQn+OFfa9ybqv6xrPjAiDKu/5GN/7PyX2wSrw8iGIP4WBzYFUGorf2ie
+7alcEXxtFqOjecAfHv/Jl9+0/8cwy93iWgPwAPM3jiQ3xaRhv7rarAycM463hkPaROVYJWNFBhG
YOFd6zbpHZoWmPnYdRDLvadlUZ/oIhD7pVbAvgDriZsBROh5a/XhA+ctkHr6iuqxaUheXNUiq+sq
x/9g67KFOuFFly3t2Q/aXd1PcUmdmjidY8tdVmU3XoNbWmKFjaB7UzGLc+aYxtoQr89llylGCdNw
dDJseOxFebuN5/eXXOgNCI8lMWkAaRDr4nFGv00JHCscF3Qytmdo9ix+Xnj5idfh0bhsy9fWiesv
nhUv+8nNGHr0gyUQRkGsf//+kwnMZv7tyWDxaao6wIAAx8Dz/h79nCpFS4WG8XMGlQk1jXaoYOgG
YbxHrWtTe+03y2nYKLSHCks2THu65hSaQnylpdBwtMPMQoci80+hZtM4G9L4qSnop2MRa13hYxhe
rt560v4Xe+exHTeWbdtfeeP1oQFvGq8DE5YMMkhKotTBkCO8xwFw8PV3gmmuTL3UqH42KiurJDIQ
MAf77L3WXEZlPNEDLe8ahYvm2wzGyFQeF8Yu8KXjwGk954GyccJ5Z2Yv0s6zi+FA9SvoFB+ypGnv
KmssN8rXID7LMhVvYXkXV6V2eUHYizbvDH2cBbbULHna0vDyIO0Q+6PQ1zx/GhNGAE7e5QxCeCc+
mpbi3mSpNN9rdLVjn6EDtoZ/Prk/ypK4xJxbk+4ChG92s7/EAwhawlx3J/7aZaZ1UTqDcLHMkLBl
0E/jbGEv8ZtP/Imn/fqR1AZscTRCqza52k+XU9VLDCFt/g0LqHmibaZU1AhSOdOozHcMIkZWeivp
v7aGWr7LCPi9QYOvXpXJM3a/+fa/3lqUmiyfhD84KHF/FgP2c2UNbgL1NyHmq2Tf3sQfm37FI9pV
0sI3omOrxL+HVXK06BWGeWpjgkYOG9In8byAgScQx76xnedsLLf8MkkLvVaG9Laws+HQGcZysUWa
HBMgA+A7IJvP/iChLtLhVCsw3lvWmQvpHhcgp2WXF6NyC8YXBx6tDOXGHlJ5L5eZ11luZS0eNN7e
sPaz4qZizEtFaVQT3qCOmBMfHxgzXIae76CXyIhaZHgciX48plVp9EQvIZfhTmRcFNh0/e4NL8Pd
6qCoW5hoMlca7bJMggHtw+3c4g33mwxyT8D5a7Qj4pSZDB470d+PfZM9i3oeX0zYVrR6CG7/XePr
1/XHMdknoLhGMMf1+XlJNnQmoQCAim9byI3je5CqPqPykEwNuWTsqZyv6yDio10rn+WU4+gHhYC7
9J9vkv90w7qbBJlX34Zd//mGRSk1QJ50ym9xZUsRvl4QexVpeZOVNqlr6+Q9dX0tdhKvfdR68fIh
dXsIoSnIy6ffHMx/eGBdc+sts3SgtfxZsbsCOJ3ABeffEke1H7ESDw+Y85XQobF75r0oLgL+1ak1
6+pYLoZ2O9YOLzKnHJf7zEldBMn1PN1kijBeUM53lu92WfH4m6P8cQ+wPeM2eleLR3zLtfylQzSB
sqi8zhTf6Hp3yVsqCwuHn25KXwzqdNGJbWSmNKy2G7q91bykq+oU/gpnc94bUMTeWV6ZwLCai7d6
bwomJLwFdmSmlJzuJHcCs2Pc+8eF/tdn8SRb6OWfvsKQD7OBTcqX8XuQC4AVeo3/f59F8KnMXhqy
u37wWvzxU395LTTzDVQVk6H11qB0LX7hX2BE3XyzJdyqtBfwYkBf+dtsYepvVJiMW5tNw6OjfQdG
NPQ3FLcIpMi84CVBk/W/4b/89AhbKl09mufsR+lZGnR4tnr6O54/aNOm7YRYLvVseNE0o9708TFT
rhbOPF1txZKnfJmoogkJw8HXmNPbwgTZRWxJ3f0O+P9jR+L1aGi1ULdjI+Hla3NGvj8aiiQkY6ng
Oehq7ZIUKy93gWeYOnqCKMEqbooPzkSSCrp0l9W+y19BxesA0s71nPqrN474rykQRaiXpfaWBp+r
AYKx4m8oirXfxbq+2qX+twT744gpvGiKbSyeX5pD5rZy2J4cLwaVGKx2FBxvJyo2tGyObPAfy0XL
w8whvmDdViJfFqqxJ7FcamGPqvkrHsRBCyjPrHAg6WjyxyqlynZ6XN8Rg/r0nm3aqRq8dAhBb3rv
hrR7JSAvEVIE+xa/9lTtv7uL7/84/O89Yr9eBjpvKi9cuuoosn/2iDkSb6zSlsOlHmPvXZMwf/EZ
ZnNrtLVY7hnne49trJXP//yxP+7d0DZvOXAuwwNMCNs/tsP67l601CUxCTuvL7W7ahetSMWlZgKY
wa5898+f9OMq/McnkU8IjZTOoudsoQPff1Jbm3Lt+rS5uK1qfurmpi/38Qhk2i/aNFI7UZL6rErq
jxwhVPWb4uonw8z28dv2AY0+HRCb1eGnjye2NMOgXGUXTODWpwqd4Kei3I7BWqshsvumAWHHpd/P
ZQempSsa59uIc/k4e9K8WRjlM0Km9C4C1BzVW6NvdQPbt5TfWmVqQ1VZKyA8IFkYvxu8kH/33v/1
QtE4ZNngzf+agcOa9v3pU21h1ZYVK7dASatPKD2HxNeUYgTwTIVcJ6cZVdjnxPXam2XtUlRp5gJ1
Q5ucl9FZVxzxacKbChXKt6w3nK8T82jnN3s0mpkcxfePJvYEipPN5MjaunVVfzxKu3cztU9H4zY3
uzb23HD00hUizGJ4u3FCM9UvnXqdKGcFYvHUCXqt3jN0bvel2epBUXbVQ1uiK6FGmJP3c141uPhp
1bVW175FYETLlN0HMot8Y8aCk5/JNxjqy9wqw12nQI1OEs2DuLPGdRXoU1odLHssH/Q8uYc5Yiw+
/NXuMsbd06hjswntCVKqlkmdtcEUK0LG2c1vmNi6H2JVmKeUvAwg5Iieg1lNzSrgdGRYSntZYbhn
zgAVBupfvnyh0zg+ChWGoj9Xo7OLBzzZUO/1py7VZjRmjqLhjE6L+DPD437CXNspH0XlVGHbDvoR
iXZ71Dqv/JqxVeS5N6riETfJAjC/M5NTH/cikJyHPXtk766bqwVNcd/tNG3RpqhEwpgE05wAmZp0
ar+K8UYoWu8ujZVEBd7VjAdeNfoc1Gq+tYWd8hk6dXrW0YU8WsZo7YWXK/puIGTpk2tDQh3UBeHs
VLjJTlkW9RMytvllSGAvscUfVczdiT4lu2XMGx6OeY5kMgl31zdQcGD9V4eav+p7ttk3nOhqot4b
cmCqTjzDfmysZfXNsYwDpj51te/tIkpMIdXrTBuA4qFXydfgThp3IE89QI6Gs9zYxbqW8VXMHaoV
n0gNWfdfU1C7+vphmJXFqUjAQPZTNF90lK4jOw0xChztl7EYq2I5eVlHqp6HmvtY9USL+rleNo8q
WJZjLg0DXR/XAHZPhzOLy1XhHqaRy/twLIu5i+ApJWqAKkSL79gwkydwKKQzpxAtS29khzQa3FFz
DMxhDgTvwp2tpHl8B33VsBE9uCC+EGYVQ7WrYYN5bJZ4ecXRMmV2oMRUsPCDY7U2A7b5VYVGTABN
mEunrKIB1Xyxs+qkwiO/WqyYNfGPW+ghcjZCRWQy3A+ZUqEQSzL3RRETsM5QbeCyZaYr3IsFpCg+
1YYzIrwKamQQqzwMKqtbSgZF6lRRPEwrOZH9UGc7WdqVPKjDULWBhWQ2C5zFkuW+z7oMeZ5t6u9p
cazskA27qEL+oyp3Za6CBRNjXb/Pq8qrjkbvgacp0tF+WMVoGLscBah2ToEsOBDLUj0d9zE7lPqR
l7FxypNVL5iScwRRM5bJGrnagtAGrVQ731au5NZWeFT6MNbQLvUg+8owiY1EhM6WBeBnzkCsQb3m
xvoN8YBnhy4HQJKFRKJ71NCSH5LMAQeiF6i+gBtkcbiKuLCYQPStd5/Hc24GaL5Bolc01ZWzGpfm
TmvjxOJwPaeNNJr4zRESHskHhWems7/9PV/zSE7g9kmMjh5upryOxRWmt7KRio+G09Uv2lpna+a7
k6kYTwgtdXGxW08iI/S68dYSNa+kZCB1CWFuxRR6B6pNqz+gFq7TUyerctkNs7VCdMWW8WTmuvXJ
WmI6kK7GzbtDKuMYEcbBjIMnfqQKyS8kbxZNCmoaHDLlPFNZ5ETtPIKImj+3fWocJmdO4sgtLMgE
tRvze6yyQRBb9xNioaU1zOtAy+FJG7fckplUB4AomgQ9j/Etzw79ouvzsXYSXLyZ4njvarXbbs48
74a9Uw7pcL9Ic3QDtZu5Nulcc2DNwKJ75g3mvTNclbu7YpXsQ1fzluaIUDjW7/NeFMWD7pIYcVxM
pmO34zJuKRkpGGgLyegSNXPFRzfNStYJbdNx3auFs3357dBn1ieOq600aFc13wLJKadq817gPSsm
Hh2YUUV2rXuHR74XVAUJf8aaSoM0vetoym/qqhZs6TFl1ixuK4VRIdQ70S076HGgP+TU6duiwcMU
8I1YQBZP2+pkWqzvYlIkTu6UZWB1U4tQoQVl/qeZ9h5S3D6XD8a4qMM5oczNz01bF/mjy9tiP9Sq
dum8pPuA+dsG3khItn5qXDAx5zhtkimUPTMiCly5QQw5rYHqdPJLURbW/SIGtTl0qpyK97NdJcMB
/lv1IldvW0MYgach+wB3yx6Q6bBrCWd4r6gxmOi5TdB9mixzsp/Thwzb89mrig3yovd6wrLHEMxH
7OC963NlSqJSr3lMYIwb3tGsG60DeChreSJ5imdj3lbsKLcUzugyrVPES2buzlovdAR+XjlOvGmN
CWhRD7wNeoH3pGCQ0U4rZEnt6zjUksY+CXzTMZt1ftVSaekaEDhCREbLZZkDpfBsWjDTNN4u0ikf
8wkZkOsMB/qwk3VY8WKIoEBJRAIuQrbmtrYX80YhIrGJ0q6upnOCzBgzljVU6ROVyPBV9bYGM0vn
AGApHUib9maIKbwFZPcIiUjLnrVmNdzJX6nA5NsWAbfHLyODL0pRfCcnJW7nz2mC8DAoHaIijrQM
tesyKPG67wUe7ShbBTcpI+7cuF+KcrUuld2WNK5b4FvIfFN0/JLqZgCU3nLVZrfOEpAgDtg4l9hQ
CL8G/p4Jal2/X1H/byyohZAeGUt1CJAk2937maiapxydFFK3PvPeca9Xw33t1RoLrN56sLoJeZ39
RXzQXTGTuFUUk/PW0smYCWfGtOatGW/O2S5mbsbLnTs6oiPL1WTjAGkzI4CmuXH6NjXudSbb9hGb
gsf3WiB83Ra90s4hY1LWDKoxMd6WZbxh79Bw7oZ0A60wDoc0gw8BQpRtO5lvxqnzx7j5307Kbzop
ho357rs92i8Jcu+/DeP/eZf1SfZTN+XPn/yzneI4b5Bc23QcNc1i9rLN2P9sp7g6AXM6UXDs6OiI
2jq7lr9wuuobZvxbP9vx0FUwgf+bXWE4b5id2KrKPkGlVIV48VNy3D8lyaHA+nHTsQ3i2N0RRupo
bDp+0WUlEnNYnUPJGypHnBu3tnCh6e1w5o1vhoQLYaEohKE9gF/yZcVcQ82WDIS5Nh8KKicQ6rFw
dv3o9Y+ey9/xjNJ7lwHV26eeQkwbVqPm3CxWtxN2NZLmVKTWcUDD3e9EDuYwwGY22z4CvdJi084M
bvIkSWotoyB8bCeC4sTk9zIBblG5yVtA8V7sT8x+KKLyZ29Gqzdg+ODuH+RbFAHbEkdnOZsUjHno
1K/J3GgnbAIMQJZ6mKORhIFpi3boHixStG74Ea0Ne9WBq98o1yxu8yFMl3w+YKNsbteZUdMyGOr7
te+nc84++ylupbGT/ZDek/3EGwbb4OYFqosh0is7CzMtJ10NVwl+61lWj0lqWVAXoermA3/sqJ12
htX/tiFbZ8tamm5dU4KWKsdAweSG4rdhEoDtf3ws2ty5pyA2rjE9EJr7dm9quwaVMFoiVNQhYVoe
i/ZEJlw7aRvorQw5ZiJ2hpHchIZAGp0kCNKxjPdUBO2BmKEbxwQIhhbuLnFXtOy6VM0ydHg3AReG
U1RTOpo3I3w9ImnxV2AXWEcfTeaB9LHxrTmApPMJDdAiZcKJZFL7Vz5Fp8X1sMTN6uqHMVc/ZFRY
oeC7REU8vouxIZy8uX8rC2liUFHrj6gN5ElLW7ITsMqRZiWjRButsMyT5GEwawPuMMSFWxcS04Ui
ruJUlxjEgOc39l0iBvu+MJQ4VFIHqG8f61eE3nmEDwZY4Np+I2I2kX69WYXiLks268RwWqCQ9Llt
BDQ6lptyA56Wmh2Holbiq2aMzwT21QhlneKY2n2cnOeRgK7rgjCz+0Se4PARo5B4yRBsX21MRecc
8fxjgS8crUktbnBzdHYwThWnDHZkfyt09eO8mOKitABY9Vn9Rk//ozPPuDorq+6OU24Kv8wM9Q7I
gzaEmG/cD8DvxdOqCHo6U1yS5RCXgiAwIYhsNoWVE7jW1CVD1Hn+mBJPxi5ViqyNBqUDOY9vWvNX
rnJkOSTzZfUw0Tto1pL3earetB1JNnBXZHydWv1+trQP6+B9UHvGWPS6oh6fRwtMIGtJJ3XSrt+z
QdL3aqLb74k2JZS6/abqAm4jqjfypJj8HKxymty7lGYEDBsXk3Bq64eENeeB35D4jjGkZE1mZ/qP
8xF7GvRPFNDpEohkmPXbwRvWZO+CtksC0bcfKnqM4qEfJQlm6sDGR8T3E+pRMGRFeyuB4ITDRISa
UL09aW7psSB4orvqUMmqg4i1im2PkPm5MNS8oPfY1iUm08a6HSwDSKDRpMzSYi3q2nH2bYfJi9ba
7nskCswLx/Vcs6s9YLpL94VbUjbbOrbfWJK6osp5V2+JMMlSFs8L9LCwyrv57GbOzqzHym9jqQlK
DRMtZJ9bV2hgRdTaxeTbMwEX7lSYTP2r7pQXBmJLNtj7CYlBMGlVcjtP1swZwOP5BODUOlqj298u
6qi8m5MwFRBP1SIJq5I8eJ9RtRsRcFXt8vZsy+WZQDs7xG6lHwEZrJHF3zqXFiGSGluZDE6ZAjmw
gzmkhpaw4I8W9uSyUvXd1QDX+kR6KRl0dgtwmCnpHGAQkHDH4sYJvLIoPqywy31zceYzQCQ6Rf30
sST/xE8nkS4+k/x+B+tBg9Q8Xco1kS8ipbpKJyzzqZXgKSQJQOzJiv9ixiCMbbaEBCHatRY2ugp0
tZK4x5q4ZyAnPvJiIReOYeyhXruZpzRutm1hO8/4c5j7f9Fr3jYRs8fhBoCSt5sS7TGh+X1gEq2e
M9Vpg7528z3BDZWfrv1haCG3oZx38Y00kjQxZTpg4FePqnQ0iuoiPdqzCbaHacbZHmfV543t7oZW
1W+Eo3nnpXayaNHLB4ypaKqGxNlv01UXBVP2IvBu0AklhZi9L2vvrE1liBinO3aeVqGKTIouVBfj
vteaQGkWHaMdj+ht2ibZBRa4Sw+vVQK5YmSz9Ew7ISeleyG681JVXaSuy/AVLx0m1aqdo5zw8hta
AgloJzM99qv3mb16xXi6/8rmR0SimD9XFdkqqia1SAheN1qfHt0eUKaYy83A7F4mLX5gq2BcjErH
Pysm64okotr1ynBJZP4Aqk65zml+v3BeT/Fi6TyN5SVxqnW32IXHqzFDuuLbE2x0+IjEfWCNR5sx
iTHAUCvfmoWUPq6l2XzoRJbYJ8i2UtzCF02aSOfN2YOgXwy8LKqBKM03cVKpkU1PXY3SGCnBY5Wp
nvKMbHgBPIGGag0zCxmOOhW1s/pLAXMZsOSoafLQWtmj5fSbPHDCZY40ujQvU6H13FaWZviAPfLG
V7W++iYbbbF8FUHanY5QlnDovF/fG61Y3lfYYk/OmGtnyPfDvpMKaZZwRRYC6GQxnVT6WCz9Zc05
mNLxICt1jTR0iIfNivmJMCtM0I3ITxMIHbgNulM9uGxaTniQBxo+VgShagbm6SZf2f8q+2GcrfsB
0sJudiF+G/2Y15BFWV7psnCCColYihC85J0p4xaXaIUbiuyW1z6HecjAHU6hutIYnhuhAf62jXXe
coyMcw/4Io1GNmfE2ehSeC6q+0nFOsq7zacjRHDp4Aiaq0WZniTOyQRp5TCJo5pKcS7TQjkquI0o
/OjpIuA2TO9OsxR7DJpx7bIdWTFwdl1v7cPUEHZYJJ36YbDyVAuXXM2vbtp3D7nHdoxmpswQPHjW
foDcs+vRCB1WLQVBAGKCnSw+eWcLl5Lj+5IuecjOSbvBQlzBQeXiP69GZu5IJ94bYyw66K2jkL7L
JJCfB/c54DOjPaXMk499KYkM8kwvJuoe4rxAJyKiR7l9NDNTfR/HSHaSFtBakKDeKnatNOuJ22VU
caWN4zOL9xoZnKRz42mfiY0oeLAtFeA19VbnlwUIWlqlBdYUeNCwMYWlB+Nor21AXll1VyME1wKb
mVA0WuktOO4WCn413szCsY526rYyqEGYXgdgJLgCrLrcm1t+qsdFO7li6KawZOzzdYnd9KNHzf1W
l7Zzjk3gL2hTJudmUCnNgDNqiXdbqZYR6NJ5HitjeC9j+jx2YplEZJKWoy+Weux1ufYBHWT7w+av
RM3ptv0hMxzWATzut2XOOEanxRlA+NQ+sZ5mp2yG2skO037GEz9I8o8rJ94pXZYynFBXIn3Hqt/J
ejQeBJkaET0xwoikU0RAPr29t1QispZpOuMhny8S6f/D4EDAQLiwBLlVEM7K/OoTuE3ms3pDbIVG
1wSsitb2EawIwmmaBZgtityIDB17p08oRbDPLTftkK0Xtu7tYztrjhWwnucvcJeHJ1zw5XOiqWUS
WjL3TtBp41PmlOoJ3W23w+vRnVXMr1djHWfmEm1z1FeVD6Dd7GuO2UboyDRqf9KZGBoJgMtAY1ia
q3o32621z0ulPrL3JjfYK+cn5mDGTlH7aMSDfpclPfrXHF50jtfszCIBtL1KeVgcooAH7Bi3RtHj
yVc6gp6rnJwiU6uaoJhkR3jCwLMOredMoyAGiaN2FFCEYKUF/Gyi4tI5yjphvzBcnr/a1QKBFK3u
cjvp+mLs5t78l1j5Zw78b/b/ms248J/2/2egKp+G78UXf/7Inxt/z3xjMcBnSXA3Wp6ufaejUFFL
WIBLiC5DDWtu2ZN/b/z/d6Nvk5sDAAhJG9A5BG3/nW7C/FFuZEFhZDDm4LGyLQOlgv2T0LhjXMyu
arExQLSsTDptgTm0CRebu83I3qLydvQ1JuKjwM8cX5paaugqLVXpvRBqlak9lsQcYCgZBtvoF56X
pTfjA3pqzQ6EMUEBZo1d20uRwsx0djSRK3O+jECBKA2l7szsRlEAYNkYh7KybyazG74UyXwdUSXE
gcYaHZip7eAfAMG+GzoSa/VVPiouCKAbHOgZZA+o/iprBXko617X+kG9qTHfWuyr1S0hDDfVcMDG
KLr7nOzGx77DKT+Uq0E4AiNFLWALv5XKdc8kpJHes4K4t+EjpL1GbAz1bN86jkrbWtKuM5rMvUM/
aX/oHGcGjNvMHzNEefcru8NdIyQEahxcI9HAOskTjZEqLmEQSrsv1qo8wvRJP/K66p71wdAbJMGZ
96Xx3C/lIi+u2rODwHwlj/wjvp2EbdxlVqYePM/RInqbXrAYRLH7k+F1SLJrynEVNFo4zslEs6+F
CU3yGxSZklqaEkuD3lUzSr8XmhjeLWxujnov5/1Kn/vqDbo8EW/Y9Yz9dMglcaxkh7TMs6/cD9Y1
B3sCRYdC6A5Ev7tfLJtyuVm0mzke66d0dbBmu6K5b1bTCSZo0w3ol1EnQ3likoW72vTtTjfuGpNh
kteWDdEmjnOEE7aeS+jRBMOLLedPr0WkpBtxnWyinTEb64H09YUZe9ytHxVZtTusD8oeRsx6NFN9
/aJWunNMYd8/rqqML0LpmptGSUS1N1eFKCKx2pMGKn8Cl2IjKP7zv8dCN6f0VrH0thVAF0B6dn43
eWbdn3JkG3N9quKBdObQYaINDU/vlQcw1fCz0e2Uw7yS0x1r6pfXZeLfjupvVlQq2n9sqIL0qb99
GbMv4gdJ2x8/9lc3VXuDgAwNKVQbZD7IeP7upjoGjVYUTWAzMXLTNmW9/WtRfV1uAcJhp+Yg+Je/
F1lTfeO5ng1A1GLCr/+X4jQE1z93U/G2ekhlWNdZ+dWfdfYWJZqHYWw6NHWigfLLyiiFs0AzaXwm
Gfezi1/Ab5sVYLZYvKDI7cFfFlkw8inaQB3dJ3dyixNIo+J2EeXN5JqsqoqNvqwnS11VmPnmqCmk
MBc2a+w/TKNSww4WGWDHztu1ngKCDbNagFrq2sJnC7mJ4bqYbhFpnbP4icZnommYghzvR6CqnRpC
+3yeSu9JwK5iitLge7byz7bSqiELNQ1gsomCZnL6Yzv1z5qbEsdjTSQBUDJFVey8w+P1kBva54ng
S362fS4bhIjJaPhL4zD5tvUr0HT2HzXfx26XMVL77tnWcg9iF4PsWeHr1UxAg6Wq1XBSCEYhCjOp
QRbEZOAGE0N+ik18Xnnxgp1y8W2bUwnYYgjVjl9aTpwCs0je8hU4DSpRNBnIf2bjAP4JqgrwQins
JzG7CFAmh9zs2x2RmWVodzZ/WpjX2RVjtP1kbqJ+yzxiXlbdJlxMcgra0hgja9TWa9KUV8KYEI0M
fCSNUoteSMfhzwZI944DMmj1sBtL3hIJvPgxYL/Qa+oXWXcMFo1eD2gjFSQPS7QOqGO/xKWicR68
J+x+Y2TUJdwtSI8BuCAu8Oi6gIomPehzb3iK3bi46Tw7DvDdrrt2VdfD7HL2DEZlzJ2cI034p9eb
JOukC9WrG8LW4T5gxH2tJvpyveo9Ma+amOHzD3YO1ynjoJK8MI8Gb/udBi4lbJKKPbA36tHEWC1U
R/6uCqs/I5MB4NSgR7SLc4T2NkIPxou+KFE6VJZ14X5+ATXCZlvn0Ms5+wzjlmu/8r/yGOPDpCl1
OI8u7FIoM7RyOEss724IDX+9VbuBwNehf3693hWRmLA8ua3Gme8LAc3buCJc+q5LfWG75UnVkhce
cu5qm7/rptydrsOt0mzPQtKN8m2Z8j8ByXw2NA6EJ8/1idzMLoLTRffoSaKtiOaO54TXfHwC+L/e
pg5Ph+cMzw4Q6MB2uMJ0R3Lf5Wl8PRl1y0MxK/zVtqg+V81MXjVj5BMYVisyY27ashjikySI6KEa
8jZAEk2Ed0/yigHJaAf7TY/6gr5t1ZucUpVQ4zlJh7M7KMs+Qel4Y3Rxxih81aPC4aGUs3FDWF/t
16LhLqv5w2Wui1tX50GlVFBDdyJeGiZhGdHzfKFrnV2n1Lq8Pl4GHcWDqhHGsDA4IPLaZZggtm4I
xJrQpBF3SlK13i+qUWyMKB7DAkHh67XFz7DhUghUmuJtCeEWqGkho1vi3Lze5atTrDuQQd5+SMwi
Qmvh7WwjLUP4bGRvbzfAdofziF8zc633hmQZ8yaeb5P85sPrZR4FO/mx5zZaCn2MplyLP4FAVg5W
yleFToLHT2jKIfYMVi8r+5xJ/mXWCkJrOT7qX9YV+N1BZYxeoNdafKKhXZM+qi4XayGhbc4/Q62T
vkLW3w3BLkVUOjwRUPFo9Vo8p2REajeSruTOsbnJ6sqob5SBPI0VViFrb8W2gMUBIQpzWnMPHmOA
3rfwy7R5orw1iHyhjxWioRr8Th/642xje0Vc44ZLVqkHGtBGpICDDxwmHSScc+leuV6x0K8pzh4A
OLXcMxbXI7bpU2B1fO144hBmsXVw4KYdKkwch8opjT/WJt1b9Oj1oUUGNQVKojzxu9N7q+eW6C3z
qstc7uGRu76FKpnXzszN1C0tajVq6qIp1RA1Vo1S01wuwilePNPi1EiegNdzbXvESxUVv1JoXFf6
FEVkLuMQKq7FEgjbAcmhEt/r2oqSqelK2vjdS+fwf1cih5xqkUqbsZ6YSpnttL7/gqvTwlyD6K7p
nHckPTVRoaT3yiwuRObkvjG7yUlmS0KPuRxKLbSRtkWY2Btasotib7T19WNhkdZI754Za8TwkXYY
YMT8s543C8383KM8V/UnKynKEFt+m9+i8RJ0NVQuoaGi5iIGRqMozdWOFnaTjffEjoD88AkQTBhq
DoBaA0lPKFokqq5oNdOWpk7XKac2Fp+UsWm+Dt70xczUhuhFYyle3M5QVgSCyroOAcv/fBjrvtmh
AwGn6Pf4sgL6jDzzuTkpYcKrKEROH98CQ1uVXWkAPbqgXHadI7qdoTqAuRuVZyijU5AKMrlu4tQz
aP71jKyCTpK3cSGITWduptex8lALyofUsX9jVqFC+l6aaiJyxlbGrNjGi+LSsv5Rmlp6ir6aTS8I
aJRyj63qJSt4uRi1+wRYlA7nyFNnZr+l2Py0af3jc81tD4y1wPnF8Y96WAc614qDNr8udjyDRlZ8
rWcsIzD5X77bwf8HGfkvs/DtWyIUtnVcDOovaPt1ThQzW2txKCU3yFYJeEWsRISiqOG/m4B6zEb5
m00ADpB/7KqE38pP86f+2/d9lT9+5q8dgEU2scegG0MJ24DXMv9PPYVjsTlwqOU3a4r6vZzC8N5w
67I7AKbPFsHYtg2038f0//1fw31jmkgzVBstBt6w/y6dGMTSTw/KRv/Q0FOoGtEIHo7xHx+UIqcm
0lavO0hbps9jPtZtaBNWL5iI0eVbnL4ad20n78sGIGiw5Tci9fBA96oYBqespuY0Vu05Jl0MW3qN
0hL50/xtGW1le7vnAQrDgqpzvK9BVNF2JidY6XkUGf3u6gShrzTUJOoXeu0+JzE7xNRkj/nIC28h
wPFS5hbzTldQNzqorswNzNKfMFcWlAS83BW6jD5h952P+rM/L+BCYacapU9mY75nu44CEjRfe3TW
LD4CoR4fai8hzmvIPuZOpzxnZcX7h6aJb3ZLjSxaT5DHUiq37tDeMcMC+bsM14nZh6UUfEmIrz7M
0ivPerHzmMGF0jIUpmX1yMC5eGl7IyPKyhvReYJ8iCyEBzu9G9sd+VLjA72Eqw1zG+3qeEsSJ4Bg
nSJDc5/iSdxqUFH9FA/u3NFEWngJ0Lun06+7TAmYFN/AFr4x3fYZcQPwW21cTtRPHymwj3aHu6U0
jCvTl4+dRe3nNA1ZqMr6gaANNWzBE4RgGwQjaIo6sGkBt+DTQuc2dhCJF7G9HQKEdotf7XUkJkPJ
VO+MQlEQ9BfNYzJ45TukHOY7FGnURFvl3yHH3SEwXHw2P2gX1eplWNt7TFkrbHblNMJC+9SYWv9E
gjSj1ex/2DuT7biRMwu/Sr8A6mAITFvknEwmySTFQRsckpIwj4EhgKfvDyxVl6S2y659bWwdy6Ry
AAIR97/3u7gk6cTNcbmZ9W0+gob2ZgyTdtfcTAD7nkXmPTgyqXaVaqGI4nMG45i5m5nA395vHG/T
5t4nhDutCYQ1fqJ4KzoKClJctiiyuDP9sH/XdHKRK7fRrbvOzK1zkeDLX4/A6jmcxM28yePy3iKv
tAGN0mKRrKwL7dL+VnphycSLTqtwmQungOPXMZQgxmmq8XctsL/sENWGwQZhqqB02Cho3uBUZ9NQ
/RV4lQ6QL7W9n3BWJleicPTPgje+llPHRg+HSbKGql1VW8PD5B/QUqxfwaG2u0OV6tTXQ56fvmml
PWs7j6BK+G3y3fE6N1uS3BEwPHaACTZ3HvgwYlPj/p+F/r9Z6IFZWKx9/z6KeBMnP3XQf/+B78u8
p/9mY0dbFBSXPht7eWr8YZsTvyGusGSjZf++0v8p9FA1D95iMduhKLApZXX+c52nQ4VVmYiNw48T
UPwbtrlfekuw6RLR8YhHAthDhIJ79PMyH45aNMREig6DYqhEXcScXeK8Do/MAjjeTbZ88jlvbeuW
pcoYVXgEaV+/+GRCPtmlV7/A45dPulXKp0jp5uaHT/Jf7GN+3a3x6hgu+AvbDZ2MScbPr47WFijo
I7bvFP7qq40d9rbR4/JU2oogYkPqY+fXCECSPiMR/PW/TWLpl0cgrVoL5MOxHcYNSG7Lq/shFUeY
JK8dIK8H9tfPoOitVT9CwqKIsq0cHoa2e8J7yRDTWuaZSvjJJyNtk89qLucv7sfgE9OJdYzySG5A
uOa77mNE2jaVc0d6kcGpWmao4TJNNTAyb4Vei2Bu+zBIVQEjWgyyuInxtNUr1wD0rXtNs+jjrrvu
+7ngudgzfgusDuliSB3zBY0hC+DjU4shverKXWa/bZX3lxj0Ml67ZTSsdcuYOGp8P175y/SYWbT+
pLWthvfffegVPYwrMQO7h4Jal2e8DxFC9zKMZoc87EEPh3Skz4tqtoytZ+KqTRAt2Zg6pjO7WAbc
5cesmwOncbJHmkadZRRO/IDTMxWqCNP6x7ScL8DZU8QwbccYYLbyTTBLwhw5i0LPv9C8kN7pcDyN
NdY0/SWvdExBAGYICMTK34w93IrtQFniBC3OdS7MmCOEqo8pP2ec7sHoK9CqnTv2tCcjUa1Ls+wu
KqE9mqKZkWLQhB3DFgYoG+Uy7DLsG7ZTGxql1bN1VapWH5fSTwgJGRkcek8Xg0KdamLPuMDUODM6
bTDa9rObTt4mtp3yNitb4hlRY5I5smETiQ8TRKQr0MVp2mIxxSMBjl3b4fDCNwFfeZvpyZaHwbDm
TvXpMsVnMZtYwxjC4L6YFx8GD0L3NXa7ej8vLg0/r/FrJG01bzuzi4DUpoi2K2JECovH4vbwFt8H
Z2XCTtRzPFqp2VOfHo81+BE7/ipGfbgB7oJ3JCnd4itAjqxC3GLf0djUmAW0a+K0mj7sJxirsKJw
793HkZZa5z5Les7CFBY54z0mlETRtgrefqAnIWygyquwNAKv7jjjpIgePAvbdGfqTHtxlxcG86K4
gCdRA8/Xr2Xjt8nrkGAE2vvlIMwbKdvwOPezdch1Kx2eHcw5/mmCKfw6a1bXc5zvVctd0Wjde0mZ
bb4mYESFr0NQOtl0dGdomyr0puthQoZAhsRWs+kHbU7uAZdONLB/BDaQgvDFV2VbROsWJkbNM3ls
c5q3S7sMfNAx4OnHTN8DQI95FHTlqaU9p0blsqpXoBTWwWgnDL8ajrzDlMnsgqC+LIYx75+mifIm
nXv3bPYVKpNm+vxrSIKoaTF143CAjXHT2DKUWMuEfOoSJxVBmwy8enz8876p1LxPqrF+kaFdvYwD
Nt3At1Ey1/HIjUw4r2cG1uuqf9MJyujXacKo8+yHIxGUGl79aytz315/iKwfS7nPO49xuqKfwZZk
Hc3oVTirxJwfc2lpCSN8NscZQbvQDPN5zZPAmF7tvm/1egmx6PxXFvnYO4J8AmGDgmnM4/BcYiJM
0C6xjr72U8e8b2pneQW7xDk3qKLDGv9spWED65I0YK9f7xrPzG+mMh5QwasERVsaqbrDW2XeiAp/
MEVJXn7T2gRCV2XkVPbam4bhgBTfmZD74YieCq11ESN5BVy7RS0OJacaOq6bVi0nEGwPa6LM7mdt
KEc8nkmb+Suk7sWn5zmTjoY+eTSZNO74UhladY4dCtbX9MpUdBXp4hCZSFIZTXBv0ug+WWp0DoMP
+n8HC3K8653cytdaJsJh5zG3EIHhJSg5ZuWHGJDTkHZmPbsm3YLVhvbk8hTnY/tgZr1ySJH19jvO
agdh3zLibTVmm9TEGbjKDVudRJ5WpHyGGMPe3KI6wrQ9AO6vbRiXrXFlMVw5gMqZ3YALSHug6JtV
YLZ8+Ml+kzOlbQp3GYBIXH19ZZppMHUukhz6/sTqNzhpu2Ydj1b2YrBRi9VGLqabfzaO/83G0Tf+
et9IcvUDe/E/1bf/IS7cF28/wyx+//k/1AI8FDoaAT6L38eFKD5/qAXkKAyGicgBv24j0QS4DalS
ZB8JFdp1UKX+3EZ6S58lfwlZ1MRG8be2kctG7IfE97LBtXVBUxQcCwaayzv/cavEEpuBIlL6noKl
VRF9y8FbqSk8pEtsdoT8l+hHqYcbTmDPRsaR2JK/C1H/tp5zmcH+v5ew7BGZW1L4wK7255dQ2YvZ
14v0fdVO+jkUz5Nfn+SQbcpiG2UmiLSuWeb5WDpFTt9vHaU74FPlZjRfBEOpmcLnmrySToQzqbxt
h5+3donfxQ6wU3sI0GHXhN0oBKrfhaIVuWJsU8JDyz6nDJGWP05CBKD1PskZSD2ucKltJtvfi4on
E6ws58RspGTHpPNUx3IsLWutZ8S5rfJx8qiw4prYK8ejMy0KOJdcRT0J6SSd70QH/tDLGeZ52jUn
QVTfzpIbmZ2E1t9xZO03qlzMgX535/gvhqVtcPS+zhQtbTgL4le0cPO5lAH4gR7Hm77K1wPF8Dj2
LkoLHzB9txvCyJuhqz8jdOg7bMu3JFCvmK2+zVG/6tJs1ThjvoOWTzV61+WBVZbvhRL6LqMRD27C
+F6KaB05vTyRTsHpyLa1diT/2LxNMusmKtJo9c/i8t8sLobFqeSH88z/S3XtUR+T5Ef18fuPfF9Q
DJvT5xJMhS5oQW50uKO/LyiGo/8GQB2qFIfMD5Xx/86lpvkb7D1QaZA0hMBjijfh+4JisNbAAl1M
XvrfNyD8gpBYMC24zXxeFsR3DxzconD/cPbiUJjPKe0y91JieqEVvpAT41aMEqs5L/xTLaL2DldC
+167mfkQY+69mH7Dw01oEDTzxLNXuVQMvYltY3hyjFXna/Vi4mQrpev8HkeLGFtrQ5WQMEaDDyDB
WIcqVsQiwQ9uaob6J1MDZhn75Ug7cTbtKpS9y5Ip3/sRR5nY0Pqv5azN7CDEKG40lcQ3ikB/HsQ4
oV+pVpteKZGbEgYkfGyrOBrYcLVZO2/xcTZHe9Lqt96M01cg8dMtOVLMFmTcX9g6tSsWq8zldDl3
X4c2MgKzzpcNCSHSKHbuiGEnSYBfyfzUW2rO/sOC+jEK+XNN//gKHOxtfKs6IwR6J37+CgqAwjjP
pHM/t8R6bau3N7WpWhJulWJqQRqgY3EyC/8WNJt5KqmJTgKCJxXDKmrLdnMM+A1fYXXw5364nkM7
Zhssqi9w4rQnepLkJV7IdHaSptc9joSYkXeXPxIP9XZRjKuhl1Z143ntpy637L1djyc3Gs0HMzZ3
DDa/pI3TvP1wk/wLwcH/GcDDmxbLdGaRVXQdQ+OvYLXac7wIBRvSYVWEL8by7UdVZTyjnahbjYMn
nWVWe4AAzrw3LgszKKgx2ko0EnwuSn+rM4OPwbdHdbOIcsexsuz7cOJPjWWaX9mQG1eRZo43ce8w
F48aIuxe+BgJZe78JMkfqfQYsFvn+j7hybmLtVbbZYPlrKeq7TazXnBNW50+XOmz9aV0+tPYmsae
nmx7z04WrpoIwRlgXdgom0m+Xvvx1k5ecoK+RyGq8T2JmXPB5Rjfa3oXD+6Ut/sWUwR5ekT8eui3
lGCqCzdldnYHjZtJZsk+s75g4UtbGJStI9cZjpkrT0TFii266tdJIhtIgqm/02csGCYHbGbFpbrQ
REKsEAB8el3EVnOiPsh8mpgmfPXY1dOLPbbSQdxk0qBm16CoQ8q9r+oEr12nX39k/L3SGK6JzfPm
TAt3xqaJ53Q/tVgoVrOIzIuWdOpGkps4WRS3bYEt4yWxl3tTy2a8IqN8ErFs3nwopichWn+lR0r9
B4D4L2sWLimPFKvBNszAoWqaHyOVH9YsMxrCMBpc7RJjKb/rfAjHGonOR0iJFFm6WJnIrXLtcGR/
H01vXkme6hMhzyn+ktaVOteOGR6bTm+e3EbU6zzOdY5I9bPyF1sFqdNPRcNvyQZORDg1EdpzvvtT
RQaA3Q2MDGlHCsdCZV6U3qKIATZeLFbadC0W4wHL1bSl2cpcFtQqO7Z2zaHY7jRzs6AM+J1qUGec
HPPdx2Vbp5xZk8SZrtsGN4FRIzpXuac/e1qBLpga8gmbZoOTJmG2UtQx3EnLKpO3Us92TdVqxQqL
Sg+tv++dHeQnxPqMY9KNpzfVf2op+LCk/bleLR8/8zDPhejGhAzA+i8Qq7FhbB7NbXghIcKMqUM8
5QTaaPfp7PMOjNSkqrKR2kM6JSgPtqr9+pp+rFjtPEDSU2BxD/aBmTeInNlQv2YDqlXgN+AQVrXR
hi+tmHgzwEKNQ5P02vav155/9QbY1PGyiGxbeAAXPfKH66fkzN0a8JkuORnVDURMdW7qKNo2lKa2
pFdZZ0ICBrcIxywxZYxlDZ9Q/Uqcxb4yRif8xr2Hf8qcqldLucbJodjsGJt1H26b3AsfcrdBfojL
iB3cX7/2X9PXy4cvMBjRcAJecTkE/PzaR8gCKGOjfal6G+FklDL8xtUcenvUjpwSkmS+TpVUN7k7
lLuuWHQHsyydg1cnw7Eq8K6MvtkecntsDxXTtwf6xghejILhSNv05Q1RHipaTN7/WGBvDjqQDN8Y
C9V8RYl4kyESnz7P3rDKmlnd9mLMyp2L1Q+bgk24ymQQ2PV9+GTGRrrXPM07AsHA6sQodovwEW3r
PFYvrVNCZxiH8JBMcbuZS7eEckIq4StQb9YrsxDMfGRtGpvZqmmerjLKAXEYUzCEEpvV9SEXQ/hS
utzq7AnU7cetFxIh/9KG+IVBB/E/9mWGvqVa84LLCoJnkWIA8s0m/qLXct6meB1fuPKGryIvlhVk
+WhSNzz2STlfC84o+KYLVr46aXUs6UX2oGMx59SAB/DZLdJ3qwKahWalDvQlSNziJn4akZsnWpkl
KmOuzsx3eZb89YXAJpFv+qfbkNk0ewbDY81etoO/bBtYq3FhZUPDGMHo3BXh6BhT3LI254Rjdpij
YQkDo0rIMVIBzVasfnXMbr6bDdakDWyKA5q2y2wtzY9I/HIkra8n2WrQ0qRAiy23HSwbblfD1d8m
4LyfWP67N3MUw9c+cYW2xidbuGvYElWyg1qcXw+UHW/gzE5cB2Sxc4aheZhvcyPEheMTRd57kabW
BK3dgxLFJ0XQ3uJVSkKcGk56hovaHRTyaVzLXu+/UG/KEpmVC2YXK6QyZrkT3LUEW5Jly7l8r/WY
dE9SZXtmw8O0VmaCZmtNT0ZdM0esPCvg9cR0p6XcEMyduVhTU4oVJU/uu+WKAkrhkB0rI0V89Cn8
C4jCNbu5oVzz2lSh8Fd1n8WPPAeSR6kRogzmerSYYiZF+iQ9AYEjzxon2sfsWxRWMlaDQNJ/9kXD
l3/RQE6ywWlVddQ9xtsapdvrdqbFhC5qXIQdvnudt5ux5OVU8OrUdKOQBmHXcxtM+NnDledIAVsB
o9dDRMD4EOqCp85spNZbTBX6tMKjW2dXWtct2x9/uosALWqbGS3/rcgr1tWuKbB2srLrK61krh3Z
Y3acuBA8UMNVdUVhFv58Ao/WQltJPK6nfr5LS4QEIk6purTsLfeAw3zEKxqWv2Gc9+gxm7UNkkuG
f8kJjSjQ23ncYEIjSY1TDJW4DV0cjBpXYdKwywxU1EKpAyYU2HWor6Gb5N+wUF4YwwO8stm2hsFI
f+sqH7Pi7IIXuzULlxyDScNAIP1pvvu4kf5x1z/8NfkVlvFf80oOeZ6UVSJ/Otv+/kN/zFzd35Zy
CgaaFCbhrFkYrt/Ptr7xG+RQKkAWUws+muVQ86e5HvMMQSWBHYffJ9g//CGWob45xHEx5CxnXkZP
f0csc8Sihv2wROKpN2FtsmOh+oRo+sch5IcHfeIk4LANGR9VY0C7GWvYGXY6OVd142oyAFwq1qJP
/fs6a9iVdfTEh4SEPVutI8kVuW+NIuTuq3IyyLMrCNgBRBjJHeuo55YoxM5IYYneZTSVPjUlI05c
4xRmE03JYQoOpgS5NFLTTBLd7s2AytRZ0MDSOyc/hWW33OrzgQW5g6CRVv5mznmc4aVNVbyyxio8
8nyvh0B4GpvqdHLfPQxA687zIafOTIODuKaYbzV5jHbXRjQK8+SbXbyWVL5cj5zBgmLo8VVAInAp
SYkCbOiYTTFWJPd1mk53ih6vcxuZoPNTXKkbV1V0+qWegr5W2nrkBU5aX3K7Hnb8eoo75mraR6Pj
H01G1Vd49HdMNAhSYYasYOXZgN5knPFhjpjF18omQCk61ySeS3gT30R+b5gK82UsPkfDVN/YZKrW
5WxZt72ZtoeB2ek6Nszb2Jl5fJaOu9GmxMG7p+W3lqvlZwyPF1un6dHOcwZItXLjdwd69E64lbUi
G5BdEazO14mjmssAfJOPndaua9lLcabpkKdS18/9SWcgRIL0HNZt8S0dHGAAGUgVabP4RaSKL/gF
3u0wpPKHml5UjBhfDmjaILbnJ19gwG/dolzBzzwOY1WsXGh09yla48VSvrqyane8TaTe3NVZ/Jaa
lLfZlTOugVteAWmYoCksPikzZAzl1BqkDVXc523GACaDS2taGQhEPpGFMXDX0n121hQSJvw8+SkD
1RAIaarzBJ98XZOx3xgUtaw1mhvX+hBGD7O3EAxyb4GlpSVIlwUP13JKrRloxI1+ZH3/kvP/h4ki
8js2i2DKJhX6Fzex6zuPJFTAHj8Ngzqa5zP4PGon6oEjsq6qHZCR8qKbXNGu03cnqIjiikFrgPGK
RC6X/XWlrPllaF072fBUio9iSXfXAuRoYFmDWDcZzT19GoK6bPorx/LlUY+d62GQjRuwXYLNVXl4
11Kl7XE5UVgkuQbXSp+KoA+Xzt25e9S0fAto/eIlk74N3SsxLLmApnyexj69ja32RkPnMDicrf1c
XIxGzzd4Kd4liT2khepxsuKSoLj8XLjgxZc+swmHkEk8Y8wZhPFNTV80yCVM3ro6mHv9SfS+Wg2T
H+7rcdCuR8/3N2FfR+tUFy8shvLGhEO01WRb4eaPbHBbUjwKeuRXKnUBtYTsIzXL5LbSjm4Y02ST
mC+DGzab3i1awBONeQA5M3dghvBPB5j5g6lMzmVIo4hwfORstiyFSqGUjTVh+jFVK5Gl8oLPL78j
mRdBh+Fj5hRoHXzfUXc0qc+7knTbuqZ9bQdXH+ZZOxyn1hoP7UTyYD0acgTj0D32MKT3GqX25xEs
GnhEXA4MsO9LJvG5v26M1kxvJ4aexWmswKi13hs7M3vjOLP/kFoT3goTa0TsJeHtZHnJjR3L11Iw
L7TBlwQzQXGnHuwuiFu9+yxb3rJexMCU6ty8inJmCLppc0nrUY7hS+R4yuP8dmLZxZPHegdEuKro
yJg+z71P0jFkfR56rsFkUtNnem3htjEEae6ZS96XOpIIVo3ipipi4QeDn/f1bWSH9BnUADF3NfBf
pqs2JAE5p9Whzga62ZOyy9fQAf1Ll7rf6kofV0wnDawTXt4HWFmIBZJKxfDrlPRDYGMueoUvvbdT
DvyJo22NOZ63ntkV2ylu2EIGZT3mqn+Mc3AJgpF42R2JLcU9zxatec80yvxQNtMe33g8ms5N1npM
LnCle/us99L5pETr3Cke2PdWG3KLZCOX3qHtBvtZGkl7jHGpMLpkEPvWcfUnKwMwJsNHLXQFCMna
vTS55plQPPX2CDnFOzZTiKnQT8toHzbdYUqsCBRPn997+A4g6BCp2kHP5cL15zF+qQmWbQZTFNCg
ovjVQ9jzg8JrSR1FUydOkdXC2yUM7zrBPNLMMNSMUEZrGCjUUbN2V7O0fyszgc8DTPt43Q1SUm5h
kiYDGw5kht1tHQWpjcgaCDX3T3poNa9NqycvPJMZJ41Ffy2tubgJB9v/plNQO3N6CS222NnwpMH1
Oxc6+RzDyb9Ssex8sUvfZuOJHNbjEBnyTeSL5EB9+gFKQAHPwDCnNbKchwcj5FMkhh97j/0w2UCe
ZP5Fg0YRHgvcoUsGLRnvwkY4jzxH/E2t5mjbT5OpkdOnNXxlMJiLDi0svvcsSXzBYhSFjz7OUUAo
jc5VOcXabUJ+jyIg6gVfUpgLZ0qNooiruCMii2dhPvh9k30RHLw415T3OQRgc4XDPDxkBsxXiOHc
rDVjrpu5Ieuz4mzOSMgEjlFsJnpXrjlbjy82Ge2vUCCaz0j+w7bUUr8lwedHfqBAkxzRaIbb0ma9
IQTWau9Cn+QN6E3iDZbmyX3vTpAeXG2sP/uR4lw+EfM+1AZa5jpNUqxRPkffp8ZLmMN5ldVdCMBR
oq4pqzk7NHUeuOeSdAfGCt1tEoq6O1w9G8tt9ZfQ70KxKRM9I3IxaGCQc5FcwLagwVmTS2Cnx9Pc
eCLFmBwzgbONoVhZmUlVz9g1wL+6xRQm9PU0EEPKQbyTJannlfJasWl0u1k5KWEgOyYPERiyviPc
3K0lx+gTNtK+CNyw6tbKTeuDdAXAUbAs7QvYpUVmhxBmIKbJ6pmwXV1uOuGDWUCgm786bKCuQ32k
/sl03ujq9D+5KNOvFfSvLcEl0D0s8SGUZNylGjJLxopo4y49JK7uXvvEoD8Pdpvv67imj9mMbDJB
kzVZb+7YxlddaFiPfkehauAVlhJB0w4SmhDBnchT/DGb+8zbp0w5Ll4WNsNKobC8Dj4z1bq068/Y
cLs72++A4qbK1F96rBpkIPWx51rSJXgpKBVf/IZa3A12okg7elUaPid+V35i9OHIrYWEcNXLftoN
KY2Ea9wQDaFsKzsAIrrV4dE8N6UL5WdYV7iKVoOnYSKmA6ycOp/Zqa+TBVpGkz7R6TVFWeaNk7M3
9AyoRwgmGJnsdhBvvktMMhCcSx8BlrjYRYpRgNLQLAPEkkz0HQ6y6Cw7c2ZqPJNKT3PmHMLu1nNt
5bin9f5EC9vG6cHyxPitYOj3jvuVWiZgGoNEMMicrv0U2W74Rlw/pPSPkFrAt0nIpgY9fh2bChsx
2yxJsN3WARm3EZagKBPpl1r3h5IpMf9Ra3HO0mKN1xWCylMeqvwhsfV4py8xs9YI+1NbKxDoRuZ4
V+BO/FUEbiCmtPzozYUmofo2yB6Jz2SaFu/sWXquwRgrHNFG48TuqI2pTWfThPN8lWlGfRwZGZ54
h/nJFEnyHs5Jt4Vd1e2LuqFw3bfKQ5NH1poW7qcazbtfQaZoXyOrcW8tkkZfgS63h39Oyf/V/JeW
bya2/96VfCi/JK/l6y+H5OVn/jgki98oMvIQkpjYEif/01Dieb/pbA+xBCwlJxx2+as/zsjE1m2c
JjpjO4yxH3bhP87I8EH5i+XHvh+t/84ZWSyn7V/OyHhW+G14n03HI2D7s6Dcc1pL5lhph9Ca1dpq
8vwVOxWJtp4kHMVv82AOwSQnpig9UtYqi5iEOFBur2cnBJtrYEkhxpoMOHGN4mYOVfnZ11Oc+RHg
2YQKdq1YqyrkGi7n8nNhMwrTcSDftMnoLByM1roGt82UJkuLCGCyjz81cbx7t83yCwzo4UYfXouq
5Z7hYPnYDXr7UmXJoK3mAZ4WB5JavZIcKFSQSA3lUbMiM1wrf6kfsDo3WkB6TfYWcxcjuWFAxJ9l
tsA8TKoFKF9VrAB07F5HHH9AeuuUHq7t1vTEJq+Iua2YyqbkELzU2jX0K8AEhX9/okFm8DY8sBI3
0Moc30emAcGvGaO/VMylzr2c9FVv5eCmfTm+e8VQviCy2+xrvWi6SsasuZvqNHplzMrJGENawNRp
ywOK8DBPzpVKvPE826q6ta2JapjRI1qDRju6u1wl2dmzCnUncgvT+NStJ1kdENL6CLJVvxrKngmi
mHajmbi3BgFpKORW8a5IRrIdK7xbxzbqQ0je6N6aEKqJvssNEzJrH861kdNvmZVHuwNxnJJ1vvIA
rIeHWRrNcZghfAV6ZKMEJnbjnjxwG+Wq1ab80Srq/r6HLxykvTHOQZ8NxjP09/C502p1qEe72ZSl
r53GGZccw0onqGbQnvjdZ2ofjP4pz6a6odmjaMGItM1V7HnDN7/1ZzoWKejN6F4T8c0gynxDnLhM
cT35TQmhzx2uOc6CsIRlkL02U8pujxIfe0eMtAJoCk3sc4p4m69GbMv1gkmLSERBZ94jKSWXuM6s
JzMqkjt/tvnXGF6390ZtUiHfxOLKMEGgBTEu5z1H4QjxqKrXZjc0+3EyKGGnZG3lFKl60cqoPRKt
9r+O7Qiy1tGLiG2INXoJgfHGvyD8kOOSXVRpz2lkObexSDgxDV4IqwGiZfYu6sryES0IG0c6+Vif
mf2qKRB/+R6zT5zV4ltXpfJaQsY/ukwc/I1Rjc0JboPAgjFFxZrLtXrwrEa/iVqIvGut4e+NKhLX
GJd7YNxVUZ9TGFg4SceCu/xZlUaKxzT/3XGaKdPDf+r/bkOtSmMpK1b+MKXORVY+9OlTiQpWMimW
DOb3xQgHKBxmPbxM42BNx9iO030zOreGl7JlFS59MxaHs4mp8L1ixjJsJMCKlzD0J7I0Ibsntxe+
XGW1Wa1Afdr3fW/3dTAlRrdaMkyrmE3jWXC8PnW2E+9EQ/GsrCSAUgJYWN7woHlWz6XI/XIJpUL9
SoYh/6Q+jqsIFXp6C2Z85hwrag7z92KWDNRATDqlTXqo0fZj3z4KttB3Wub52VotJ2SLo/IQlc51
tZyeIRKb63w5UYPJm+5QKUysCpy3q+Xk7U0yvxtbq73k38/lyTa0fJCTOGvW+AoDCDJJYDTxGVQD
eiAnfJ2j/pAemWPwmyyt2fWLGuAjCziLPkBN8TFNEbEaRgO4R8jxf6gJi64QC0scwkVrMBbVAZaJ
vEkQIvxFkRixqALsR6VIZyPcR8tqPSFhlIuWQdSCe2D60srhqpv5DMNOv0o/BBC6efWtLuNP6kMd
QSbx3Am9BOHE5hvboPdd4O4B20Nc4dh344xpetshu4gQVoM5XZH5xeqvV/dDAuW3UG4HNQ3hRh+z
YW1+qDm9qr29GxvZalrEnv533QcFCJScPLaWvOoWcWjyvWFH7aZYG5LoMmY9l+Miib9jG7n4zzFs
zy+xkvKa4DSkvxHzDpfRlbPIUnrU4l7+kKpUU+3wS2vLcJyraarm8/ShbskKQ4a3SF7NNPkXawbQ
t6bNNb8DGTLeOH77xa1i/ZglkXE1U2y30SS0h1VtK2NZZhtUNo/L7wHLCvg4w67WzSLHzYswBzd/
OueLWDcNRvtpzvD3abZA3fOTO5toN7cEMh/zJ4mSgvTXFnlxP+RheGcvwqBYJEK70ifIzMOVz9lj
nS1CYq7C13iRFs1FZDQXuTFZhEdnkSD7RYzsLOcoF3mSsmNWfk1/shfp0l5EzJjMAMQXXqmZue8j
R4uLx6RqNfdq2mKC8re4IfNvjgzLM9McuYilYyfQTdtFQmWN0U5pl6CrNuCVLzb2iTWRhOyK9j4L
UglSrK9k/C4+9Fm/klA7sv7CRZif/UrPb1M7tANnkXaTReQ1DP3WFVKsF7nzUCxScO5Z/lrrF3l4
ND7bQ8v+GPj/fbGIyMQzKKGsRLOVHxozy+GiNw86rE3hlltoVZw5sM/ujEWi1pB2j7Ycp33pJerg
dDwiVTY7B41AvPFPTPvrf7NPZt+48JP+/T75/PWtfZXZTxvl7z/0faPs279ZsO3wgmFH1G2kzP+b
Jhm6gH/HrpeBku1/7KH/2ChbvwFwYgTF2IiWM9v403nNNOhvBPZoMf15Y8x8igmWIZYQICbQ38lN
PwyPcqvXgIfFw8kqZh8s2Jy12Lvx4/HcIV9AYYWY6uKQDGH8Ne41rwmyJBsfbK91DnLuwvu88MI5
KHn5iynGuTExYJ1UiquDdnTsXqZkloMW1Grbck76Z+ANxbn13CZdkz7piSl5ydlUHjtLu40o5RrA
utRGzORjsq1zFxX2KnT1Zos6VtxmmV7ediOHfb902FwlU5Q9AnMbQWi0HmlyDBfPFMKEj70ea9y7
XuVf8tgrLq3ZPTpeNh/Qw9TONdzo1mns+aIbeXtRkRVu2QA77Ow7EH6j1R2z2kdtGS2sAg75XREv
rJYka/KHPknVK0PbZp/IijOEmB2ShE0tb6EoxE9NkfXTit43JJRoMLd+7Br3LrySi62cdDPoaGaB
ppfq1OI/PHmN/FTkSUeBE4O+NhCDBcPXqueHsutpYDHUW6YUiQ0L1uhe14bk1JCHz1BbbfkZA8eI
fM53+CnnaHEmvh1vte5/2TuTLrmNM2v/lT7fHjqYh0Vvcs6srLlYxaoNTolkBWYE5gB+/fdEyrJJ
yi1bXntlu1tUMpEA4h3ufW6ynNrSxZKezI7YFGMYsB/JL6AhI73D9YNmpRC3U55luyBT+WZJyG7q
yGA7mFM9nfEbDWc4JOlNYpVIyHuCdh/BLg+7HITRuvdz+zZsVXeYSXi8ZvI3nd2umg8AG533zHXq
UxZZ/SOtWIFWgJ5hS3hCjyY9sSFQSSYTC3uKXWMFBhEoRXVPeIrz2JPn8wpIrPiY7c58ssch3fi5
qm6pk4wbB4y48MyeHGKEsGtM9NEdNNnyM669EZszQoiqt80t6J9lP5nomQx4jF8b1EO3FAP1OSMz
bg0jh8F2xo0DZMqIoi+OQy75ummpVkh4YwuzVpT+W9evkvuqG8185ZOitJ1jSNWc9uMu7HDhkaP7
Ts8YXlXDmO5dx5M3bgu2ZajMEpHHMqzJUCbNxyI/fDsCGDxLFLCHQlAQmCOjWybS2R1ySoA5uVhu
cy+TGOAI4/vCqJFRbSw6K1pRWhYQzQJvuKKNCNiGJ8kpzanmCPvJNplReJ9TqzRf8Ceps09Ns03c
brhOA47uFZGg432LjO21KaSNq6yQ6kp6ZHMjAfRutcGoDaXYj2NQ3ZGW3D8Qboc/yXN6cmzHJS+5
JysMQXUzsJnolbchiowc226qjAn3ADQAJ8uYXEVWe4Qq2xWE7VruQqhCQ1g5uojymdeIvJurYjlU
CDW2dH7eNjWkeU1dVLEdGyV21CYNt20yN7c0x+K2TVxb88ecN7TPGCd4ttVLR4oLZxrs+kffp8ll
HFgg/sis5OD5cXkalpF86BKEEbsSAy7BrpKzeZvFRJBQj1QILSh3xXNgVTRGgV/HIImbJuZNkspl
A4bia2GhTAOeVaprh1QcXKC5l+b0hqPxLBjkR1t8+FixCkMwRCDMAgxUVjX2TqlmAW8fSnVvEwHy
0lJVDHCU0Q42uwKnmamucfCHCim3I9ij2Lt2lEKP0aYZjfBWmUNnPpLUgenykwjApD/06GYA5rFP
SqvTImlAlnVP4IOSGwwm+fTYZkqEX1yRx0m1ThCAT96nkpDoJtji6jLyncHGKPs6B2xD8z2Mv7bl
4OJw+6+q5F+qSkiS/7M64FhPP9QAePb1H/i9BjB/waYfoE35YVIW+b/4Li587LhkmdoXS8Y/CgDU
JGSqYhuP9KAMY/3fJmWgGh2AL2jjUKZgysLI8RcKAg7+nwqCCJu6CxVGy+7QlTg/SS/nsu9HYP7h
yWxKdWVknYTIZ+Prcbz8a1mNyxHwKXucoCAnl95Kr3cui57LzgdHtnHHHJxNEOP/8c6FSP6cL5T5
V41eGiWYNcURGAlbHR4Rx+A1rldM4Ei2DJ2D5xkKy/3QSqdbtcDS4hO7keLrOLKsGpshfE5UjWp8
uWyz+stmq9JLLnY2x0SvvUa9AMsuuzD/shcDVeZ/5VgqvhFccRQF67MsUiPe2MZ9YPHHdo1XUPzR
65WbMMbrvBhYl7OMzl4XvZoD+zG+KIFn1J675MNwHPZ3kfCaZtWq4E76Iw5PNTsdFb9Q1wT4AJqP
EPd+BKVh3NdVhtU9GEtxMxo29JTL7lBQhSDVqR33jF0jz9YmjQN7q2lI3hdMZYfCj7utR9X1Cp9Q
KDJZynDfaf3PCtFL8ThbSXLL5IA931CLQzoVYi+WKDzhqRv3Zq2kwyut9B9LMlBA1FZJEaxmdHac
Cpat3+Y5045NRQ7O19kylURd0wbmmgUPQoWo7dd2nDcnIgzhlHWWv2gOub8uGhVdaVnfRWGENjGS
ISj5OmIAMAbDw6irIoHI7pAbZsc0Mg77dZSizoMB4MvHppj6kxWE7BOB7d7XUVH0OGWq4tYKqPJW
oVhghftzzdvTC8bPBQiZlT+4fYgIpw7YJSyzwpIvgojxkx/3G1FOGcjJqr2tEr0gUeAdV44vm407
qQSKH8bJU5+VYE38RIm7sJcfHODzcDA1ph9Um1N/TKDQyLydloJTzV3wgLeMHw4IjovneFDZEXV8
s0X4nTlHWfnjuyQr486fWlZEbKV2EZUGOaRO4+ysOmIAq1Jrul3I082eGzOP1Xi/GGFaE7G2IBSh
/BzThwme3l1pR7NVfOXXRXEK2ZJSBoSXWyVGd0Z/PdfpjekHZXwjcLVvSqu2V5bbj6+Th3U4nC37
kwj5DHJhN1mxPLoddAWSAEFU95Y1Vgd883Jn1OzrUMb465GsaOIz3HzXlXnJ4+20a5wga6xB0yqo
WNlAmaq3nSlLAItWvMuSXGMBwV2maO9XrXBIf8ytK7uPrOvatAJIpu4DbKoDGAbvvEg3RlTZsuE3
KQcRJ3HdB6VkuRqJaNhUYcsd6FaNeWOgifI3XTeA6WkJKcGY2J/ssiWUBwnYEXnRdB6cJd1MFNT7
Bsc4JOlyaa58gNUnOxvKB4yiLvVT7Xt7P6v6ByPq7peEBzMHer+EzicMVSu/CPOvYVu7m8z3E/Ss
WfdkDHZxg4A4WHcVZV+qPOsR2CRvrbBkThOx+16ZPpITWIhg68m/XSMK6FfjkN85bvUcuUAtBDb1
lVE7h6wXDz7l4rZEXrsmS5jVZGqO3oo5NIr1xS8BN/r6atfTE4aPZGOirTkGNTgNu/DxetuZ/eBL
vectFiCRbusdA88ttz6iaLiSuqLzdG3X6CpvLpFmOYXrfg5KL9skuhpUui4Mhj54YtcyXMlL2Rhd
SkjGFZSTqa4sSUqpWXboetPMURanugZddDWa67oUhLV7GHStOl3KVqEr2FjXsr2uaif8IGtBB3RT
6poXZJdeBdrvJrnpq0FQg5MZuqzw3vTb8lI4O7qGnnQ1HV8Ka18UXG37UnAzjIm+pJcyPLyU5Kmu
zlFyV+cUNc1tBpnw66ireOJpFwaSVPamrvEzNxh2bUfdz1QyvEsuzYDg5/+chYSJeYNx4+mewdLd
w1wI+gjdUXS6twgADDwGdA73UFLFdtY9SKG7kXHp4duabgdDTHcr3qVxcZJ0eEx1NxMmnfPu6A7H
cRraI931hJbsDsrwLPASHgFuujvqdJ8kLi1TqbunfiS+12Roe+68Ij6Yussasy7f1G7IK5MWzNK9
WIqAHbveEISrXPdqQndtToZRAIE0vZxZyGRHZGZ5k9pF/Cm5NH1EbHVvjIHSnKxMukJb94edHTcd
IhP1a6m7R0wFy5OjO0oZZzSXqGFpNAGcfWp077mwoD2zQKchLXwz437TXao/WI/Yj2wiMOlhAeGj
F/PnPnmRusd1dLebXBpfXkzNgRNdvSe6L3YuLTJGNIVoi74ZHvRCsvnQn7y2v++HucuY0zsW0Gez
oVexVzOjzNz8TE59UR1qFbTpC36iuGJ4WfsDJ1FuhtntUmsueuUM5RamfrOBbqrIjDTV8jXsRyLM
8plxOJaRYJXA4wcs05KKJIhpoQ0snyaq8z1DC7HlJo2P/JQFmWZVce/ojZJXBadBGCA4fOIn/lsf
/1tzMhNC5Z/Vx9fvUEzeq6/fL5Tt3/7Q32pkqIVopqFq+qZrkqxmMvL6HVEQIcg2PSTP+IYp8f6x
UAZoGDBuC2m+SXO4UAt/L5Od4BecDpg44BO4CFH+GtCQD/9hnYyHFfCmifiLFbXtX3jn303NKnPI
2jLJcWgICzdQzKbuLJSYP5WWGtdCeN5vd9L/ySOgvv/5AwP25yaRSKYDtvWn/XVfREkPP3U+KJW1
9wyBMHX6U7r/7ke4+00z/j/VUN7ViPu6//1/P9X+XFVW9QGlv+uhvrAvlrLvvlbvdebYeIk6MOlJ
Waqq5j6vWxB+CN4gCE8FQqN22jAaNB66KVCf/vzj0dP/4WtiFyf703GR3nJt9bTyu7/AMMxhOs5B
z7KSucdOTQgMiyAxD9gMQ966SXviBGyBOcYB1B8JHYg+QaYArTsTZyzbKewZF1BPN5GLAZKZbLVw
mXJCpXL+2QKsITIr4n9IdpYZZ6BH002xFM7zB++5/MHJQqZhCstn4nrwhwK/OZW8F0FP4gePxxKT
hxQWex7dxSCWtuHqmI2ynnzHljftlFtPNsbHu94ZQGYjhHsPS7SapDCN8wfL/WWHCnl8LgbYKV2m
NCLZKNYtUCNrPdU2TJfYrN+SdJavljD5g5NKo3PXaJax7zOuoMbuN2MnNSEo6KsSW4zJn43pGp29
to2Cuwo0h3xJ7SdSwrHOqjq59ZqlOtduRLVQCBtJeZC293UxUq2OATleCMPCVecny/XiKPCYZjlt
cN20p3ywm/uu7DVBKVB7v7GKI3pd/jpOPz5nZjk+E2vuP/LrsBHqwLZVNvv/geLvy8xmbi0od9fp
VM2fkj6uX0Fs8ss0sjIP/gTjGl1YfHKI7D77mJ0PnMzzxzTI+ZNJyPknisnuxeekP8dKuHjQeutp
KJbu5Td0Z11H57IMuSJkeLDYdUvQ43QMi7nK4T9tOxmzC69Ge0u4H3JDP2HnbAl/jRKhJWyP/yly
C3uWyDC8HQwFSrdyhwYNAY9zaPQAotOhOLIAlTeMUqYNuyZE5J1TtdXWRD95lB1z1X4BBY1bTGHS
jfMHwbm289Em3uBOgB0QifFbbgIIAl6Z78rCNHlpWPVbqprxOY7q5TpqRv5VyN72kvy5laX4xtFk
yJuYBBJ0+Y13e0kncFHCbcnUJCEgSkoA/Tm3ItC98ZuVp/OeesC9FS6/BGzskEpbEsJoOIipCzlw
XSn03gMITky24yzb9JDvKmRucfzgm3HzxYvM5bqakvmTPZXY3WoehqJtmCXlVf/VzHzrKXXTaZMI
oPPIbot1J/gdSXThUutbtKjU+G1u+fYL0kJkGgu/hOvX856Def5occK+wpCOT9jAXycD7HSStjTe
4Yc5ROa4So2SIr2LS5toE+/NtOeG8MZ4eBY29yZIkjzd22YdblwXwmscjN8YRsgbTJnclApXokr4
ofzA6HG3uvJWlo57G4FIux3m2HqqyLt8HTy/fjN6l7tV09lbO67fnNKbybA1vEfob6FcGVmIu6ua
6ncRBl21Th0scyg0cjLS+XLkqRdHtvLGg5plhc6S7uV6Yi/+Ijsjf5hJ3IKlL7g+Fl3UCSVAufYn
Mz30NdOftYpVuvdUCm+CuoufiZUB5sYkbD6DM4jOGbmLzpYhTXPT+7YI7Zcwj9DevY51NfVf0nZw
X1OSQnNxGJ2lIumuX4xq65jIIK9n1h/eaRLO4D7AwptXjY4btMKZsC1fzzYsj5TvplkwqmoQz4oy
kzF0DQUXXU51M9TIaEgIjtip5He9SdAh+8wHwxtu3FKWfPfAu19afLleoJyb1hOPsRfflDC8N2bA
QyTsJTmWdv6p81woaUVM5qI7/5qGxJ654/A1T+zyiILkC4RXwkYXX6wqa5DnuhynLTJ1te5i0QN2
6JqtSLsrKut4B+jKOsGliDY4HQIi0D0UmDog0tVRkUYkx3ndLvHJz8KTkdP+p0VTLSsZxc3Rtc1i
YxvKXSNR9lDO5yMypKL4EJK6f+VQA+5Z+s7ryK0eZh1laZdGdJUBcLvu/Gza+QkPbJOV1lU6x2pL
WKA4LjM/pG2NhGTquMwyIDhTaoZaPRmU27rpGhGb7BOTuE1bB29OXhodBmE9MrsnBYB90tm6JHXa
XPsvnZzI7/SaiCxP2lxdwZJlf7Alaw/yqN4qHf85dDaWDdscjmKKrA11Abs6T0eGznGHS3ca9uKS
J8oBHu7GS8ioTaxIVvnNg4MhamX1ebcTo44lhXKSETCt3kIN8aViVxAKBUIBnWgaXcJNfeUDxQRO
O60DgEiIdCAdBqPrMEF1mnuqs3BH6K4THCXvV8TKvERYR6FuIRqE5+ra1Umrk85cRY5vH20lUXYk
CU9VtxXEEyD95Q6ce8s7Sb9Vn5bJyUj0QHYbdtVhKjbOaNQnq/WXd6lTX+25XJ4kfAOxtroIyIMX
HUvydu9AAi2bkfjDU85+ae3bRcntTrRswXBn2yEhuYdfCc7ykkEr2gmhhgx3jTGWWwM8DNRF8mpB
KmSfAx9FX6jTbF2daztEo7FrEhBogyjvCygea8S70zFNHUW2CpRFger8uQiFtS9S7nhfZ+iGowJQ
NcXudR3BEMTKYDyUvQpvrGaZTwzbxmLlehjEtjQe5TdXNDcJ6d/nSPW2D8VhaunJtN+tdJP8Ghe3
dYSIEDTrNAE/XTCafB1w5UFl8CaQdTbJTFcJ29CQ/JrM/CZL7Q5DKOCrjZmZ43FBlbWW8O32ZBV4
r1MxpOlmydPs7CL0+lI6mW9eW507Yvu2GA16r9FomocpyVHymHXVkTigqnwXJN74a52R1NoXk64L
ZHMPQFvnxYxVvQ3HEjGCKop8Fc9BRkdml8mxdcb2HDVd7a5ZGrIlwlWTHtDcxx2jktq7ne04PSxJ
JX+1MVRgMJcwr/ltcKzoEinLHM6hwloOmddVmP9ij5ez7L9iwJkkSxS7zndm3nHgSN7CH1VBkoec
jfhB5gGlXpJTJgSQWOKN0HEWQZIy30qkd7ukqfFgoHni66ZOsoNEmYcbYQL8KSnyko3rK/mrksMi
wXHyI1kLpzMp483pt+KrSW3rKbPm7iuB5BlZLQwvqJPLuIhXCufEljLUf1Q5I7qVLhirrT3C38gS
uzg6SLLORUv+iGt204asFF7GbYZ0s5R2E5M13HG4R2VNgIGIhufUxr3CQpyUEaiiN2K5/C2i5rNj
aIYDij/9UsYj8wGKEbpXFFCeRE1j3fEarL460q/HjSHIwugoE08+w7x4dUlZmUGH7AF6YN4BqJoj
3TLCam0SuL0XpT9fmaTDbdlHTRshOMtriq1X2cFr6WZd/hLu9Br0qjjaHV/BEa71FJZq/ghnme5R
BtXbKkujlZVOOO1nLzZJuETifsyBLN3/eRNh/bMeAs8tuws8tg5voB97iNaO8lrjsQ9wcZpTHNEA
UA7jtW6ypr1H7Ep57zThZuSHeetmGPGAcbjYQ+/9q4bmQon73pr7WyYXWxQEzvx1It1Hft/P1HAT
cFX0Bzel8sfNN3i3gc8wVfTk6cwuBWEScWV7ARkoEHXJrN1zDktfv4m44sasnObUOeN8VU2y+TwM
rns7ElP3aaLi3v2LC6c3Oz//ZUMLmYkfeiilf/7LhgG83tFwuoNB4rq2F/iPs+RBM60suTUG7jqO
Im4wnI/WU97Dqzc5p055per3TFI3By5F0J//pX6mmNAEOh7cPJjWIY37HxpfgVEIGZnoDlidyAiJ
IifedMQYMrUyxn0LQmDDq3nZzszloAkMVFCZpHmFCcFj6o75Qza5zcnROAWgRvVXmRbBfegLuQXw
CjregLmA/dAzftNI/Z8du/dPbsSALDaGFzTVrOi0D/37H59BpCOLeWoPDMHxSgepzLZNSYJjPSve
TvCYNlHiBB+jPY+HNAQZYlj2e5jJl6kSzjb1KJcMMs83gyzr67G13Vd25dV1ujj5lWmWzpvt5om6
JkSgGq/aJAmPsU8CkUlYxw6C7ryHkJcdRJR6t6aVkEavSupVzTujgFx2lXLmKzehmse7MRFsxRvG
dgfjYRSt/2h4wfxRQkD0dDoZvhWn4x3ruz5171QXx4ER+jGBeEEjHZL4xB6afwj3D3dIK0rexJda
XRFRfl8VjX6nRLpszynoo5IUINdM/UcXxMkW/ATpmAj4z9nQUINajBzgiI/PYjEAJAL0Lt5aZ8j9
U18swXhu4klwkVJ0tobq0OuQZJOgQpcOiWEMaDM4zmvP7g3Udnyhyn6uY9fCMquZ+gHEQXFEWZ9u
GErzf4gp6OONyUIOFj/45nBceVTcVxHT4K9kCbEac8lVeWjNJKs2wJH4xqKKahCJ6HNXhaKUD5SF
33WmyKedNg9037xisRK+mBmtpl2xjkHBwp6lJLf7WrU0bmHiyl/nbMh3bdqnWgbB85RP3JFLT0OR
wOJ67tPiLWjpHxdlydeQbPJ004Iboqnk2kU5amsc+1x8Dh3jocV+fbQ4OO5zBur7OCeqaw3muTj2
Xli/q9mo312WTdT7BYNlHtt85/Rhe0cnGp5nbMOrYaLp9wvw6xVGyxelLGwMirdRr3u7KokKVlQ9
/gh3KRSGiWIacIGK8th20O0QWhMnJtLgvnTa4dm0YALbFYxlryNhwXTpsKR1YStXCydAX0N8sjMG
SmAJ5E2Px4An2OVt0sdVuHHCns4odt0+IKN84RkBTgwFWVn8P7EeNF/qSnFVyqVYdXSHK4/N3aFK
OBMbibKLkogjR0X6CL0kxnkzAq6itJvPbN7CszUxZulkEp0FCspTOgfEeJEgSoxPCfgPg+66Dqvx
GfQJ7f00p/tQT4BY9MubMmc+FKS0yeFULR8hT+myTcNFvrLnuRtVIH/tB/IVWIkx4dfhfuVE1IPl
8i+tDF0467+1ciOGWKwFuTHqQv8GzlQcLf2oKv1+N3GPbyTDkjcPNc1OtcQirzITDBv7FyYjunlN
lUkDnyi3uTerll+mzihFLmexrEQV61nPfJUjLQQZ2k7MdRyfS6WHEnURzFeLgMelRqZrl9sQAzCF
hGA/d1AX0Jdg4uF0c3N/mfiwWCz4KgEuAIvJCWr94lhUVkpUKQVVAe7uPMTgIS7jAfK2uAxuQ2fL
wJFLrwd5QFfmXS4ZCE1J8tGGy3y98Lgh4UXPDxRFMQsLBdMrU6r8oZEajUoBHNGnUJINdaDuGpRJ
hwQGzwLUxQRivPCNWEKR98H2mKo/mhjBAZBn/JebHlwbo96CrmCcweBuguDKEyNU6d3axEc/UvCY
8LD8sXvpM+SDvMPyhkh1VnyIcKfmiyDFlo0oeXkI4pjb2G1xNPRwBSEFrzU6+vh0mdSQlssGm1Kj
XSN15N9U2gx7moVXnGPx8Zf5zeWQVDmz26pO3KNhGt9Mc9HlcqCNR0VJsdR0Jgvay62JgWYnXUZD
VW3FWqxYnWVtw28DNngO+675XFvM0KxOMFMbdK08serGOkKnhUev5+Vu2N3XuojqN6g0kOPMJjpP
Ae/ZeoLxAOehab+YFbyoKc8Ha9vRPm07n/K8z3im9f3cICHTM5m6u8Kqy0QySgNq3rzlj3OI4vJh
6/KU6Kk3dYk+BWjQ3jS6mvfE0H0dmrh+T6xY3AaDZGzU6vuHJPQDrQ7DSJ+vg9GzOF7K2xDzEYTd
Kn8op5Epkssx6QeW/XQ5G4hva09DCDyd+EE9d2KIirvWvQ2E4XFUTFFICiRlCBFg9tMlVDAqiZ7w
MVCQmssPn/iZ9SR99CXpwA9JZlJxnAuzOi+YKs6eTRFb6t8AhypoT8glctcuNcX5ZPE2c8X4PE+U
yRIx5dmsC/vJKCtetrzHPtdEx78mPqIV5hf++jISHHuGlqFNBIYgqHiTKcpPWJ5ARWlzyE0I4YM2
mso+9DQ7l8Vqj4MEUnvBQzGbY/0G1oQB9cTM2EljWoWewtnxm2ljM1zecthz81xeswpgwJ7J0XzF
tlu80NXPGEtsbQUrO7I28Hmou5ahzSfIEMvBYPE3r8du5GKavN6SkecojxxOLX+U9HgO95qB1UVN
zMsQcpbpsXK95jTJgiGiflU6JhelzZ0cnprN6hTzK1Mvo9s6DRobOOg8jkD0mE4TmjBfk6xjPTlN
MHwLqljte/7qq4oCzyHMiZ6IcGT5a1e2lBwN/pUjXCaaGAkE1Q6qt3H0uGpLYDhHO0x4VMaca9AX
BDRV49R8pirB2Yq6H3xhYdYRdcvgpWQ8mrxkp4ZygpQbKsgZfNY48IPDSF6uc5uR+uV/Xh7Mucw4
YgxraL94E2cqYkkY8Euv7pQN7bBMsnRfTzUPdEpVKQg+gH/jcWej6lm81eIBppP+Qkc2BfNOdfnH
4C61v2V9zPfTg+KgIxTApjPFDV2uZywbBECwY98zSOAbT8egyKbDELqvSyswJ+tNDEZ5uSWUkw/L
6yE89XFfry6F9n+lfP9Cymd7TFG/60n+gD6++1ZVgNnG9+pHoPrf/uDv60r3Fw6YkPUiiFsdpUxX
+rd15SWzhxubPSEsHc/RDenvsj4AyECg6BFsh8w0VP9/l/XpVaYFehF2LPzPizf2L8j64Bz/1Nwh
HXRpQy127mAV/Z+TeYrS6ZZSmvPBw8MybwYy162NV0zOjR0rkEwEx7MEYVHVlrup95sIx1sLcjCs
yTNZmnYidpec5WjddH3hbRLcDcaqw+qzaaMvcuzj28lnTlCiJdu46aCs1VKyjEOPi+OS8Yi7WfwC
py39JWkowTJLPHXEiPP6yJKFpYldP7d046c5wzUGStrcBmRFfoptw4EIQ+2wbSOTDgpLX/Mo8lZV
bN0i+nhLmaDJM7Qm69yqE/IjfMcnF00yq0dpS2OfVIeUZdg3w7LElwnY4bXiz3z25joD4W5E7hlf
Y4y5PaDCXMHaYoAzQIve1sbk3THrLa5GzAG3INr7a+ivxt6Ks2UdmzGzhbof1Tac4nyXBVQKa4+L
slYI+UDY8D4tLim+ERQ40no951PYcpktkk35CBvHVeWLYVsFvnuw7UZsmYdEK5ch4mlaovKuNxx/
1/tLeU+JUN9lQ9je0ti6NtnN2rka2BKKFei8fEqCHToXs1/D+bgGgSDM7Rz4UwIeWi7ZGsrVixUE
/Xmo3c8IefpHq+vIsycSKdKz8UxITp8w31ft4DyrIrd3tFHhvgRsDwpoieNrFz8y2gszX5c12EjP
w1KFjDpENuKzcHCMyfzoDL/auqX1EIx3cDWrTUf3vXeFeecOA1kgXW07NxZrH2SNUnxqQUDcjl3m
rRE14jlDLOjhFiDLoi+JfVPFKSra+BzJrLpH+e9e5679kk6uv8lr3vuzP8y7imS4x3nAc+sbXnlA
8YH3AjNljrfhgXmweTsYXbCJlTsdhV+Dl2dGXzJgJTjUrGkC6zJdRWMdH7Io9naov8l5naYvSFKN
Xe26oHLgSFsP3ORAAdGS4HuxSiSokbMFW4lZzbHdDd7K+5q7bQ1C7qo2OYPgofkbI+k+LyWn4qIC
Y5eg/l15c8jfsku8tRhAkViDlZ6KMTE+I4cQR8gm2mwm5fXMdPgUhFrYZyTzttXKgsJtkxtnBGxV
cdtOK6bz9l4S/qKjA1JNZ4rztfRha0OzU3hUe30ep24t9r5bzsL6FMa4qncEKU0OmAprcYmMzaZE
JOHD5CtwbuvZiMLh0bZzb3r0Ou1hWnlNnljPlsu9sDW9LL3yWzO470Mc4i/KXcqelWpWODu6YroH
qoCZzx/TmyicbQK/YAutikx39RCioaC6Vm14nxWIh+zIxptTraiXjG+TwY2r9i3hiePjmKbu9Nj/
FgzEPI+UoNxhDPma5327VBs0qFWgy1fC0WfpRwz/QYXxZiPvRbyW4HuKNTQuphu5UZfcnhQ7qBLn
xaKWtVLF1w/pAzHHZFUYMphxerZpc8/BO1yWbMFvGzeuUTSwRRj6+kRej4Mer4rzHtd9RVwgmrHa
w9GcmEMfP1X54OP8aWAQrO2evSIPFmKo/57U/56oCF36n53U1+9d9/4lGbpvfd/9qCy6/Mm/HdV+
9AsnNWmkgcdeyoKa+PejOnDgOfqO59khAhiww5zi/ziqtX7I5YgnmkSf8H8/ql2LGAPgEoiRHP+S
sfpXFPiol36YwoZ8AnnxDiZaPuwPEpiI9DfWl4YEplJ8JAzl9kYILTQNIUp9d3Xu/qj2+WefZMOl
x+OPNIXB74/zyQLtrKsHS4eQyFWsTfJNoqVfTTHArr/+SXxG5CDpsv8YvyB6I15amctDP0FtiAfz
thtLsIDN8vyXP4iRv+1io/T5WraWUX03bx+DgiFju8jDTOWdF/kHusqPjP/8Tz7Gg+0Z8Iv/4Tfq
Ecnw/laS6fFE6RQiA+ro+9Y5SXB//dJxr0bo6SLNF9XOz++/kZBm6dYJ32iMgUVgE2JQUNtMa6rs
X3wp/W/6fvzPjRf6bPptfifrUnD+8Ek4FFC7RJM8JNOE522YH2ahnmG8P8uRlPY/v4J69v2HDyNf
hwxyKmCKxR+/loGDnGezJp8NB98moOk7ZGFDdJqRvpuhzgFwYY9bc9z/J9cTOx6G18D1qdl//GC/
rZlbs2c8sCSoHwdyVhEsG/mzkfHf/vw76pvtD9+REoy3AqZenuofP2oZsmFO2f8cjKFpDyWKJvK4
zPjxzz/lnzzFl8yl3z9Fr8O+u+W1FnI0kN8cMBp6V3arnsdyqk5V+59duu++z0+XDlJxUiNd4wYp
hnnjq+x9qZnW/RuPl/nHL6WzqTBbRwHpS3bw0+2BXcELy1qWBzkSBC/NkYQQOgZ1t1DFwMCgbrOi
1to1aEQPJtBpzA9gIJzGrU4oGH0fJV1AWa5AEbSc5l8uC98AL+ARI7S1G4L8Y8addRQLWRAyILix
lQvJEXbENqiW/CMUVeWWgbyNkI24kEA15f3cRvZLHtj10YMZ+jaWjBKmUhEtHCwoC+Yq2k/o1jd5
oHzBahQo0Ir1GLvGhikQgNBqOxCRvO2ZZzz2RuaeTKiDX5qYt7zV+/zdfYtPydz6agq7kZYrCJMa
P0Bh/prlibFOYQHo2D/3vaRr2+TkK+1qYmFukdzUm95D18kGIta9zFBACW2cPtoTsUEktIluJcNB
tTFaaaxLk2+3lLy4ygxuBTJCG6kjL5dEpBX1PEdAxVJj1ydg+NZjZDlEHzPwIbCyvrIInNqE+BIx
FZYGTjDTfhHJ6F0pYWVvIqyLZ39Cp9V0jnxt/NJ+ifnueC4nthiydIeFv9MYk2oTkNW8dpyZZ135
LrWjwdT1uZtC0kAgiN8bsNjfYi7NVZI18tYfsg/T4jcdSCd9gfL/obopfqRBqo+TfjUmXVdrRCub
jZbBkODZjorkLoOS+5ApRjm80fs1Is50P4rCWVEGpEyL7KE6pcIBou4iEb8RkPhvM19UH74RWTdW
nXERh8KrKOcmRjiX277oCPcGBBOeE59LlqdchHgg/5SgUPCqRC08hYuth+lBmr9Fi+KIbSb6DYgx
iPF6WJ/remn9Yp+i55HXFhugaOMn8fg5iaURbZEWdeG6oulaVj6z/bNRp8tLSJLkEzqM8sMOEljr
uZgJJOXNibS3ObiZFT3XdBlPDuGZ2dpjlkbgAULWfBX9f/bOZDluJNu2v3J/AGlwAA7Ap4Hog70o
idIERnXoO0ePr78LzEyzFFlPennHNSmTWZYUEWjc/Zyz99rksVT7niTYK407bIOwmVvQhVOGUcWq
owp2YmZgRHPVh7bRvHZrMEAwOGxxC4SSQ2fXA2DQfKzjD11J0u+h98v0WY1gl9WaqQLqGfVtoob8
0A7hRIdLDU+LXrKDrPsu34+GtpJ9WttywbfrI/7RbUSh7E6Z+LKouv1mLbxbjoFEZ0tid/t+IJ/0
E8A6eXnJlSkYWUn4HIZ9RjaeINcZEwMmJXdCxlH2uYms8jyFUcmok7IA2OEPWoUKha1rn/kiYi+i
Yt4ac0vnMEZoeBNl2LP7KFcHuNDjprfZ+nqiEIPYp1cuYxW+SwdizbZxPcXfy1rJI9nzTL5cyM1X
juif6nYeDjbwJb1RxCnsltEvz6OT/GgRDG8afO1BK/KD0tH3rtcEEbQQWxsLIeDwhbTIBEKqy0An
rN0LW6F3H/e8lMjCph3N/uF66LTaRRnvueN34QYUSvbRF/VyMdW0LxY66dEy1V1QjISFwmZIE2hg
OQ81qyI2jRz5Zwn7+9bmUImghrc+63MaoFgemegSqUTGh4Rr1A0Hse67tcPvtor0GcqYf+uPqYTD
0vr39tCJmwpZ6yMQTPs89TxRGQsq8W6IHM18rrZDyc+XLb6rtfZVt13Zj19bQ5M2ErWsObGT+ffC
JTjDMcGvSRZKrVk/XBIF7peEOAFL63kbeg1jK2n3/n1YZZo5HTDizctJq1e6OeRmQck6pyxixKBu
3ZGPhpargTHQPrCEGL/GssSml5fA2VqTJxhJsk7yW7vuqn082j43oahv22Y9V0OevOSi5mGiR9wn
m0I4QQbqlLBQRdcfL8zuZdVFTv6py3zx3RxZrYb1GZHmIm6ysEtuAGBG+2Gm+eSNnCQ2htHJmzSS
+xZJRDBUZBhJrGyHpqvWZopbvUf4q24XjxB4WlE6cODtBD13GDSVqfUxYjd4xCG+hiKU5Tlc+uK+
7Vl7jIjVY1S89OTecs1V1e/tVAIALim47dAyvyjRdxeGIpxHq/7Wz9r8SBk/HNK4UodCRcY1SZK3
dmIPT0aatrfzRFuLhtbHxLRHhKYIxn18hwdnEZKsCIImyrgpbmtDh3d59slrdEGiQfyjisIogPX2
nvf5gx7M6GjB+d3FUdEE0BzqW2dGrci2GB1Y3L/g9yMOx2PTy8inOBlJnH9oSlZeXbLimIWPtNgk
FChYuKVgqNezheu09X7hHuypvchMdnHssW+XsKkBDR8LSzr6wFh6YzE0hVjfAvplKp2zmKUUeWA9
rVQVAc2w7FSODSxfH9n7poRgqQGrNguOqNpOCiRLBCUhpBwbbPyF9b4trOI8NnZxJhyW4MEKyQki
kranc1rMVs7Aaqo89zKP1gTPljGkZv0jwiF8aJg7j4zy0xgOUzIU8XlMgU6AjCrCwT8jgK3KTej2
NtA9zuK6hySstIdBDSzvxh+y4nstkcTSwSA+hGkztoBZ6XWmInEAthPr+ux72ZwEne66OwhD0Uan
Tq96NAd0aLo61rRb7X4lyrai/exnZob2d8rfjak9ofwXLiMhDtfIEmtvHs5lDrwsqc0vjt8fAeYj
9ZtBWjmAlPYWZtwtC8dwL2F0XQsbzu628+AQkqw9H3hPLXtTpei6+tzvjlZD2MfUhM9ZLLOdB7po
Z61ybUJ4xBMmvgliIDSqDbNIE/ex1RuBAu53w+safY1yT/SbjOQlhsWT4mhpGCfMmaa/96KC9c1x
Wb5h0vYB1RL9r9FRNKNrfjAA6RFnhz/L4TemmBfB2E/n+NUWQxIUeYSIo8RLRM0/TtjEgERO35r5
kRkS6401Dtdd1INd8zXnhI6j5c1sGzHidDp9hzXOnZRiS146u0BHKtTvCjWcVD/XFX/adPAy0aGg
2H1V5HrkDPIO8H10IcDcMO3LWFNHD4In0ewhHa79r0uMN5WhMgXgTj4JLgF9jldCJjShsogY+h0H
IDe3xGPTtSyJeSvL+CVSpTr9+vPEm+P/+oGgQVe6tm3b/qvKicBzCNqE1rGgNKOxYZWoQDeWQ73F
dvXcGcwrMqJnbl3pj3cv285YLcI9xNYo9ijzDXy7uXyulmY4TC37+q+/n/2fvp8UFnrp1aH2piiv
p6QyfKfPjnFROOd+aIsfld3wTo3d2JqkCjkctoEw8iLFqehucNhSzGZ841pw0GbG8sxRpjz7FvOL
2aLybJMaI09OG/viWNh9Sp1qZu8QR4AvMtl/CeSLQlZle6Jw3TlYwt/Zjuk8266DwFXxPwffEN49
Lgc24HCe8g9mkqSfX3bFsiSTMRiX1c3862sh3gyWuFfMqSCjuKsbeU1H+Wf9SaZsyMi/zY6dm3Le
Ntpq000ks46289QkHph9jo0bH73rXmp8J4Aaz7/+Cm/qbMWAzLewpnBLeExffYMOEynYckQoinr7
II2outTO+Ltl4E3Hgk+hUWG5MG4t4B2vStI+6YfQJUnm6DocnpnaGEFZu13QoDeNNm5GCuKcUjyg
VRmefv0DrbfXmCMKOkhfMEckGe3VZ88icwadj/HRaccoRGyDmtkAKfm56Dkat9Uo51tlSLVypj9k
oLx/ED467rp5wLHdVYwG1vVWd5sm730b8WnNcRJ+6ZHzN7ItxN3fGtI/utMa0PnfUN3/+f+DxTHy
5Ub9v2Fx18lXElmey59a1X/+pb9a1b71BzZM1lxMrmpFu9By+WuqrMw/HFx96p8cub9b1f4fsI6x
UbrITk0ayXyLv2ExgjG1JA5wbV3y0sBp/hdTZfFqJ6KzRVIWDBu6habjmPar57KZDKw5eSsuJRKl
rgkGwLLTUctVfRibpYtHMp4LwFukmI4ceUvnhCw1rpFbqVo+e8lQWgLPCGl1E0ARd5lJ8HRyJ71E
VmPAYQhL3q2mbHF8/uNK3/25e//T6bp+s3/s6WCN+cIEbKLKJd2RZePnVctv+zEP9aIvyDWnByJA
jEByTLuaB89EMkKw0W/WSTbmNx/pmAwdHElf3+Vuvtq2jSS3awNWC9ROdVV1npEG+cDeckgdzB/Y
FRujOQpt4kQYGWxPQe8MnnME9DuEexnFojqFHk7XzTJ4XBWmT/RRrA4zvl8muMWqsqfgW5VYuSW6
5eCEZXUB3RJqTFQle4TIyFqFt98USwDiFC9HNJZca8Mdpod8YSuyxCKfu7Ku2k3a+HyUoh0R7bQX
rkUHgSLWZnSZ0gYud4TDddf2/T5sCQSdXbymjLZ5CEabrVfbHIVmx1BkHna1APhHHyPwIngPO2SZ
ePFp6kx3ZuzkWNHiyHoUCA+XTeIxPt+0GnsBQ0/Sct2Rr0HanT/tbGnVn6xhzBbkXFZDNHJc8I3U
TM4yh554ek+uaLwkFN0I1C2Gf+3FqphI3CzZyPTV9Wa3frKQecXnTrc8f1GbL7TTPDk8LLpEymXn
1vSx9sVkfLatjiuXELkHzZeyrTrpGiNvMADsZvbvoligdljz7cjN49tBTmYHn5YGebBhErGxymrp
KFa6XF0kuKuSIM1K+QxNBDrhTM0z9Jq/jlqRgqpJ3PuYJtMSmG3DRUpmh7vgOoy6nmL8q/XRIay3
2HEd7T6Qic1lSYycPsYk0bG/I+SO2zpY0iIQmIC/+Lyst8RbL45qElI1xtquLqox6K0keWdAQh2G
8TqOxuXe8E3sYDTIpuPq3fAR5IIj3rV65iXMMR5SYLje6G2rwcp3uC6ZmspGrK6jaX7Ez0Bsk1TU
ZkUaonVdZI9tMu3k9TxH7gdjIPd+HGqSrewMEDjNkSPFneMHiVV6z2WUDR9r20wnpMQ8svGIF2IY
h84P4nQ906PNyOazNbkSpXflqQ+GiwjlngREw91KCJXLZtAel3dMClffmt0k7T0SB3jlQdE3tiBa
yPHjxaZr4BjWVzq23LvE5pDwY07nvv7EH4v0Rz2RU5wUJi0OF05GQOKFfG5R1sHyq5R4xEHO7QEP
0rgbIxy5t8i1iQ9evAoY+mDxcnlpyUuZ1dUY7lvTqNunNmQO77PE652xeFzgxKot90Agc3WR+CRh
FE8t9f6Q0rNMQ4uAT1s2xx5C0XRllz2X3qt6PoUmGShlwdumdkAAuC6eWu07vaTeKOPM0o/ZshjG
B6P3luaqgw6rCZ7BgbbPKU/G9wtoEvU+ccwiewiHFFsCZrCGZqhtn5ZhPUQuc8G1pKbkWk7myLFT
qYgLwQxKH8Pcx5GPHIK3p26ACAQvD3I2Gdy4Cged3rrD+lJ0GkkiJCvE+CzmlfVIti2aF6ZPsfs0
5X5vweRDNorMV4CS9+xR3MSuz+HRzws+08hQnBy9MNLpZy00Uv+N7LGD2qCkso+aFULEGGgXqck7
IvPV52xjgA/z8sjQO+LY+JfwZKTntvG4512uxU1KZND00e/DJvuOAAqpzQbUdhTuCnOwrNuC/Wdp
0Aui1j+FpeUTxA3tyjRPsQUrGZ3E2t83ksjEsL2gHE0i/6a0TfUkhz6kjQvfc4imMRBF1b/Hcm/s
8MfEWx6MNrD7KD7ZuQpx04ewWopkGDfCFjMqKgA+Rzo/7ogxP22MhDY6pebeoQFAOkxVzyFZUDWJ
TbVvfiAazArswvxs0OoBK4/sE/BJR/LPSICSyKzoS96G3vcVZoqhVpe3Xe5e9aNu5l2W6+nerbzo
s7SHclewSW059tkPDN3Kz8KJi71VmrSbvKWQG7Pz9J2K5izwyAy0KWyz/Dqpo/y9lbYAyCBF7hej
owUwTFNQasTvDJ3q2yFfiitJh2PXoxG/Z1mvP6ckNr8bnPxu9MwpPeimdfbN3Ewbk3PnYSDp7V3U
uvn7sXDaaK+7EnsfGxiQqWY554bCa23TpxiasVwl5HRvksGuHtl06qdSFnW8TZe23PuJWX2MXYRf
gq2HPo8rYaS7Xr/mYE/2BjwRpGrwdD/AxOhtjpPqaC1ptB/xQtzIqPUI5DNlOWPa4ziwbbU10JAt
qoOfN+S2Ml8ieSAG3BhJcZ+GVX0wiWbaEipYPyGFpvuE+9w9ldRfA6HZXn/TdE74TtWxezDg3e+l
odzASI3F38+z694YcddcWLDno1mW82k0hDotXTbuZoR3QYdxJWj6OUXp3rqPQzIs30wzTy/EZSwX
XWpUW78+Er05zKEvoue0sgdxUVF7/3wkaqrC9tMcofLUEYuUQWUNzNFmE4K+6W+xkFYXpGL6+OtP
fVW8cRADSCXBKa3AEc95PY91wiX24hGlU4P49xNsARaGurM4Y/z6c16V7C+fgynQBbtsAYYxX52+
hrhy+1ZF4dmhT86aamrW7NU/IqeQBePff9g68uVyCpQhzqtLKXiHjYhD4NnPGZ5Uq87/RR9gJL3a
/fqj3h5k6ZFgQeEsbsKHfD1IbyLl1cZkumfbncXNC4xWjth06IVXl9aj8/avP09QhxArDpIH6Mqr
1owgTKkqc/RUyxSHH/7cgsrYZMeQ5TpVaZOZy/vrz1wv18+HdX6cb/ormYab9/qwPhMt0UEkdM64
MzhdeXgmUJkpalVMTHRVaQvytwKjGPizSU97+tcPKYNAyXU2PfhC0nz1o6vSaUwkke4ZcZk+jiMS
9EmM1eXXP/Ptq8CnIPpVrktHhcrk5xcwD62xDJPWPUeYHI5zgq3A8+ffNa/+06dQUJKnveou3vRr
3M62GuCw7vlFeeEmTJCwivwfHhOpUBbZPtUO5earK5at1NoaY/fZCjG+EFfFQzHMIIPgKDNI6upp
WH5T0r1dv1jTWU34WfBL+difL18Jonwec9c5Qzt0nwQmEcazA0eRPqdfWOLNIY4SEXT4m6fz7cpC
9i+SGcGvJQT49U9VtPvNpZYWnBze7rBinexcBDNLihvq10/If/iJPBxImziDo155vVh6MDD4qMLC
ybF6B6BBXpaWCSlhMazYawVHduLvoFD/6fehF/cFqipafK9lYgP+MjtWrjjnLjKWskA1kZt+fKDQ
+e2b/tJF+/lVx/AL2tBxPAXo/s2bto5diXg3mda2mD9SUchxIz0zf4ALr28q0DsMT2aOydPIuY7Z
39zeDA2shT1NSIfiomJgiRvwGwR5m1PnQuLrnZ+5df6bx+3twosBlFhd9FIomMRrqVmZyDEBMMAT
XtDCDpIQuxAxruyXQ0o3b5MqjvW/vv3i7buLyJC3am1FonN73QeMcvolIXvc2fANzrpA86kfOugL
8C0FW2Zch+vznibipunz5hOWmUUAqlbTQ9NaTX5oon5p9pyS8JTgBI3/9ebAcADlJDo1m3v30sf8
x6TEbKBbDT5vfbH4HLqRCn8WEcP6NrdLaLeN+bs2zptnE1Hh+jbQyuERBePy8zvfJO166J+X8+CE
znOL25bUq6bkMZ3WfvqvL/9/+jD6RmBlXcVS8/rZRM2hzKhR83mKGK2D01dXuIapcqRZUyX9+sPe
3Gp+mQ/QWZhw7FjO1m7SPy4lInhRt6E5n5HWU1iS1cKTxYtIlfjrD7Je8RKQwrJcrocH9Ixs6a9P
RjmQy8klYYUThI7bO5MajvwWv+2y96FRLe2lTgc6IU6E4TAeYwZ/ee3Zml7yug1WzfQQJxl9AmOk
WGLeiAl28Rhhm4ZLK4uul70387X7MRLZBZif6dVdR1YzcVW//iVv7w9BFoq5DPsa4s/XR6GkhNvk
FW17thZG2CNDowuu2+QQmfO/PnW5EsCv6zAKoKX3ZkAFrsHqhgkrokZOjL0PDj9Jzo3aGdZUXZxy
+m3/cN29/rEw0vNnPbR49RkCIEB+fZfKpbBFo6VzdpvJ+e661nDWTqg+vDREXK+lq9MsuXxfTZP1
m5XOev2IOKtIE7Em1OB1DMEe8PPD6ORoHJDapGcBnapYtmbquxkQPngWkEWJNfO/AB7InO1QMW++
URFqjNLWUXK0uhkxh2Wl84PZF3QRl2zt1zTaWwuLXvPnF0efLtyWJFX+/Tuvm42Sf2lM5FEhSWJS
ncFovpdpi8xgfbyIFeH0MHeaGMlBz3W7sdx2upPjRGusDZkfXzIaR0g4moFoNz9iCn0tTSPTW5N8
2fuRbsONdjvjMDmJe1fNwlgOFb4oYD4dzCiTdGrzira0WQYgt3tFaLGur7oMaxVqt3oBljA3CwX0
kpzx4IsAg64kGbYXMWltZFgReEnv2yQx/dkmIQBVdY5BYgFRIHLxbdR+RlPcwK8fqKlem6GAe+K7
gZjLCNtTg5zNrWhRohpSYXx0h4yqqGwW/uvSeH8dPocspPOi8vVc09S8a3GZSyCGZQusKRPRKm2d
NWkdp8g3pod6Wor4DqFSXl1lUTN09y36n2KLooi3uxJFnT1UC4qWre470eyZCE8PmYnUOHLdKntA
h9B+mxiDL3R4U7l8x3DVO9e6IYY+8Mac24wVnb/IT5fPEqTK8g5KNiHCmZU6V8MKIaKjAStqn2Rd
Nu3dGl7Clj4InatuiWmE+8Xs2jv0i/yLPUo4RGHjGgM6pb3xbqoSPrrJyOXbKhPlABFPud1at+U4
yO5BJFhtthmPS3xHvYqjXsweaCAUhM5pGHTrZdu+W+MUa1KqmeKzhEuy+OpzWQ4UEpY3Jt6VM4QC
kDwm9JB9dbWwVDqnp+XDZl4OU04Nu2E8S5cRAcCkH0VJ0i1cAMkDVsbIq2+MRLM3vJwD6Nnz9GGw
p9UQu0zhzmBrQG7AOZ/I0VnmavqhuiW8A5+BsvWlBSfzni9jx5N4dFJLPidhHIe7tm/RZf/5Wrmr
as9cXbCjZ6f+cykTWm9MAMWjmETMFJRdscF+grYi0K7kKWr81S0c55LrarVrz9xO2/4L4uQRZjPa
yLs/RzO47p5Daa8HicjhbOdXHkJTka6dWE17noBgyp9JmHTgX7Y/z+1pMsb0rrwrMmj7ZZOZyZTu
YeyY7QWpEa9pURtMGvLZ4cI6gFLtPdlAUXLflg1fRJj0TvakorcPJYkw0+d+8mwDu40ns+zBJ4Kv
v5ZTLh7dNC2doAeTOX/3DSYZO/TilnM/i5oucDxzNrZ5/0avYD9mDAD5PaZdwbPiMM1BGep0tveR
g3mGiwscMfihTZ4MNQS0MES3EaxRKuk51y3d+jmnKYlPvVx8WhII3s6F+ZICSIe882mQLT05G3/u
+P914P7OgetQPf1jp3/jwL3N8mdcnc8/zUn//Et/zUmV84dDAebR2vnTRstp6q85KecnsrMomqQH
X46DIv/przkpSGD+yzpOp6HBYeLv6Fn7D+pvKmPXcvDfMnX/NzNSKV+drwSndY8CURH5YdHWfd1X
00Pml5MrmrPTGaTGODmi6qHb20Xn38sYCc2JjFEsZDSMF7nLNO8UnFSZfss912KXnBBsLyXWXJWE
BwPtq37s5ya/+IB90jt0gvrzQFf8k1wQkMcCs2o3pha+Vra7BglIwegEd6qLLmHbDSkwtboxqk8l
yu7rgekHr+gsDoyBgGIssVXvoTBq9QnCiO0fGQwx++ma2X0axqn372ZLevS1k/gKgGrn7GyX1J0A
CbqfPA+dET8BVWiLY6WrLNrXLdAeYixNIO17Iy9M3mBaRcyaihHg0XiTxxCfvL3f5Et9UyEMazfE
HIJ3hGTAa3fsWpcIJ7j6jWkU5xJ9u89Bywqpw7dZv8Yi+ARnr5mcOdezIQ6s6EdmGmhFRmI9GDwF
gn3E/DqCxxuXXUYUNYCyrGwlbf0yrbBLFr1ejDVkorTLTelDagTlrhxW2dhfGgeXdFrDMUf1G5V1
oKPaiklA8tMez+K3JZznFf7eFRH9/CGqEoB8JHBEByubQn0Dqtc4mWOp7zgzhQj9DHszDg7JsW1c
nmIDhlVEW/9dZrhoT+3WZJZFKtK9QP68d1U9P3t1mu2g9eXBnM3xNqnaZk8SWnalwXQdqtYpTlXV
9YesHBoEHmXlbsho71f+YOD1MbDZoqy2thtHtxLMZzDE+bR1oTVtnU7aG2Tu1bFdVHivi7H4CHSM
2MyMYc8Gpnx9m6fu+6wqonsEku3dGA/efV5nw6e48CcC0EGb6jqe7nkeqv08VMmHHNDEHQL8+SNy
J4PDYd+vEGWskKNIvBulsvADWmr7OMWucWsAQu0Y9xpqP3javgrdMD/QI0+WrSAZGetR40uS7HP3
feOK8l07IxUnXDQmEUXi2JmCpNDeFFTzspxKbbkuQJIWTHxfdqdxWvRhzLPoAw5U+6KWlZ8gEMY8
OkqgV/RrsjG3PfEJPwSWYpKZQDiQtlCVyPmtiqkhsow7jqjeSY/yMW28bZv2DiYBe/KuVv9yRI7Y
gsw41OQ391FkXcQ0VUfHISmjS2fudZ+3+j7O3fKDbifGHSFkoNGKP3KWHwAo+v6ZO13sgGk6AQw+
/3pB2Hofum18Lh0OGJGwlydSMIpir8bJ+ppW2rwYS+mlm6axvfOYT2rvpPX3QTXhkfN7s4unjH04
9FIAUX7/RIxF/nHOluSjPZLLHMjGzz42RqmI9eENc41OH0wPH74CAr2HVXiBo+EGmCty3B72fFuq
Up7HqVXjppyzlAEd0ca3Il1jB4gQjjfkHCZ3JYfR82TUEyijKEMgLSjFY+kjN006o906BlMo8KR1
MIaY0rku3cbz8jiIwGkSZDCeK1OVW3uW1geH081tZ+j3yaLfpbXhfZtkRVoAefWkscmRBlJgYWp/
9JC9Xgqy767Mzqk3btqGWy+JTsppvWvIaw2vRt++WxhdbrFCVF/dHqRUPS7VnR2q5Qt+DJST4Lcn
IItjfYnSyHnPCE4GbpMTYDgWzbxdFhVdUwf2nzogcWWVR6gLCzNYMiE4B0363DMae26po7/nI4eu
dmiurD4cd9Idp2089PYTpIPkaBuexbByHOerl46rk7lju+k6y+CNc2ITMuhk7HUlDEA2pl/dZ2nL
Sa7uhNrl/SRuhjZZgU5hwkk6JvZmOlpksj1Uo8ORLYtG+x0cBv8LtQ/lKII1youXAQTMsvkBV4V/
hX9LPvfrxFjhCnJX7irrXG/ChYlESVZuTzoCU32HdLaV1UJl1N54gOHmTYQ3YkvbBzV/m8SnqvAZ
QtYz1CoaBtVNm0CzUaMEC2pOXxv2vAcxuvOJ0WwL66wlOSQN25PMagXOxJmujM5KAuXXJJhVWv6o
DOdbUjfWlfCGtgvmhvS1XAHM0wj9k8LIrknz8a+VnWVXsVm56SZdvsYmVQDcsmrjTNP7ytTvyGEz
GTXrOCjDtQCkjNgnQsiDmSzqvhG62hmuFdsBSroWQmR8k2dDBMI2CbcM1cTHpJHOAeW+ued9/5ou
pf/QWGjzY+ZTj4DMWUFiXSPpzoqd1qHMryWmlwAq6XBdMUE9Gkgiko1buB3Ea0HZWqG9QH453iUE
7Xwjh90wsXGInGOP43+IiJc/8w3nrTXWJaCzWmKHz2RxV4SG3OfWXJ0EsYaB2ZoT8edmcmUQCrzB
FVAdun7qt04/dZ9wTsTb3EdZjjjoc9eKL/iliP9ge7waxiLCZAMQ/87x0beXgPy2UxHjm7en9ocg
V3LXi7l/l5qu3A3OSDkY+RmGE6ZH5HaG7xKULDeu6XWHUdmghttE3w5RaotdinSdAEyr8ANDx8Zp
7C86cWKGQeMXbYLobiBhoDMigqfwPbGbF/KcWPY+x37+XWdJe7INtnvTy1akFX8KpacghEr3OCQd
aOU0p6uQCGtvdYkgXshIvypyXlg7kdd3sjQ2Thvm92mX22erTZN93aXNqedAsuubXB1tZDR7D6Ha
1qA1fEAAO1wSimDeowlIdCcMY2uuaclTXQ07G9T3147ObsB3R7gQiaCfY/c4DjbgXXm9ONRhJbTu
FS9i7SshvzZmfd9jhNrgfkkD7B4Hlmhjg+QClLczb2LsYVS8CyeM3HR3mVndeLW+9+iFqrY5LGPR
b5Bk4BiISxKKu+ycViSilaiNNo1aZxb4w0CgxWeQSNEe5Mi1Ta7Yg0LXfMjdXh0ddKfI/XHLZeXd
rJN43xUmMrHKYACez/dq6MUWrC2uLFIwtx0VMBr6yt/IuBeHEoA4i7Bn3zLQhwqoDO+R2hEaL0Nu
ZPbie4PYaUe4IyFCRU/GfFJLNrIsZj+w+/vREuT4FHND44LHDyT60Z2G8t41Bp/NeInhI/UiMFXd
n6ZCqyPBlwb9zMU/F918nyfyM4Ki9y8Fwn9rqd/VUoL2569qqeuEQzRttZ9qqT//0t+aU/UHRgeF
LO6vsuhvwan8A4AtotJVNPp3CUX4IPJ3QWYH/hvLfGEb/V1GuVRXdOQ9/g8mQdYUXv9CairtV7Mv
Gp+UT4ygmFgyVpevp6NauLhXmwhdmzSnhiCjyB26jYNkat7UrjN8MqPCQ4Ymq4ekntdMb4VzwEfO
FZSqT3fCS8x3aceLuNPWlN3GfkeGrmugs1GePkwqsc841jhdDuxDW04uPr4W8MEwKZEP4geW8WXI
x4rAdUXsWWXlV/hOsjuPfK1DYar4EBJhd3BY1rsgKgw4tVQ/hyWJ9SmjBX/dtwSgLZADDDRBdC8p
gsCMks0xfs5gLLMmI3oKbCjLmBGt7ghOO3yoGgefS8KucurNL1m2VM+wgzgnZnZob/Tkdzv+D4gq
B3faEzTn3o7hRKCocFVOmh981tNq9DkS1GV8XY87P7w6wQ4I9OSEzVp/jyYSo6B61uIuiesel6et
H8gpH89p5pm0ELN0JjEltb6DOjGDVKJCg/9mY3JD3HcTmWV0aevF+ArJCIU5Bi6aYEtTnuakeRrU
1ADgXQVvsT+8j+uue6dUB9ORBBb9ZVUSPmkjy1TQS9ZKF19Sv1lKxRDLLxkz0izeWGaiTzHxZ15A
51o/N3RJ+8Byxo/wtiwucpl/IdWqO6ol6fbCSZKvi9nnV4mpb40lkudMd/VZh8tyIQtkgITkrTuC
31pbDakGp+TcW5r7GWVPKlFQhLlKPf8a6Kq91dr5ZRZeiI28cPmhk0o3aGr7K5FIAxq5GR9wO+WP
aATij1mXxBlpI7VNtNVUVTuCY1KxZUpoErtm2RnSMZ69U6Od/rp31NJCtDRtvO0CjW8MmQpc52y2
RK2VbOeLjZ0WXeX4I0ktsg0pmxijlTmtyDqNSexFEblxmtm7inS1bGGkYrDT4J9qvOVXgLPEHGTF
CJCxcqACEuNbRx+wqltUSX3kfGFv5tScITY7eDlh8vjei+NSL3QtUR5HW/Cn4gY9mLqPwjkORt/Y
gaAHoTgPW1fLG7J5h68wX7MTGS0If1PDiKHw9GR9lPF0WZbOben2deV7VaXhE8kekXEOG6tJdwpC
1bdmNNsedM5IbiQswnA3zJn41Kk8LAMQpP296Mvms6bBHah6FM+ZtqmahrmbH1r0Zf4RejAnaO2r
Clnl3HKItydnTUzD8NCHwv5gD2Z8aVAZfwHYboKuphkYBZ5e8iMhm/7nlKSo60xOs3miUa4egQpV
RjCnHnmJDlGY+baO2orEi7J4pp2r3nO4+WKYY711a23j2Xbn77LWM/wPznrlLvTD8imN+lYEuSZQ
h5tV6k+d52hsiV5an/yw6shjGdhHOynVFXmc3bbu9D3jW+VsCG3odni2Gxx+2tn5zBqwMHo4BAfC
ASenTrZOrHpMxh3g7Up4Z2m2KHntOPW5Dk56qCh90w11mxeQiWEeBsisDxZu0EOVmBmnINWFDvYh
bX6yshhnt8NiOmBAJ/yiLJL0gOM6P5E/19xQHjLTUJXdPWg/cbiwXpF+xGJMwGYjOsqBhd7LKYzg
+EOzHOvPgzcjHXMYHh7xWgK3kubc3jrU918r6eGQbkU63M3NbLC4LNg2KyNV+KYdZ9gbhOV8xvk5
fm/yePw0O6W4ttsEwzKeKp9ITzn/L3vntRy3sW7hVzkvABdyuJ08wxxEkbpBUaKEnLqRup/+fBhJ
25K8bR+fa9/scm2bHM4M0PjDWt8S8ToikfUmVVFcbEK7rfDLTzEiTQMsgmW2cOGIqyUqZboQPmlu
FSLCjU/Am9uS9MagqryLlvQ3kFjxMV8S4RoLPNlsVo9J7Q17ueTGLTDTkZkEOkG0qCTLRT0ZcwiA
9JtGJ1ptR4u4jWZJozPPwXSoIfKb2cStPVy4ZeeTXueKqc3eQ68m1k4Fbl2Yz6EqCE1fpcJZ8u+G
cxhePMcGyAli560cna5eouh9woHufYt4eo5FguqBVB7HZHry3Lq+79gZ3w+WjGmGszx+mlBEAf8X
4bCqg3o6LQEQTyGGcg6pidsqxFZ2a+L5v8UJ0e0A9lM5Z4XLiq6S62YkxCn3RMKxzdNuPVcqux7s
aNh1YdDlcH+rirBcEtcHvzB2lixTPhi2b9zqEe2xJaR/iQzcv9GQXK88r46RD+s+fnBD4R+ZEEyP
+KTYdaQE2X52GLPdwA0Yqn1vdA0LNhVfR0QvPGiu8WPCG//UZh1uWiW8Pc4SkMdxpz8Ubj7jCu4M
fUisUu1yV9lQoPth2/VEyxS9x3k0ZJYmlJRZTcosCjt8fovZCeluZzs3cVNKl0O2gLqp4yPdo30l
5iZp4PS6i6N4aG4T1Nn75fN8FM1sXcKQFQeOi2Cfg7+9KQhhcra2PXl3ZaTTt7hHxJ7NBu5E0c0Y
WqDTkeqhA3VnF2LaRyqKjqM1yCcRNxChLW88cD/5asVaWqycNogqviIYquyBlLnpc+iw68GJurvJ
MauM2AuH/KGIlin1MkC3XeneDEUVX+kgmo+SByPdtz1dg0j9ZDZZ9MmSjt2sPOl1z+RVpR9MkIQk
FBntHtWAAUd15Kjh8kt5SLul460JCwp22ZgXt+RPTR/aIACV1lv+i91k4Y2tau68dDk0kRPaJAhP
E9gGIWy7eahV9Ix2H/30mIZpi062W0p8hqfpGiFw9JIZcfHACl12t75gNHBgRN7BBSa4nVyNnNjN
S9sH/7pvI6s2O+YQ0HbXPPj55BvW9w+iSzYA4mBFO6kf7NrID9YpYu94nSfTnWbikF/050nzsAyd
vdbxslf7PItGpm96WzGBT0WhTwiZ9q8s5nJjv2cylZnDiUvWFsUpGGvMLK9drF8oe+f3RWHUn/Jx
tp+ifggerS5pTxghHrs6UNvK6apj0Emy6gds1UEz3/ulJiF6+EK2w2ve+y/BMA0fEcxSQbiEIq2k
N7wEkZEf/CAsb0lN205uZVzy5bBQBId1rFnrfnG0NzL8b7uiWGE4D9E3Dxne3kb1d443FWpN6kPa
rVoRJclj6A9iW2lb36Waegf49ORVxlchxb/d0991Tyj46G3+3LF3/Xl8fft5D/X1R771Tpbl/mY6
gFYZz6EJQ07z+x5q0SZ9N+jZtEYordnfuB5rK+sH7Cuxl8jsQhzncI8ApP6jNHf8rz/LRjAnB8vL
sGFDKIWRaVGx/SAjSnuXXly0zlUQywBytesdlWMZnFe6JK0phQC0YfJxAkHWWSSDd+PW1IncIpEo
94Mtu0vCWgb7GV9Vcd1QJVJOzSPDarvtZm8zCAynzuiOz30BUaFPFETGVtnzOhpDQmUZxpCN5pNO
tx8mZd0PjmTzNMbjjUbZMFM11BOGfy0gOXaxmHZZ5RYHxroIAIiKA8bKg3vvI5JoVm2azwXZmmyb
N+AJMMooAKe7dA6n5BC5lh42WGQAJTFbZsakiuKtQ0txkyXeWK0mXD83MQhz/ITEspkbksxUsXie
iuDYKOFqHr/D3O4ldAeTRx9bmRMaUnXbQUhf5pg1WctVpWbjFPIHovKJNXinpiOY5M4O2+YucvPk
XufFeEPKObvyoOw36KVC5sVkP+7zSQSHhYnarQE8EZO2BB7f8ugu6o3hClT3V05hv8Ob2we63UxA
rvruEFteNuyr2E6cYB96+CF3pOSa2tzgARK1uS7qcL5mc1HV1hrDr3F0pdWAQmqTLiXlELFeXRdk
E5RMud/LtnQxfYDOLKgRfaaZoZfF43xddKMbYYcpMxGtCNeCAtwym02A4dC6Mt800jy+iS1l7MaY
3IaJiSdKYj7MAUbPJV6nMd0knQkC6ECUkRVDIkvLeNO5clwuHHDjekY1sjPmHMQO/S4881PfD0PL
3Bvqdu8IaEBynDTIrMmepPWcxKlt65c5K1Ut3vqp66tq5WFyKuO7f8dF/yek5rI0/+sDb/qf02ch
P6ufBkZff+zboQc0kzGkD6gNwLTHspsj9NvMiBBfmhiEqoyBluHQD4Mj6zcuLwKaMDbjpufM/H3/
HsLnXIh5/BsT/eM/OwJhXP98BJIgtKRZYJUOQwwm1q/6bLvDgOmw8zgQ45Y5uJWcfqtQqBUXmFth
lpmiGx8ST8ZsoLJ0OI5k596xuxwrUMEWHihBVBsRIkWEgTUeYCsMAudjO7PSSECoMF+V5j4oakxG
UQf/i6oQrpSVOhsmL/HjbNfes1+PryXteMKvehy72INs2+g7KaJHmnKcwHVbuKuG7ADCOeBQc3cS
YjBwXtesmkPrXvoABvq2N58jHG4YEI3Mvq/rqThJMfZb1jHZGhWnxKAbGFvXC+ZrEBNyYxmWdR8D
IttWOAe/SFsA42UdChRjrLQ4YjykL3Pnon11RjyfepIRCDPS3s4f1FlULoL0I99/hphK8tOTNQoW
OUJDj0aM2azzajjqInfXgTPwg9KbmK3YJI+C+KyiKno/5rpL1nUZms8sxPWV344RAT3kVlS0VVBB
pTgCMeTVrXBirJyD2pdZH+HopM9apbg/PKjYGREDk3T0QeThsCjXEuNlGIj9ZZTH0eAPjnUpQhmZ
+8mzyidVlAHovWSwngVsSyL4ZpPfVlbpfBO2pfFFp1O0np0uPhGjlL4Z7K6vW+aP+/Pfx4JIHLmy
hVqBbRRHu2TdsDqHhwQ+zdbOFEO9p5EboQMRawFJytjSqfZbzNZDugr6zL5MQmYErDt7olwukW6l
KUZKi+BoX/bC2aUevtW9o50GYBHPk1VtNMVJu81xFG6PlzIfh12fJfZza1By7KxWheaeS2XJi6i4
FsKWfQFEHXQByzpNSi+jufdIQiZg5klgaH5ImU88d20qL8PaiR5zFNq71MGtusGk4SCqGJKLuGN6
lbOFZuemvAuj5csO/byggO4ByI0NbzLXHmsAbct6j1XGXRVe108rP+p9wM0tpXA9qT2ZR9G+LG3n
y+Q7yO9iUVUNljzcQpvEpiPcRbnZp9dF2fC7IriVO78BqWOvXcoIeppRNAEIIxr5+5isLMKupmLt
LORx3ZvxVeVDGIAzMIV7q48sKH+pQ5Qy3HIECUZDvU9G0WbusyrcF5YpH3pw50QgDZeVZ77nUamA
J40dG+h80Aa2RYyNVULkEsJl398R4ROvGY23i06lPiVn1Hq2UNd56jS3ciGxy4XJPilV3XoZnPaB
LKiVZcNurwIo7pp4ty2ARn1K3Q7Ie2FPznpayO8zY/SVV6kQmJmADD8xxmR5BS2+tjGvoKFEpVMj
K94uwho0fgtjflho813ryCt6Q6YMIdFf9UKl7xc+PRlZ/TndDmw97TPwsHCh2ZdIAIfNNJvB87jQ
7uOFe69EnsO1wMau+Or1Qsevz6D8/AzNV/kC0Df5mVd9xuob+YLYJ5Kue2ANBXh/Gq10O6QjOH4W
Tfrd7MHT1gutf3TIT9Jm2+DM9tTe7gKAa+TlNj1JYK1pbGvs+eRklD15XNgZt1jwPTI5OCgslACT
uRmX7IAppohK8de+j3j/DmpBSoYj2WeB3Pg6Yc8e5+naUIQ7UyKERb+qFvHjyuyGYY2NsEGcW7di
LUo7fQSKZer1XIpibYsqvxiZ9hN2wnYM46nto7XxW2Imo3EmoDWpQWxV8IKQT4hM2UzGu+C6gd/5
WJAiXS2ofr0IMHKHlyh7WtVQC2q3gi6yxutDJIi+o/3kVJL+EL+cT5au6OMv0VwVpxJp0wa4gsX8
fLmLWoiiDzPjnicxVeHGN5isM4RrRk4NxRNGNH69nxOOZ7BYtsvtMNn3jBB4oT4V86Zm0+lAjyC/
ZDJx1q/SyYjqax7b6lqKolGbptH49wcw/YSveF+Nav/2h3/THyKBX+SDf94fvs8koWOoMH6slr79
1Pf1mv9bCEvLw+HnhQGYlt9bxMj+DQazj1TQdbDFsn77vWNEqsiCDWMN/+ZcL/2nXHJhxFB0sbPz
2baF/3DPtvSDv9sMXCjmXoB5wqaoR9LC/f9zv2hbZloMXupfnMXGorJQSVv4aRhSIfo9UzN++IBu
v/7qPwexfH1BVo08MBAnQbrm8/2xQUXZb7cMcr0L6B5keYw4k3gszLd+Cc40UdK6/uvXo+T8wxvE
OsfnhcmZivAXxxCzVi2pSN2LoEn9V0xa1rWT59ajXKA1f/1SP1s2zm+Nr5rvGrUC9e9S4v741gRm
mWQoLPeCHQxK7iAXB68nzW1FojcWSHRFTwEV5jUqkvn+r1/6v7xLriSPqyE08XNTQv/00jhtRmUa
wr2QaO+PddgitTY8cvMqRIx/54uyfla4nt8oVyABNx7piD6mpZ9fbWa6WgXQdVGO+bwQ8gYESlNu
Yooa+wB3de3kbXqqZkCiayXSUT4TAYE2ey7Bt5p2Hf2NT/KPbx82Q+j7AJIoxdxfiWA5ms+hpDa/
CCeXtxstqGLsH/zP/++1FukxyuOzg/2XCwoVjFmmSrkXDm3v9YAL8S3oq/l+yO325a+/1eVz/Pnm
9M1FwexheMRn6rHp//GCyvDlG34zuBdM06nkgcMN5JR/laH/eW7pf3sRDN7kv5oIo371NZKw4QbE
srkXuoClnIcjosnQB99q6YIa+q/f0S/0uOXS8U3HRl6IDpuP8FdxdBg7FiWK5Vzk9sKocUZe04oN
PBAo8duXsCu8V3dxtp9NjCrtQXaPULz/5s/44xUML5hjD3kB//AHhFxsW3YcE0l3wT7dPjlFbaEd
iMmSaw3JFdpFkHcKECso5vSA1ep883qtBIj99zbP/3b1LjNEN1q+aRrhn7/mgkx3ioaWm3eBKJum
CedyMbO5jIC3f/3G/9tL4etizhjwaAEO9PNLzW0oGhF0zkXGmvn+K+2FORFHfejzTfz1i/38bOH4
BhGGf5U5AfiAP16+bdo3JQBJVsBYqzQdrGhfaqfELjiFEH9qxenw16/4a/7yQn1ALQKYjJQtvuBf
x59toZH4Q0I7mYsNnVEYwkjQVczuJyxRmcRpBFZKw80Kc0A1CbdUNQNOCIzFJBRmfndAysDoYDlB
erfAaqY04KFVnBo4pTKr+bsPyTs/Yn+/y3Gw00ozRMGej/UTCcMvXz89Sk7opePimjWrnampPJvM
N3aJJYsBUxkjyGQNW1I0kGfyVvlb3Az+nRAI7LcKgodcIX3k7I09qDnowvq3mZ0UO39SKzA6AVZL
N6bIWXJ61oTNx0rgyXdpCARscXhjou3fzr7GgFWKQPNs4zWyIXL1Y9BgO3Cdk8j5AM/SkNskK7Ei
A2CInhB7ATWDmd1ZBFJ6/GoZpMS7VlHqFyzEMxQryZA5/p4hKK8R8kmjdGbE2jEQx3zngqdETGtd
y7RZZCau1b4oALzkg8U68k9nhJXskwXeKywMVUWZ9m9FjtU5aGu7PRH7o+5JVJtvEdBgI9JtkWQf
LAXEeAUMyF92LGR1PZ1hI3Vf+K8FQwWNbA+vlWJf9SZBQfOExjn9ynzY/tTq2IZ7GnT3GAarvTcF
3RqJsTuuOH9Hj+WYxxPGUohlDafjJp3JhSSFCY3P7PKJxln8pJDT7WPHkW9C9uHGaMCT9drm84HO
FNxLmegne/RIkI9cvidmo9GTNQv5VlSJjQAQiP9WS/QM4G1F9ESQBP8VkHTIXmdAXpVj/jpj1tzB
RIhxfsrVPKkxYCzkUWLsRX5I3JlmUQUBV7ab+shtKvqy4JQuhYmRB0iASae+pDvC99coH4KpaSyE
rbrETp6xlSfpyoSa5i9EepXnUMfHJmRBPppx4J/a5byE9dXJvXRHzOb2zP5gDdZykcqiAX/zm5T7
rzET+GZnh3hqVHjXlIcVZh03sF43gXIXS3sRI0u2aodrecwNePRmzK8Ne+ILZoPRf2st85y+D/AR
qnJx5fW1h9y5dRLNhrTUydrKsCGOTee9EmYQ2St5RuZ4yhIPiaPtg8ZNGWxs3Hkf6nGsgfVn6qok
hnTTyRlAMX4wK9xZqIhOWdmMx6TEDsD2G+ARkb/NsDFl7D+Wpc7ImvNDBuqBl6trMCbmReWmDXFq
RRQhGpUs1j0DeX+t1WPBtHI7NGnbngoyN6mM/CJdaVPWd30rUZHm8VB9bjCofQkJjjzCCRmuI39h
Gak5Z2PCtqCd1mDHqu1ktoIPYQEh+WUhJMwz5X+adWBt5IJRaqQpkh2IjmBC74N0xDoTl5qhuY7y
0ZpYfsv0Q+IYOCwatg8L037fATC6sFQfdPtQTv5Lm1X9TtWt/uAnU3NyXIwuaNhd/YFQ72ILW1Ez
Ohn5GsPYGwldm+oPObuPnlDOxZBpimC/FKOkw8/dIrmC+I6oGyHBSPGyq0K7Xw4mgFWEpt0PhTRY
i3btMceLvlPeoD7HSTNtUyMz7hSe8eesGF1AuXCv2hoLQt7JbBUU4jXoXe6PTBub2K7S9TASD1KB
zspFaFy7c2py/DsxczZURKm18Un2Jtmi6JYoppVgRZuAuZa4cS+pdMMDTjMMPcxlppV7xna5C8GL
eIj0GC5Ur3Lhe+mF9GUvzK+28Lt2PdZyN3jMGSBYfCoD2TxHZQZqLrLmnTRiZ8Pu19xHcV/d8VQC
KYbfNr303Y51UWLyjcJ2zi9B3CHa6If2FpMEF7WBD71/PXNTDDvnlpALVG7bgEnKL/wzvsh2kEvg
VeY0TITJgdToyHpUuHkRivRj9CQAYSXbcIClTVRFOrNxxlM1riq8NXptk03+ElvufFvOHYEeCsxT
LyOex+HgxYjSbHdhWi9OWNOaW7kvsp4jCKAghVnbcNrO9FFSIooHAqctyPUut/7A5uzgzsg3Dp5V
tC9ty2W7bgJc4itiUEqUBl1CPZdi4LIcQPzc86lsqw8eJPT2i2pHdyVZL8XbMujlts7d6XMVToyS
vcLw3mNhiI4ijeShhDGfwgJKMsa7Vp5+lGP/mrees/Vc0uDWseL4eC417rmHTDP9PqBUCK9HkTM0
L7NiS+RRd8gNX+9UWLfvcHxUYM4Cd3o3eqK695P2i13q59l2rZuiR5vJubqAcyIxbN2htd9A9iRv
Osumh2QI+Oa44/EuAEghzTEJJlxdQBKQTZUyOJGtLJvNPJUteHafc3xdDORgHPpoNi/crlFX4A2d
e1/PGeqSqhislc+3gLicecIT8Le53iJ/KcmRF+6NxoF004Gcuq8ygPfYR+QnEoHKbdNr52MT+SM4
mlbbwO3tzF/J0MnWBTKQ1TQgkSWTpOS4IPhwk1ehe1LT+DFujelhYgR7Zw2DeSVYoH4oJp9BJdPW
iGclgd+rTjnJdeSqDCGN55wMkpd9ZD6JfLUznDRV4MDcybzhgqmnAaEJV5bYWxx5O4NidtyAYLTR
WqEAnXdpWTuPftESclU7+oHAXww9atB3PU4PohmT6WUokQNtTSnd7IQJd/bWYWMa/iqMGQRe+7M5
tfuIaLgDXa5xmQe6eYds1I7WRjFU9co2ArM4DFw812wW2y/W2DFRbVvw4DwIL+pcVkj9oJ1KduC0
F1jpuz16HQv4IZWFwd4mGO8S4KMO24kYi4bkyHsp5p5hnSq9yzkjpHnlmIo8m64dyay2KwEasKwb
+6oPFNnAig17iKQvcDkQrekzMS1DvItw+++SlkAE1+2Ympa+PsghyO7xaXfvBkvJpxDz9BZAIXYO
1tWrgjEzCRppCkRf58HGaacgW1uA1N7Mquc51JtM62NjzMqNy0d1O2r6lLoEyrH2mji7YVk3vzPF
ZFx5We8Q2OJ0zi7EV4pcsa29XScDjxx5fO5yP3DtfonLdKGiOv0nGLDB2+T3WBpMYiblWpYWORM5
UfJiFUNp+KJ73WUbAb5yOCAl/OKlc3IrczLJVzqTPTGMM9bspqk7QuszlIRIEcW64Ol8Y5RTvrVN
P+43UULNnoDABBOYNgEes8Htw4tiwD1iuMH4nJJKMMCT1fmNieqaVHYmpTd1VJb9qrZn4y41HL61
kgGSe6habHLD05x2c+x+7WD/nYX+zSyU599CgvrzWej15+l/rj7P2afmx2Hotx/7rpc5m7NdgCJE
A/qwZ2gZ/+PbxodAc8QG+Bv7+j/D0LNvmz1vFNJH/rI7Zq1sR8QbM41hycCw5B+ZDn4euLDFAvFk
eSDMPIQ4oLZ/acXIsi+pEuv8UthDpl7dxvWA8PA0drdmGuGDXDkTycjqkCH7qozjkmXqCUwzQX2A
X2Lu0ZepN+EgeVwbZuut51yN+mImsuNzJ8pgkwH7Ero71H0CUIVtWzkp98HACR4OANMG2yYUqQxq
wZZDJTgztsgf8jS6MTOjD+7GZhgth3VCL1r14Jwz3/xp7M0XAAZlplYa3i0UiLShJjhlaHTXBIog
OR0rT1F+JNorZgqQse7a8CG1OTbJeWYSzf7Gqtwej3Ret5V85KnhW9swd53SxCJHRzbs63YMbZ5g
ZlWbF+D3C2TJZvcpNaTYBV2rbj27rNEmqynnR31l6A9tbQbZ1fmq+vcG/LsbkCw3xlh/fgPe4N1o
ftpEoDZbfuT7zWf5v8GQw6sCBt2hQWd+/f3ms93fPMZCIZd+BNrdR6D2Xbvm/4arArQ899d3Tcc3
xw85qAzVF4poSEXqMtP/JzcfFLWfJpEewcIMbGA6nKFD4R9oYoUc4HYPUXabF5GTR2vHWow/Iin8
myhuXffOZVwh901p1mJHGgKwfLz1mb8uYuhB83V3FjgFRVesJKJnSipMh4sKygvJEzTXPilAK57V
xSHRtTnd9mVnvlVmy0pthQ8wC9fCSkPMmoSlU142qV2E476JXLrXtMtPFYXQFyeB4LBC6Bp+NOyF
m+zDHQwKt+MZl7CA7IPynpSSeJ9oLBoOphy0xFmDDcXxh2HVsZykDShbBA7acY13gWl8DFHMbSoq
SNrDKLj20zE7Ztz3l3PhZscAP92HKR/srYsJ0V+J2k/vBTrxdCObWd2Og46jDdrgSmydlne8Cgfd
h1vZlS3knBQFH4tmlMdEQyST/zHjwHgnRz/Nrz2enBA82+Amw7w5rVQ2p9m69BWq8SAl4SaO5ggJ
uNln6iHw+r7e8E2o51jh/DOwZw/YXuLkAYZdHK1kA3hlTVc5HjM/Ti/0NM/P7Phx4/rubB6T2hm3
Eecee2crr8h4IlgVNGvmtO8BFwnkNV2OeZhk0pMha0pBwwvbYV3FmmQyPFnDyikX+0KuMwTvwZxK
vck9KSFRl4F66cFk+Le8E9tc26RlzRt4MPMGBbCzpTVm0GLk6ZdAlC6ZVVlxkJk77KbEYeSx7M/p
0oO7Dn8E+wvwlRsbCvxd4VfipBoXzmjVWXdQz6dtPVb+KXYDRbUuPP9tQtS8mblprnG0aZazqqlS
Dlsy9EisrI32kjz0XF2ZNSFC7cku3ClseWjUkhxqPgi3XVcjEaW3btFBB9F1Zrkr0wGdT840M0mx
GirpXiIXWArxtGaqjtzPch13UyFid+7oJviutDUGDxVNMlMVY47aJyKqgg4TkFyEnzRPK0FthbVr
npcFu43RBetpLKJLv03St6rDzAH2OCgCDLsK4fLoMSBdx+GM29sIs8ux7tMLP66nVxpuHyORnAZI
BnWljnOCXW4tG7sWK6P0zfTAYNJuDjxvS2vVM18g1EonRk94ZxXs6iTLYBAp/PRpN5Ki1oi44s6O
w4CUulZl/QbF5TCt27gdx0uts6Hb2AYNf5PybW5akjgX/bkhNHObOkpuAcVmrPfxqwZXgK8gjUjP
3IsiGDZp4iSEdKPtR9MSQD4tjSC7NpqmHNE2UusyFjV9sanKcHq2adX2NGZdcnJNeY/PIdd30WB8
MnRUc0+xj0HFyuDHu+4bR+pd36UMTJJBNc8z5jt3FaohfdQYsRsSGVpR7/k/WYlRPWBZ4yRSD24X
kS7Aco0WPkM7w3jUTO3peI4rdZpWfJkM9503+OGlk5Gv9zAWNnkAE5nsqDlI+tmErWGxf5LmlY5z
+86tJ+7H2I3yapsnnGbegIy/UF2+17MTnnIDM8omZAQ+X84LxzZwZA3OrBXFPgxjuS2tJMZ1z3fV
0JvofGNr17kzWmWOO2dIy40f5fYFIgUiV0Pmc1sja5eQgxRsVavdbGM6ILwZ47lJ/lF0Qf6K6Md4
54hyfJHmPIqtaFyXew118sbItbOtLEAUR5EkzHacIZdbH2SAuOA/cAcADS1zQ6J5WkXSTgjH7ORK
w6P4UGidWnOVMwOkpURptbaJusM054uETm1sx4PRCafZMnKZsLk0Hok5+PTbgaQ1CNePgNecJ0Sn
710uYVDq57iHqDbtgx9OwR2turVJ+lhtejvtjgxmAhN5V29vS8PDrNkskQF1LN3rkjBCxikiqKyr
STTNFY2Qn+/DrnGeu35+Bhk5RisaJ9YGVgZfZT2OZi9XgKRAXCFGxmmnLHlf5U0OQoPnV3JnzYAX
IYm6pdLqUDlBz4hxDcgBjDUY9Sm8dsPiW9jXv/XU39RTDslurMf+vJ56/Dy/yh97mW8/8a2cihyy
4yMC+0j9+d6VfC+nTP836qsF6YweEtEBldZ3BhU1GMJ8GwkE2zGgVqhXv5VTtvdb6MDhD1122V+V
Iv/AQM1xvyzzflgsWTRSrMIj8EOcX5C0Kep+XB9zBxpj12AInqg63o/00Yyz1adwtstrbRmQYwwL
3FS1wP6m8ErKdnz2x7x7aBvjoTOFPJFakuKpDvSV2wzGUcWOH+/HBuQeRk3jdQgCSiG/MZn6hfHS
tXs8VW7rwFPOnetmhV0Bjymt4KgtEdqMj7TZvJNlR/ACmjLdOEgb0b9fhSgIAhoRbkwmAICr+gr3
YYzEdEcYnxmMMFyE6N6VYd1jgQ3qqrROaTT7kBCBQ/XbIDVdyVzJZSfUu6youIvqYlkyzbaCBppV
ubZOQaOAzahEUiHqxmqocghuQ9VqE5tyHMBXmzHHJsqNx1gZBve3FRQjg4vGa17zOg7fEjLPQPzZ
cpYox2izRn8dysVpPmuRt5ueP4Fp6dzYF6HpLHZfP0ov4twCtjVxN8sdXMR83OomX1I3m/xQJWDw
5zqDH8lUrGcoOYdM+kPvhTAvniZOkhJ0SmZCuSz65iG/6uy6OeT29JQ3AKFy4F8rC/TeAXtjiqui
StL32ZzhdVSUkUE4XzWuIGRlGN5jB6zXuCVunWqm8KrHCJFe4n/q53giZXd60VRTa7uLCLZn7z4X
T5ioMLJGVn5CBfIxyRpKzLgYHmhXaYzxQ+wHPlKD8GGgze20ZyIN3cuu94ie8PhmT35pf2lwa8Ot
bthKFMm1TjtyY4b+pankqRqb+oCLugXj42x4cLNxUSCJ2pZEbtHpW8JFmeDbxVMLAx77idFsi2r8
DCPDRxsKS3GKAGDxjDFYeZBTKJ14U6ih2LNcXOZl442dU+CNI3SsBPbN2p3G9BK1iLgK+8negqY2
j+DNsl09M7MbjCRd66W4h6Yz7itKoI/4VCEdCaW2LSD1+6RVLjPB5HPMduHGM/oHr8+I+K1UuTdb
nHw1IPRDXYCmGjITtmOjPHS+Hrpeuq8j50K6w1UX7fBmumsvNaL96DMd9Irq2LMy3wDPYjDA3rRe
x3P2sYFosh5ZOm6TBPRKZFYStR9pnbLu1dojE2flmWO5hdyTrUJ7frS82lyJkoj7Mj5qVLqrSrbU
gb3x3lOxuXKKOT+lncestCW2eJHKfxh0sM6tfoVH1qV7GjtGjoMyi8tqLAYCrHru+EGEHTg7bXxp
eh/x+4i4zVs1bP4TqrVRKwDls3HAjTfc42+fgoeSBfotLAkGsph9susW7OzOwW24XcgJcm2VQ/4o
/aqHIWTpZJ/ljX2qh0TwoHd6Xo0LC7ZVPPWfoFs7azMex1vsJBbPUi6LhOBpaxXOs3rrWg7VbRK4
6jT0WX2we4zFgIe4tOZFQWrO646/lsx2OfVfrK6byOlGf7rz52FISQWSCJzDKeo0k9auna6xaskX
6XG1YOF1WclbY2VepHVU7SHZtZStho26iLKrK6jcVI6lPm04JWakzWw8UU47dEcO5vqV2XbOFvzU
guNmuWKHLBYAGz8FWTtfl7nxyi313taZiXu8gCHQ9Sf8si48bbvYIG7NUQBnb7EMxYYwoeypEjkE
JL/1sitbqBGCxUDujbYq67ar4neQrApILDDFL1u3bE5WBHwwcMbLkVX7vetExkPhyoAi3ss2SRF1
a11FOBxYdXEbAx2zgdrXy55VmVc+rd62j3tJVdT3VNXE0/N7ahKATLUXy1272FzvKj06u7hjTWWw
OAYvMN7C+suItZKHCZGhjUsfNEwX6nClYr++mxz1gsjFO7hjFX0StrwLZhfEjCyc8eCE/bN/BtCY
qIltZzxSmoYQAImno5to+y8x9eQ2N3rjggjNdBcuyJva1NGW7VS2YnS2kHMszoNQXWesDG60YY5X
KoPmUKuBQRxBEqtZ5txagT1sAeAk+zRyGT9PdriOcrAUrSX2ykgEZ3B/FQ2cWtpRagUyhSuxn+sj
5a638ic6+cSa7gd44auCuK5ts/CCeG/RoZvnvaE6tlbmiHjDms1V4EfVJ7Wwh0zD6dfDwiNqJbb1
/AwpYgYqH+E8RhuHYOZNxxaS5W53jIwILuP/sndm3W0bXZf+ReiFwoxbEpypiZIlyzdYshVjngpj
4dd/D+ikO9abtjt9/a6slThxZJJgoXDqnL2frdXfp8b9VCRutZl9QEt6W8PZVj6pZpZVbeJyird9
X0xHLWveF7lwjmP6JKY8X80jlIHccMs7g8oEIhlfbKmrdDsu3KUZSQmzFFhMTc1IAes8hoAIPTtH
B5J+kVysjCJjv2ucL/PCdCoXulOcdV+MKstOdh2SEavKfBWaI3wWlYozawBlwAKHGrPse+/k/nZi
rBzVi0r+ipHiFBXe4C7D3Y4rhavnR1/hkoxrPe/kfZgZ4ToeIFGNljfwcDfQaejRKxCm77Xf/EES
db7NbQqGYbJemL7E6yJrm+fc44+apSUJapu677K3jHXKqDLAW1PQ6AGLVdl5+uAbVX3Qr8CsrOMy
wNHqi1AP2Ewrdu1kePFUxQOjMx+TBK08gU/9Kp089nUnyb8aC6SrWHBdvVU42xQWwhqYUrltU0KR
EJgteZyztR5M9bWNQ4Xe23GRj/AexjjLNrrfeOgcjPk+wyTJBZ1R/K5i5raI01GDydXQZekrt33W
3XRj6T01rs3PMnN6ZNJ0cHLyp7Tcjzj+5+O9TZT4q5s6j2Q6MMzJo1sLmOjexNKIHiFOa5LaQy40
bnnrk29ndIY5NGHE9jbWHDrGmikQk/5+GCHgNcDYEmfwxTqqjHe7nEo7UHzPuKBEdTeImXP8PLl7
d7K9L2PW6q89ELi0Dru7WTeZhA44FfYIRsw7u3CGjWCQVbKz1h0apBjyhDH4NJdsmxWhF5fG8+3L
iGZAJzV90Cgx0AivbavNv7cSgfRyo0Z8p0jnKgQt0tnVtbC5ZUqnq/ay9ed+3Rs85jncMU1UDIo6
/YxUNv3corr6WkbNkTTVkG5RFUfrJjLfc6e1H0sS877BLYQAOtMTXRK/+ulQXyGBSRanGExtNX3T
F5xgfQULLohBEu/cmwFly84vnfvZKU8hkiUQKjwOpj1o8ZTl7Azuexi5xTo2WvfOx1TzAjfEgiCS
2IEsxnxj0/Za11U95wEn5oLxrVldpGmBsQAQ0N5OmeHhXQgr1Bpd3UP8Qj9VBMPUAlVYYI2RkOk2
XCCOOI6NTc372jGl13Yge8Ji17h58sJulr3wiOs/59hDHrO0C9F7uclBt0cq3rBxjk050HhMNDjq
K4VL8zkyklSRJ6+KFeQDefQ1gxsi1sdsU0OAOWKwAwlDpl62mqwSMsoQ4QvR4V52tEtedG/u3+16
HPZeW/mnKk27OxK85afKtCWimbbCImw2TpAV9iI1jZv5mbCfoko5PrQAJNAdYxazrd4PZr82HegF
tRo2Scr9QBqWtYQiLoDQMfRm53OESHUOBm/iyer1ls+NiLUWELqD/sHKLOfWMbP4dXBHB+CN2z/m
c4mgExqrdpOXU/IaFna5laFXLN20KT/AU9GDlHg6b2VZGSCFduGk6qA7HpiilKTosb3Kwn8cGb5S
hDX913IhrmroqrZON0eEdS1M1iuetSOi6EkgDGdU7Bq7ceG4phVEV1V0cVBFTb6utTnHAyhrezsu
JNjcsqWE7QORJh2QKgypwMxUzniHjLTc9y7zVaM2Q3XxEHJVd1MUY8z2o0lvEN2RIWJQLBCT5iOv
XPU/JkqUm8kyYMrcZrQeqz+HT/SscDa3+9SPCx/99jKqyidLW4PmFxsIvaXEFx2zj05EAVI6Oea+
ix37xfAAwwVMymp3Lxnji69QxMJA19IwOifDkAB4UCgONwYofjqN/VCvM80d2X06WZ3BBtf7vvXF
ZWo6zgKi0XazTQt8IAng2IyyPkjWJPh2MznXKX600Ojd7wU9pG96iRduBaulS3dTUT+1mR8mr/j0
aRNb/nhDEwYDJRHuduDQXv0Dp160d3qa6yvRAeJqoLw8z+mobxKH3Xnjt3m2RVo9v+kU1qdR1Tbq
lxwHMywdYDH9cTaa7qFGJPg5nqziMo7CPs41yH2Dxm1gx8JcEJEFKcsZiFNETVQHDWEJE0N/rKRp
dcugf+HeC+sTwikgGxNJ93Mp0k3Es47iHFDqZMhu0+fuQavLIag4uF+6KPG3EiD/m01TbF8QOQeY
DHwpuWkeTfMq3iWROQSyspc+IawlGrLx+DX3YQwj4Lkzp9h/Z1RyN/BOVrKDqlQbhtoDpmgopfro
TOabN63QuY8b1k0DdWOyN43CmFqyKPUVzNd4M4ZFvPFJHOI0omVfWmr6VeW7xV5D3glkkSdJOTol
/TUkUkw9NYVihAyQKrRAT/qudteZs7rUpFn3E+67KUPbZjMLkFTgyFZyFcd/1BDdbpBdIWGom2gf
VlhaMxAuU1/j38vjfD1L1K4y6wYeOqN6iDvdvx2mKNukZeLsMyexN/j42TDbqjomurj3vILJRYu2
jxQGcK1umQJzVd3SOm+8W1I9JQAcPduIHJFAmvvm65XzZsLiIoM0iYtX8jxfge4Ckx+8nWUDwgeZ
Nbzr+Gz35A/OB1UwqBUcPPEx2l2/mspowTZDA0vdyMHElr9hl443pB7GK6OcPteIBeOIDPi5eS/T
/HObIinNjV6vNj1Sjmo1meYGWgRRs4kfHtOERNIMwvKqiHSHHAaFo0wrpzSHacczj3Zpc4ZuU7Ja
Whe5zcJMI47znEdRdk//QdeD3gLjvRlqfbhtO+rtVB+MoFnaPyDRarJimxwT8DDvo9TT/xhLjmgp
NtQ942A8hVpjwNp06QjU8lsXT93RBRq10r3MPdLXCuJYAbmqHcRfhpYdDbcYHuYsjrZR0nzlvEYp
pspEBdacFoeyJz8XaU2rXgDXtiv6PTcmmabPlFJPidagtJWde4odc1w300zhWMWHcJwbKOG9JlEY
9l980dyMQpmrODWeS40tLx1oLdeO9NajbXov9KSLlYkJnNmXN6wB89pPc5XZEDAy41Sq+Jxo5WtX
u+1etfGjdJjpsZNuR0V1VEZ1+RhXxiuSwfxgDqX13kLADfRIMnXQiucJ/fn3ui40RDwobmEaQxde
a1ONAXh2igt2YNrRVZTiGai98Mug99mwmoYB3JqvxksDQ7hivhKGtJ26cdzaLZoqiv9CcMaZAJbi
+7yUbFjoHU27gugAQ7qHHxN3gMqWXFg9k0dydFfjnEQTR50w4KuqwZqlNomcjkWTQGRYYwnxTFCS
GQCrN4OXi3bT63F9iwvMO/ALfguUxHcjMi5WWrF5eEl8hCCWHZXNw1WY47cwq3tkUQS0bianB3Tu
EuBh59NxTtyMW108Sx5J61yAEO+NpRdYl9Fa+b27coWD4tPuqPKW+Z9hUwlHrcGW4ExyGPdMd/bu
0HyJvPnICFVf50mtH7JIuwn9llqHuOENQN5jLUDnk6XsbtzMyY+1TfsPe2q7Lin1oc5Oxjq0mrOM
hgc/bRFEJaz4UNkbfyofGgvyKY0Z91BaoLhcrYt3nF1oIML6uxsN64VJW3vqQg38BmxA9ENmiT20
Jo65KsR+AnAXSLtvD+g1dDoXXbXSM/u9HkP/ocfEuU9D0LFxpb5kqPXJ4FDmFm1qsgJv8RV5rHgc
PTsLnAk29RqA/PiH3brDI3sfKm8H5QiQrv4oG5pRTETRdGnWTY5+lT4L5veN1LOMPPDyxupyBnGz
afWBkYzw4NxIIFhMMe8dG56Pwp+rbZao+g0WSPVK8JNZBJk2z98ySNQTcvVMe6sYZd6RrAbFkAce
TCrXnfZelsoz42tjjfwmxaGVREepMfE2C6W+Umdxa0V18ZakwruryPhlzhH337TE+R5JoUgMRv9x
bGhDP8yTFRJU7Y7luk708ZM32f29YcTWfAu2En00WR3Vji5oAe66M2tocj4O9yoRboDEfGKEnZRy
ncyqBkuOM8DSQ+1WJMTLo/9srT3gkicV2Z+oEOzHBpnwNmpUt+c+UBuoUxiMfe95JKkIdExpPEZ6
Xq/b2Lzz4Ke9FROqvrQIvTX6CCMJcg7p2mlkfGSegTG0q6YbYoTcwCq3kSOrNVpRpz9aJfvPyukw
RO+icJyWJhETw5FeGDVN4QiCdxcmujlWyH1cp5LPsraaU9N4HtBupL36qtfp8ak6DdeKfeGVCaJv
3pJ2pD8xSBZO4DX9/NJniPW5jUOaRjSo41WEP+bG7Ov+7LJ6EPnXIzjmpkyAItc1ibY0eFad7CMq
JjVCdDO6Av91t1RC7DKvRea4XywZw3TJ+rTb1x66hUabGopWD2fMKtKAY6KRnh7tvu5oPulZ7aw4
hnl8E2jwyWiJ3u0YRnoA+SuaAnpq6qKyASrPgizbzM1CvnZbDt6TwSOaErSoA8zh30fK6w0jggc8
4ekKF4p+RDDdBXbdjztYfM3DFA3GS5pSgQe2xYY9S1vct03FgBtNvndpUcRT8cqoukfGO7xoVtIf
TVQY/aqYfe+GpPLuJQOScKsTc70zanggHF5b86HFhnvxUdkWKylC/wSj0viqEP0eu9YbHg3DpBk6
gddMVlXJtroqbA/gstfGhC3YLcM4l8ByFcAvStuVCYUrvaXDv0gffAkcNBWGsredM9p800XKpFFG
KSSi9h6OkgUBQ9UGOoxqetJnNzrirssgYcTqO/Jfgei6pVCbHWwhdDrkbez7SbSK0qR56R272o4a
T12QRzzMWFIBh51ko0dEZaHRRZpCa/Qkw8k9DKPebXB7ZOdalAQlZ67QzxVyrk+Q5QhqdqakCGJt
tNYOsWFsJ532QLRzfWur0dsXsYg27TDXu7Elo8OsM1aJJsfuxssL8zPdW42H2Fg/6dR3Z1k147bv
qP5pZ7p0abT4ouJ0AFcXMYVllrGO6ra46Tv/mzYIsWFzImggtju4TbO48QduDYCy8SZpzEMVC++e
gJQJ7J89HB3NnaFKhGhXO04dPRXjmn6zPLZwL29ghWdn0FtfcUmJDYGfYNo99RbhcFkbFvKb0Etp
K4qwoFcm1TPAlxBeEuCC2mDKrLHQd/GAfH+QuPwxONKzqbISnqDvzUFsThgDhO7C5qyoZfVZvia5
pdYcFeY9khQHF5Fo+3vPregDC9SmAbaTIb9MdpwgquBhk9pZBd8IkOhZc5tgtBnf0GMVVBpVvCXJ
bIaoOd+CMeK/6yEhXJO6Gzu4rsaQPfut8dmM2KxtrdwkljmTIjq9+SViFT9i4DFiKQ5aDUBVCW17
a4jM2o9WsWPOfpm9mqMCUsa13xMjEkXzHZEEED3S5qVum/Teifp9qBlMxJtuN8zW8EWbGIMYkMpN
XehYzaiQ0f8nu3rgQT15/VvhpwAJ++ahB3esVnrl8WgXy0EwzrU7qM9qHepGfGiYmBOepb0DTOxv
rrIPyf6/Ii0d8ilGx8/daC+Miuk81PV0kHnz8l8Z4P8Lwsm0nEU4938fW3/q3uKfptY/fuAvEaC+
yGx1lH6g4mzylZHA/jW1FsDsHN0A8a5fVYCMpv8SAQKww/NMCC0T8z/H1VdVrq7jABNLZtICe/oX
4+qrZ/xvw2rwdyDrYOn9mFT/B4igapZIGeWpG5+xItJ3b6yV2l6tcUVhmYdsWlyqQxTVJ8YyxL0q
leymhCyza/6nJNrjZCzWlLQnlbdIxHTBpW3fs8u2UK2rfEpCZFPmqPecdYrCscLxorlqAs/WA6/z
rU9USn5BZ6JAXIb5aeAhrOehducXzCiOlUzpNK4NuL/ed3ieKun3o2OjbjlEbo/E44C1QUuPvuvB
l6oHLvKjVlYunTkrhukRwYObT1xLi4oEcPda52V5zNfMCKPCiJpVZM2qu8jCAoaHmvcWsyqpuy4b
GQ40J3wqCzgnM7KjPR+qAhfda1/hzSVP6HQpEFDkpA9ThTBpoks5I97axlXYv/mCcADZFtBiEmrT
taPDEvGrQeUuaYSza5THFHWg7fJcyhj/bMZRH5oT4uAFMQc3fLqNowzQ3DRWNIehZkbqUVOih0mn
k7+3TFpq23B3BurBnqSAK8dO6BFuihxT3NBk04UshETe1KjkSr6FwjaMYvhh6v6vkOV3Qhb0sr9U
5j//IYuq7H7aFH78zJ+bgiv+l+WaS7KuLgx07yai4T83BWBv6AiR/joWxh1hO7zSX5sC6Eq2EAN1
xAIpMP+2N8AoQWSMbY6njycQ9rr/Zm/4oMpnQ4IcSxyACXrQXVQzP+tYPIHCNak8e+8RUrsq4pic
6Iiwy7/tkv8AJvmZ3oHsxhGAnh12PmieXInl9/9Gzgz7oTHMKgr3fVqWYjWQDs9sOay+LIim+4Ik
x0M+N/ijIe38DvSwfF9/l+pcXxwSgYegCH02F/vnF4+dPJ/MzPMx7fok/tKVHen0Y2uGYpVdKDmr
t4i9CY1tycS1nVXyx6Th+eTc45hBTkrqShEDves46K/NRmuOfVbFd62XLqeePETpomS9aSkSiCVw
w0vh5GPw6wv4jx8C+AbBd5haWUgfrqAurRrz+czYc2YXmWBebgutsA4cCdWnxtQxKYnMpSor8Cuh
7a5fOcp6gV0RpQal2p9QcRL0XdG3pTU0JzsfoyjZZ1l+QIWcMeQdxVOR9Is/de5QEBX/Nvv8+j3Q
6vSR0C5EHuODAaS1zL5X7uhj8MA1Tfh6Tu9Gqp1bpd9/fbU+iN1/vJKnmyw8DCeIxH7+xukNtMuo
098PZqTvVbfwBhyvOcrObB50O/odtOXDTXR9PWAM0IRY4oyolxX4t+VtiLYsiYni9aJEPrCjtIRa
Rv8OxHK9iSyUtHi8PdOjuvhw/XzJdpGPmreXBmAf9E3fa9NP9lnrPf368l2RLn+rF5bPYxsCrC43
HlXMx00hjVDejazBvQFW6zC7rbGJASTvlOKLUwXSU7ryUNfIyssuSKlAe+QOM+BUhJcYTtapsO3m
QSoHX7mDF5+ucKLTsgJdt4/yGjhkXqpdwtr8RKZwqdbmrBOswFMck4wV8SJTbeGa8UjOaQ2nfRmd
Odn/+kP+yJX+6VMiUVuy1V3D5ZTj25Rkf//WQrJf+3iW034kfIkmcIXWJCJWi+Z1tq2ydoEFVN+h
nmmBnZHUxeJN93mR9tsBlcSWpq28rbMEtUtXmkGDSvpF4Fq4tX1lfXHJTH5hoL+RYjQeBcyLfCXH
nKkFx7EnQ898IiqSMqAxMn2Ko9KgD5CoHURaqP7RF7azbO90tk02rmET3wQbg6dLTHUScgKOnGSP
NFsRcZUUGyogsWvNynuCfpQeyEImJEs0MQmGUfgt5sGzLkDjHawayVadi5GQgtm1zoUHWGAIyamq
B4PDrIUfwOkd5vKdIMgwI3byucNQkDdoD2j1aXe2X6t3RUojA4m4YyrTmTs7tDjLpw4RWDNNjoAz
p/Vgx6b+RM5v8eJGcfa9FjGxzZnuK+bTMiZ4bSSqgx5BPH12sfsHbmEAdPL9/JCqdDpDzXPu8OF7
QeclizOsSMY7mvjNVxr79pvetBtU+OAxwuwPjTniDUpIjRymJNporjxSgfKuHdEQPegfpkErb6uw
Jjp7KmnmRJJ+seaWKMrS83I9gypP6zWpOxo2i7FF8We+gu3CrI7T/RBlRQGEolaftBy7Mr+rz7ei
14AqqCE2NjrPF5pfo7kzKt879Ki73yShg/cp1wkhC6XounFb8ymztuSEsiKGPCPW2jTfqkbSWiRx
Ad/p5ME/RuL/idZUzzl6GvlqJgCgoPX3o+q3cWw+GGHRb9jbhkOHTXultKkjqiI23k0ozwHt9vpB
yfwmCW3YfuOQAezMMV8w2lqhpMe8ptMsMlDM6xERFKk/RY+o7W7CyPkSk9uxj7tOv4SCWJ9UOi/M
cxAylSX92zZda6kDlcQOva0pJQqUqR/hXWbkTgzztC50zK99Cpe+g2CxAtUes0XhMhDFNcmrmk4a
Ias7Bi7QFzQvZAAUK97MRFYLro11nC3cTqk3A4sLgVvAYyjbJpHnlEE6JugTI8fYybbVTvZcVedO
I0AHu7R6S+mzPPRJ63rIj2wPWz3G/ruZaSHbVCuak1LCwoU85Xthgv93K24XR1MV+Yd+Qye/38DM
jJGHQIanAxuuJz0tv8nBij6noejfHbdVn81BjseCxuMhG/wOaWdtnaVOIkADYGMN2Hs49ChR7zTF
DK/PFXIJ4IhuKw5l4rtzE4jGKTYFwUqE0M7TJ2vQyy3ewPigZ+SrISaz1qlCZembfbIjFaM8J8zC
6BzSebQr/jUt+6zG5Tg111FC4FS92mmOR3u11bNtmA7q+9DJsbrF3pgHIVOp9QwtAgIiWreaWLkg
iXhyiDn0Vobe1xtmRMaGTyyProMMf5Q4GYxYV6e509sXRFDWncGNeqsSWulBFmIpQnBXDX+IFBIN
9isaOWkqv8XMzUGPJu5zTC/vTCgQABed+oJxaoxFa6Q6GSj5UOLrnP78lHcHHKFZ9QJz5KQ72SWP
rOZzmpoZlAsi4RONulCza7XLM2EeRvCf9Mr9/rnq2vxAJHz7Pmuxvs9Ti72HVBukVZRfTl6Fxxkp
9F4ps741YWEcXdJHdmqEubaGFJkhUynrjS8HPjnwhjs0n2Ng96axacDIAPu1orvZrZmgMQznZww/
b18iBgpA1E3eSdaDxB2GbnGFO0QKdeDCMX8xINqYfmzfCTYGJtC4xEFKzAhCnHztu314pFax8dw4
PuLOXB4HKBmAGuhdUgMPz8kg2dcroznivxiIT7Utg5lj0exIkbVPjPa1i+IF4gALEOVFiNogsDEG
fRlDQkdWoRN3FxxQ/Ap56wWfVhOAGhafUTufWijHOyZC1Q7+EB1B6kXzZE/6rmvYFITsTbCjDdMI
1LiHIjOc9ZCn8bYyw3hTlf0TsxPCZ7sugRg+2hsk2fcyLDGvMYwcdrIeVLzj8rvZN2l5TXzmQNzg
B1LM2dDy9WrVFVIPpGnI8OyjCanZWRXweDIurPgWVedUzP89sAKUTTr12wOrZ/3Syfry1sZJGXU/
u1lNxlY/u1l9KiNWtecvtglKo78aWbhZfxhcfyKQ0/iCc2lB2bIda4HP/e9WlgW2nGAGTOkCEqQl
eJl/0cr6yFizEbsIfwmDwHZxtaT/VLNh+2x6re3RxML+ntdlMvUPJJcs2OSxab/8ukRcjgn/p0Dk
flycuYv3HaAmrEX7Q1kf2ZOVQ4Gx4B8o6GpWZTyphf/yA9jCAad+xT9hvfkD0Kf/j5cmNIZmIq51
LurPtWmiZQJ0mrAeZuIaXkufUGcCvUZ32ri9I55MOvao+XUJ0aYFdf07lODPB6jlk7sGYLmFgIqW
mQLx55c3zAQQc5qbDzlhsYhVtQE7HRSduT4m1fJyE0/C33AmDdbIh8vNi7JULJqhjnA/nqLAZYR9
RBLog22UxlNpeubBwIbQbGmH+M91xzHDSkxevBc9VuW467t3Z8EG5prDdWh4AO1qNwKQ02qSOJ15
nq03x1u4WYyLdXEa6hB1WjJXC7iuFpjsJmwh5m84ecux4edV4xoODRvaOTR7/+OY5o2e2U9ubAB8
YdCX9bl1mPIetpbXTuIJkEB1mjKeX79eMIvf6D9e1WfFulcirv/hG4N67KaTLcVDKgbxhMQoobtZ
xt/1dGJSKObpYluw4BAh42NRMSXGr1//P29M1xScS12c6qybj/fK4PuQprJJEFXqAANcbhi0CmDQ
huZ31FnxDwsFJAV3Fkd8uuYfj/ehcrtS13vxYNHXuFBHltmWWFvKvSsXDmO39TboznJ36jCSanfk
ZrlC2dIMmdq//+AmZAtzadUj9f+wSRiWVvmNHlKB8jBtwAqFeXVmXMx5Nymz3/UA/ukmWTqC3Jf8
hZ9/aUX8rdUg6hRahTkYD7JlzIniBuKUFU3VqXf16oR7wUJZA22SrCVWuZ/P4rYgOBLlSCo0yFDp
XJ00Z5guEX6CiARdwzt3VLQb0dHuj+OBsqJUKXcZk9tpPPp4gvPtry/ZlZj7YbG6Bt8f3QxoJazY
nz9ECk6293A+PYRhSpIaMB1JdjrrZuqK+lVCNVvjF2bfU1xAOEP+hohbIIwt2J99rQpgf+SucXid
xxkBkQj19t2T+u/Av/+wC7q0P/AMWrxZ+yM7VGOQPZAoLR7s2eWCXC+zqGX9KvRQPDV0Bn/DU2as
8/Nd7Og2q5pnLs1f/I0fX7HoQJbpmWofRnBgJ7uDugclYPmbyaGt16H1SdOBbQIJMZTU7yRXrkY8
Co9Jn4FaNEvVvZsVtXOqswMAdapfieBj41zWxPUSYWyWzkoksX8GB1adFJTsMwEYuKeY7eKbBY76
66+bT/DxY/FJ+J4psS2Dzt9HpvFMiKDbYLl/wBdOA6BWswxSV0vvGjNHZALcbhixjw+Il6Gn5c46
GYow3vqQBNJVvszJAPbVzIdSA2tH0bnb4ep3pwdFVFopSFgE4WijQccXiJdDj0ftE4qyqAt0t6rk
arxa6C3fhaKnGzp3Rrr463kELFb7xfFjeXX50C8mfK8tyPssvOp2SKmyMRJKHcOKkZNBrdzsTlQq
/6ZnrQiw3iFxMNQ817y/IX5XNqjHY6fiMkg6nt9HQOOFSbmd1vcEZ8IHQDYKK4AYbT2w3dijEeO6
Wv1M7Go6BmbouiS6NjGnmRQyx0oaQ4MP2o6w4lOrKLnmmOZ9BTqKIK8s2i4jCAgD9aoh1oxQjUYl
2iH0hHU2oh79dz2ER50a5xESmUC4bw2RfNBGzLur1AbyiC+B3Mp1EUd1fe8SeoBqk4zeMPBSqJkR
qMfnOmONwNHnlnMqzJ5NEeN+pDTwN67oZt5dZdtvOLwoE0qP3YYSkI14qLmb20TxY8ol6jAITZrl
Huni6E4FIIQzIses58kskCwsaXVXfAPtWlgOtN2aM/0dCA+RuuIe6mTyDrR3iEfI/O4bHSMHixpH
VaLoUxn4ZhHdSsOSW+mjPGlwfY66Pn8mBzQ5GujXA4864CvMiQoRFfBLspnDLbO/6kvht/bnasE2
Nk4dv7NQpj8ishG61UxXLtB7vh7aTF25I33BDgrhDmsW1rXdEZbThONK09TKq7p3q0FGOjEarJ80
20uy01B6bWYdScr0iyeXqCedhJQ4B8IaFC4hKtDF8NwvmirL9kODf2JsMWy0T1aiiXiVKNx1BRGc
wq8/a/HgmLzdLEUwoBpVeFtNX4qfGeA59hGudKkN1UmP6B2z22tgaHHdQ+fImfbS3gzzT5PW8o1d
4Yco0Mwef5a/4BMq9opEsSpBYggeplbJuGbNMKV+9WXLN+vQM8hXWAjhN+vSC0Z/ZHmVEQraNhvY
shMLq4zrEf0xK8d6C22SZ6IENtqmyz12owXaPoVA2kea4+/tHFsHOo1sPCSwnl2rYKosY6SoDXeo
tyYFjD9eNfbSqUKoeaKsC597h8yGTBXVicQt46nRF4sDLiL/3HWkEeGsdDFK5ZZfRIEQHf8lmpcO
ChHU4tbA7EY8pIugZOtBEH2TBk/qFUn3/B8yFuktkiq2GHxC3jlqYLf6LrGEf4Ikrt2IZY+khvPO
IQ2ok5uC94Wz2r43/nIpfWmJp7bt+eX13RaIwFO0shZDF8pOY9XbibpvrrVIlqMkvSuRne+jaAB0
PnfidrCoDJXBGAYPkL8xjFRd+oTjhpmDUyaam8dzB1IzUEv1qAyuvaAnCz2Q+zflKD6077isp0u6
/IrBCrq7KKX61DP4u0wO/A0qAbi4OU/bxo+aVwiTVL9T0qrLtVCYM4ClRwTQzpsxUd+nLTxpjMI+
EnovfYdXBa83YWRwqJpFHBZzSztVqBOTgbfyzDLiuzOWd1tWDQ+etpL7ha550VOdIryqGn9zZVdi
EeZpDhEY2HFIvsub085FuBoqQHSHppW8c6zcVFA0jNR0bjSJavxa4CD49cF2pd37j8OPuZQ+KgXO
EeS2snCUYc4DXwNPz7oZbeWdY5zAb7HLzGLHY4c3SMsRHPISlpduUI2FX3Mt5sXL6y0kaKBP24Eh
P2UQTx5YKeODZ42Aw5Z0A04QHsUd/+pjeJab0rLZ28gsR0OBWGAnFOhitgHz4PBN35at6R74ONUJ
55VzwTyF30+Lc94tPk+5H0eeuBi0qcsXLrCOWwr7ntXzJ2N5I5TPoyN4U4+RRuM/DjkDCgfQxoqx
hWduGLPxZkIYNKsfNO1OgLSchsR9SjNa+5uu0clDMnzWCCp/+y0uEB+sJoR1HAFCllyWm9NFJbBy
1nmWwKpRtnmAz84N5ywvX4ydt06Xuz7HGPpKuE11umZZUO43+yY0+VYTo4X6woOc6zBSgvolkGYt
VtP9RKT525VLnekLYhfUNwTkyOaOl7LlnVxXojWlAm9IwhZgC8DJG4Er16SmbaL23p9C2C1etXxB
aWOxNRmkyewLKfznBEcUIk2Oo+0GzR9FkeFhwl0ZY1Q8AkW3365ZFIbmcQZAesWjafLE02jC9l6Z
Bjo8Yq1Tny5+4tevUEmp3hsxTvfXT8iTiBq5BUlA+5QG4vXAO48agHVhcosysXlK2LpJ8OJI+0Q7
XzwhSOVr6ZYqbYZSlf+oGK+PTQXNbQzqXDMPphfz2We79s+lwcgB+BSt+77nJLNcNbppk0/HW+Rz
wOyIm94hUSNLQuutxrRD5lrMZDHPSm6rWeHId0m82mJTFB6BtRHbUZJxcxkWWbKruJU2an6WPJnG
6GIucRI6JulDbrNXiY3i3SY2yr5MckQdXOJPR28v4VLTn2PV8H/7z+Wkc2zNe+uQNRWIAN/3xhy4
gMNPM0AzmkeauCNLJGRQsp6XdZWk171vMlKNmFjBJk8pQr7bZkZsDZao6KrT9QL82IuWg/uwJDxc
N1YZEeO1vq5dhLE81ghzlPvJTdRXRvHhw3V9WlgPdimNgB24PSu7cXuPJeLpPYnZdjYc40hJmtzX
BYHFzPteuzh11oUcJHhuUDs5ZqQ32rri6boqHNIuCUIyQnHrWEy+RUNae2ov3QYoykm1dtAtwPm1
GfSuof3B9W0MmhDSTuF3g3XmVDUWrD4U1flaWkxMdopCSAacPcWtIG5gz5ITT8yVqjEQecSd5YYN
TxjXWAw9NYum/x/2zrW3TWULw38l6nciAwbDh27pxEka5+LmNGmq7i8WtSl3Y242+NefZ8DONs6l
F6zT6OigqlJiZxgWa9asWZf39WOsverJH8lZrmHXFhDzPUmmGyVfYbRrC9gPcoCB48kAYVNcL7Zv
2JicE5UWMIJBbECASjhqBb7TMseQQj+5nJwnkmFirihjANSpyFlmKqCzKoBEVfkpqvopAMQc1R7M
ssLx0yiPJN25pCh2pfRz6ZQaqJI2J3yh9d1SNrzyIi+Wc/ejnPm9eASqoTymC5tZaAZExOz8VLWe
9oBRTe9zrcAJcaTAfOjB4w3SIW045yyV1W2fvoa7wiijj4qqTV1pIg0DGg0uNLDjTgZwSl+BqO9/
d2jhPRkoCehVQFME4KSrLGDQHz/5oKvB7u7RJZIT8jTxUCr9IRAI7pq34IXGGqAnH6TCV88hVK6W
J04Cj5YL8fjIWyz8GxV+T3nIrgkdsaqUF3PKMathuFjMaZ0m+WuWIf6CrpQYQ5xMUL4yhaZeuFfy
3mUijP8lbXkEIgnMc9Au+hDSA9QYjmpYespteXVJOFlJd45PcTQYWgv+T0wZIamCKqEmpDDUVXpB
Bg+7lCzxcSLh0tUcAoGT4+FRRjosRA1efVAOQqzsSjVZqqabkErtpUxvsh4QbKLrGjz6yYqZlvVm
MnGx22vNiwNAMExMUmAuzDNf7OEyHYUPE2OCBtUHQwfmrsUlXAjkENIcmxbr5WByRTwtvQB+wbz2
TIB1VwtTHjulBqi+lGcz6KWh3FKDvmC5570KtvTynPJ+tDVysFZr2oDvl9x5WNtN0w8wjiYb5lld
WqiEwt+s0e6jlM5HslaEr1Zlf/E1oAf7JM6xe2nCEspDlMeb0Aclxdq5LsBiTtZr2j2HnO3cC4Wi
Ybu/1HsZ/fIFKy6XaPTSgsS8lhoPAz6BQmJnjujM6Y8gUe0NRhzYSvCnOd/Q31qkH8guFecA3QBT
QDkUieYA/G2gOAjZaSZWiTgPIhn4EtsGDd+cJCKdjUVfVvq9S8Sa7m5KmRZ0s43TtSPMQe0ya73o
u+4oJcAR86h3TkZ5YJzpVa6cc2f33k2L8nPp6utrl36lz/QjB6cZKwTrzGlnDS+fIrp+9Iguw6q/
kG4Fc01Jz4pATVNTtbxQHE2aFgtVm/lmsbbpUFuCDFNmuNurkGpzvVKu5EXWu5YFBFsowNgErlFK
alhgtCXJ3E/OkpjMoqaW3tgTSG6Or3tfokXu3On4+IDlRyEFigL5rTK0amyqi8lnVyLnEycVIwGM
Akgc7V8Axq1r8Liw56xgkctpVj2BG07/WocV/l+S+KMMjw6l1k4E5tTKraMmNzS2Ivv9uy+cicnw
tEoSm795rFOmGFmDKUgnhyJqj4lZbtM7ssxHwk+h3KEpO9ytSOwpj3CkKkGeTbVyvyewSmmCEGC2
lEHJyq+kePaKqajT00SVE5XSZAOwqiJGthPhnBQr2dMmyWpcRDMnCymO/7YjjdsmznhEF99t7M3z
7P27doCeuNreDfZC5WmphtGi5AYG1K8uZReFaXnLsWfimPwgKl+Hvf+JdIoYHrCvZL4oowLy+EkI
saL+INTg1LjxNRBffHgsJAX0ZpBODCVItL8zv3SMKaXERk4sY6Fk0hp8CQ2f/JKoV+JEM6IZxsCh
DKjv9szBh0nqiAU4L2wPdgwvui5S4Pv6V4S716MwM/1JSskyKXydwPTkvkryc9igtMuMBpBbP4l9
AFz8STLPhyRZsPxqSpJWWeoSdS+rpWrSRxRGiRvAU6k4SwJO/TlRwlMmQRkCbd2Uts0L5TKF2eVz
RV7jKpwkBegtVDyvziNg0tXoapDD7q3R4DE25EBb/U2lBqBLkhOBIpAr6RCGYeq06W5YrK/8nCa3
uxWH8/78TF06E5N4C9l0YLMAukm9rMlT/M9Yjc2DiEV9Vud7/13YafXJzgDlz7aJU/Fprd33wMiI
pPCvfun1gTbW5Ed2iEQdgftWs0Q9qXoyr40RWsy5mGGqVEF3DTkXhf14Olzqu6MwptKt+Vgyesc0
B7CKZIqUxcVa5YY7QnpJDK8/YSPP17/TeoJpXMxz8R5wXfdgoLFfPyODvRF2ZGCCdUgVItb2WRmY
5NbJrOmCw6y+mhv+92VgzdhWTuEVSL1pvru78O54bz8jhL0hdoRAUTuY9YoitraWBkDx2e+pqkLv
THP9IQ3Ym7pdr7vR7P07kLBJUHZ7+j5qDjY4mfbmGdlbd4UAmSkbIsxjEBXWF3viH1kGLwuBTDde
RCcpKMaxJtoR9M1aN8lx70rBQAoGCTlFeBniapTuLS0EnZR0RynQ+kU/j2Lo2kbh93TB0I4VQ2Ci
yhspvD1dIJb+k0ZxT59a9gBZQjlIMUF9scRaukDrDLSOpJA3K+LN6YJCBrfrilBFq4/Aq92YhScr
wjyG2FjpYTcbKf2p7XHvPe4aR1Zr1xXB8ULkwgnGPW4Bu7pgylhPegEUQ/AQc725DVJRdVHE0sk6
qtTRUURHjcnmKfc2yoF5LHPUgKgXul5xvTldoAVVaYxVw5/76MX+isMIjjNdUKDLbNY9S2xXFwz9
WAWsmfKxzYpoxP6G9ggVHp7O1pE9Qgb2Q9UHjcbv7RED41jHnaBVbPP5L1jHnxDV4zlk6HrhrD6B
eHb23BnkpS9sPe+nn2+8buFYcfx/jCPUXxQHkubejYERP//VMj31yWDnw+1JYffPNw/49NbPTmr7
ywvPTi0q2av6cavNNJuAy79C65sVWU9d4n9m8v5da547tuAHA2fB3rii7avzuClFjvP2wPAjH2Lg
wJpnbWT3xj/uOuWhFXrf43TutWatsTF2nzURlTi1Zi1uLYpuMaCdZx3P5/Y096ZF68A0IMDWffBT
O7RWVmpvRxJrxoCsa/vzs+f3xz3oNb3bHvKO4u9HCKeIvrXFTm34AbSQ7o/Um7XeJ2EAcYzoKvYP
dpw67SnLjVPadeQLJO552xnWxz8VF2z7i98X+WhmuS0FlPsDGbPddcIjKinmsZdtR6qnzCnlAPo3
ms88a8+KULx4gPc3ildttaBxHHenqyyuntomyvoPsF6umFkxDartFGshN2fBrnO+julceyJms/aq
u459Y3nzlvUQoAIHWNg3FjSd1ny2Kw4OKYd4hTdWlllTt8jsPG/ptCIYzrY3/P1leONNXc+x2iE+
go8HWOE3HnsBIEgtzaaFhWxJZ82+8bJM/AMqdTuY0MHNGbSznjB0DGbX3tAHmTjYGXs2RJHhZ9ne
6vff5Nj+llJ82JY2YZWDDL202vsWORuRp+oqaEHzeWFFi8z12ts64wsym0OMf2mnmV1tx6q1BHjc
Aw3+MkdpHS7t8jZXR1/jNNibt34A4z2O09w9GlopVCnt3WxzbO8s9foGp1awv/ZVXbRvdB3+o+u1
HAcatw7hnX0MQjyS9qmGoc0DGNmXyTQ7asmtDRwf7bHW3jGBKl3lAPP+5MYz+2iUPdnbROqi+4u8
i4sXFJGCfJFq66opzQ2eKqIY/gD+4D3St7PMbrkUm6BP16m/yBfWUWNeAnTrOOwrqFBdR/Y42eyp
9yak1FXGr3cGd5z3FzvLjx6emzzx6wMo3xcvm8Z01bc8N1Wve406C+blgppXpfJcpOkxef00/rRN
Sj/3Z+3gmvjGNLSt9K//AAAA//8=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14110</xdr:colOff>
      <xdr:row>1</xdr:row>
      <xdr:rowOff>63500</xdr:rowOff>
    </xdr:from>
    <xdr:to>
      <xdr:col>28</xdr:col>
      <xdr:colOff>77610</xdr:colOff>
      <xdr:row>36</xdr:row>
      <xdr:rowOff>148167</xdr:rowOff>
    </xdr:to>
    <xdr:sp macro="" textlink="">
      <xdr:nvSpPr>
        <xdr:cNvPr id="3" name="Rectangle: Rounded Corners 2">
          <a:extLst>
            <a:ext uri="{FF2B5EF4-FFF2-40B4-BE49-F238E27FC236}">
              <a16:creationId xmlns:a16="http://schemas.microsoft.com/office/drawing/2014/main" id="{FDDD402E-2019-CB8E-DE12-3A9C2FF8510A}"/>
            </a:ext>
          </a:extLst>
        </xdr:cNvPr>
        <xdr:cNvSpPr/>
      </xdr:nvSpPr>
      <xdr:spPr>
        <a:xfrm>
          <a:off x="3047999" y="246944"/>
          <a:ext cx="14019389" cy="6505223"/>
        </a:xfrm>
        <a:prstGeom prst="roundRect">
          <a:avLst>
            <a:gd name="adj" fmla="val 3652"/>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180622</xdr:colOff>
      <xdr:row>2</xdr:row>
      <xdr:rowOff>60678</xdr:rowOff>
    </xdr:from>
    <xdr:to>
      <xdr:col>27</xdr:col>
      <xdr:colOff>479778</xdr:colOff>
      <xdr:row>36</xdr:row>
      <xdr:rowOff>1</xdr:rowOff>
    </xdr:to>
    <xdr:sp macro="" textlink="">
      <xdr:nvSpPr>
        <xdr:cNvPr id="4" name="Rectangle: Rounded Corners 3">
          <a:extLst>
            <a:ext uri="{FF2B5EF4-FFF2-40B4-BE49-F238E27FC236}">
              <a16:creationId xmlns:a16="http://schemas.microsoft.com/office/drawing/2014/main" id="{C74FA9AB-10F7-4F6F-A3A2-342B30509E18}"/>
            </a:ext>
          </a:extLst>
        </xdr:cNvPr>
        <xdr:cNvSpPr/>
      </xdr:nvSpPr>
      <xdr:spPr>
        <a:xfrm>
          <a:off x="3214511" y="427567"/>
          <a:ext cx="13648267" cy="6176434"/>
        </a:xfrm>
        <a:prstGeom prst="roundRect">
          <a:avLst>
            <a:gd name="adj" fmla="val 3652"/>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451555</xdr:colOff>
      <xdr:row>8</xdr:row>
      <xdr:rowOff>112888</xdr:rowOff>
    </xdr:from>
    <xdr:to>
      <xdr:col>11</xdr:col>
      <xdr:colOff>515055</xdr:colOff>
      <xdr:row>16</xdr:row>
      <xdr:rowOff>0</xdr:rowOff>
    </xdr:to>
    <xdr:sp macro="" textlink="">
      <xdr:nvSpPr>
        <xdr:cNvPr id="5" name="Rectangle: Rounded Corners 4">
          <a:extLst>
            <a:ext uri="{FF2B5EF4-FFF2-40B4-BE49-F238E27FC236}">
              <a16:creationId xmlns:a16="http://schemas.microsoft.com/office/drawing/2014/main" id="{0965124D-AAA8-DAAD-F593-BDE195318E07}"/>
            </a:ext>
          </a:extLst>
        </xdr:cNvPr>
        <xdr:cNvSpPr/>
      </xdr:nvSpPr>
      <xdr:spPr>
        <a:xfrm>
          <a:off x="3485444" y="1580444"/>
          <a:ext cx="3704167" cy="1354667"/>
        </a:xfrm>
        <a:prstGeom prst="roundRect">
          <a:avLst>
            <a:gd name="adj" fmla="val 104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441678</xdr:colOff>
      <xdr:row>16</xdr:row>
      <xdr:rowOff>131233</xdr:rowOff>
    </xdr:from>
    <xdr:to>
      <xdr:col>11</xdr:col>
      <xdr:colOff>505178</xdr:colOff>
      <xdr:row>34</xdr:row>
      <xdr:rowOff>127000</xdr:rowOff>
    </xdr:to>
    <xdr:sp macro="" textlink="">
      <xdr:nvSpPr>
        <xdr:cNvPr id="6" name="Rectangle: Rounded Corners 5">
          <a:extLst>
            <a:ext uri="{FF2B5EF4-FFF2-40B4-BE49-F238E27FC236}">
              <a16:creationId xmlns:a16="http://schemas.microsoft.com/office/drawing/2014/main" id="{37BF4393-5952-4E5D-8751-55036A3F9656}"/>
            </a:ext>
          </a:extLst>
        </xdr:cNvPr>
        <xdr:cNvSpPr/>
      </xdr:nvSpPr>
      <xdr:spPr>
        <a:xfrm>
          <a:off x="3475567" y="3066344"/>
          <a:ext cx="3704167" cy="3297767"/>
        </a:xfrm>
        <a:prstGeom prst="roundRect">
          <a:avLst>
            <a:gd name="adj" fmla="val 5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57855</xdr:colOff>
      <xdr:row>8</xdr:row>
      <xdr:rowOff>79021</xdr:rowOff>
    </xdr:from>
    <xdr:to>
      <xdr:col>20</xdr:col>
      <xdr:colOff>362655</xdr:colOff>
      <xdr:row>20</xdr:row>
      <xdr:rowOff>134055</xdr:rowOff>
    </xdr:to>
    <xdr:sp macro="" textlink="">
      <xdr:nvSpPr>
        <xdr:cNvPr id="7" name="Rectangle: Rounded Corners 6">
          <a:extLst>
            <a:ext uri="{FF2B5EF4-FFF2-40B4-BE49-F238E27FC236}">
              <a16:creationId xmlns:a16="http://schemas.microsoft.com/office/drawing/2014/main" id="{E1094ABD-C2ED-41E0-A797-6B4962992AEC}"/>
            </a:ext>
          </a:extLst>
        </xdr:cNvPr>
        <xdr:cNvSpPr/>
      </xdr:nvSpPr>
      <xdr:spPr>
        <a:xfrm>
          <a:off x="7339188" y="1546577"/>
          <a:ext cx="5159023" cy="2256367"/>
        </a:xfrm>
        <a:prstGeom prst="roundRect">
          <a:avLst>
            <a:gd name="adj" fmla="val 45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26810</xdr:colOff>
      <xdr:row>21</xdr:row>
      <xdr:rowOff>83255</xdr:rowOff>
    </xdr:from>
    <xdr:to>
      <xdr:col>20</xdr:col>
      <xdr:colOff>331610</xdr:colOff>
      <xdr:row>34</xdr:row>
      <xdr:rowOff>95956</xdr:rowOff>
    </xdr:to>
    <xdr:sp macro="" textlink="">
      <xdr:nvSpPr>
        <xdr:cNvPr id="8" name="Rectangle: Rounded Corners 7">
          <a:extLst>
            <a:ext uri="{FF2B5EF4-FFF2-40B4-BE49-F238E27FC236}">
              <a16:creationId xmlns:a16="http://schemas.microsoft.com/office/drawing/2014/main" id="{D6AC8721-4297-4D07-93FC-73650E8D7037}"/>
            </a:ext>
          </a:extLst>
        </xdr:cNvPr>
        <xdr:cNvSpPr/>
      </xdr:nvSpPr>
      <xdr:spPr>
        <a:xfrm>
          <a:off x="7308143" y="3935588"/>
          <a:ext cx="5159023" cy="2397479"/>
        </a:xfrm>
        <a:prstGeom prst="roundRect">
          <a:avLst>
            <a:gd name="adj" fmla="val 5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465666</xdr:colOff>
      <xdr:row>8</xdr:row>
      <xdr:rowOff>49388</xdr:rowOff>
    </xdr:from>
    <xdr:to>
      <xdr:col>27</xdr:col>
      <xdr:colOff>338666</xdr:colOff>
      <xdr:row>34</xdr:row>
      <xdr:rowOff>77611</xdr:rowOff>
    </xdr:to>
    <xdr:sp macro="" textlink="">
      <xdr:nvSpPr>
        <xdr:cNvPr id="9" name="Rectangle: Rounded Corners 8">
          <a:extLst>
            <a:ext uri="{FF2B5EF4-FFF2-40B4-BE49-F238E27FC236}">
              <a16:creationId xmlns:a16="http://schemas.microsoft.com/office/drawing/2014/main" id="{19034097-15AE-401A-B2F3-F25F232B80E7}"/>
            </a:ext>
          </a:extLst>
        </xdr:cNvPr>
        <xdr:cNvSpPr/>
      </xdr:nvSpPr>
      <xdr:spPr>
        <a:xfrm>
          <a:off x="12601222" y="1516944"/>
          <a:ext cx="4120444" cy="4797778"/>
        </a:xfrm>
        <a:prstGeom prst="roundRect">
          <a:avLst>
            <a:gd name="adj" fmla="val 28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520701</xdr:colOff>
      <xdr:row>10</xdr:row>
      <xdr:rowOff>69144</xdr:rowOff>
    </xdr:from>
    <xdr:to>
      <xdr:col>7</xdr:col>
      <xdr:colOff>402167</xdr:colOff>
      <xdr:row>15</xdr:row>
      <xdr:rowOff>63500</xdr:rowOff>
    </xdr:to>
    <xdr:sp macro="" textlink="">
      <xdr:nvSpPr>
        <xdr:cNvPr id="11" name="Rectangle: Rounded Corners 10">
          <a:extLst>
            <a:ext uri="{FF2B5EF4-FFF2-40B4-BE49-F238E27FC236}">
              <a16:creationId xmlns:a16="http://schemas.microsoft.com/office/drawing/2014/main" id="{4109499D-D325-4DD6-B516-AD530893C269}"/>
            </a:ext>
          </a:extLst>
        </xdr:cNvPr>
        <xdr:cNvSpPr/>
      </xdr:nvSpPr>
      <xdr:spPr>
        <a:xfrm>
          <a:off x="3554590" y="1903588"/>
          <a:ext cx="1095021" cy="911579"/>
        </a:xfrm>
        <a:prstGeom prst="roundRect">
          <a:avLst>
            <a:gd name="adj" fmla="val 6850"/>
          </a:avLst>
        </a:prstGeom>
        <a:solidFill>
          <a:srgbClr val="F0F4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521408</xdr:colOff>
      <xdr:row>10</xdr:row>
      <xdr:rowOff>55738</xdr:rowOff>
    </xdr:from>
    <xdr:to>
      <xdr:col>9</xdr:col>
      <xdr:colOff>402873</xdr:colOff>
      <xdr:row>15</xdr:row>
      <xdr:rowOff>50094</xdr:rowOff>
    </xdr:to>
    <xdr:sp macro="" textlink="">
      <xdr:nvSpPr>
        <xdr:cNvPr id="14" name="Rectangle: Rounded Corners 13">
          <a:extLst>
            <a:ext uri="{FF2B5EF4-FFF2-40B4-BE49-F238E27FC236}">
              <a16:creationId xmlns:a16="http://schemas.microsoft.com/office/drawing/2014/main" id="{5807E918-681A-4144-B33E-66837EC76C1D}"/>
            </a:ext>
          </a:extLst>
        </xdr:cNvPr>
        <xdr:cNvSpPr/>
      </xdr:nvSpPr>
      <xdr:spPr>
        <a:xfrm>
          <a:off x="4768852" y="1890182"/>
          <a:ext cx="1095021" cy="911579"/>
        </a:xfrm>
        <a:prstGeom prst="roundRect">
          <a:avLst>
            <a:gd name="adj" fmla="val 6850"/>
          </a:avLst>
        </a:prstGeom>
        <a:solidFill>
          <a:srgbClr val="F0F4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522113</xdr:colOff>
      <xdr:row>10</xdr:row>
      <xdr:rowOff>42332</xdr:rowOff>
    </xdr:from>
    <xdr:to>
      <xdr:col>11</xdr:col>
      <xdr:colOff>403578</xdr:colOff>
      <xdr:row>15</xdr:row>
      <xdr:rowOff>36688</xdr:rowOff>
    </xdr:to>
    <xdr:sp macro="" textlink="">
      <xdr:nvSpPr>
        <xdr:cNvPr id="15" name="Rectangle: Rounded Corners 14">
          <a:extLst>
            <a:ext uri="{FF2B5EF4-FFF2-40B4-BE49-F238E27FC236}">
              <a16:creationId xmlns:a16="http://schemas.microsoft.com/office/drawing/2014/main" id="{FF633050-A045-43D4-9B50-7E4CDB05D869}"/>
            </a:ext>
          </a:extLst>
        </xdr:cNvPr>
        <xdr:cNvSpPr/>
      </xdr:nvSpPr>
      <xdr:spPr>
        <a:xfrm>
          <a:off x="5983113" y="1876776"/>
          <a:ext cx="1095021" cy="911579"/>
        </a:xfrm>
        <a:prstGeom prst="roundRect">
          <a:avLst>
            <a:gd name="adj" fmla="val 6850"/>
          </a:avLst>
        </a:prstGeom>
        <a:solidFill>
          <a:srgbClr val="F0F4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444500</xdr:colOff>
      <xdr:row>3</xdr:row>
      <xdr:rowOff>91722</xdr:rowOff>
    </xdr:from>
    <xdr:to>
      <xdr:col>12</xdr:col>
      <xdr:colOff>303389</xdr:colOff>
      <xdr:row>6</xdr:row>
      <xdr:rowOff>14110</xdr:rowOff>
    </xdr:to>
    <xdr:sp macro="" textlink="">
      <xdr:nvSpPr>
        <xdr:cNvPr id="16" name="TextBox 15">
          <a:extLst>
            <a:ext uri="{FF2B5EF4-FFF2-40B4-BE49-F238E27FC236}">
              <a16:creationId xmlns:a16="http://schemas.microsoft.com/office/drawing/2014/main" id="{80ECF9E5-8AA9-B559-8CD1-50606BFF4820}"/>
            </a:ext>
          </a:extLst>
        </xdr:cNvPr>
        <xdr:cNvSpPr txBox="1"/>
      </xdr:nvSpPr>
      <xdr:spPr>
        <a:xfrm>
          <a:off x="3478389" y="642055"/>
          <a:ext cx="4106333" cy="472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385F7C"/>
              </a:solidFill>
            </a:rPr>
            <a:t>FURNITURE</a:t>
          </a:r>
          <a:r>
            <a:rPr lang="en-US" sz="2400" baseline="0">
              <a:solidFill>
                <a:srgbClr val="385F7C"/>
              </a:solidFill>
            </a:rPr>
            <a:t> SALES OVERVIEW</a:t>
          </a:r>
          <a:endParaRPr lang="en-US" sz="2400">
            <a:solidFill>
              <a:srgbClr val="385F7C"/>
            </a:solidFill>
          </a:endParaRPr>
        </a:p>
      </xdr:txBody>
    </xdr:sp>
    <xdr:clientData/>
  </xdr:twoCellAnchor>
  <xdr:twoCellAnchor>
    <xdr:from>
      <xdr:col>5</xdr:col>
      <xdr:colOff>512234</xdr:colOff>
      <xdr:row>5</xdr:row>
      <xdr:rowOff>117122</xdr:rowOff>
    </xdr:from>
    <xdr:to>
      <xdr:col>10</xdr:col>
      <xdr:colOff>119945</xdr:colOff>
      <xdr:row>7</xdr:row>
      <xdr:rowOff>35278</xdr:rowOff>
    </xdr:to>
    <xdr:sp macro="" textlink="">
      <xdr:nvSpPr>
        <xdr:cNvPr id="17" name="TextBox 16">
          <a:extLst>
            <a:ext uri="{FF2B5EF4-FFF2-40B4-BE49-F238E27FC236}">
              <a16:creationId xmlns:a16="http://schemas.microsoft.com/office/drawing/2014/main" id="{D63E67C1-327C-487B-BEA7-47BE7CDEAF30}"/>
            </a:ext>
          </a:extLst>
        </xdr:cNvPr>
        <xdr:cNvSpPr txBox="1"/>
      </xdr:nvSpPr>
      <xdr:spPr>
        <a:xfrm>
          <a:off x="3546123" y="1034344"/>
          <a:ext cx="2641600"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7F7F7F"/>
              </a:solidFill>
            </a:rPr>
            <a:t>A</a:t>
          </a:r>
          <a:r>
            <a:rPr lang="en-US" sz="1400" baseline="0">
              <a:solidFill>
                <a:srgbClr val="7F7F7F"/>
              </a:solidFill>
            </a:rPr>
            <a:t> Smmary Performance of Sales </a:t>
          </a:r>
          <a:endParaRPr lang="en-US" sz="1400">
            <a:solidFill>
              <a:srgbClr val="7F7F7F"/>
            </a:solidFill>
          </a:endParaRPr>
        </a:p>
      </xdr:txBody>
    </xdr:sp>
    <xdr:clientData/>
  </xdr:twoCellAnchor>
  <xdr:twoCellAnchor>
    <xdr:from>
      <xdr:col>6</xdr:col>
      <xdr:colOff>220133</xdr:colOff>
      <xdr:row>10</xdr:row>
      <xdr:rowOff>86077</xdr:rowOff>
    </xdr:from>
    <xdr:to>
      <xdr:col>7</xdr:col>
      <xdr:colOff>246945</xdr:colOff>
      <xdr:row>12</xdr:row>
      <xdr:rowOff>4233</xdr:rowOff>
    </xdr:to>
    <xdr:sp macro="" textlink="">
      <xdr:nvSpPr>
        <xdr:cNvPr id="18" name="TextBox 17">
          <a:extLst>
            <a:ext uri="{FF2B5EF4-FFF2-40B4-BE49-F238E27FC236}">
              <a16:creationId xmlns:a16="http://schemas.microsoft.com/office/drawing/2014/main" id="{967AD8C3-9B1A-4B71-929C-FA562CDBB37F}"/>
            </a:ext>
          </a:extLst>
        </xdr:cNvPr>
        <xdr:cNvSpPr txBox="1"/>
      </xdr:nvSpPr>
      <xdr:spPr>
        <a:xfrm>
          <a:off x="3860800" y="1920521"/>
          <a:ext cx="633589"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Sales </a:t>
          </a:r>
        </a:p>
      </xdr:txBody>
    </xdr:sp>
    <xdr:clientData/>
  </xdr:twoCellAnchor>
  <xdr:twoCellAnchor>
    <xdr:from>
      <xdr:col>8</xdr:col>
      <xdr:colOff>182034</xdr:colOff>
      <xdr:row>10</xdr:row>
      <xdr:rowOff>90312</xdr:rowOff>
    </xdr:from>
    <xdr:to>
      <xdr:col>9</xdr:col>
      <xdr:colOff>208845</xdr:colOff>
      <xdr:row>12</xdr:row>
      <xdr:rowOff>8468</xdr:rowOff>
    </xdr:to>
    <xdr:sp macro="" textlink="">
      <xdr:nvSpPr>
        <xdr:cNvPr id="19" name="TextBox 18">
          <a:extLst>
            <a:ext uri="{FF2B5EF4-FFF2-40B4-BE49-F238E27FC236}">
              <a16:creationId xmlns:a16="http://schemas.microsoft.com/office/drawing/2014/main" id="{B64AA8BD-B0D9-427D-B22C-C0C358A4B068}"/>
            </a:ext>
          </a:extLst>
        </xdr:cNvPr>
        <xdr:cNvSpPr txBox="1"/>
      </xdr:nvSpPr>
      <xdr:spPr>
        <a:xfrm>
          <a:off x="5036256" y="1924756"/>
          <a:ext cx="633589"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Profit</a:t>
          </a:r>
        </a:p>
      </xdr:txBody>
    </xdr:sp>
    <xdr:clientData/>
  </xdr:twoCellAnchor>
  <xdr:twoCellAnchor>
    <xdr:from>
      <xdr:col>10</xdr:col>
      <xdr:colOff>115711</xdr:colOff>
      <xdr:row>10</xdr:row>
      <xdr:rowOff>59267</xdr:rowOff>
    </xdr:from>
    <xdr:to>
      <xdr:col>11</xdr:col>
      <xdr:colOff>345722</xdr:colOff>
      <xdr:row>11</xdr:row>
      <xdr:rowOff>160867</xdr:rowOff>
    </xdr:to>
    <xdr:sp macro="" textlink="">
      <xdr:nvSpPr>
        <xdr:cNvPr id="20" name="TextBox 19">
          <a:extLst>
            <a:ext uri="{FF2B5EF4-FFF2-40B4-BE49-F238E27FC236}">
              <a16:creationId xmlns:a16="http://schemas.microsoft.com/office/drawing/2014/main" id="{C5BA10A5-9762-48EC-91D6-860E88164BB4}"/>
            </a:ext>
          </a:extLst>
        </xdr:cNvPr>
        <xdr:cNvSpPr txBox="1"/>
      </xdr:nvSpPr>
      <xdr:spPr>
        <a:xfrm>
          <a:off x="6183489" y="1893711"/>
          <a:ext cx="836789"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Quantity</a:t>
          </a:r>
        </a:p>
      </xdr:txBody>
    </xdr:sp>
    <xdr:clientData/>
  </xdr:twoCellAnchor>
  <xdr:twoCellAnchor>
    <xdr:from>
      <xdr:col>12</xdr:col>
      <xdr:colOff>76199</xdr:colOff>
      <xdr:row>8</xdr:row>
      <xdr:rowOff>83254</xdr:rowOff>
    </xdr:from>
    <xdr:to>
      <xdr:col>13</xdr:col>
      <xdr:colOff>373944</xdr:colOff>
      <xdr:row>10</xdr:row>
      <xdr:rowOff>1411</xdr:rowOff>
    </xdr:to>
    <xdr:sp macro="" textlink="">
      <xdr:nvSpPr>
        <xdr:cNvPr id="21" name="TextBox 20">
          <a:extLst>
            <a:ext uri="{FF2B5EF4-FFF2-40B4-BE49-F238E27FC236}">
              <a16:creationId xmlns:a16="http://schemas.microsoft.com/office/drawing/2014/main" id="{0E07916E-7841-4A96-AA0E-EB8535B90925}"/>
            </a:ext>
          </a:extLst>
        </xdr:cNvPr>
        <xdr:cNvSpPr txBox="1"/>
      </xdr:nvSpPr>
      <xdr:spPr>
        <a:xfrm>
          <a:off x="7357532" y="1550810"/>
          <a:ext cx="904523"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Sales Trend</a:t>
          </a:r>
        </a:p>
      </xdr:txBody>
    </xdr:sp>
    <xdr:clientData/>
  </xdr:twoCellAnchor>
  <xdr:twoCellAnchor>
    <xdr:from>
      <xdr:col>12</xdr:col>
      <xdr:colOff>66320</xdr:colOff>
      <xdr:row>21</xdr:row>
      <xdr:rowOff>80432</xdr:rowOff>
    </xdr:from>
    <xdr:to>
      <xdr:col>14</xdr:col>
      <xdr:colOff>91722</xdr:colOff>
      <xdr:row>22</xdr:row>
      <xdr:rowOff>182032</xdr:rowOff>
    </xdr:to>
    <xdr:sp macro="" textlink="">
      <xdr:nvSpPr>
        <xdr:cNvPr id="22" name="TextBox 21">
          <a:extLst>
            <a:ext uri="{FF2B5EF4-FFF2-40B4-BE49-F238E27FC236}">
              <a16:creationId xmlns:a16="http://schemas.microsoft.com/office/drawing/2014/main" id="{C8EF5A54-A986-4113-A3CC-B8A64A647736}"/>
            </a:ext>
          </a:extLst>
        </xdr:cNvPr>
        <xdr:cNvSpPr txBox="1"/>
      </xdr:nvSpPr>
      <xdr:spPr>
        <a:xfrm>
          <a:off x="7347653" y="3932765"/>
          <a:ext cx="1238958"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Shipping Duration</a:t>
          </a:r>
        </a:p>
      </xdr:txBody>
    </xdr:sp>
    <xdr:clientData/>
  </xdr:twoCellAnchor>
  <xdr:twoCellAnchor>
    <xdr:from>
      <xdr:col>20</xdr:col>
      <xdr:colOff>507995</xdr:colOff>
      <xdr:row>8</xdr:row>
      <xdr:rowOff>56443</xdr:rowOff>
    </xdr:from>
    <xdr:to>
      <xdr:col>23</xdr:col>
      <xdr:colOff>507999</xdr:colOff>
      <xdr:row>9</xdr:row>
      <xdr:rowOff>158044</xdr:rowOff>
    </xdr:to>
    <xdr:sp macro="" textlink="">
      <xdr:nvSpPr>
        <xdr:cNvPr id="23" name="TextBox 22">
          <a:extLst>
            <a:ext uri="{FF2B5EF4-FFF2-40B4-BE49-F238E27FC236}">
              <a16:creationId xmlns:a16="http://schemas.microsoft.com/office/drawing/2014/main" id="{1F89E0B1-9CEC-49B2-B293-E732C87CADEC}"/>
            </a:ext>
          </a:extLst>
        </xdr:cNvPr>
        <xdr:cNvSpPr txBox="1"/>
      </xdr:nvSpPr>
      <xdr:spPr>
        <a:xfrm>
          <a:off x="12643551" y="1523999"/>
          <a:ext cx="1820337"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Shipping Duration by State</a:t>
          </a:r>
        </a:p>
      </xdr:txBody>
    </xdr:sp>
    <xdr:clientData/>
  </xdr:twoCellAnchor>
  <xdr:twoCellAnchor>
    <xdr:from>
      <xdr:col>5</xdr:col>
      <xdr:colOff>476951</xdr:colOff>
      <xdr:row>16</xdr:row>
      <xdr:rowOff>180621</xdr:rowOff>
    </xdr:from>
    <xdr:to>
      <xdr:col>8</xdr:col>
      <xdr:colOff>476955</xdr:colOff>
      <xdr:row>18</xdr:row>
      <xdr:rowOff>98777</xdr:rowOff>
    </xdr:to>
    <xdr:sp macro="" textlink="">
      <xdr:nvSpPr>
        <xdr:cNvPr id="24" name="TextBox 23">
          <a:extLst>
            <a:ext uri="{FF2B5EF4-FFF2-40B4-BE49-F238E27FC236}">
              <a16:creationId xmlns:a16="http://schemas.microsoft.com/office/drawing/2014/main" id="{0355A5C6-D9E7-4EFC-B122-A8FC2B63C63B}"/>
            </a:ext>
          </a:extLst>
        </xdr:cNvPr>
        <xdr:cNvSpPr txBox="1"/>
      </xdr:nvSpPr>
      <xdr:spPr>
        <a:xfrm>
          <a:off x="3510840" y="3115732"/>
          <a:ext cx="1820337"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Shipping Mode</a:t>
          </a:r>
        </a:p>
      </xdr:txBody>
    </xdr:sp>
    <xdr:clientData/>
  </xdr:twoCellAnchor>
  <xdr:twoCellAnchor>
    <xdr:from>
      <xdr:col>6</xdr:col>
      <xdr:colOff>33865</xdr:colOff>
      <xdr:row>11</xdr:row>
      <xdr:rowOff>118532</xdr:rowOff>
    </xdr:from>
    <xdr:to>
      <xdr:col>7</xdr:col>
      <xdr:colOff>296333</xdr:colOff>
      <xdr:row>13</xdr:row>
      <xdr:rowOff>36688</xdr:rowOff>
    </xdr:to>
    <xdr:sp macro="" textlink="Calculations!I5">
      <xdr:nvSpPr>
        <xdr:cNvPr id="25" name="TextBox 24">
          <a:extLst>
            <a:ext uri="{FF2B5EF4-FFF2-40B4-BE49-F238E27FC236}">
              <a16:creationId xmlns:a16="http://schemas.microsoft.com/office/drawing/2014/main" id="{BDC781A9-DF62-4030-996D-BB11A6D02AB6}"/>
            </a:ext>
          </a:extLst>
        </xdr:cNvPr>
        <xdr:cNvSpPr txBox="1"/>
      </xdr:nvSpPr>
      <xdr:spPr>
        <a:xfrm>
          <a:off x="3674532" y="2136421"/>
          <a:ext cx="869245"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BFA75E-4614-4E04-8C38-688B90440CCA}" type="TxLink">
            <a:rPr lang="en-US" sz="1800" b="0" i="0" u="none" strike="noStrike">
              <a:solidFill>
                <a:srgbClr val="385F7C"/>
              </a:solidFill>
              <a:latin typeface="Aptos Narrow"/>
            </a:rPr>
            <a:t>70.8K</a:t>
          </a:fld>
          <a:endParaRPr lang="en-US" sz="1800" b="0">
            <a:solidFill>
              <a:srgbClr val="385F7C"/>
            </a:solidFill>
          </a:endParaRPr>
        </a:p>
      </xdr:txBody>
    </xdr:sp>
    <xdr:clientData/>
  </xdr:twoCellAnchor>
  <xdr:twoCellAnchor>
    <xdr:from>
      <xdr:col>10</xdr:col>
      <xdr:colOff>158044</xdr:colOff>
      <xdr:row>11</xdr:row>
      <xdr:rowOff>80433</xdr:rowOff>
    </xdr:from>
    <xdr:to>
      <xdr:col>11</xdr:col>
      <xdr:colOff>184855</xdr:colOff>
      <xdr:row>12</xdr:row>
      <xdr:rowOff>182034</xdr:rowOff>
    </xdr:to>
    <xdr:sp macro="" textlink="Calculations!I6">
      <xdr:nvSpPr>
        <xdr:cNvPr id="26" name="TextBox 25">
          <a:extLst>
            <a:ext uri="{FF2B5EF4-FFF2-40B4-BE49-F238E27FC236}">
              <a16:creationId xmlns:a16="http://schemas.microsoft.com/office/drawing/2014/main" id="{DBFB57A3-D99C-4967-B357-CF8173C77C4E}"/>
            </a:ext>
          </a:extLst>
        </xdr:cNvPr>
        <xdr:cNvSpPr txBox="1"/>
      </xdr:nvSpPr>
      <xdr:spPr>
        <a:xfrm>
          <a:off x="6225822" y="2098322"/>
          <a:ext cx="633589"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87193-7374-4BF5-B0D9-771F9FDA18E6}" type="TxLink">
            <a:rPr lang="en-US" sz="1800" b="0" i="0" u="none" strike="noStrike">
              <a:solidFill>
                <a:srgbClr val="385F7C"/>
              </a:solidFill>
              <a:latin typeface="Aptos Narrow"/>
            </a:rPr>
            <a:t>695</a:t>
          </a:fld>
          <a:endParaRPr lang="en-US" sz="1800" b="0">
            <a:solidFill>
              <a:srgbClr val="385F7C"/>
            </a:solidFill>
          </a:endParaRPr>
        </a:p>
      </xdr:txBody>
    </xdr:sp>
    <xdr:clientData/>
  </xdr:twoCellAnchor>
  <xdr:twoCellAnchor>
    <xdr:from>
      <xdr:col>8</xdr:col>
      <xdr:colOff>119944</xdr:colOff>
      <xdr:row>11</xdr:row>
      <xdr:rowOff>112888</xdr:rowOff>
    </xdr:from>
    <xdr:to>
      <xdr:col>9</xdr:col>
      <xdr:colOff>246944</xdr:colOff>
      <xdr:row>13</xdr:row>
      <xdr:rowOff>31044</xdr:rowOff>
    </xdr:to>
    <xdr:sp macro="" textlink="Calculations!I7">
      <xdr:nvSpPr>
        <xdr:cNvPr id="27" name="TextBox 26">
          <a:extLst>
            <a:ext uri="{FF2B5EF4-FFF2-40B4-BE49-F238E27FC236}">
              <a16:creationId xmlns:a16="http://schemas.microsoft.com/office/drawing/2014/main" id="{89D562E5-B68B-4359-ADEB-CD638C72A59C}"/>
            </a:ext>
          </a:extLst>
        </xdr:cNvPr>
        <xdr:cNvSpPr txBox="1"/>
      </xdr:nvSpPr>
      <xdr:spPr>
        <a:xfrm>
          <a:off x="4974166" y="2130777"/>
          <a:ext cx="733778"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3C1DCA-B300-4E37-AAF8-C31E5B525AC5}" type="TxLink">
            <a:rPr lang="en-US" sz="1800" b="0" i="0" u="none" strike="noStrike">
              <a:solidFill>
                <a:srgbClr val="385F7C"/>
              </a:solidFill>
              <a:latin typeface="Aptos Narrow"/>
            </a:rPr>
            <a:t>4.6K</a:t>
          </a:fld>
          <a:endParaRPr lang="en-US" sz="1800" b="0">
            <a:solidFill>
              <a:srgbClr val="385F7C"/>
            </a:solidFill>
          </a:endParaRPr>
        </a:p>
      </xdr:txBody>
    </xdr:sp>
    <xdr:clientData/>
  </xdr:twoCellAnchor>
  <xdr:twoCellAnchor>
    <xdr:from>
      <xdr:col>6</xdr:col>
      <xdr:colOff>87487</xdr:colOff>
      <xdr:row>13</xdr:row>
      <xdr:rowOff>94542</xdr:rowOff>
    </xdr:from>
    <xdr:to>
      <xdr:col>7</xdr:col>
      <xdr:colOff>349955</xdr:colOff>
      <xdr:row>15</xdr:row>
      <xdr:rowOff>12698</xdr:rowOff>
    </xdr:to>
    <xdr:sp macro="" textlink="Calculations!M5">
      <xdr:nvSpPr>
        <xdr:cNvPr id="28" name="TextBox 27">
          <a:extLst>
            <a:ext uri="{FF2B5EF4-FFF2-40B4-BE49-F238E27FC236}">
              <a16:creationId xmlns:a16="http://schemas.microsoft.com/office/drawing/2014/main" id="{0A6BA72B-D694-4DE0-9689-9604064887C9}"/>
            </a:ext>
          </a:extLst>
        </xdr:cNvPr>
        <xdr:cNvSpPr txBox="1"/>
      </xdr:nvSpPr>
      <xdr:spPr>
        <a:xfrm>
          <a:off x="3728154" y="2479320"/>
          <a:ext cx="869245"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2230D2-127E-4703-B3F2-F30379CAA155}" type="TxLink">
            <a:rPr lang="en-US" sz="1100" b="0" i="0" u="none" strike="noStrike">
              <a:solidFill>
                <a:srgbClr val="7F7F7F"/>
              </a:solidFill>
              <a:latin typeface="Aptos Narrow"/>
            </a:rPr>
            <a:t>▲23%YoY</a:t>
          </a:fld>
          <a:endParaRPr lang="en-US" sz="1800" b="0">
            <a:solidFill>
              <a:srgbClr val="7F7F7F"/>
            </a:solidFill>
          </a:endParaRPr>
        </a:p>
      </xdr:txBody>
    </xdr:sp>
    <xdr:clientData/>
  </xdr:twoCellAnchor>
  <xdr:twoCellAnchor>
    <xdr:from>
      <xdr:col>10</xdr:col>
      <xdr:colOff>28221</xdr:colOff>
      <xdr:row>13</xdr:row>
      <xdr:rowOff>56443</xdr:rowOff>
    </xdr:from>
    <xdr:to>
      <xdr:col>11</xdr:col>
      <xdr:colOff>290688</xdr:colOff>
      <xdr:row>14</xdr:row>
      <xdr:rowOff>158044</xdr:rowOff>
    </xdr:to>
    <xdr:sp macro="" textlink="Calculations!M6">
      <xdr:nvSpPr>
        <xdr:cNvPr id="29" name="TextBox 28">
          <a:extLst>
            <a:ext uri="{FF2B5EF4-FFF2-40B4-BE49-F238E27FC236}">
              <a16:creationId xmlns:a16="http://schemas.microsoft.com/office/drawing/2014/main" id="{BA5D2CE1-C398-4484-8341-D279247DA2BC}"/>
            </a:ext>
          </a:extLst>
        </xdr:cNvPr>
        <xdr:cNvSpPr txBox="1"/>
      </xdr:nvSpPr>
      <xdr:spPr>
        <a:xfrm>
          <a:off x="6095999" y="2441221"/>
          <a:ext cx="869245"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A43929-9DE4-4177-9969-4DE72F9835BA}" type="TxLink">
            <a:rPr lang="en-US" sz="1100" b="0" i="0" u="none" strike="noStrike">
              <a:solidFill>
                <a:srgbClr val="7F7F7F"/>
              </a:solidFill>
              <a:latin typeface="Aptos Narrow"/>
            </a:rPr>
            <a:t>▲11%YoY</a:t>
          </a:fld>
          <a:endParaRPr lang="en-US" sz="1800" b="0">
            <a:solidFill>
              <a:srgbClr val="7F7F7F"/>
            </a:solidFill>
          </a:endParaRPr>
        </a:p>
      </xdr:txBody>
    </xdr:sp>
    <xdr:clientData/>
  </xdr:twoCellAnchor>
  <xdr:twoCellAnchor>
    <xdr:from>
      <xdr:col>8</xdr:col>
      <xdr:colOff>39510</xdr:colOff>
      <xdr:row>13</xdr:row>
      <xdr:rowOff>138288</xdr:rowOff>
    </xdr:from>
    <xdr:to>
      <xdr:col>9</xdr:col>
      <xdr:colOff>301977</xdr:colOff>
      <xdr:row>15</xdr:row>
      <xdr:rowOff>56444</xdr:rowOff>
    </xdr:to>
    <xdr:sp macro="" textlink="Calculations!M7">
      <xdr:nvSpPr>
        <xdr:cNvPr id="30" name="TextBox 29">
          <a:extLst>
            <a:ext uri="{FF2B5EF4-FFF2-40B4-BE49-F238E27FC236}">
              <a16:creationId xmlns:a16="http://schemas.microsoft.com/office/drawing/2014/main" id="{EEBAC3DA-9FB2-493E-BCF1-7C21F6656EEF}"/>
            </a:ext>
          </a:extLst>
        </xdr:cNvPr>
        <xdr:cNvSpPr txBox="1"/>
      </xdr:nvSpPr>
      <xdr:spPr>
        <a:xfrm>
          <a:off x="4893732" y="2523066"/>
          <a:ext cx="869245"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7F5DA0-0F3B-4CB6-B60E-BF3C219D0899}" type="TxLink">
            <a:rPr lang="en-US" sz="1100" b="0" i="0" u="none" strike="noStrike">
              <a:solidFill>
                <a:srgbClr val="7F7F7F"/>
              </a:solidFill>
              <a:latin typeface="Aptos Narrow"/>
            </a:rPr>
            <a:t>▼55%YoY</a:t>
          </a:fld>
          <a:endParaRPr lang="en-US" sz="1800" b="0">
            <a:solidFill>
              <a:srgbClr val="7F7F7F"/>
            </a:solidFill>
          </a:endParaRPr>
        </a:p>
      </xdr:txBody>
    </xdr:sp>
    <xdr:clientData/>
  </xdr:twoCellAnchor>
  <xdr:twoCellAnchor>
    <xdr:from>
      <xdr:col>12</xdr:col>
      <xdr:colOff>57855</xdr:colOff>
      <xdr:row>8</xdr:row>
      <xdr:rowOff>79021</xdr:rowOff>
    </xdr:from>
    <xdr:to>
      <xdr:col>20</xdr:col>
      <xdr:colOff>176388</xdr:colOff>
      <xdr:row>20</xdr:row>
      <xdr:rowOff>63500</xdr:rowOff>
    </xdr:to>
    <xdr:graphicFrame macro="">
      <xdr:nvGraphicFramePr>
        <xdr:cNvPr id="31" name="Chart 30">
          <a:extLst>
            <a:ext uri="{FF2B5EF4-FFF2-40B4-BE49-F238E27FC236}">
              <a16:creationId xmlns:a16="http://schemas.microsoft.com/office/drawing/2014/main" id="{9441D5A5-480C-4271-AF16-025F101CD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119945</xdr:colOff>
      <xdr:row>22</xdr:row>
      <xdr:rowOff>176389</xdr:rowOff>
    </xdr:from>
    <xdr:to>
      <xdr:col>20</xdr:col>
      <xdr:colOff>218722</xdr:colOff>
      <xdr:row>33</xdr:row>
      <xdr:rowOff>21166</xdr:rowOff>
    </xdr:to>
    <xdr:graphicFrame macro="">
      <xdr:nvGraphicFramePr>
        <xdr:cNvPr id="32" name="Chart 31">
          <a:extLst>
            <a:ext uri="{FF2B5EF4-FFF2-40B4-BE49-F238E27FC236}">
              <a16:creationId xmlns:a16="http://schemas.microsoft.com/office/drawing/2014/main" id="{F6E7BAB4-A5A8-4217-9639-603AF5616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529166</xdr:colOff>
      <xdr:row>22</xdr:row>
      <xdr:rowOff>112890</xdr:rowOff>
    </xdr:from>
    <xdr:to>
      <xdr:col>27</xdr:col>
      <xdr:colOff>324555</xdr:colOff>
      <xdr:row>33</xdr:row>
      <xdr:rowOff>86675</xdr:rowOff>
    </xdr:to>
    <xdr:graphicFrame macro="">
      <xdr:nvGraphicFramePr>
        <xdr:cNvPr id="33" name="Chart 32">
          <a:extLst>
            <a:ext uri="{FF2B5EF4-FFF2-40B4-BE49-F238E27FC236}">
              <a16:creationId xmlns:a16="http://schemas.microsoft.com/office/drawing/2014/main" id="{BBEE9967-4992-47F6-8F77-C3DF42193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578555</xdr:colOff>
      <xdr:row>10</xdr:row>
      <xdr:rowOff>105835</xdr:rowOff>
    </xdr:from>
    <xdr:to>
      <xdr:col>27</xdr:col>
      <xdr:colOff>296333</xdr:colOff>
      <xdr:row>22</xdr:row>
      <xdr:rowOff>42333</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30ADA09C-BA81-4CB1-AD50-48CD14E964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714111" y="1940279"/>
              <a:ext cx="3965222" cy="21378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543278</xdr:colOff>
      <xdr:row>18</xdr:row>
      <xdr:rowOff>56444</xdr:rowOff>
    </xdr:from>
    <xdr:to>
      <xdr:col>11</xdr:col>
      <xdr:colOff>388054</xdr:colOff>
      <xdr:row>25</xdr:row>
      <xdr:rowOff>0</xdr:rowOff>
    </xdr:to>
    <xdr:graphicFrame macro="">
      <xdr:nvGraphicFramePr>
        <xdr:cNvPr id="35" name="Chart 34">
          <a:extLst>
            <a:ext uri="{FF2B5EF4-FFF2-40B4-BE49-F238E27FC236}">
              <a16:creationId xmlns:a16="http://schemas.microsoft.com/office/drawing/2014/main" id="{6586A510-F801-431A-A6E7-CF1431BAC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519289</xdr:colOff>
      <xdr:row>25</xdr:row>
      <xdr:rowOff>21167</xdr:rowOff>
    </xdr:from>
    <xdr:to>
      <xdr:col>11</xdr:col>
      <xdr:colOff>465666</xdr:colOff>
      <xdr:row>33</xdr:row>
      <xdr:rowOff>150065</xdr:rowOff>
    </xdr:to>
    <xdr:graphicFrame macro="">
      <xdr:nvGraphicFramePr>
        <xdr:cNvPr id="36" name="Chart 35">
          <a:extLst>
            <a:ext uri="{FF2B5EF4-FFF2-40B4-BE49-F238E27FC236}">
              <a16:creationId xmlns:a16="http://schemas.microsoft.com/office/drawing/2014/main" id="{0CCE517D-60F5-421D-AC10-20401E22F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578556</xdr:colOff>
      <xdr:row>5</xdr:row>
      <xdr:rowOff>70555</xdr:rowOff>
    </xdr:from>
    <xdr:to>
      <xdr:col>22</xdr:col>
      <xdr:colOff>308872</xdr:colOff>
      <xdr:row>7</xdr:row>
      <xdr:rowOff>170147</xdr:rowOff>
    </xdr:to>
    <mc:AlternateContent xmlns:mc="http://schemas.openxmlformats.org/markup-compatibility/2006">
      <mc:Choice xmlns:a14="http://schemas.microsoft.com/office/drawing/2010/main" Requires="a14">
        <xdr:graphicFrame macro="">
          <xdr:nvGraphicFramePr>
            <xdr:cNvPr id="37" name="Segment">
              <a:extLst>
                <a:ext uri="{FF2B5EF4-FFF2-40B4-BE49-F238E27FC236}">
                  <a16:creationId xmlns:a16="http://schemas.microsoft.com/office/drawing/2014/main" id="{B71CF188-2026-497A-A5DE-6B41CEEB80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893778" y="987777"/>
              <a:ext cx="2764205" cy="466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364991</xdr:colOff>
      <xdr:row>5</xdr:row>
      <xdr:rowOff>68114</xdr:rowOff>
    </xdr:from>
    <xdr:to>
      <xdr:col>27</xdr:col>
      <xdr:colOff>219863</xdr:colOff>
      <xdr:row>7</xdr:row>
      <xdr:rowOff>165263</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B2FE8A41-D7C2-4EA6-BA72-2940B0FA18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14102" y="985336"/>
              <a:ext cx="2888761" cy="464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3" refreshedDate="46089.963604861114" createdVersion="8" refreshedVersion="8" minRefreshableVersion="3" recordCount="2121" xr:uid="{BFB45EAB-3A84-40BB-AA43-96B6411C4A32}">
  <cacheSource type="worksheet">
    <worksheetSource name="Furniture_Sales"/>
  </cacheSource>
  <cacheFields count="26">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5"/>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Postal Code" numFmtId="0">
      <sharedItems containsSemiMixedTypes="0" containsString="0" containsNumber="1" containsInteger="1" minValue="1040" maxValue="99301"/>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containsInteger="1" minValue="2" maxValue="441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containsInteger="1" minValue="-1862" maxValue="1013"/>
    </cacheField>
    <cacheField name="Duration" numFmtId="0">
      <sharedItems count="8">
        <s v="3-days"/>
        <s v="7-days"/>
        <s v="5-days"/>
        <s v="2-days"/>
        <s v="4-days"/>
        <s v="1-days"/>
        <s v="6-days"/>
        <s v="0-days"/>
      </sharedItems>
    </cacheField>
    <cacheField name="Month Name" numFmtId="0">
      <sharedItems/>
    </cacheField>
    <cacheField name="Months (Order Date)" numFmtId="0" databaseField="0">
      <fieldGroup base="2">
        <rangePr groupBy="months" startDate="2014-01-06T00:00:00" endDate="2017-12-31T00:00:00"/>
        <groupItems count="14">
          <s v="&lt;06-01-14"/>
          <s v="Jan"/>
          <s v="Feb"/>
          <s v="Mar"/>
          <s v="Apr"/>
          <s v="May"/>
          <s v="Jun"/>
          <s v="Jul"/>
          <s v="Aug"/>
          <s v="Sep"/>
          <s v="Oct"/>
          <s v="Nov"/>
          <s v="Dec"/>
          <s v="&gt;31-12-17"/>
        </groupItems>
      </fieldGroup>
    </cacheField>
    <cacheField name="Quarters (Order Date)" numFmtId="0" databaseField="0">
      <fieldGroup base="2">
        <rangePr groupBy="quarters" startDate="2014-01-06T00:00:00" endDate="2017-12-31T00:00:00"/>
        <groupItems count="6">
          <s v="&lt;06-01-14"/>
          <s v="Qtr1"/>
          <s v="Qtr2"/>
          <s v="Qtr3"/>
          <s v="Qtr4"/>
          <s v="&gt;31-12-17"/>
        </groupItems>
      </fieldGroup>
    </cacheField>
    <cacheField name="Years (Order Date)" numFmtId="0" databaseField="0">
      <fieldGroup base="2">
        <rangePr groupBy="years" startDate="2014-01-06T00:00:00" endDate="2017-12-31T00:00:00"/>
        <groupItems count="6">
          <s v="&lt;06-01-14"/>
          <s v="2014"/>
          <s v="2015"/>
          <s v="2016"/>
          <s v="2017"/>
          <s v="&gt;31-12-17"/>
        </groupItems>
      </fieldGroup>
    </cacheField>
  </cacheFields>
  <extLst>
    <ext xmlns:x14="http://schemas.microsoft.com/office/spreadsheetml/2009/9/main" uri="{725AE2AE-9491-48be-B2B4-4EB974FC3084}">
      <x14:pivotCacheDefinition pivotCacheId="167586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d v="2016-11-11T00:00:00"/>
    <x v="0"/>
    <s v="CG-12520"/>
    <s v="Claire Gute"/>
    <x v="0"/>
    <s v="United States"/>
    <x v="0"/>
    <x v="0"/>
    <n v="42420"/>
    <x v="0"/>
    <s v="FUR-BO-10001798"/>
    <x v="0"/>
    <x v="0"/>
    <s v="Bush Somerset Collection Bookcase"/>
    <n v="262"/>
    <n v="2"/>
    <n v="0"/>
    <n v="42"/>
    <x v="0"/>
    <s v="Nov"/>
  </r>
  <r>
    <n v="2"/>
    <s v="CA-2016-152156"/>
    <x v="0"/>
    <d v="2016-11-11T00:00:00"/>
    <x v="0"/>
    <s v="CG-12520"/>
    <s v="Claire Gute"/>
    <x v="0"/>
    <s v="United States"/>
    <x v="0"/>
    <x v="0"/>
    <n v="42420"/>
    <x v="0"/>
    <s v="FUR-CH-10000454"/>
    <x v="0"/>
    <x v="1"/>
    <s v="Hon Deluxe Fabric Upholstered Stacking Chairs, Rounded Back"/>
    <n v="732"/>
    <n v="3"/>
    <n v="0"/>
    <n v="220"/>
    <x v="0"/>
    <s v="Nov"/>
  </r>
  <r>
    <n v="4"/>
    <s v="US-2015-108966"/>
    <x v="1"/>
    <d v="2015-10-18T00:00:00"/>
    <x v="1"/>
    <s v="SO-20335"/>
    <s v="Sean O'Donnell"/>
    <x v="0"/>
    <s v="United States"/>
    <x v="1"/>
    <x v="1"/>
    <n v="33311"/>
    <x v="0"/>
    <s v="FUR-TA-10000577"/>
    <x v="0"/>
    <x v="2"/>
    <s v="Bretford CR4500 Series Slim Rectangular Table"/>
    <n v="958"/>
    <n v="5"/>
    <n v="0.45"/>
    <n v="-383"/>
    <x v="1"/>
    <s v="Oct"/>
  </r>
  <r>
    <n v="6"/>
    <s v="CA-2014-115812"/>
    <x v="2"/>
    <d v="2014-06-14T00:00:00"/>
    <x v="1"/>
    <s v="BH-11710"/>
    <s v="Brosina Hoffman"/>
    <x v="0"/>
    <s v="United States"/>
    <x v="2"/>
    <x v="2"/>
    <n v="90032"/>
    <x v="1"/>
    <s v="FUR-FU-10001487"/>
    <x v="0"/>
    <x v="3"/>
    <s v="Eldon Expressions Wood and Plastic Desk Accessories, Cherry Wood"/>
    <n v="49"/>
    <n v="7"/>
    <n v="0"/>
    <n v="14"/>
    <x v="2"/>
    <s v="Jun"/>
  </r>
  <r>
    <n v="11"/>
    <s v="CA-2014-115812"/>
    <x v="2"/>
    <d v="2014-06-14T00:00:00"/>
    <x v="1"/>
    <s v="BH-11710"/>
    <s v="Brosina Hoffman"/>
    <x v="0"/>
    <s v="United States"/>
    <x v="2"/>
    <x v="2"/>
    <n v="90032"/>
    <x v="1"/>
    <s v="FUR-TA-10001539"/>
    <x v="0"/>
    <x v="2"/>
    <s v="Chromcraft Rectangular Conference Tables"/>
    <n v="1706"/>
    <n v="9"/>
    <n v="0.2"/>
    <n v="85"/>
    <x v="2"/>
    <s v="Jun"/>
  </r>
  <r>
    <n v="24"/>
    <s v="US-2017-156909"/>
    <x v="3"/>
    <d v="2017-07-18T00:00:00"/>
    <x v="0"/>
    <s v="SF-20065"/>
    <s v="Sandra Flanagan"/>
    <x v="0"/>
    <s v="United States"/>
    <x v="3"/>
    <x v="3"/>
    <n v="19140"/>
    <x v="2"/>
    <s v="FUR-CH-10002774"/>
    <x v="0"/>
    <x v="1"/>
    <s v="Global Deluxe Stacking Chair, Gray"/>
    <n v="71"/>
    <n v="2"/>
    <n v="0.3"/>
    <n v="-1"/>
    <x v="3"/>
    <s v="Jul"/>
  </r>
  <r>
    <n v="25"/>
    <s v="CA-2015-106320"/>
    <x v="4"/>
    <d v="2015-09-30T00:00:00"/>
    <x v="1"/>
    <s v="EB-13870"/>
    <s v="Emily Burns"/>
    <x v="0"/>
    <s v="United States"/>
    <x v="4"/>
    <x v="4"/>
    <n v="84057"/>
    <x v="1"/>
    <s v="FUR-TA-10000577"/>
    <x v="0"/>
    <x v="2"/>
    <s v="Bretford CR4500 Series Slim Rectangular Table"/>
    <n v="1045"/>
    <n v="3"/>
    <n v="0"/>
    <n v="240"/>
    <x v="2"/>
    <s v="Sep"/>
  </r>
  <r>
    <n v="28"/>
    <s v="US-2015-150630"/>
    <x v="5"/>
    <d v="2015-09-21T00:00:00"/>
    <x v="1"/>
    <s v="TB-21520"/>
    <s v="Tracy Blumstein"/>
    <x v="0"/>
    <s v="United States"/>
    <x v="3"/>
    <x v="3"/>
    <n v="19140"/>
    <x v="2"/>
    <s v="FUR-BO-10004834"/>
    <x v="0"/>
    <x v="0"/>
    <s v="Riverside Palais Royal Lawyers Bookcase, Royale Cherry Finish"/>
    <n v="3083"/>
    <n v="7"/>
    <n v="0.5"/>
    <n v="-1665"/>
    <x v="4"/>
    <s v="Sep"/>
  </r>
  <r>
    <n v="30"/>
    <s v="US-2015-150630"/>
    <x v="5"/>
    <d v="2015-09-21T00:00:00"/>
    <x v="1"/>
    <s v="TB-21520"/>
    <s v="Tracy Blumstein"/>
    <x v="0"/>
    <s v="United States"/>
    <x v="3"/>
    <x v="3"/>
    <n v="19140"/>
    <x v="2"/>
    <s v="FUR-FU-10004848"/>
    <x v="0"/>
    <x v="3"/>
    <s v="Howard Miller 13-3/4&quot; Diameter Brushed Chrome Round Wall Clock"/>
    <n v="124"/>
    <n v="3"/>
    <n v="0.2"/>
    <n v="16"/>
    <x v="4"/>
    <s v="Sep"/>
  </r>
  <r>
    <n v="37"/>
    <s v="CA-2016-117590"/>
    <x v="6"/>
    <d v="2016-12-10T00:00:00"/>
    <x v="2"/>
    <s v="GH-14485"/>
    <s v="Gene Hale"/>
    <x v="1"/>
    <s v="United States"/>
    <x v="5"/>
    <x v="5"/>
    <n v="75080"/>
    <x v="3"/>
    <s v="FUR-FU-10003664"/>
    <x v="0"/>
    <x v="3"/>
    <s v="Electrix Architect's Clamp-On Swing Arm Lamp, Black"/>
    <n v="191"/>
    <n v="5"/>
    <n v="0.6"/>
    <n v="-148"/>
    <x v="3"/>
    <s v="Dec"/>
  </r>
  <r>
    <n v="39"/>
    <s v="CA-2015-117415"/>
    <x v="7"/>
    <d v="2015-12-31T00:00:00"/>
    <x v="1"/>
    <s v="SN-20710"/>
    <s v="Steve Nguyen"/>
    <x v="2"/>
    <s v="United States"/>
    <x v="6"/>
    <x v="5"/>
    <n v="77041"/>
    <x v="3"/>
    <s v="FUR-BO-10002545"/>
    <x v="0"/>
    <x v="0"/>
    <s v="Atlantic Metals Mobile 3-Shelf Bookcases, Custom Colors"/>
    <n v="532"/>
    <n v="3"/>
    <n v="0.32"/>
    <n v="-47"/>
    <x v="4"/>
    <s v="Dec"/>
  </r>
  <r>
    <n v="40"/>
    <s v="CA-2015-117415"/>
    <x v="7"/>
    <d v="2015-12-31T00:00:00"/>
    <x v="1"/>
    <s v="SN-20710"/>
    <s v="Steve Nguyen"/>
    <x v="2"/>
    <s v="United States"/>
    <x v="6"/>
    <x v="5"/>
    <n v="77041"/>
    <x v="3"/>
    <s v="FUR-CH-10004218"/>
    <x v="0"/>
    <x v="1"/>
    <s v="Global Fabric Manager's Chair, Dark Gray"/>
    <n v="212"/>
    <n v="3"/>
    <n v="0.3"/>
    <n v="-15"/>
    <x v="4"/>
    <s v="Dec"/>
  </r>
  <r>
    <n v="52"/>
    <s v="CA-2015-115742"/>
    <x v="8"/>
    <d v="2015-04-22T00:00:00"/>
    <x v="1"/>
    <s v="DP-13000"/>
    <s v="Darren Powers"/>
    <x v="0"/>
    <s v="United States"/>
    <x v="7"/>
    <x v="6"/>
    <n v="47150"/>
    <x v="3"/>
    <s v="FUR-FU-10001706"/>
    <x v="0"/>
    <x v="3"/>
    <s v="Longer-Life Soft White Bulbs"/>
    <n v="6"/>
    <n v="2"/>
    <n v="0"/>
    <n v="3"/>
    <x v="4"/>
    <s v="Apr"/>
  </r>
  <r>
    <n v="53"/>
    <s v="CA-2015-115742"/>
    <x v="8"/>
    <d v="2015-04-22T00:00:00"/>
    <x v="1"/>
    <s v="DP-13000"/>
    <s v="Darren Powers"/>
    <x v="0"/>
    <s v="United States"/>
    <x v="7"/>
    <x v="6"/>
    <n v="47150"/>
    <x v="3"/>
    <s v="FUR-CH-10003061"/>
    <x v="0"/>
    <x v="1"/>
    <s v="Global Leather Task Chair, Black"/>
    <n v="90"/>
    <n v="1"/>
    <n v="0"/>
    <n v="17"/>
    <x v="4"/>
    <s v="Apr"/>
  </r>
  <r>
    <n v="58"/>
    <s v="CA-2016-111682"/>
    <x v="9"/>
    <d v="2016-06-18T00:00:00"/>
    <x v="2"/>
    <s v="TB-21055"/>
    <s v="Ted Butterfield"/>
    <x v="0"/>
    <s v="United States"/>
    <x v="8"/>
    <x v="7"/>
    <n v="12180"/>
    <x v="2"/>
    <s v="FUR-CH-10003968"/>
    <x v="0"/>
    <x v="1"/>
    <s v="Novimex Turbo Task Chair"/>
    <n v="319"/>
    <n v="5"/>
    <n v="0.1"/>
    <n v="7"/>
    <x v="5"/>
    <s v="Jun"/>
  </r>
  <r>
    <n v="66"/>
    <s v="CA-2015-135545"/>
    <x v="10"/>
    <d v="2015-11-30T00:00:00"/>
    <x v="1"/>
    <s v="KM-16720"/>
    <s v="Kunst Miller"/>
    <x v="0"/>
    <s v="United States"/>
    <x v="2"/>
    <x v="2"/>
    <n v="90004"/>
    <x v="1"/>
    <s v="FUR-FU-10000397"/>
    <x v="0"/>
    <x v="3"/>
    <s v="Luxo Economy Swing Arm Lamp"/>
    <n v="80"/>
    <n v="4"/>
    <n v="0"/>
    <n v="22"/>
    <x v="6"/>
    <s v="Nov"/>
  </r>
  <r>
    <n v="67"/>
    <s v="US-2015-164175"/>
    <x v="11"/>
    <d v="2015-05-05T00:00:00"/>
    <x v="1"/>
    <s v="PS-18970"/>
    <s v="Paul Stevenson"/>
    <x v="2"/>
    <s v="United States"/>
    <x v="9"/>
    <x v="8"/>
    <n v="60610"/>
    <x v="3"/>
    <s v="FUR-CH-10001146"/>
    <x v="0"/>
    <x v="1"/>
    <s v="Global Value Mid-Back Manager's Chair, Gray"/>
    <n v="213"/>
    <n v="5"/>
    <n v="0.3"/>
    <n v="-15"/>
    <x v="2"/>
    <s v="Apr"/>
  </r>
  <r>
    <n v="73"/>
    <s v="US-2015-134026"/>
    <x v="12"/>
    <d v="2015-05-02T00:00:00"/>
    <x v="1"/>
    <s v="JE-15745"/>
    <s v="Joel Eaton"/>
    <x v="0"/>
    <s v="United States"/>
    <x v="10"/>
    <x v="9"/>
    <n v="38109"/>
    <x v="0"/>
    <s v="FUR-CH-10000513"/>
    <x v="0"/>
    <x v="1"/>
    <s v="High-Back Leather Manager's Chair"/>
    <n v="832"/>
    <n v="8"/>
    <n v="0.2"/>
    <n v="-114"/>
    <x v="6"/>
    <s v="Apr"/>
  </r>
  <r>
    <n v="74"/>
    <s v="US-2015-134026"/>
    <x v="12"/>
    <d v="2015-05-02T00:00:00"/>
    <x v="1"/>
    <s v="JE-15745"/>
    <s v="Joel Eaton"/>
    <x v="0"/>
    <s v="United States"/>
    <x v="10"/>
    <x v="9"/>
    <n v="38109"/>
    <x v="0"/>
    <s v="FUR-FU-10003708"/>
    <x v="0"/>
    <x v="3"/>
    <s v="Tenex Traditional Chairmats for Medium Pile Carpet, Standard Lip, 36&quot; x 48&quot;"/>
    <n v="97"/>
    <n v="2"/>
    <n v="0.2"/>
    <n v="1"/>
    <x v="6"/>
    <s v="Apr"/>
  </r>
  <r>
    <n v="77"/>
    <s v="US-2017-118038"/>
    <x v="13"/>
    <d v="2017-12-11T00:00:00"/>
    <x v="2"/>
    <s v="KB-16600"/>
    <s v="Ken Brennan"/>
    <x v="1"/>
    <s v="United States"/>
    <x v="6"/>
    <x v="5"/>
    <n v="77041"/>
    <x v="3"/>
    <s v="FUR-FU-10000260"/>
    <x v="0"/>
    <x v="3"/>
    <s v="6&quot; Cubicle Wall Clock, Black"/>
    <n v="10"/>
    <n v="3"/>
    <n v="0.6"/>
    <n v="-6"/>
    <x v="3"/>
    <s v="Dec"/>
  </r>
  <r>
    <n v="79"/>
    <s v="US-2014-147606"/>
    <x v="14"/>
    <d v="2014-12-01T00:00:00"/>
    <x v="0"/>
    <s v="JE-15745"/>
    <s v="Joel Eaton"/>
    <x v="0"/>
    <s v="United States"/>
    <x v="6"/>
    <x v="5"/>
    <n v="77070"/>
    <x v="3"/>
    <s v="FUR-FU-10003194"/>
    <x v="0"/>
    <x v="3"/>
    <s v="Eldon Expressions Desk Accessory, Wood Pencil Holder, Oak"/>
    <n v="19"/>
    <n v="5"/>
    <n v="0.6"/>
    <n v="-14"/>
    <x v="2"/>
    <s v="Nov"/>
  </r>
  <r>
    <n v="86"/>
    <s v="CA-2017-140088"/>
    <x v="15"/>
    <d v="2017-05-30T00:00:00"/>
    <x v="0"/>
    <s v="PO-18865"/>
    <s v="Patrick O'Donnell"/>
    <x v="0"/>
    <s v="United States"/>
    <x v="11"/>
    <x v="10"/>
    <n v="29203"/>
    <x v="0"/>
    <s v="FUR-CH-10000863"/>
    <x v="0"/>
    <x v="1"/>
    <s v="Novimex Swivel Fabric Task Chair"/>
    <n v="302"/>
    <n v="2"/>
    <n v="0"/>
    <n v="33"/>
    <x v="3"/>
    <s v="May"/>
  </r>
  <r>
    <n v="94"/>
    <s v="CA-2015-149587"/>
    <x v="16"/>
    <d v="2015-02-05T00:00:00"/>
    <x v="0"/>
    <s v="KB-16315"/>
    <s v="Karl Braun"/>
    <x v="0"/>
    <s v="United States"/>
    <x v="12"/>
    <x v="11"/>
    <n v="55407"/>
    <x v="3"/>
    <s v="FUR-FU-10003799"/>
    <x v="0"/>
    <x v="3"/>
    <s v="Seth Thomas 13 1/2&quot; Wall Clock"/>
    <n v="53"/>
    <n v="3"/>
    <n v="0"/>
    <n v="17"/>
    <x v="2"/>
    <s v="Jan"/>
  </r>
  <r>
    <n v="97"/>
    <s v="CA-2017-161018"/>
    <x v="17"/>
    <d v="2017-11-11T00:00:00"/>
    <x v="0"/>
    <s v="PN-18775"/>
    <s v="Parhena Norris"/>
    <x v="2"/>
    <s v="United States"/>
    <x v="13"/>
    <x v="7"/>
    <n v="10009"/>
    <x v="2"/>
    <s v="FUR-FU-10000629"/>
    <x v="0"/>
    <x v="3"/>
    <s v="9-3/4 Diameter Round Wall Clock"/>
    <n v="97"/>
    <n v="7"/>
    <n v="0"/>
    <n v="41"/>
    <x v="3"/>
    <s v="Nov"/>
  </r>
  <r>
    <n v="105"/>
    <s v="US-2015-156867"/>
    <x v="18"/>
    <d v="2015-11-17T00:00:00"/>
    <x v="1"/>
    <s v="LC-16870"/>
    <s v="Lena Cacioppo"/>
    <x v="0"/>
    <s v="United States"/>
    <x v="14"/>
    <x v="12"/>
    <n v="80013"/>
    <x v="1"/>
    <s v="FUR-FU-10004006"/>
    <x v="0"/>
    <x v="3"/>
    <s v="Deflect-o DuraMat Lighweight, Studded, Beveled Mat for Low Pile Carpeting"/>
    <n v="102"/>
    <n v="3"/>
    <n v="0.2"/>
    <n v="-4"/>
    <x v="4"/>
    <s v="Nov"/>
  </r>
  <r>
    <n v="111"/>
    <s v="CA-2017-146780"/>
    <x v="19"/>
    <d v="2017-12-30T00:00:00"/>
    <x v="1"/>
    <s v="CV-12805"/>
    <s v="Cynthia Voltz"/>
    <x v="1"/>
    <s v="United States"/>
    <x v="13"/>
    <x v="7"/>
    <n v="10035"/>
    <x v="2"/>
    <s v="FUR-FU-10001934"/>
    <x v="0"/>
    <x v="3"/>
    <s v="Magnifier Swing Arm Lamp"/>
    <n v="42"/>
    <n v="2"/>
    <n v="0"/>
    <n v="11"/>
    <x v="2"/>
    <s v="Dec"/>
  </r>
  <r>
    <n v="118"/>
    <s v="CA-2015-110457"/>
    <x v="20"/>
    <d v="2015-03-06T00:00:00"/>
    <x v="1"/>
    <s v="DK-13090"/>
    <s v="Dave Kipp"/>
    <x v="0"/>
    <s v="United States"/>
    <x v="15"/>
    <x v="13"/>
    <n v="98103"/>
    <x v="1"/>
    <s v="FUR-TA-10001768"/>
    <x v="0"/>
    <x v="2"/>
    <s v="Hon Racetrack Conference Tables"/>
    <n v="788"/>
    <n v="3"/>
    <n v="0"/>
    <n v="165"/>
    <x v="4"/>
    <s v="Mar"/>
  </r>
  <r>
    <n v="120"/>
    <s v="CA-2016-103730"/>
    <x v="21"/>
    <d v="2016-06-15T00:00:00"/>
    <x v="2"/>
    <s v="SC-20725"/>
    <s v="Steven Cartwright"/>
    <x v="0"/>
    <s v="United States"/>
    <x v="16"/>
    <x v="14"/>
    <n v="19805"/>
    <x v="2"/>
    <s v="FUR-FU-10002157"/>
    <x v="0"/>
    <x v="3"/>
    <s v="Artistic Insta-Plaque"/>
    <n v="47"/>
    <n v="3"/>
    <n v="0"/>
    <n v="18"/>
    <x v="0"/>
    <s v="Jun"/>
  </r>
  <r>
    <n v="125"/>
    <s v="US-2014-152030"/>
    <x v="22"/>
    <d v="2014-12-28T00:00:00"/>
    <x v="0"/>
    <s v="AD-10180"/>
    <s v="Alan Dominguez"/>
    <x v="2"/>
    <s v="United States"/>
    <x v="6"/>
    <x v="5"/>
    <n v="77041"/>
    <x v="3"/>
    <s v="FUR-CH-10004063"/>
    <x v="0"/>
    <x v="1"/>
    <s v="Global Deluxe High-Back Manager's Chair"/>
    <n v="601"/>
    <n v="3"/>
    <n v="0.3"/>
    <n v="-9"/>
    <x v="3"/>
    <s v="Dec"/>
  </r>
  <r>
    <n v="126"/>
    <s v="US-2014-134614"/>
    <x v="23"/>
    <d v="2014-09-25T00:00:00"/>
    <x v="1"/>
    <s v="PF-19165"/>
    <s v="Philip Fox"/>
    <x v="0"/>
    <s v="United States"/>
    <x v="17"/>
    <x v="8"/>
    <n v="61701"/>
    <x v="3"/>
    <s v="FUR-TA-10004534"/>
    <x v="0"/>
    <x v="2"/>
    <s v="Bevis 44 x 96 Conference Tables"/>
    <n v="618"/>
    <n v="6"/>
    <n v="0.5"/>
    <n v="-408"/>
    <x v="2"/>
    <s v="Sep"/>
  </r>
  <r>
    <n v="129"/>
    <s v="US-2016-125969"/>
    <x v="24"/>
    <d v="2016-11-10T00:00:00"/>
    <x v="0"/>
    <s v="LS-16975"/>
    <s v="Lindsay Shagiari"/>
    <x v="2"/>
    <s v="United States"/>
    <x v="2"/>
    <x v="2"/>
    <n v="90004"/>
    <x v="1"/>
    <s v="FUR-CH-10001146"/>
    <x v="0"/>
    <x v="1"/>
    <s v="Global Task Chair, Black"/>
    <n v="81"/>
    <n v="2"/>
    <n v="0.2"/>
    <n v="-9"/>
    <x v="4"/>
    <s v="Nov"/>
  </r>
  <r>
    <n v="130"/>
    <s v="US-2016-125969"/>
    <x v="24"/>
    <d v="2016-11-10T00:00:00"/>
    <x v="0"/>
    <s v="LS-16975"/>
    <s v="Lindsay Shagiari"/>
    <x v="2"/>
    <s v="United States"/>
    <x v="2"/>
    <x v="2"/>
    <n v="90004"/>
    <x v="1"/>
    <s v="FUR-FU-10003773"/>
    <x v="0"/>
    <x v="3"/>
    <s v="Eldon Cleatmat Plus Chair Mats for High Pile Carpets"/>
    <n v="239"/>
    <n v="3"/>
    <n v="0"/>
    <n v="26"/>
    <x v="4"/>
    <s v="Nov"/>
  </r>
  <r>
    <n v="140"/>
    <s v="CA-2016-145583"/>
    <x v="25"/>
    <d v="2016-10-19T00:00:00"/>
    <x v="1"/>
    <s v="LC-16885"/>
    <s v="Lena Creighton"/>
    <x v="0"/>
    <s v="United States"/>
    <x v="18"/>
    <x v="2"/>
    <n v="95661"/>
    <x v="1"/>
    <s v="FUR-FU-10001706"/>
    <x v="0"/>
    <x v="3"/>
    <s v="Longer-Life Soft White Bulbs"/>
    <n v="43"/>
    <n v="14"/>
    <n v="0"/>
    <n v="21"/>
    <x v="6"/>
    <s v="Oct"/>
  </r>
  <r>
    <n v="141"/>
    <s v="CA-2016-110366"/>
    <x v="26"/>
    <d v="2016-09-07T00:00:00"/>
    <x v="0"/>
    <s v="JD-15895"/>
    <s v="Jonathan Doherty"/>
    <x v="1"/>
    <s v="United States"/>
    <x v="3"/>
    <x v="3"/>
    <n v="19140"/>
    <x v="2"/>
    <s v="FUR-FU-10004848"/>
    <x v="0"/>
    <x v="3"/>
    <s v="Howard Miller 13-3/4&quot; Diameter Brushed Chrome Round Wall Clock"/>
    <n v="83"/>
    <n v="2"/>
    <n v="0.2"/>
    <n v="10"/>
    <x v="3"/>
    <s v="Sep"/>
  </r>
  <r>
    <n v="147"/>
    <s v="CA-2014-110072"/>
    <x v="27"/>
    <d v="2014-10-28T00:00:00"/>
    <x v="1"/>
    <s v="MG-17680"/>
    <s v="Maureen Gastineau"/>
    <x v="2"/>
    <s v="United States"/>
    <x v="19"/>
    <x v="15"/>
    <n v="43055"/>
    <x v="2"/>
    <s v="FUR-FU-10000521"/>
    <x v="0"/>
    <x v="3"/>
    <s v="Seth Thomas 14&quot; Putty-Colored Wall Clock"/>
    <n v="94"/>
    <n v="4"/>
    <n v="0.2"/>
    <n v="13"/>
    <x v="6"/>
    <s v="Oct"/>
  </r>
  <r>
    <n v="150"/>
    <s v="CA-2016-114489"/>
    <x v="28"/>
    <d v="2016-12-09T00:00:00"/>
    <x v="1"/>
    <s v="JE-16165"/>
    <s v="Justin Ellison"/>
    <x v="1"/>
    <s v="United States"/>
    <x v="20"/>
    <x v="16"/>
    <n v="53132"/>
    <x v="3"/>
    <s v="FUR-CH-10000454"/>
    <x v="0"/>
    <x v="1"/>
    <s v="Hon Deluxe Fabric Upholstered Stacking Chairs, Rounded Back"/>
    <n v="1952"/>
    <n v="8"/>
    <n v="0"/>
    <n v="586"/>
    <x v="4"/>
    <s v="Dec"/>
  </r>
  <r>
    <n v="158"/>
    <s v="CA-2014-104269"/>
    <x v="29"/>
    <d v="2014-03-06T00:00:00"/>
    <x v="0"/>
    <s v="DB-13060"/>
    <s v="Dave Brooks"/>
    <x v="0"/>
    <s v="United States"/>
    <x v="15"/>
    <x v="13"/>
    <n v="98115"/>
    <x v="1"/>
    <s v="FUR-CH-10004063"/>
    <x v="0"/>
    <x v="1"/>
    <s v="Global Deluxe High-Back Manager's Chair"/>
    <n v="458"/>
    <n v="2"/>
    <n v="0.2"/>
    <n v="51"/>
    <x v="2"/>
    <s v="Mar"/>
  </r>
  <r>
    <n v="168"/>
    <s v="CA-2014-139892"/>
    <x v="30"/>
    <d v="2014-09-12T00:00:00"/>
    <x v="1"/>
    <s v="BM-11140"/>
    <s v="Becky Martin"/>
    <x v="0"/>
    <s v="United States"/>
    <x v="21"/>
    <x v="5"/>
    <n v="78207"/>
    <x v="3"/>
    <s v="FUR-CH-10004287"/>
    <x v="0"/>
    <x v="1"/>
    <s v="SAFCO Arco Folding Chair"/>
    <n v="1740"/>
    <n v="9"/>
    <n v="0.3"/>
    <n v="-25"/>
    <x v="4"/>
    <s v="Sep"/>
  </r>
  <r>
    <n v="174"/>
    <s v="CA-2014-118962"/>
    <x v="31"/>
    <d v="2014-08-09T00:00:00"/>
    <x v="1"/>
    <s v="CS-12130"/>
    <s v="Chad Sievert"/>
    <x v="0"/>
    <s v="United States"/>
    <x v="2"/>
    <x v="2"/>
    <n v="90004"/>
    <x v="1"/>
    <s v="FUR-CH-10003817"/>
    <x v="0"/>
    <x v="1"/>
    <s v="Global Value Steno Chair, Gray"/>
    <n v="340"/>
    <n v="7"/>
    <n v="0.2"/>
    <n v="21"/>
    <x v="4"/>
    <s v="Aug"/>
  </r>
  <r>
    <n v="178"/>
    <s v="US-2015-101511"/>
    <x v="32"/>
    <d v="2015-11-23T00:00:00"/>
    <x v="0"/>
    <s v="JE-15745"/>
    <s v="Joel Eaton"/>
    <x v="0"/>
    <s v="United States"/>
    <x v="19"/>
    <x v="15"/>
    <n v="43055"/>
    <x v="2"/>
    <s v="FUR-CH-10004698"/>
    <x v="0"/>
    <x v="1"/>
    <s v="Padded Folding Chairs, Black, 4/Carton"/>
    <n v="397"/>
    <n v="7"/>
    <n v="0.3"/>
    <n v="-11"/>
    <x v="3"/>
    <s v="Nov"/>
  </r>
  <r>
    <n v="190"/>
    <s v="CA-2015-102281"/>
    <x v="33"/>
    <d v="2015-10-14T00:00:00"/>
    <x v="2"/>
    <s v="MP-17470"/>
    <s v="Mark Packer"/>
    <x v="2"/>
    <s v="United States"/>
    <x v="13"/>
    <x v="7"/>
    <n v="10035"/>
    <x v="2"/>
    <s v="FUR-BO-10002613"/>
    <x v="0"/>
    <x v="0"/>
    <s v="Atlantic Metals Mobile 4-Shelf Bookcases, Custom Colors"/>
    <n v="899"/>
    <n v="4"/>
    <n v="0.2"/>
    <n v="112"/>
    <x v="3"/>
    <s v="Oct"/>
  </r>
  <r>
    <n v="193"/>
    <s v="CA-2015-102281"/>
    <x v="33"/>
    <d v="2015-10-14T00:00:00"/>
    <x v="2"/>
    <s v="MP-17470"/>
    <s v="Mark Packer"/>
    <x v="2"/>
    <s v="United States"/>
    <x v="13"/>
    <x v="7"/>
    <n v="10035"/>
    <x v="2"/>
    <s v="FUR-BO-10002545"/>
    <x v="0"/>
    <x v="0"/>
    <s v="Atlantic Metals Mobile 3-Shelf Bookcases, Custom Colors"/>
    <n v="626"/>
    <n v="3"/>
    <n v="0.2"/>
    <n v="47"/>
    <x v="3"/>
    <s v="Oct"/>
  </r>
  <r>
    <n v="202"/>
    <s v="CA-2014-133690"/>
    <x v="34"/>
    <d v="2014-08-05T00:00:00"/>
    <x v="2"/>
    <s v="BS-11755"/>
    <s v="Bruce Stewart"/>
    <x v="0"/>
    <s v="United States"/>
    <x v="22"/>
    <x v="12"/>
    <n v="80219"/>
    <x v="1"/>
    <s v="FUR-TA-10004289"/>
    <x v="0"/>
    <x v="2"/>
    <s v="BoxOffice By Design Rectangular and Half-Moon Meeting Room Tables"/>
    <n v="219"/>
    <n v="2"/>
    <n v="0.5"/>
    <n v="-162"/>
    <x v="3"/>
    <s v="Aug"/>
  </r>
  <r>
    <n v="205"/>
    <s v="CA-2017-126382"/>
    <x v="35"/>
    <d v="2017-06-07T00:00:00"/>
    <x v="1"/>
    <s v="HK-14890"/>
    <s v="Heather Kirkland"/>
    <x v="1"/>
    <s v="United States"/>
    <x v="20"/>
    <x v="9"/>
    <n v="37064"/>
    <x v="0"/>
    <s v="FUR-FU-10002960"/>
    <x v="0"/>
    <x v="3"/>
    <s v="Eldon 200 Class Desk Accessories, Burgundy"/>
    <n v="35"/>
    <n v="7"/>
    <n v="0.2"/>
    <n v="10"/>
    <x v="4"/>
    <s v="Jun"/>
  </r>
  <r>
    <n v="214"/>
    <s v="CA-2015-146262"/>
    <x v="36"/>
    <d v="2015-01-09T00:00:00"/>
    <x v="1"/>
    <s v="VW-21775"/>
    <s v="Victoria Wilson"/>
    <x v="1"/>
    <s v="United States"/>
    <x v="23"/>
    <x v="15"/>
    <n v="44256"/>
    <x v="2"/>
    <s v="FUR-BO-10004695"/>
    <x v="0"/>
    <x v="0"/>
    <s v="O'Sullivan 2-Door Barrister Bookcase in Odessa Pine"/>
    <n v="452"/>
    <n v="5"/>
    <n v="0.5"/>
    <n v="-244"/>
    <x v="1"/>
    <s v="Jan"/>
  </r>
  <r>
    <n v="223"/>
    <s v="CA-2015-169397"/>
    <x v="37"/>
    <d v="2015-12-27T00:00:00"/>
    <x v="2"/>
    <s v="JB-15925"/>
    <s v="Joni Blumstein"/>
    <x v="0"/>
    <s v="United States"/>
    <x v="24"/>
    <x v="15"/>
    <n v="43017"/>
    <x v="2"/>
    <s v="FUR-FU-10000087"/>
    <x v="0"/>
    <x v="3"/>
    <s v="Executive Impressions 14&quot; Two-Color Numerals Wall Clock"/>
    <n v="73"/>
    <n v="4"/>
    <n v="0.2"/>
    <n v="19"/>
    <x v="0"/>
    <s v="Dec"/>
  </r>
  <r>
    <n v="227"/>
    <s v="CA-2015-163055"/>
    <x v="38"/>
    <d v="2015-08-16T00:00:00"/>
    <x v="1"/>
    <s v="DS-13180"/>
    <s v="David Smith"/>
    <x v="1"/>
    <s v="United States"/>
    <x v="25"/>
    <x v="17"/>
    <n v="48227"/>
    <x v="3"/>
    <s v="FUR-TA-10003748"/>
    <x v="0"/>
    <x v="2"/>
    <s v="Bevis 36 x 72 Conference Tables"/>
    <n v="622"/>
    <n v="5"/>
    <n v="0"/>
    <n v="137"/>
    <x v="1"/>
    <s v="Aug"/>
  </r>
  <r>
    <n v="229"/>
    <s v="US-2015-145436"/>
    <x v="39"/>
    <d v="2015-03-04T00:00:00"/>
    <x v="1"/>
    <s v="VD-21670"/>
    <s v="Valerie Dominguez"/>
    <x v="0"/>
    <s v="United States"/>
    <x v="11"/>
    <x v="9"/>
    <n v="38401"/>
    <x v="0"/>
    <s v="FUR-CH-10004860"/>
    <x v="0"/>
    <x v="1"/>
    <s v="Global Low Back Tilter Chair"/>
    <n v="162"/>
    <n v="2"/>
    <n v="0.2"/>
    <n v="-28"/>
    <x v="4"/>
    <s v="Feb"/>
  </r>
  <r>
    <n v="230"/>
    <s v="US-2015-145436"/>
    <x v="39"/>
    <d v="2015-03-04T00:00:00"/>
    <x v="1"/>
    <s v="VD-21670"/>
    <s v="Valerie Dominguez"/>
    <x v="0"/>
    <s v="United States"/>
    <x v="11"/>
    <x v="9"/>
    <n v="38401"/>
    <x v="0"/>
    <s v="FUR-CH-10004477"/>
    <x v="0"/>
    <x v="1"/>
    <s v="Global Push Button Manager's Chair, Indigo"/>
    <n v="390"/>
    <n v="8"/>
    <n v="0.2"/>
    <n v="44"/>
    <x v="4"/>
    <s v="Feb"/>
  </r>
  <r>
    <n v="232"/>
    <s v="US-2017-100930"/>
    <x v="40"/>
    <d v="2017-04-12T00:00:00"/>
    <x v="1"/>
    <s v="CS-12400"/>
    <s v="Christopher Schild"/>
    <x v="2"/>
    <s v="United States"/>
    <x v="26"/>
    <x v="1"/>
    <n v="33614"/>
    <x v="0"/>
    <s v="FUR-TA-10001705"/>
    <x v="0"/>
    <x v="2"/>
    <s v="Bush Advantage Collection Round Conference Table"/>
    <n v="234"/>
    <n v="2"/>
    <n v="0.45"/>
    <n v="-102"/>
    <x v="2"/>
    <s v="Apr"/>
  </r>
  <r>
    <n v="233"/>
    <s v="US-2017-100930"/>
    <x v="40"/>
    <d v="2017-04-12T00:00:00"/>
    <x v="1"/>
    <s v="CS-12400"/>
    <s v="Christopher Schild"/>
    <x v="2"/>
    <s v="United States"/>
    <x v="26"/>
    <x v="1"/>
    <n v="33614"/>
    <x v="0"/>
    <s v="FUR-TA-10003473"/>
    <x v="0"/>
    <x v="2"/>
    <s v="Bretford Rectangular Conference Table Tops"/>
    <n v="621"/>
    <n v="3"/>
    <n v="0.45"/>
    <n v="-248"/>
    <x v="2"/>
    <s v="Apr"/>
  </r>
  <r>
    <n v="235"/>
    <s v="US-2017-100930"/>
    <x v="40"/>
    <d v="2017-04-12T00:00:00"/>
    <x v="1"/>
    <s v="CS-12400"/>
    <s v="Christopher Schild"/>
    <x v="2"/>
    <s v="United States"/>
    <x v="26"/>
    <x v="1"/>
    <n v="33614"/>
    <x v="0"/>
    <s v="FUR-FU-10004017"/>
    <x v="0"/>
    <x v="3"/>
    <s v="Tenex Contemporary Contur Chairmats for Low and Medium Pile Carpet, Computer, 39&quot; x 49&quot;"/>
    <n v="258"/>
    <n v="3"/>
    <n v="0.2"/>
    <n v="0"/>
    <x v="2"/>
    <s v="Apr"/>
  </r>
  <r>
    <n v="239"/>
    <s v="CA-2016-157749"/>
    <x v="41"/>
    <d v="2016-06-09T00:00:00"/>
    <x v="0"/>
    <s v="KL-16645"/>
    <s v="Ken Lonsdale"/>
    <x v="0"/>
    <s v="United States"/>
    <x v="9"/>
    <x v="8"/>
    <n v="60610"/>
    <x v="3"/>
    <s v="FUR-FU-10000576"/>
    <x v="0"/>
    <x v="3"/>
    <s v="Luxo Professional Fluorescent Magnifier Lamp with Clamp-Mount Base"/>
    <n v="420"/>
    <n v="5"/>
    <n v="0.6"/>
    <n v="-357"/>
    <x v="2"/>
    <s v="Jun"/>
  </r>
  <r>
    <n v="240"/>
    <s v="CA-2016-157749"/>
    <x v="41"/>
    <d v="2016-06-09T00:00:00"/>
    <x v="0"/>
    <s v="KL-16645"/>
    <s v="Ken Lonsdale"/>
    <x v="0"/>
    <s v="United States"/>
    <x v="9"/>
    <x v="8"/>
    <n v="60610"/>
    <x v="3"/>
    <s v="FUR-FU-10004351"/>
    <x v="0"/>
    <x v="3"/>
    <s v="Staple-based wall hangings"/>
    <n v="12"/>
    <n v="3"/>
    <n v="0.6"/>
    <n v="-5"/>
    <x v="2"/>
    <s v="Jun"/>
  </r>
  <r>
    <n v="242"/>
    <s v="CA-2016-157749"/>
    <x v="41"/>
    <d v="2016-06-09T00:00:00"/>
    <x v="0"/>
    <s v="KL-16645"/>
    <s v="Ken Lonsdale"/>
    <x v="0"/>
    <s v="United States"/>
    <x v="9"/>
    <x v="8"/>
    <n v="60610"/>
    <x v="3"/>
    <s v="FUR-TA-10002607"/>
    <x v="0"/>
    <x v="2"/>
    <s v="KI Conference Tables"/>
    <n v="177"/>
    <n v="5"/>
    <n v="0.5"/>
    <n v="-121"/>
    <x v="2"/>
    <s v="Jun"/>
  </r>
  <r>
    <n v="243"/>
    <s v="CA-2016-157749"/>
    <x v="41"/>
    <d v="2016-06-09T00:00:00"/>
    <x v="0"/>
    <s v="KL-16645"/>
    <s v="Ken Lonsdale"/>
    <x v="0"/>
    <s v="United States"/>
    <x v="9"/>
    <x v="8"/>
    <n v="60610"/>
    <x v="3"/>
    <s v="FUR-FU-10002505"/>
    <x v="0"/>
    <x v="3"/>
    <s v="Eldon 100 Class Desk Accessories"/>
    <n v="4"/>
    <n v="3"/>
    <n v="0.6"/>
    <n v="-3"/>
    <x v="2"/>
    <s v="Jun"/>
  </r>
  <r>
    <n v="245"/>
    <s v="CA-2014-131926"/>
    <x v="42"/>
    <d v="2014-06-06T00:00:00"/>
    <x v="0"/>
    <s v="DW-13480"/>
    <s v="Dianna Wilson"/>
    <x v="2"/>
    <s v="United States"/>
    <x v="27"/>
    <x v="11"/>
    <n v="55044"/>
    <x v="3"/>
    <s v="FUR-CH-10004063"/>
    <x v="0"/>
    <x v="1"/>
    <s v="Global Deluxe High-Back Manager's Chair"/>
    <n v="2002"/>
    <n v="7"/>
    <n v="0"/>
    <n v="581"/>
    <x v="2"/>
    <s v="Jun"/>
  </r>
  <r>
    <n v="250"/>
    <s v="CA-2016-154739"/>
    <x v="43"/>
    <d v="2016-12-15T00:00:00"/>
    <x v="0"/>
    <s v="LH-17155"/>
    <s v="Logan Haushalter"/>
    <x v="0"/>
    <s v="United States"/>
    <x v="28"/>
    <x v="2"/>
    <n v="94109"/>
    <x v="1"/>
    <s v="FUR-CH-10002965"/>
    <x v="0"/>
    <x v="1"/>
    <s v="Global Leather Highback Executive Chair with Pneumatic Height Adjustment, Black"/>
    <n v="322"/>
    <n v="2"/>
    <n v="0.2"/>
    <n v="28"/>
    <x v="2"/>
    <s v="Dec"/>
  </r>
  <r>
    <n v="255"/>
    <s v="US-2015-159982"/>
    <x v="44"/>
    <d v="2015-12-04T00:00:00"/>
    <x v="1"/>
    <s v="DR-12880"/>
    <s v="Dan Reichenbach"/>
    <x v="1"/>
    <s v="United States"/>
    <x v="9"/>
    <x v="8"/>
    <n v="60623"/>
    <x v="3"/>
    <s v="FUR-FU-10002505"/>
    <x v="0"/>
    <x v="3"/>
    <s v="Eldon 100 Class Desk Accessories"/>
    <n v="12"/>
    <n v="9"/>
    <n v="0.6"/>
    <n v="-8"/>
    <x v="6"/>
    <s v="Nov"/>
  </r>
  <r>
    <n v="273"/>
    <s v="CA-2015-155334"/>
    <x v="45"/>
    <d v="2015-07-31T00:00:00"/>
    <x v="2"/>
    <s v="HA-14920"/>
    <s v="Helen Andreada"/>
    <x v="0"/>
    <s v="United States"/>
    <x v="28"/>
    <x v="2"/>
    <n v="94109"/>
    <x v="1"/>
    <s v="FUR-FU-10003274"/>
    <x v="0"/>
    <x v="3"/>
    <s v="Regeneration Desk Collection"/>
    <n v="5"/>
    <n v="3"/>
    <n v="0"/>
    <n v="2"/>
    <x v="5"/>
    <s v="Jul"/>
  </r>
  <r>
    <n v="283"/>
    <s v="CA-2015-130890"/>
    <x v="46"/>
    <d v="2015-11-06T00:00:00"/>
    <x v="1"/>
    <s v="JO-15280"/>
    <s v="Jas O'Carroll"/>
    <x v="0"/>
    <s v="United States"/>
    <x v="2"/>
    <x v="2"/>
    <n v="90004"/>
    <x v="1"/>
    <s v="FUR-TA-10002903"/>
    <x v="0"/>
    <x v="2"/>
    <s v="Bevis Round Bullnose 29&quot; High Table Top"/>
    <n v="1039"/>
    <n v="5"/>
    <n v="0.2"/>
    <n v="52"/>
    <x v="4"/>
    <s v="Nov"/>
  </r>
  <r>
    <n v="293"/>
    <s v="CA-2016-110772"/>
    <x v="47"/>
    <d v="2016-11-24T00:00:00"/>
    <x v="0"/>
    <s v="NZ-18565"/>
    <s v="Nick Zandusky"/>
    <x v="2"/>
    <s v="United States"/>
    <x v="29"/>
    <x v="15"/>
    <n v="43229"/>
    <x v="2"/>
    <s v="FUR-BO-10004709"/>
    <x v="0"/>
    <x v="0"/>
    <s v="Bush Westfield Collection Bookcases, Medium Cherry Finish"/>
    <n v="87"/>
    <n v="3"/>
    <n v="0.5"/>
    <n v="-49"/>
    <x v="4"/>
    <s v="Nov"/>
  </r>
  <r>
    <n v="294"/>
    <s v="CA-2014-111451"/>
    <x v="22"/>
    <d v="2014-12-28T00:00:00"/>
    <x v="2"/>
    <s v="KL-16555"/>
    <s v="Kelly Lampkin"/>
    <x v="1"/>
    <s v="United States"/>
    <x v="30"/>
    <x v="12"/>
    <n v="80906"/>
    <x v="1"/>
    <s v="FUR-FU-10004091"/>
    <x v="0"/>
    <x v="3"/>
    <s v="Howard Miller 13&quot; Diameter Goldtone Round Wall Clock"/>
    <n v="300"/>
    <n v="8"/>
    <n v="0.2"/>
    <n v="79"/>
    <x v="3"/>
    <s v="Dec"/>
  </r>
  <r>
    <n v="295"/>
    <s v="CA-2014-111451"/>
    <x v="22"/>
    <d v="2014-12-28T00:00:00"/>
    <x v="2"/>
    <s v="KL-16555"/>
    <s v="Kelly Lampkin"/>
    <x v="1"/>
    <s v="United States"/>
    <x v="30"/>
    <x v="12"/>
    <n v="80906"/>
    <x v="1"/>
    <s v="FUR-CH-10001891"/>
    <x v="0"/>
    <x v="1"/>
    <s v="Global Deluxe Office Fabric Chairs"/>
    <n v="230"/>
    <n v="3"/>
    <n v="0.2"/>
    <n v="20"/>
    <x v="3"/>
    <s v="Dec"/>
  </r>
  <r>
    <n v="296"/>
    <s v="CA-2014-111451"/>
    <x v="22"/>
    <d v="2014-12-28T00:00:00"/>
    <x v="2"/>
    <s v="KL-16555"/>
    <s v="Kelly Lampkin"/>
    <x v="1"/>
    <s v="United States"/>
    <x v="30"/>
    <x v="12"/>
    <n v="80906"/>
    <x v="1"/>
    <s v="FUR-FU-10002918"/>
    <x v="0"/>
    <x v="3"/>
    <s v="Eldon ClusterMat Chair Mat with Cordless Antistatic Protection"/>
    <n v="218"/>
    <n v="3"/>
    <n v="0.2"/>
    <n v="-25"/>
    <x v="3"/>
    <s v="Dec"/>
  </r>
  <r>
    <n v="302"/>
    <s v="CA-2016-142545"/>
    <x v="48"/>
    <d v="2016-11-03T00:00:00"/>
    <x v="1"/>
    <s v="JD-15895"/>
    <s v="Jonathan Doherty"/>
    <x v="1"/>
    <s v="United States"/>
    <x v="31"/>
    <x v="18"/>
    <n v="7109"/>
    <x v="2"/>
    <s v="FUR-FU-10001861"/>
    <x v="0"/>
    <x v="3"/>
    <s v="Floodlight Indoor Halogen Bulbs, 1 Bulb per Pack, 60 Watts"/>
    <n v="78"/>
    <n v="4"/>
    <n v="0"/>
    <n v="38"/>
    <x v="6"/>
    <s v="Oct"/>
  </r>
  <r>
    <n v="304"/>
    <s v="US-2017-152380"/>
    <x v="49"/>
    <d v="2017-11-23T00:00:00"/>
    <x v="1"/>
    <s v="JH-15910"/>
    <s v="Jonathan Howell"/>
    <x v="0"/>
    <s v="United States"/>
    <x v="9"/>
    <x v="8"/>
    <n v="60623"/>
    <x v="3"/>
    <s v="FUR-TA-10002533"/>
    <x v="0"/>
    <x v="2"/>
    <s v="BPI Conference Tables"/>
    <n v="219"/>
    <n v="3"/>
    <n v="0.5"/>
    <n v="-131"/>
    <x v="4"/>
    <s v="Nov"/>
  </r>
  <r>
    <n v="305"/>
    <s v="CA-2015-144253"/>
    <x v="50"/>
    <d v="2015-05-09T00:00:00"/>
    <x v="0"/>
    <s v="AS-10225"/>
    <s v="Alan Schoenberger"/>
    <x v="1"/>
    <s v="United States"/>
    <x v="13"/>
    <x v="7"/>
    <n v="10024"/>
    <x v="2"/>
    <s v="FUR-FU-10002671"/>
    <x v="0"/>
    <x v="3"/>
    <s v="Electrix 20W Halogen Replacement Bulb for Zoom-In Desk Lamp"/>
    <n v="27"/>
    <n v="2"/>
    <n v="0"/>
    <n v="13"/>
    <x v="2"/>
    <s v="May"/>
  </r>
  <r>
    <n v="310"/>
    <s v="CA-2016-142902"/>
    <x v="51"/>
    <d v="2016-09-14T00:00:00"/>
    <x v="0"/>
    <s v="BP-11185"/>
    <s v="Ben Peterman"/>
    <x v="1"/>
    <s v="United States"/>
    <x v="32"/>
    <x v="12"/>
    <n v="80004"/>
    <x v="1"/>
    <s v="FUR-FU-10001918"/>
    <x v="0"/>
    <x v="3"/>
    <s v="C-Line Cubicle Keepers Polyproplyene Holder With Velcro Backings"/>
    <n v="15"/>
    <n v="4"/>
    <n v="0.2"/>
    <n v="4"/>
    <x v="3"/>
    <s v="Sep"/>
  </r>
  <r>
    <n v="311"/>
    <s v="CA-2016-142902"/>
    <x v="51"/>
    <d v="2016-09-14T00:00:00"/>
    <x v="0"/>
    <s v="BP-11185"/>
    <s v="Ben Peterman"/>
    <x v="1"/>
    <s v="United States"/>
    <x v="32"/>
    <x v="12"/>
    <n v="80004"/>
    <x v="1"/>
    <s v="FUR-CH-10004086"/>
    <x v="0"/>
    <x v="1"/>
    <s v="Hon 4070 Series Pagoda Armless Upholstered Stacking Chairs"/>
    <n v="467"/>
    <n v="2"/>
    <n v="0.2"/>
    <n v="53"/>
    <x v="3"/>
    <s v="Sep"/>
  </r>
  <r>
    <n v="312"/>
    <s v="CA-2016-142902"/>
    <x v="51"/>
    <d v="2016-09-14T00:00:00"/>
    <x v="0"/>
    <s v="BP-11185"/>
    <s v="Ben Peterman"/>
    <x v="1"/>
    <s v="United States"/>
    <x v="32"/>
    <x v="12"/>
    <n v="80004"/>
    <x v="1"/>
    <s v="FUR-FU-10001756"/>
    <x v="0"/>
    <x v="3"/>
    <s v="Eldon Expressions Desk Accessory, Wood Photo Frame, Mahogany"/>
    <n v="15"/>
    <n v="1"/>
    <n v="0.2"/>
    <n v="2"/>
    <x v="3"/>
    <s v="Sep"/>
  </r>
  <r>
    <n v="314"/>
    <s v="CA-2014-120887"/>
    <x v="52"/>
    <d v="2014-10-03T00:00:00"/>
    <x v="1"/>
    <s v="TS-21205"/>
    <s v="Thomas Seio"/>
    <x v="1"/>
    <s v="United States"/>
    <x v="33"/>
    <x v="18"/>
    <n v="7601"/>
    <x v="2"/>
    <s v="FUR-FU-10001588"/>
    <x v="0"/>
    <x v="3"/>
    <s v="Deflect-o SuperTray Unbreakable Stackable Tray, Letter, Black"/>
    <n v="88"/>
    <n v="3"/>
    <n v="0"/>
    <n v="38"/>
    <x v="6"/>
    <s v="Sep"/>
  </r>
  <r>
    <n v="318"/>
    <s v="CA-2014-164973"/>
    <x v="53"/>
    <d v="2014-11-09T00:00:00"/>
    <x v="1"/>
    <s v="NM-18445"/>
    <s v="Nathan Mautz"/>
    <x v="2"/>
    <s v="United States"/>
    <x v="13"/>
    <x v="7"/>
    <n v="10024"/>
    <x v="2"/>
    <s v="FUR-CH-10002602"/>
    <x v="0"/>
    <x v="1"/>
    <s v="DMI Arturo Collection Mission-style Design Wood Chair"/>
    <n v="136"/>
    <n v="1"/>
    <n v="0.1"/>
    <n v="24"/>
    <x v="2"/>
    <s v="Nov"/>
  </r>
  <r>
    <n v="326"/>
    <s v="CA-2017-153339"/>
    <x v="54"/>
    <d v="2017-11-05T00:00:00"/>
    <x v="0"/>
    <s v="DJ-13510"/>
    <s v="Don Jones"/>
    <x v="1"/>
    <s v="United States"/>
    <x v="34"/>
    <x v="9"/>
    <n v="37130"/>
    <x v="0"/>
    <s v="FUR-FU-10001967"/>
    <x v="0"/>
    <x v="3"/>
    <s v="Telescoping Adjustable Floor Lamp"/>
    <n v="16"/>
    <n v="1"/>
    <n v="0.2"/>
    <n v="1"/>
    <x v="3"/>
    <s v="Nov"/>
  </r>
  <r>
    <n v="329"/>
    <s v="US-2016-141544"/>
    <x v="55"/>
    <d v="2016-09-01T00:00:00"/>
    <x v="2"/>
    <s v="PO-18850"/>
    <s v="Patrick O'Brill"/>
    <x v="0"/>
    <s v="United States"/>
    <x v="3"/>
    <x v="3"/>
    <n v="19143"/>
    <x v="2"/>
    <s v="FUR-CH-10003312"/>
    <x v="0"/>
    <x v="1"/>
    <s v="Hon 2090 ÒPillow SoftÓ Series Mid Back Swivel/Tilt Chairs"/>
    <n v="787"/>
    <n v="4"/>
    <n v="0.3"/>
    <n v="-259"/>
    <x v="3"/>
    <s v="Aug"/>
  </r>
  <r>
    <n v="339"/>
    <s v="CA-2014-129924"/>
    <x v="56"/>
    <d v="2014-07-17T00:00:00"/>
    <x v="1"/>
    <s v="AC-10420"/>
    <s v="Alyssa Crouse"/>
    <x v="1"/>
    <s v="United States"/>
    <x v="28"/>
    <x v="2"/>
    <n v="94122"/>
    <x v="1"/>
    <s v="FUR-TA-10004575"/>
    <x v="0"/>
    <x v="2"/>
    <s v="Hon 5100 Series Wood Tables"/>
    <n v="698"/>
    <n v="3"/>
    <n v="0.2"/>
    <n v="-17"/>
    <x v="2"/>
    <s v="Jul"/>
  </r>
  <r>
    <n v="355"/>
    <s v="CA-2016-138520"/>
    <x v="57"/>
    <d v="2016-04-13T00:00:00"/>
    <x v="1"/>
    <s v="JL-15505"/>
    <s v="Jeremy Lonsdale"/>
    <x v="0"/>
    <s v="United States"/>
    <x v="13"/>
    <x v="7"/>
    <n v="10035"/>
    <x v="2"/>
    <s v="FUR-BO-10002268"/>
    <x v="0"/>
    <x v="0"/>
    <s v="Sauder Barrister Bookcases"/>
    <n v="389"/>
    <n v="6"/>
    <n v="0.2"/>
    <n v="-5"/>
    <x v="2"/>
    <s v="Apr"/>
  </r>
  <r>
    <n v="363"/>
    <s v="CA-2017-144904"/>
    <x v="58"/>
    <d v="2017-10-01T00:00:00"/>
    <x v="1"/>
    <s v="KW-16435"/>
    <s v="Katrina Willman"/>
    <x v="0"/>
    <s v="United States"/>
    <x v="13"/>
    <x v="7"/>
    <n v="10009"/>
    <x v="2"/>
    <s v="FUR-CH-10000785"/>
    <x v="0"/>
    <x v="1"/>
    <s v="Global Ergonomic Managers Chair"/>
    <n v="489"/>
    <n v="3"/>
    <n v="0.1"/>
    <n v="87"/>
    <x v="6"/>
    <s v="Sep"/>
  </r>
  <r>
    <n v="365"/>
    <s v="CA-2017-144904"/>
    <x v="58"/>
    <d v="2017-10-01T00:00:00"/>
    <x v="1"/>
    <s v="KW-16435"/>
    <s v="Katrina Willman"/>
    <x v="0"/>
    <s v="United States"/>
    <x v="13"/>
    <x v="7"/>
    <n v="10009"/>
    <x v="2"/>
    <s v="FUR-FU-10000023"/>
    <x v="0"/>
    <x v="3"/>
    <s v="Eldon Wave Desk Accessories"/>
    <n v="47"/>
    <n v="8"/>
    <n v="0"/>
    <n v="21"/>
    <x v="6"/>
    <s v="Sep"/>
  </r>
  <r>
    <n v="370"/>
    <s v="CA-2016-155516"/>
    <x v="59"/>
    <d v="2016-10-21T00:00:00"/>
    <x v="3"/>
    <s v="MK-17905"/>
    <s v="Michael Kennedy"/>
    <x v="1"/>
    <s v="United States"/>
    <x v="35"/>
    <x v="19"/>
    <n v="6040"/>
    <x v="2"/>
    <s v="FUR-BO-10002545"/>
    <x v="0"/>
    <x v="0"/>
    <s v="Atlantic Metals Mobile 3-Shelf Bookcases, Custom Colors"/>
    <n v="1044"/>
    <n v="4"/>
    <n v="0"/>
    <n v="271"/>
    <x v="7"/>
    <s v="Oct"/>
  </r>
  <r>
    <n v="378"/>
    <s v="US-2017-134481"/>
    <x v="60"/>
    <d v="2017-09-01T00:00:00"/>
    <x v="1"/>
    <s v="AR-10405"/>
    <s v="Allen Rosenblatt"/>
    <x v="1"/>
    <s v="United States"/>
    <x v="20"/>
    <x v="20"/>
    <n v="2038"/>
    <x v="2"/>
    <s v="FUR-TA-10004915"/>
    <x v="0"/>
    <x v="2"/>
    <s v="Office Impressions End Table, 20-1/2&quot;H x 24&quot;W x 20&quot;D"/>
    <n v="1488"/>
    <n v="7"/>
    <n v="0.3"/>
    <n v="-298"/>
    <x v="2"/>
    <s v="Aug"/>
  </r>
  <r>
    <n v="385"/>
    <s v="US-2015-168935"/>
    <x v="61"/>
    <d v="2015-12-02T00:00:00"/>
    <x v="1"/>
    <s v="DO-13435"/>
    <s v="Denny Ordway"/>
    <x v="0"/>
    <s v="United States"/>
    <x v="36"/>
    <x v="1"/>
    <n v="33024"/>
    <x v="0"/>
    <s v="FUR-TA-10000617"/>
    <x v="0"/>
    <x v="2"/>
    <s v="Hon Practical Foundations 30 x 60 Training Table, Light Gray/Charcoal"/>
    <n v="375"/>
    <n v="3"/>
    <n v="0.45"/>
    <n v="-157"/>
    <x v="2"/>
    <s v="Nov"/>
  </r>
  <r>
    <n v="388"/>
    <s v="CA-2015-122756"/>
    <x v="62"/>
    <d v="2015-12-07T00:00:00"/>
    <x v="1"/>
    <s v="DK-13225"/>
    <s v="Dean Katz"/>
    <x v="1"/>
    <s v="United States"/>
    <x v="3"/>
    <x v="3"/>
    <n v="19140"/>
    <x v="2"/>
    <s v="FUR-FU-10001935"/>
    <x v="0"/>
    <x v="3"/>
    <s v="3M Hangers With Command Adhesive"/>
    <n v="3"/>
    <n v="1"/>
    <n v="0.2"/>
    <n v="1"/>
    <x v="4"/>
    <s v="Dec"/>
  </r>
  <r>
    <n v="400"/>
    <s v="CA-2016-108987"/>
    <x v="63"/>
    <d v="2016-09-10T00:00:00"/>
    <x v="0"/>
    <s v="AG-10675"/>
    <s v="Anna Gayman"/>
    <x v="0"/>
    <s v="United States"/>
    <x v="6"/>
    <x v="5"/>
    <n v="77036"/>
    <x v="3"/>
    <s v="FUR-BO-10004834"/>
    <x v="0"/>
    <x v="0"/>
    <s v="Riverside Palais Royal Lawyers Bookcase, Royale Cherry Finish"/>
    <n v="2396"/>
    <n v="4"/>
    <n v="0.32"/>
    <n v="-317"/>
    <x v="3"/>
    <s v="Sep"/>
  </r>
  <r>
    <n v="409"/>
    <s v="CA-2017-117457"/>
    <x v="64"/>
    <d v="2017-12-12T00:00:00"/>
    <x v="1"/>
    <s v="KH-16510"/>
    <s v="Keith Herrera"/>
    <x v="0"/>
    <s v="United States"/>
    <x v="28"/>
    <x v="2"/>
    <n v="94110"/>
    <x v="1"/>
    <s v="FUR-TA-10002041"/>
    <x v="0"/>
    <x v="2"/>
    <s v="Bevis Round Conference Table Top, X-Base"/>
    <n v="1004"/>
    <n v="7"/>
    <n v="0.2"/>
    <n v="-113"/>
    <x v="4"/>
    <s v="Dec"/>
  </r>
  <r>
    <n v="413"/>
    <s v="CA-2017-117457"/>
    <x v="64"/>
    <d v="2017-12-12T00:00:00"/>
    <x v="1"/>
    <s v="KH-16510"/>
    <s v="Keith Herrera"/>
    <x v="0"/>
    <s v="United States"/>
    <x v="28"/>
    <x v="2"/>
    <n v="94110"/>
    <x v="1"/>
    <s v="FUR-BO-10001972"/>
    <x v="0"/>
    <x v="0"/>
    <s v="O'Sullivan 4-Shelf Bookcase in Odessa Pine"/>
    <n v="1337"/>
    <n v="13"/>
    <n v="0.15"/>
    <n v="31"/>
    <x v="4"/>
    <s v="Dec"/>
  </r>
  <r>
    <n v="414"/>
    <s v="CA-2017-117457"/>
    <x v="64"/>
    <d v="2017-12-12T00:00:00"/>
    <x v="1"/>
    <s v="KH-16510"/>
    <s v="Keith Herrera"/>
    <x v="0"/>
    <s v="United States"/>
    <x v="28"/>
    <x v="2"/>
    <n v="94110"/>
    <x v="1"/>
    <s v="FUR-CH-10003956"/>
    <x v="0"/>
    <x v="1"/>
    <s v="Novimex High-Tech Fabric Mesh Task Chair"/>
    <n v="114"/>
    <n v="2"/>
    <n v="0.2"/>
    <n v="-18"/>
    <x v="4"/>
    <s v="Dec"/>
  </r>
  <r>
    <n v="416"/>
    <s v="CA-2017-142636"/>
    <x v="54"/>
    <d v="2017-11-07T00:00:00"/>
    <x v="1"/>
    <s v="KC-16675"/>
    <s v="Kimberly Carter"/>
    <x v="1"/>
    <s v="United States"/>
    <x v="15"/>
    <x v="13"/>
    <n v="98105"/>
    <x v="1"/>
    <s v="FUR-CH-10001891"/>
    <x v="0"/>
    <x v="1"/>
    <s v="Global Deluxe Office Fabric Chairs"/>
    <n v="307"/>
    <n v="4"/>
    <n v="0.2"/>
    <n v="27"/>
    <x v="4"/>
    <s v="Nov"/>
  </r>
  <r>
    <n v="418"/>
    <s v="CA-2016-148796"/>
    <x v="65"/>
    <d v="2016-04-18T00:00:00"/>
    <x v="1"/>
    <s v="PB-19150"/>
    <s v="Philip Brown"/>
    <x v="0"/>
    <s v="United States"/>
    <x v="2"/>
    <x v="2"/>
    <n v="90004"/>
    <x v="1"/>
    <s v="FUR-CH-10004886"/>
    <x v="0"/>
    <x v="1"/>
    <s v="Bevis Steel Folding Chairs"/>
    <n v="384"/>
    <n v="5"/>
    <n v="0.2"/>
    <n v="38"/>
    <x v="4"/>
    <s v="Apr"/>
  </r>
  <r>
    <n v="423"/>
    <s v="CA-2017-125388"/>
    <x v="66"/>
    <d v="2017-10-23T00:00:00"/>
    <x v="1"/>
    <s v="MP-17965"/>
    <s v="Michael Paige"/>
    <x v="1"/>
    <s v="United States"/>
    <x v="37"/>
    <x v="20"/>
    <n v="1841"/>
    <x v="2"/>
    <s v="FUR-FU-10004712"/>
    <x v="0"/>
    <x v="3"/>
    <s v="Westinghouse Mesh Shade Clip-On Gooseneck Lamp, Black"/>
    <n v="57"/>
    <n v="4"/>
    <n v="0"/>
    <n v="15"/>
    <x v="4"/>
    <s v="Oct"/>
  </r>
  <r>
    <n v="425"/>
    <s v="CA-2017-155705"/>
    <x v="67"/>
    <d v="2017-08-23T00:00:00"/>
    <x v="0"/>
    <s v="NF-18385"/>
    <s v="Natalie Fritzler"/>
    <x v="0"/>
    <s v="United States"/>
    <x v="38"/>
    <x v="21"/>
    <n v="39212"/>
    <x v="0"/>
    <s v="FUR-CH-10000015"/>
    <x v="0"/>
    <x v="1"/>
    <s v="Hon Multipurpose Stacking Arm Chairs"/>
    <n v="866"/>
    <n v="4"/>
    <n v="0"/>
    <n v="225"/>
    <x v="3"/>
    <s v="Aug"/>
  </r>
  <r>
    <n v="426"/>
    <s v="CA-2017-149160"/>
    <x v="68"/>
    <d v="2017-11-26T00:00:00"/>
    <x v="0"/>
    <s v="JM-15265"/>
    <s v="Janet Molinari"/>
    <x v="1"/>
    <s v="United States"/>
    <x v="39"/>
    <x v="17"/>
    <n v="48187"/>
    <x v="3"/>
    <s v="FUR-FU-10003347"/>
    <x v="0"/>
    <x v="3"/>
    <s v="Coloredge Poster Frame"/>
    <n v="28"/>
    <n v="2"/>
    <n v="0"/>
    <n v="11"/>
    <x v="0"/>
    <s v="Nov"/>
  </r>
  <r>
    <n v="440"/>
    <s v="CA-2017-157252"/>
    <x v="69"/>
    <d v="2017-01-23T00:00:00"/>
    <x v="0"/>
    <s v="CV-12805"/>
    <s v="Cynthia Voltz"/>
    <x v="1"/>
    <s v="United States"/>
    <x v="13"/>
    <x v="7"/>
    <n v="10024"/>
    <x v="2"/>
    <s v="FUR-CH-10003396"/>
    <x v="0"/>
    <x v="1"/>
    <s v="Global Deluxe Steno Chair"/>
    <n v="208"/>
    <n v="3"/>
    <n v="0.1"/>
    <n v="2"/>
    <x v="0"/>
    <s v="Jan"/>
  </r>
  <r>
    <n v="441"/>
    <s v="CA-2016-115756"/>
    <x v="26"/>
    <d v="2016-09-07T00:00:00"/>
    <x v="0"/>
    <s v="PK-19075"/>
    <s v="Pete Kriz"/>
    <x v="0"/>
    <s v="United States"/>
    <x v="25"/>
    <x v="17"/>
    <n v="48227"/>
    <x v="3"/>
    <s v="FUR-FU-10000246"/>
    <x v="0"/>
    <x v="3"/>
    <s v="Aluminum Document Frame"/>
    <n v="12"/>
    <n v="1"/>
    <n v="0"/>
    <n v="4"/>
    <x v="3"/>
    <s v="Sep"/>
  </r>
  <r>
    <n v="445"/>
    <s v="CA-2016-115756"/>
    <x v="26"/>
    <d v="2016-09-07T00:00:00"/>
    <x v="0"/>
    <s v="PK-19075"/>
    <s v="Pete Kriz"/>
    <x v="0"/>
    <s v="United States"/>
    <x v="25"/>
    <x v="17"/>
    <n v="48227"/>
    <x v="3"/>
    <s v="FUR-CH-10002372"/>
    <x v="0"/>
    <x v="1"/>
    <s v="Office Star - Ergonomically Designed Knee Chair"/>
    <n v="243"/>
    <n v="3"/>
    <n v="0"/>
    <n v="29"/>
    <x v="3"/>
    <s v="Sep"/>
  </r>
  <r>
    <n v="447"/>
    <s v="CA-2017-154214"/>
    <x v="70"/>
    <d v="2017-03-25T00:00:00"/>
    <x v="0"/>
    <s v="TB-21595"/>
    <s v="Troy Blackwell"/>
    <x v="0"/>
    <s v="United States"/>
    <x v="29"/>
    <x v="6"/>
    <n v="47201"/>
    <x v="3"/>
    <s v="FUR-FU-10000206"/>
    <x v="0"/>
    <x v="3"/>
    <s v="GE General Purpose, Extra Long Life, Showcase &amp; Floodlight Incandescent Bulbs"/>
    <n v="3"/>
    <n v="1"/>
    <n v="0"/>
    <n v="1"/>
    <x v="2"/>
    <s v="Mar"/>
  </r>
  <r>
    <n v="454"/>
    <s v="CA-2017-147277"/>
    <x v="71"/>
    <d v="2017-10-24T00:00:00"/>
    <x v="1"/>
    <s v="EB-13705"/>
    <s v="Ed Braxton"/>
    <x v="1"/>
    <s v="United States"/>
    <x v="40"/>
    <x v="15"/>
    <n v="44312"/>
    <x v="2"/>
    <s v="FUR-TA-10001539"/>
    <x v="0"/>
    <x v="2"/>
    <s v="Chromcraft Rectangular Conference Tables"/>
    <n v="284"/>
    <n v="2"/>
    <n v="0.4"/>
    <n v="-76"/>
    <x v="4"/>
    <s v="Oct"/>
  </r>
  <r>
    <n v="457"/>
    <s v="US-2014-110674"/>
    <x v="72"/>
    <d v="2014-02-18T00:00:00"/>
    <x v="1"/>
    <s v="SC-20095"/>
    <s v="Sanjit Chand"/>
    <x v="0"/>
    <s v="United States"/>
    <x v="41"/>
    <x v="2"/>
    <n v="94521"/>
    <x v="1"/>
    <s v="FUR-CH-10000225"/>
    <x v="0"/>
    <x v="1"/>
    <s v="Global Geo Office Task Chair, Gray"/>
    <n v="130"/>
    <n v="2"/>
    <n v="0.2"/>
    <n v="-24"/>
    <x v="6"/>
    <s v="Feb"/>
  </r>
  <r>
    <n v="458"/>
    <s v="US-2016-157945"/>
    <x v="73"/>
    <d v="2016-10-01T00:00:00"/>
    <x v="1"/>
    <s v="NF-18385"/>
    <s v="Natalie Fritzler"/>
    <x v="0"/>
    <s v="United States"/>
    <x v="42"/>
    <x v="8"/>
    <n v="62521"/>
    <x v="3"/>
    <s v="FUR-CH-10002331"/>
    <x v="0"/>
    <x v="1"/>
    <s v="Hon 4700 Series Mobuis Mid-Back Task Chairs with Adjustable Arms"/>
    <n v="748"/>
    <n v="3"/>
    <n v="0.3"/>
    <n v="-96"/>
    <x v="2"/>
    <s v="Sep"/>
  </r>
  <r>
    <n v="463"/>
    <s v="CA-2016-109869"/>
    <x v="74"/>
    <d v="2016-04-29T00:00:00"/>
    <x v="1"/>
    <s v="TN-21040"/>
    <s v="Tanja Norvell"/>
    <x v="2"/>
    <s v="United States"/>
    <x v="43"/>
    <x v="22"/>
    <n v="85023"/>
    <x v="1"/>
    <s v="FUR-FU-10000023"/>
    <x v="0"/>
    <x v="3"/>
    <s v="Eldon Wave Desk Accessories"/>
    <n v="24"/>
    <n v="5"/>
    <n v="0.2"/>
    <n v="7"/>
    <x v="1"/>
    <s v="Apr"/>
  </r>
  <r>
    <n v="464"/>
    <s v="CA-2016-109869"/>
    <x v="74"/>
    <d v="2016-04-29T00:00:00"/>
    <x v="1"/>
    <s v="TN-21040"/>
    <s v="Tanja Norvell"/>
    <x v="2"/>
    <s v="United States"/>
    <x v="43"/>
    <x v="22"/>
    <n v="85023"/>
    <x v="1"/>
    <s v="FUR-TA-10001889"/>
    <x v="0"/>
    <x v="2"/>
    <s v="Bush Advantage Collection Racetrack Conference Table"/>
    <n v="1273"/>
    <n v="6"/>
    <n v="0.5"/>
    <n v="-814"/>
    <x v="1"/>
    <s v="Apr"/>
  </r>
  <r>
    <n v="468"/>
    <s v="US-2015-101399"/>
    <x v="75"/>
    <d v="2015-01-24T00:00:00"/>
    <x v="1"/>
    <s v="JS-15940"/>
    <s v="Joni Sundaresam"/>
    <x v="2"/>
    <s v="United States"/>
    <x v="44"/>
    <x v="8"/>
    <n v="60068"/>
    <x v="3"/>
    <s v="FUR-FU-10002918"/>
    <x v="0"/>
    <x v="3"/>
    <s v="Eldon ClusterMat Chair Mat with Cordless Antistatic Protection"/>
    <n v="255"/>
    <n v="7"/>
    <n v="0.6"/>
    <n v="-312"/>
    <x v="1"/>
    <s v="Jan"/>
  </r>
  <r>
    <n v="469"/>
    <s v="CA-2017-154907"/>
    <x v="76"/>
    <d v="2017-04-04T00:00:00"/>
    <x v="1"/>
    <s v="DS-13180"/>
    <s v="David Smith"/>
    <x v="1"/>
    <s v="United States"/>
    <x v="45"/>
    <x v="5"/>
    <n v="79109"/>
    <x v="3"/>
    <s v="FUR-BO-10002824"/>
    <x v="0"/>
    <x v="0"/>
    <s v="Bush Mission Pointe Library"/>
    <n v="205"/>
    <n v="2"/>
    <n v="0.32"/>
    <n v="-36"/>
    <x v="4"/>
    <s v="Mar"/>
  </r>
  <r>
    <n v="473"/>
    <s v="CA-2014-144666"/>
    <x v="77"/>
    <d v="2014-11-11T00:00:00"/>
    <x v="0"/>
    <s v="JP-15520"/>
    <s v="Jeremy Pistek"/>
    <x v="0"/>
    <s v="United States"/>
    <x v="28"/>
    <x v="2"/>
    <n v="94110"/>
    <x v="1"/>
    <s v="FUR-BO-10001601"/>
    <x v="0"/>
    <x v="0"/>
    <s v="Sauder Mission Library with Doors, Fruitwood Finish"/>
    <n v="223"/>
    <n v="2"/>
    <n v="0.15"/>
    <n v="10"/>
    <x v="3"/>
    <s v="Nov"/>
  </r>
  <r>
    <n v="479"/>
    <s v="CA-2016-152632"/>
    <x v="78"/>
    <d v="2016-11-02T00:00:00"/>
    <x v="1"/>
    <s v="JE-15475"/>
    <s v="Jeremy Ellison"/>
    <x v="0"/>
    <s v="United States"/>
    <x v="8"/>
    <x v="7"/>
    <n v="12180"/>
    <x v="2"/>
    <s v="FUR-FU-10002671"/>
    <x v="0"/>
    <x v="3"/>
    <s v="Electrix 20W Halogen Replacement Bulb for Zoom-In Desk Lamp"/>
    <n v="40"/>
    <n v="3"/>
    <n v="0"/>
    <n v="19"/>
    <x v="6"/>
    <s v="Oct"/>
  </r>
  <r>
    <n v="486"/>
    <s v="CA-2017-140963"/>
    <x v="79"/>
    <d v="2017-06-13T00:00:00"/>
    <x v="2"/>
    <s v="MT-18070"/>
    <s v="Michelle Tran"/>
    <x v="2"/>
    <s v="United States"/>
    <x v="2"/>
    <x v="2"/>
    <n v="90045"/>
    <x v="1"/>
    <s v="FUR-BO-10001337"/>
    <x v="0"/>
    <x v="0"/>
    <s v="O'Sullivan Living Dimensions 2-Shelf Bookcases"/>
    <n v="514"/>
    <n v="5"/>
    <n v="0.15"/>
    <n v="-30"/>
    <x v="0"/>
    <s v="Jun"/>
  </r>
  <r>
    <n v="495"/>
    <s v="US-2016-120929"/>
    <x v="80"/>
    <d v="2016-03-21T00:00:00"/>
    <x v="0"/>
    <s v="RO-19780"/>
    <s v="Rose O'Brian"/>
    <x v="0"/>
    <s v="United States"/>
    <x v="10"/>
    <x v="9"/>
    <n v="38109"/>
    <x v="0"/>
    <s v="FUR-TA-10001857"/>
    <x v="0"/>
    <x v="2"/>
    <s v="Balt Solid Wood Rectangular Table"/>
    <n v="190"/>
    <n v="3"/>
    <n v="0.4"/>
    <n v="-95"/>
    <x v="0"/>
    <s v="Mar"/>
  </r>
  <r>
    <n v="498"/>
    <s v="CA-2016-126158"/>
    <x v="81"/>
    <d v="2016-07-31T00:00:00"/>
    <x v="1"/>
    <s v="SC-20095"/>
    <s v="Sanjit Chand"/>
    <x v="0"/>
    <s v="United States"/>
    <x v="46"/>
    <x v="2"/>
    <n v="92627"/>
    <x v="1"/>
    <s v="FUR-FU-10004864"/>
    <x v="0"/>
    <x v="3"/>
    <s v="Howard Miller 14-1/2&quot; Diameter Chrome Round Wall Clock"/>
    <n v="256"/>
    <n v="4"/>
    <n v="0"/>
    <n v="82"/>
    <x v="6"/>
    <s v="Jul"/>
  </r>
  <r>
    <n v="499"/>
    <s v="CA-2016-126158"/>
    <x v="81"/>
    <d v="2016-07-31T00:00:00"/>
    <x v="1"/>
    <s v="SC-20095"/>
    <s v="Sanjit Chand"/>
    <x v="0"/>
    <s v="United States"/>
    <x v="46"/>
    <x v="2"/>
    <n v="92627"/>
    <x v="1"/>
    <s v="FUR-CH-10002602"/>
    <x v="0"/>
    <x v="1"/>
    <s v="DMI Arturo Collection Mission-style Design Wood Chair"/>
    <n v="242"/>
    <n v="2"/>
    <n v="0.2"/>
    <n v="18"/>
    <x v="6"/>
    <s v="Jul"/>
  </r>
  <r>
    <n v="500"/>
    <s v="CA-2016-126158"/>
    <x v="81"/>
    <d v="2016-07-31T00:00:00"/>
    <x v="1"/>
    <s v="SC-20095"/>
    <s v="Sanjit Chand"/>
    <x v="0"/>
    <s v="United States"/>
    <x v="46"/>
    <x v="2"/>
    <n v="92627"/>
    <x v="1"/>
    <s v="FUR-FU-10000073"/>
    <x v="0"/>
    <x v="3"/>
    <s v="Deflect-O Glasstique Clear Desk Accessories"/>
    <n v="69"/>
    <n v="9"/>
    <n v="0"/>
    <n v="23"/>
    <x v="6"/>
    <s v="Jul"/>
  </r>
  <r>
    <n v="503"/>
    <s v="US-2016-105578"/>
    <x v="82"/>
    <d v="2016-06-04T00:00:00"/>
    <x v="1"/>
    <s v="MY-17380"/>
    <s v="Maribeth Yedwab"/>
    <x v="1"/>
    <s v="United States"/>
    <x v="47"/>
    <x v="12"/>
    <n v="80134"/>
    <x v="1"/>
    <s v="FUR-CH-10001215"/>
    <x v="0"/>
    <x v="1"/>
    <s v="Global Troy Executive Leather Low-Back Tilter"/>
    <n v="802"/>
    <n v="2"/>
    <n v="0.2"/>
    <n v="50"/>
    <x v="2"/>
    <s v="May"/>
  </r>
  <r>
    <n v="511"/>
    <s v="CA-2017-135307"/>
    <x v="83"/>
    <d v="2017-11-27T00:00:00"/>
    <x v="2"/>
    <s v="LS-17245"/>
    <s v="Lynn Smith"/>
    <x v="0"/>
    <s v="United States"/>
    <x v="48"/>
    <x v="23"/>
    <n v="64118"/>
    <x v="3"/>
    <s v="FUR-FU-10001290"/>
    <x v="0"/>
    <x v="3"/>
    <s v="Executive Impressions Supervisor Wall Clock"/>
    <n v="126"/>
    <n v="3"/>
    <n v="0"/>
    <n v="40"/>
    <x v="5"/>
    <s v="Nov"/>
  </r>
  <r>
    <n v="523"/>
    <s v="CA-2017-145142"/>
    <x v="84"/>
    <d v="2017-01-25T00:00:00"/>
    <x v="2"/>
    <s v="MC-17605"/>
    <s v="Matt Connell"/>
    <x v="1"/>
    <s v="United States"/>
    <x v="25"/>
    <x v="17"/>
    <n v="48234"/>
    <x v="3"/>
    <s v="FUR-TA-10001857"/>
    <x v="0"/>
    <x v="2"/>
    <s v="Balt Solid Wood Rectangular Table"/>
    <n v="211"/>
    <n v="2"/>
    <n v="0"/>
    <n v="21"/>
    <x v="3"/>
    <s v="Jan"/>
  </r>
  <r>
    <n v="527"/>
    <s v="CA-2017-113558"/>
    <x v="85"/>
    <d v="2017-10-26T00:00:00"/>
    <x v="1"/>
    <s v="PH-18790"/>
    <s v="Patricia Hirasaki"/>
    <x v="2"/>
    <s v="United States"/>
    <x v="49"/>
    <x v="1"/>
    <n v="33801"/>
    <x v="0"/>
    <s v="FUR-CH-10003379"/>
    <x v="0"/>
    <x v="1"/>
    <s v="Global Commerce Series High-Back Swivel/Tilt Chairs"/>
    <n v="684"/>
    <n v="3"/>
    <n v="0.2"/>
    <n v="43"/>
    <x v="2"/>
    <s v="Oct"/>
  </r>
  <r>
    <n v="528"/>
    <s v="CA-2017-113558"/>
    <x v="85"/>
    <d v="2017-10-26T00:00:00"/>
    <x v="1"/>
    <s v="PH-18790"/>
    <s v="Patricia Hirasaki"/>
    <x v="2"/>
    <s v="United States"/>
    <x v="49"/>
    <x v="1"/>
    <n v="33801"/>
    <x v="0"/>
    <s v="FUR-FU-10001756"/>
    <x v="0"/>
    <x v="3"/>
    <s v="Eldon Expressions Desk Accessory, Wood Photo Frame, Mahogany"/>
    <n v="46"/>
    <n v="3"/>
    <n v="0.2"/>
    <n v="5"/>
    <x v="2"/>
    <s v="Oct"/>
  </r>
  <r>
    <n v="532"/>
    <s v="CA-2015-102848"/>
    <x v="86"/>
    <d v="2015-11-09T00:00:00"/>
    <x v="0"/>
    <s v="KB-16240"/>
    <s v="Karen Bern"/>
    <x v="1"/>
    <s v="United States"/>
    <x v="2"/>
    <x v="2"/>
    <n v="90036"/>
    <x v="1"/>
    <s v="FUR-CH-10000595"/>
    <x v="0"/>
    <x v="1"/>
    <s v="Safco Contoured Stacking Chairs"/>
    <n v="191"/>
    <n v="1"/>
    <n v="0.2"/>
    <n v="12"/>
    <x v="3"/>
    <s v="Nov"/>
  </r>
  <r>
    <n v="533"/>
    <s v="US-2017-129441"/>
    <x v="87"/>
    <d v="2017-09-11T00:00:00"/>
    <x v="1"/>
    <s v="JC-15340"/>
    <s v="Jasper Cacioppo"/>
    <x v="0"/>
    <s v="United States"/>
    <x v="2"/>
    <x v="2"/>
    <n v="90032"/>
    <x v="1"/>
    <s v="FUR-FU-10000448"/>
    <x v="0"/>
    <x v="3"/>
    <s v="Tenex Chairmats For Use With Carpeted Floors"/>
    <n v="48"/>
    <n v="3"/>
    <n v="0"/>
    <n v="2"/>
    <x v="4"/>
    <s v="Sep"/>
  </r>
  <r>
    <n v="540"/>
    <s v="CA-2015-134894"/>
    <x v="88"/>
    <d v="2015-12-11T00:00:00"/>
    <x v="1"/>
    <s v="DK-12985"/>
    <s v="Darren Koutras"/>
    <x v="0"/>
    <s v="United States"/>
    <x v="0"/>
    <x v="0"/>
    <n v="42420"/>
    <x v="0"/>
    <s v="FUR-CH-10002647"/>
    <x v="0"/>
    <x v="1"/>
    <s v="Situations Contoured Folding Chairs, 4/Set"/>
    <n v="284"/>
    <n v="4"/>
    <n v="0"/>
    <n v="71"/>
    <x v="4"/>
    <s v="Dec"/>
  </r>
  <r>
    <n v="546"/>
    <s v="CA-2014-103849"/>
    <x v="89"/>
    <d v="2014-05-16T00:00:00"/>
    <x v="1"/>
    <s v="PG-18895"/>
    <s v="Paul Gonzalez"/>
    <x v="0"/>
    <s v="United States"/>
    <x v="50"/>
    <x v="5"/>
    <n v="76106"/>
    <x v="3"/>
    <s v="FUR-FU-10000723"/>
    <x v="0"/>
    <x v="3"/>
    <s v="Deflect-o EconoMat Studded, No Bevel Mat for Low Pile Carpeting"/>
    <n v="66"/>
    <n v="4"/>
    <n v="0.6"/>
    <n v="-84"/>
    <x v="2"/>
    <s v="May"/>
  </r>
  <r>
    <n v="552"/>
    <s v="CA-2016-136406"/>
    <x v="90"/>
    <d v="2016-04-17T00:00:00"/>
    <x v="0"/>
    <s v="BD-11320"/>
    <s v="Bill Donatelli"/>
    <x v="0"/>
    <s v="United States"/>
    <x v="28"/>
    <x v="2"/>
    <n v="94110"/>
    <x v="1"/>
    <s v="FUR-CH-10002024"/>
    <x v="0"/>
    <x v="1"/>
    <s v="HON 5400 Series Task Chairs for Big and Tall"/>
    <n v="1122"/>
    <n v="2"/>
    <n v="0.2"/>
    <n v="0"/>
    <x v="3"/>
    <s v="Apr"/>
  </r>
  <r>
    <n v="553"/>
    <s v="CA-2017-112774"/>
    <x v="91"/>
    <d v="2017-09-12T00:00:00"/>
    <x v="2"/>
    <s v="RC-19960"/>
    <s v="Ryan Crowe"/>
    <x v="0"/>
    <s v="United States"/>
    <x v="51"/>
    <x v="1"/>
    <n v="32216"/>
    <x v="0"/>
    <s v="FUR-FU-10003039"/>
    <x v="0"/>
    <x v="3"/>
    <s v="Howard Miller 11-1/2&quot; Diameter Grantwood Wall Clock"/>
    <n v="35"/>
    <n v="1"/>
    <n v="0.2"/>
    <n v="6"/>
    <x v="5"/>
    <s v="Sep"/>
  </r>
  <r>
    <n v="558"/>
    <s v="CA-2016-113243"/>
    <x v="92"/>
    <d v="2016-06-15T00:00:00"/>
    <x v="1"/>
    <s v="OT-18730"/>
    <s v="Olvera Toch"/>
    <x v="0"/>
    <s v="United States"/>
    <x v="2"/>
    <x v="2"/>
    <n v="90045"/>
    <x v="1"/>
    <s v="FUR-TA-10004256"/>
    <x v="0"/>
    <x v="2"/>
    <s v="Bretford ÒJust In TimeÓ Height-Adjustable Multi-Task Work Tables"/>
    <n v="1336"/>
    <n v="4"/>
    <n v="0.2"/>
    <n v="-217"/>
    <x v="2"/>
    <s v="Jun"/>
  </r>
  <r>
    <n v="560"/>
    <s v="CA-2017-118731"/>
    <x v="93"/>
    <d v="2017-11-22T00:00:00"/>
    <x v="0"/>
    <s v="LP-17080"/>
    <s v="Liz Pelletier"/>
    <x v="0"/>
    <s v="United States"/>
    <x v="28"/>
    <x v="2"/>
    <n v="94110"/>
    <x v="1"/>
    <s v="FUR-FU-10003347"/>
    <x v="0"/>
    <x v="3"/>
    <s v="Coloredge Poster Frame"/>
    <n v="43"/>
    <n v="3"/>
    <n v="0"/>
    <n v="17"/>
    <x v="3"/>
    <s v="Nov"/>
  </r>
  <r>
    <n v="563"/>
    <s v="CA-2014-145576"/>
    <x v="94"/>
    <d v="2014-09-18T00:00:00"/>
    <x v="0"/>
    <s v="CA-12775"/>
    <s v="Cynthia Arntzen"/>
    <x v="0"/>
    <s v="United States"/>
    <x v="26"/>
    <x v="1"/>
    <n v="33614"/>
    <x v="0"/>
    <s v="FUR-FU-10004020"/>
    <x v="0"/>
    <x v="3"/>
    <s v="Advantus Panel Wall Acrylic Frame"/>
    <n v="13"/>
    <n v="3"/>
    <n v="0.2"/>
    <n v="4"/>
    <x v="4"/>
    <s v="Sep"/>
  </r>
  <r>
    <n v="570"/>
    <s v="CA-2017-156951"/>
    <x v="95"/>
    <d v="2017-10-08T00:00:00"/>
    <x v="1"/>
    <s v="EB-13840"/>
    <s v="Ellis Ballard"/>
    <x v="1"/>
    <s v="United States"/>
    <x v="15"/>
    <x v="13"/>
    <n v="98105"/>
    <x v="1"/>
    <s v="FUR-CH-10004997"/>
    <x v="0"/>
    <x v="1"/>
    <s v="Hon Every-Day Series Multi-Task Chairs"/>
    <n v="451"/>
    <n v="3"/>
    <n v="0.2"/>
    <n v="0"/>
    <x v="1"/>
    <s v="Oct"/>
  </r>
  <r>
    <n v="580"/>
    <s v="CA-2017-118640"/>
    <x v="96"/>
    <d v="2017-07-26T00:00:00"/>
    <x v="1"/>
    <s v="CS-11950"/>
    <s v="Carlos Soltero"/>
    <x v="0"/>
    <s v="United States"/>
    <x v="9"/>
    <x v="8"/>
    <n v="60610"/>
    <x v="3"/>
    <s v="FUR-FU-10001475"/>
    <x v="0"/>
    <x v="3"/>
    <s v="Contract Clock, 14&quot;, Brown"/>
    <n v="9"/>
    <n v="1"/>
    <n v="0.6"/>
    <n v="-6"/>
    <x v="6"/>
    <s v="Jul"/>
  </r>
  <r>
    <n v="587"/>
    <s v="CA-2015-128139"/>
    <x v="97"/>
    <d v="2015-07-09T00:00:00"/>
    <x v="1"/>
    <s v="BD-11725"/>
    <s v="Bruce Degenhardt"/>
    <x v="0"/>
    <s v="United States"/>
    <x v="52"/>
    <x v="0"/>
    <n v="40475"/>
    <x v="0"/>
    <s v="FUR-CH-10003956"/>
    <x v="0"/>
    <x v="1"/>
    <s v="Novimex High-Tech Fabric Mesh Task Chair"/>
    <n v="71"/>
    <n v="1"/>
    <n v="0"/>
    <n v="5"/>
    <x v="6"/>
    <s v="Jul"/>
  </r>
  <r>
    <n v="598"/>
    <s v="CA-2014-131450"/>
    <x v="98"/>
    <d v="2014-08-15T00:00:00"/>
    <x v="1"/>
    <s v="LR-16915"/>
    <s v="Lena Radford"/>
    <x v="0"/>
    <s v="United States"/>
    <x v="53"/>
    <x v="2"/>
    <n v="92024"/>
    <x v="1"/>
    <s v="FUR-FU-10001979"/>
    <x v="0"/>
    <x v="3"/>
    <s v="Dana Halogen Swing-Arm Architect Lamp"/>
    <n v="328"/>
    <n v="8"/>
    <n v="0"/>
    <n v="92"/>
    <x v="1"/>
    <s v="Aug"/>
  </r>
  <r>
    <n v="604"/>
    <s v="CA-2014-149958"/>
    <x v="99"/>
    <d v="2014-03-19T00:00:00"/>
    <x v="1"/>
    <s v="AS-10240"/>
    <s v="Alan Shonely"/>
    <x v="0"/>
    <s v="United States"/>
    <x v="26"/>
    <x v="1"/>
    <n v="33614"/>
    <x v="0"/>
    <s v="FUR-FU-10001756"/>
    <x v="0"/>
    <x v="3"/>
    <s v="Eldon Expressions Desk Accessory, Wood Photo Frame, Mahogany"/>
    <n v="46"/>
    <n v="3"/>
    <n v="0.2"/>
    <n v="5"/>
    <x v="4"/>
    <s v="Mar"/>
  </r>
  <r>
    <n v="617"/>
    <s v="CA-2017-117947"/>
    <x v="100"/>
    <d v="2017-08-23T00:00:00"/>
    <x v="0"/>
    <s v="NG-18355"/>
    <s v="Nat Gilpin"/>
    <x v="1"/>
    <s v="United States"/>
    <x v="13"/>
    <x v="7"/>
    <n v="10011"/>
    <x v="2"/>
    <s v="FUR-FU-10003849"/>
    <x v="0"/>
    <x v="3"/>
    <s v="DAX Metal Frame, Desktop, Stepped-Edge"/>
    <n v="40"/>
    <n v="2"/>
    <n v="0"/>
    <n v="16"/>
    <x v="2"/>
    <s v="Aug"/>
  </r>
  <r>
    <n v="618"/>
    <s v="CA-2017-117947"/>
    <x v="100"/>
    <d v="2017-08-23T00:00:00"/>
    <x v="0"/>
    <s v="NG-18355"/>
    <s v="Nat Gilpin"/>
    <x v="1"/>
    <s v="United States"/>
    <x v="13"/>
    <x v="7"/>
    <n v="10011"/>
    <x v="2"/>
    <s v="FUR-FU-10000010"/>
    <x v="0"/>
    <x v="3"/>
    <s v="DAX Value U-Channel Document Frames, Easel Back"/>
    <n v="10"/>
    <n v="2"/>
    <n v="0"/>
    <n v="3"/>
    <x v="2"/>
    <s v="Aug"/>
  </r>
  <r>
    <n v="621"/>
    <s v="CA-2017-117947"/>
    <x v="100"/>
    <d v="2017-08-23T00:00:00"/>
    <x v="0"/>
    <s v="NG-18355"/>
    <s v="Nat Gilpin"/>
    <x v="1"/>
    <s v="United States"/>
    <x v="13"/>
    <x v="7"/>
    <n v="10011"/>
    <x v="2"/>
    <s v="FUR-FU-10000521"/>
    <x v="0"/>
    <x v="3"/>
    <s v="Seth Thomas 14&quot; Putty-Colored Wall Clock"/>
    <n v="88"/>
    <n v="3"/>
    <n v="0"/>
    <n v="27"/>
    <x v="2"/>
    <s v="Aug"/>
  </r>
  <r>
    <n v="623"/>
    <s v="CA-2015-138009"/>
    <x v="101"/>
    <d v="2015-12-03T00:00:00"/>
    <x v="1"/>
    <s v="SF-20965"/>
    <s v="Sylvia Foulston"/>
    <x v="1"/>
    <s v="United States"/>
    <x v="54"/>
    <x v="17"/>
    <n v="48126"/>
    <x v="3"/>
    <s v="FUR-CH-10004853"/>
    <x v="0"/>
    <x v="1"/>
    <s v="Global Manager's Adjustable Task Chair, Storm"/>
    <n v="302"/>
    <n v="2"/>
    <n v="0"/>
    <n v="88"/>
    <x v="4"/>
    <s v="Nov"/>
  </r>
  <r>
    <n v="627"/>
    <s v="CA-2017-163020"/>
    <x v="102"/>
    <d v="2017-09-19T00:00:00"/>
    <x v="1"/>
    <s v="MO-17800"/>
    <s v="Meg O'Connel"/>
    <x v="2"/>
    <s v="United States"/>
    <x v="13"/>
    <x v="7"/>
    <n v="10009"/>
    <x v="2"/>
    <s v="FUR-FU-10000221"/>
    <x v="0"/>
    <x v="3"/>
    <s v="Master Caster Door Stop, Brown"/>
    <n v="36"/>
    <n v="7"/>
    <n v="0"/>
    <n v="12"/>
    <x v="4"/>
    <s v="Sep"/>
  </r>
  <r>
    <n v="636"/>
    <s v="CA-2015-168004"/>
    <x v="103"/>
    <d v="2015-10-09T00:00:00"/>
    <x v="0"/>
    <s v="DJ-13420"/>
    <s v="Denny Joy"/>
    <x v="1"/>
    <s v="United States"/>
    <x v="55"/>
    <x v="24"/>
    <n v="31088"/>
    <x v="0"/>
    <s v="FUR-CH-10001482"/>
    <x v="0"/>
    <x v="1"/>
    <s v="Office Star - Mesh Screen back chair with Vinyl seat"/>
    <n v="393"/>
    <n v="3"/>
    <n v="0"/>
    <n v="43"/>
    <x v="2"/>
    <s v="Oct"/>
  </r>
  <r>
    <n v="639"/>
    <s v="CA-2016-115917"/>
    <x v="104"/>
    <d v="2016-05-25T00:00:00"/>
    <x v="1"/>
    <s v="RB-19465"/>
    <s v="Rick Bensley"/>
    <x v="2"/>
    <s v="United States"/>
    <x v="56"/>
    <x v="2"/>
    <n v="94591"/>
    <x v="1"/>
    <s v="FUR-FU-10000576"/>
    <x v="0"/>
    <x v="3"/>
    <s v="Luxo Professional Fluorescent Magnifier Lamp with Clamp-Mount Base"/>
    <n v="1049"/>
    <n v="5"/>
    <n v="0"/>
    <n v="273"/>
    <x v="2"/>
    <s v="May"/>
  </r>
  <r>
    <n v="641"/>
    <s v="CA-2016-147067"/>
    <x v="105"/>
    <d v="2016-12-22T00:00:00"/>
    <x v="1"/>
    <s v="JD-16150"/>
    <s v="Justin Deggeller"/>
    <x v="1"/>
    <s v="United States"/>
    <x v="12"/>
    <x v="11"/>
    <n v="55407"/>
    <x v="3"/>
    <s v="FUR-FU-10000732"/>
    <x v="0"/>
    <x v="3"/>
    <s v="Eldon 200 Class Desk Accessories"/>
    <n v="19"/>
    <n v="3"/>
    <n v="0"/>
    <n v="6"/>
    <x v="4"/>
    <s v="Dec"/>
  </r>
  <r>
    <n v="649"/>
    <s v="CA-2016-160745"/>
    <x v="106"/>
    <d v="2016-12-16T00:00:00"/>
    <x v="0"/>
    <s v="AR-10825"/>
    <s v="Anthony Rawles"/>
    <x v="1"/>
    <s v="United States"/>
    <x v="57"/>
    <x v="13"/>
    <n v="98661"/>
    <x v="1"/>
    <s v="FUR-FU-10001935"/>
    <x v="0"/>
    <x v="3"/>
    <s v="3M Hangers With Command Adhesive"/>
    <n v="15"/>
    <n v="4"/>
    <n v="0"/>
    <n v="6"/>
    <x v="2"/>
    <s v="Dec"/>
  </r>
  <r>
    <n v="658"/>
    <s v="US-2016-156097"/>
    <x v="107"/>
    <d v="2016-09-19T00:00:00"/>
    <x v="3"/>
    <s v="EH-14125"/>
    <s v="Eugene Hildebrand"/>
    <x v="2"/>
    <s v="United States"/>
    <x v="14"/>
    <x v="8"/>
    <n v="60505"/>
    <x v="3"/>
    <s v="FUR-CH-10001215"/>
    <x v="0"/>
    <x v="1"/>
    <s v="Global Troy Executive Leather Low-Back Tilter"/>
    <n v="701"/>
    <n v="2"/>
    <n v="0.3"/>
    <n v="-50"/>
    <x v="7"/>
    <s v="Sep"/>
  </r>
  <r>
    <n v="662"/>
    <s v="CA-2015-146563"/>
    <x v="108"/>
    <d v="2015-08-28T00:00:00"/>
    <x v="1"/>
    <s v="CB-12025"/>
    <s v="Cassandra Brandow"/>
    <x v="0"/>
    <s v="United States"/>
    <x v="58"/>
    <x v="5"/>
    <n v="76017"/>
    <x v="3"/>
    <s v="FUR-TA-10001768"/>
    <x v="0"/>
    <x v="2"/>
    <s v="Hon Racetrack Conference Tables"/>
    <n v="919"/>
    <n v="5"/>
    <n v="0.3"/>
    <n v="-118"/>
    <x v="4"/>
    <s v="Aug"/>
  </r>
  <r>
    <n v="669"/>
    <s v="CA-2014-156314"/>
    <x v="109"/>
    <d v="2014-12-26T00:00:00"/>
    <x v="2"/>
    <s v="RP-19390"/>
    <s v="Resi Pšlking"/>
    <x v="0"/>
    <s v="United States"/>
    <x v="59"/>
    <x v="15"/>
    <n v="44105"/>
    <x v="2"/>
    <s v="FUR-FU-10003096"/>
    <x v="0"/>
    <x v="3"/>
    <s v="Master Giant Foot Doorstop, Safety Yellow"/>
    <n v="30"/>
    <n v="5"/>
    <n v="0.2"/>
    <n v="9"/>
    <x v="3"/>
    <s v="Dec"/>
  </r>
  <r>
    <n v="670"/>
    <s v="US-2017-106663"/>
    <x v="110"/>
    <d v="2017-06-13T00:00:00"/>
    <x v="1"/>
    <s v="MO-17800"/>
    <s v="Meg O'Connel"/>
    <x v="2"/>
    <s v="United States"/>
    <x v="9"/>
    <x v="8"/>
    <n v="60653"/>
    <x v="3"/>
    <s v="FUR-FU-10002759"/>
    <x v="0"/>
    <x v="3"/>
    <s v="12-1/2 Diameter Round Wall Clock"/>
    <n v="24"/>
    <n v="3"/>
    <n v="0.6"/>
    <n v="-14"/>
    <x v="4"/>
    <s v="Jun"/>
  </r>
  <r>
    <n v="671"/>
    <s v="US-2017-106663"/>
    <x v="110"/>
    <d v="2017-06-13T00:00:00"/>
    <x v="1"/>
    <s v="MO-17800"/>
    <s v="Meg O'Connel"/>
    <x v="2"/>
    <s v="United States"/>
    <x v="9"/>
    <x v="8"/>
    <n v="60653"/>
    <x v="3"/>
    <s v="FUR-TA-10000688"/>
    <x v="0"/>
    <x v="2"/>
    <s v="Chromcraft Bull-Nose Wood Round Conference Table Top, Wood Base"/>
    <n v="109"/>
    <n v="1"/>
    <n v="0.5"/>
    <n v="-72"/>
    <x v="4"/>
    <s v="Jun"/>
  </r>
  <r>
    <n v="679"/>
    <s v="US-2017-119438"/>
    <x v="111"/>
    <d v="2017-03-23T00:00:00"/>
    <x v="1"/>
    <s v="CD-11980"/>
    <s v="Carol Darley"/>
    <x v="0"/>
    <s v="United States"/>
    <x v="60"/>
    <x v="5"/>
    <n v="75701"/>
    <x v="3"/>
    <s v="FUR-FU-10003553"/>
    <x v="0"/>
    <x v="3"/>
    <s v="Howard Miller 13-1/2&quot; Diameter Rosebrook Wall Clock"/>
    <n v="83"/>
    <n v="3"/>
    <n v="0.6"/>
    <n v="-41"/>
    <x v="2"/>
    <s v="Mar"/>
  </r>
  <r>
    <n v="689"/>
    <s v="CA-2017-161480"/>
    <x v="19"/>
    <d v="2017-12-29T00:00:00"/>
    <x v="1"/>
    <s v="RA-19285"/>
    <s v="Ralph Arnett"/>
    <x v="0"/>
    <s v="United States"/>
    <x v="13"/>
    <x v="7"/>
    <n v="10035"/>
    <x v="2"/>
    <s v="FUR-BO-10004015"/>
    <x v="0"/>
    <x v="0"/>
    <s v="Bush Andora Bookcase, Maple/Graphite Gray Finish"/>
    <n v="192"/>
    <n v="2"/>
    <n v="0.2"/>
    <n v="5"/>
    <x v="4"/>
    <s v="Dec"/>
  </r>
  <r>
    <n v="690"/>
    <s v="US-2014-117135"/>
    <x v="112"/>
    <d v="2014-06-23T00:00:00"/>
    <x v="0"/>
    <s v="NP-18325"/>
    <s v="Naresj Patel"/>
    <x v="0"/>
    <s v="United States"/>
    <x v="61"/>
    <x v="25"/>
    <n v="22980"/>
    <x v="0"/>
    <s v="FUR-FU-10004071"/>
    <x v="0"/>
    <x v="3"/>
    <s v="Luxo Professional Magnifying Clamp-On Fluorescent Lamps"/>
    <n v="104"/>
    <n v="1"/>
    <n v="0"/>
    <n v="15"/>
    <x v="3"/>
    <s v="Jun"/>
  </r>
  <r>
    <n v="702"/>
    <s v="CA-2017-114552"/>
    <x v="113"/>
    <d v="2017-09-08T00:00:00"/>
    <x v="1"/>
    <s v="Dl-13600"/>
    <s v="Dorris liebe"/>
    <x v="1"/>
    <s v="United States"/>
    <x v="59"/>
    <x v="15"/>
    <n v="44105"/>
    <x v="2"/>
    <s v="FUR-FU-10002960"/>
    <x v="0"/>
    <x v="3"/>
    <s v="Eldon 200 Class Desk Accessories, Burgundy"/>
    <n v="15"/>
    <n v="3"/>
    <n v="0.2"/>
    <n v="4"/>
    <x v="6"/>
    <s v="Sep"/>
  </r>
  <r>
    <n v="703"/>
    <s v="CA-2016-163755"/>
    <x v="114"/>
    <d v="2016-11-08T00:00:00"/>
    <x v="0"/>
    <s v="AS-10285"/>
    <s v="Alejandro Savely"/>
    <x v="1"/>
    <s v="United States"/>
    <x v="15"/>
    <x v="13"/>
    <n v="98103"/>
    <x v="1"/>
    <s v="FUR-FU-10003394"/>
    <x v="0"/>
    <x v="3"/>
    <s v="Tenex &quot;The Solids&quot; Textured Chair Mats"/>
    <n v="210"/>
    <n v="3"/>
    <n v="0"/>
    <n v="36"/>
    <x v="4"/>
    <s v="Nov"/>
  </r>
  <r>
    <n v="704"/>
    <s v="CA-2015-142027"/>
    <x v="115"/>
    <d v="2015-04-14T00:00:00"/>
    <x v="1"/>
    <s v="JK-15370"/>
    <s v="Jay Kimmel"/>
    <x v="0"/>
    <s v="United States"/>
    <x v="62"/>
    <x v="2"/>
    <n v="90805"/>
    <x v="1"/>
    <s v="FUR-TA-10002774"/>
    <x v="0"/>
    <x v="2"/>
    <s v="Laminate Occasional Tables"/>
    <n v="370"/>
    <n v="3"/>
    <n v="0.2"/>
    <n v="-14"/>
    <x v="2"/>
    <s v="Apr"/>
  </r>
  <r>
    <n v="709"/>
    <s v="CA-2014-112158"/>
    <x v="116"/>
    <d v="2014-12-04T00:00:00"/>
    <x v="2"/>
    <s v="DP-13165"/>
    <s v="David Philippe"/>
    <x v="0"/>
    <s v="United States"/>
    <x v="13"/>
    <x v="7"/>
    <n v="10035"/>
    <x v="2"/>
    <s v="FUR-BO-10003272"/>
    <x v="0"/>
    <x v="0"/>
    <s v="O'Sullivan Living Dimensions 5-Shelf Bookcases"/>
    <n v="884"/>
    <n v="5"/>
    <n v="0.2"/>
    <n v="-110"/>
    <x v="3"/>
    <s v="Dec"/>
  </r>
  <r>
    <n v="717"/>
    <s v="CA-2014-130092"/>
    <x v="117"/>
    <d v="2014-01-14T00:00:00"/>
    <x v="2"/>
    <s v="SV-20365"/>
    <s v="Seth Vernon"/>
    <x v="0"/>
    <s v="United States"/>
    <x v="63"/>
    <x v="14"/>
    <n v="19901"/>
    <x v="2"/>
    <s v="FUR-FU-10000010"/>
    <x v="0"/>
    <x v="3"/>
    <s v="DAX Value U-Channel Document Frames, Easel Back"/>
    <n v="10"/>
    <n v="2"/>
    <n v="0"/>
    <n v="3"/>
    <x v="0"/>
    <s v="Jan"/>
  </r>
  <r>
    <n v="718"/>
    <s v="CA-2017-108910"/>
    <x v="118"/>
    <d v="2017-09-29T00:00:00"/>
    <x v="1"/>
    <s v="KC-16540"/>
    <s v="Kelly Collister"/>
    <x v="0"/>
    <s v="United States"/>
    <x v="19"/>
    <x v="15"/>
    <n v="43055"/>
    <x v="2"/>
    <s v="FUR-FU-10002253"/>
    <x v="0"/>
    <x v="3"/>
    <s v="Howard Miller 13&quot; Diameter Pewter Finish Round Wall Clock"/>
    <n v="103"/>
    <n v="3"/>
    <n v="0.2"/>
    <n v="24"/>
    <x v="2"/>
    <s v="Sep"/>
  </r>
  <r>
    <n v="720"/>
    <s v="CA-2014-104472"/>
    <x v="119"/>
    <d v="2014-06-07T00:00:00"/>
    <x v="1"/>
    <s v="CK-12325"/>
    <s v="Christine Kargatis"/>
    <x v="2"/>
    <s v="United States"/>
    <x v="4"/>
    <x v="4"/>
    <n v="84057"/>
    <x v="1"/>
    <s v="FUR-FU-10000246"/>
    <x v="0"/>
    <x v="3"/>
    <s v="Aluminum Document Frame"/>
    <n v="73"/>
    <n v="6"/>
    <n v="0"/>
    <n v="22"/>
    <x v="2"/>
    <s v="Jun"/>
  </r>
  <r>
    <n v="722"/>
    <s v="CA-2016-142335"/>
    <x v="120"/>
    <d v="2016-12-19T00:00:00"/>
    <x v="1"/>
    <s v="MP-17965"/>
    <s v="Michael Paige"/>
    <x v="1"/>
    <s v="United States"/>
    <x v="25"/>
    <x v="17"/>
    <n v="48205"/>
    <x v="3"/>
    <s v="FUR-TA-10000198"/>
    <x v="0"/>
    <x v="2"/>
    <s v="Chromcraft Bull-Nose Wood Oval Conference Tables &amp; Bases"/>
    <n v="1653"/>
    <n v="3"/>
    <n v="0"/>
    <n v="231"/>
    <x v="4"/>
    <s v="Dec"/>
  </r>
  <r>
    <n v="724"/>
    <s v="CA-2014-117429"/>
    <x v="121"/>
    <d v="2014-10-13T00:00:00"/>
    <x v="1"/>
    <s v="MR-17545"/>
    <s v="Mathew Reese"/>
    <x v="2"/>
    <s v="United States"/>
    <x v="3"/>
    <x v="3"/>
    <n v="19140"/>
    <x v="2"/>
    <s v="FUR-FU-10000222"/>
    <x v="0"/>
    <x v="3"/>
    <s v="Seth Thomas 16&quot; Steel Case Clock"/>
    <n v="130"/>
    <n v="5"/>
    <n v="0.2"/>
    <n v="21"/>
    <x v="6"/>
    <s v="Oct"/>
  </r>
  <r>
    <n v="729"/>
    <s v="US-2016-150861"/>
    <x v="122"/>
    <d v="2016-12-06T00:00:00"/>
    <x v="2"/>
    <s v="EG-13900"/>
    <s v="Emily Grady"/>
    <x v="0"/>
    <s v="United States"/>
    <x v="64"/>
    <x v="7"/>
    <n v="11572"/>
    <x v="2"/>
    <s v="FUR-TA-10002228"/>
    <x v="0"/>
    <x v="2"/>
    <s v="Bevis Traditional Conference Table Top, Plinth Base"/>
    <n v="400"/>
    <n v="2"/>
    <n v="0.4"/>
    <n v="-153"/>
    <x v="0"/>
    <s v="Dec"/>
  </r>
  <r>
    <n v="731"/>
    <s v="US-2016-150861"/>
    <x v="122"/>
    <d v="2016-12-06T00:00:00"/>
    <x v="2"/>
    <s v="EG-13900"/>
    <s v="Emily Grady"/>
    <x v="0"/>
    <s v="United States"/>
    <x v="64"/>
    <x v="7"/>
    <n v="11572"/>
    <x v="2"/>
    <s v="FUR-CH-10002965"/>
    <x v="0"/>
    <x v="1"/>
    <s v="Global Leather Highback Executive Chair with Pneumatic Height Adjustment, Black"/>
    <n v="543"/>
    <n v="3"/>
    <n v="0.1"/>
    <n v="102"/>
    <x v="0"/>
    <s v="Dec"/>
  </r>
  <r>
    <n v="737"/>
    <s v="CA-2017-131954"/>
    <x v="123"/>
    <d v="2017-01-25T00:00:00"/>
    <x v="1"/>
    <s v="DS-13030"/>
    <s v="Darrin Sayre"/>
    <x v="2"/>
    <s v="United States"/>
    <x v="15"/>
    <x v="13"/>
    <n v="98115"/>
    <x v="1"/>
    <s v="FUR-BO-10001619"/>
    <x v="0"/>
    <x v="0"/>
    <s v="O'Sullivan Cherrywood Estates Traditional Bookcase"/>
    <n v="85"/>
    <n v="1"/>
    <n v="0"/>
    <n v="19"/>
    <x v="4"/>
    <s v="Jan"/>
  </r>
  <r>
    <n v="747"/>
    <s v="CA-2014-124429"/>
    <x v="124"/>
    <d v="2014-05-27T00:00:00"/>
    <x v="3"/>
    <s v="MH-17785"/>
    <s v="Maya Herman"/>
    <x v="1"/>
    <s v="United States"/>
    <x v="53"/>
    <x v="2"/>
    <n v="92105"/>
    <x v="1"/>
    <s v="FUR-TA-10002607"/>
    <x v="0"/>
    <x v="2"/>
    <s v="KI Conference Tables"/>
    <n v="567"/>
    <n v="10"/>
    <n v="0.2"/>
    <n v="-28"/>
    <x v="7"/>
    <s v="May"/>
  </r>
  <r>
    <n v="751"/>
    <s v="CA-2017-126074"/>
    <x v="125"/>
    <d v="2017-10-06T00:00:00"/>
    <x v="1"/>
    <s v="RF-19735"/>
    <s v="Roland Fjeld"/>
    <x v="0"/>
    <s v="United States"/>
    <x v="65"/>
    <x v="17"/>
    <n v="48183"/>
    <x v="3"/>
    <s v="FUR-FU-10003577"/>
    <x v="0"/>
    <x v="3"/>
    <s v="Nu-Dell Leatherette Frames"/>
    <n v="158"/>
    <n v="11"/>
    <n v="0"/>
    <n v="57"/>
    <x v="4"/>
    <s v="Oct"/>
  </r>
  <r>
    <n v="755"/>
    <s v="CA-2015-135272"/>
    <x v="88"/>
    <d v="2015-12-12T00:00:00"/>
    <x v="1"/>
    <s v="MS-17830"/>
    <s v="Melanie Seite"/>
    <x v="0"/>
    <s v="United States"/>
    <x v="2"/>
    <x v="2"/>
    <n v="90036"/>
    <x v="1"/>
    <s v="FUR-FU-10002759"/>
    <x v="0"/>
    <x v="3"/>
    <s v="12-1/2 Diameter Round Wall Clock"/>
    <n v="80"/>
    <n v="4"/>
    <n v="0"/>
    <n v="29"/>
    <x v="2"/>
    <s v="Dec"/>
  </r>
  <r>
    <n v="756"/>
    <s v="CA-2016-140928"/>
    <x v="126"/>
    <d v="2016-09-22T00:00:00"/>
    <x v="1"/>
    <s v="NB-18655"/>
    <s v="Nona Balk"/>
    <x v="1"/>
    <s v="United States"/>
    <x v="51"/>
    <x v="1"/>
    <n v="32216"/>
    <x v="0"/>
    <s v="FUR-TA-10001095"/>
    <x v="0"/>
    <x v="2"/>
    <s v="Chromcraft Round Conference Tables"/>
    <n v="383"/>
    <n v="4"/>
    <n v="0.45"/>
    <n v="-167"/>
    <x v="4"/>
    <s v="Sep"/>
  </r>
  <r>
    <n v="769"/>
    <s v="CA-2014-106810"/>
    <x v="127"/>
    <d v="2014-05-20T00:00:00"/>
    <x v="1"/>
    <s v="AJ-10795"/>
    <s v="Anthony Johnson"/>
    <x v="1"/>
    <s v="United States"/>
    <x v="66"/>
    <x v="1"/>
    <n v="33710"/>
    <x v="0"/>
    <s v="FUR-FU-10004306"/>
    <x v="0"/>
    <x v="3"/>
    <s v="Electrix Halogen Magnifier Lamp"/>
    <n v="311"/>
    <n v="2"/>
    <n v="0.2"/>
    <n v="23"/>
    <x v="6"/>
    <s v="May"/>
  </r>
  <r>
    <n v="770"/>
    <s v="CA-2016-157245"/>
    <x v="128"/>
    <d v="2016-05-24T00:00:00"/>
    <x v="1"/>
    <s v="LE-16810"/>
    <s v="Laurel Elliston"/>
    <x v="0"/>
    <s v="United States"/>
    <x v="58"/>
    <x v="25"/>
    <n v="22204"/>
    <x v="0"/>
    <s v="FUR-CH-10003746"/>
    <x v="0"/>
    <x v="1"/>
    <s v="Hon 4070 Series Pagoda Round Back Stacking Chairs"/>
    <n v="642"/>
    <n v="2"/>
    <n v="0"/>
    <n v="180"/>
    <x v="2"/>
    <s v="May"/>
  </r>
  <r>
    <n v="776"/>
    <s v="CA-2017-104220"/>
    <x v="129"/>
    <d v="2017-02-05T00:00:00"/>
    <x v="1"/>
    <s v="BV-11245"/>
    <s v="Benjamin Venier"/>
    <x v="1"/>
    <s v="United States"/>
    <x v="67"/>
    <x v="26"/>
    <n v="50315"/>
    <x v="3"/>
    <s v="FUR-FU-10002597"/>
    <x v="0"/>
    <x v="3"/>
    <s v="C-Line Magnetic Cubicle Keepers, Clear Polypropylene"/>
    <n v="35"/>
    <n v="7"/>
    <n v="0"/>
    <n v="15"/>
    <x v="6"/>
    <s v="Jan"/>
  </r>
  <r>
    <n v="778"/>
    <s v="CA-2015-144267"/>
    <x v="130"/>
    <d v="2015-08-23T00:00:00"/>
    <x v="2"/>
    <s v="NZ-18565"/>
    <s v="Nick Zandusky"/>
    <x v="2"/>
    <s v="United States"/>
    <x v="28"/>
    <x v="2"/>
    <n v="94110"/>
    <x v="1"/>
    <s v="FUR-CH-10002335"/>
    <x v="0"/>
    <x v="1"/>
    <s v="Hon GuestStacker Chair"/>
    <n v="544"/>
    <n v="3"/>
    <n v="0.2"/>
    <n v="41"/>
    <x v="3"/>
    <s v="Aug"/>
  </r>
  <r>
    <n v="784"/>
    <s v="US-2015-157014"/>
    <x v="131"/>
    <d v="2015-10-06T00:00:00"/>
    <x v="0"/>
    <s v="BM-11785"/>
    <s v="Bryan Mills"/>
    <x v="0"/>
    <s v="United States"/>
    <x v="29"/>
    <x v="15"/>
    <n v="43229"/>
    <x v="2"/>
    <s v="FUR-BO-10004409"/>
    <x v="0"/>
    <x v="0"/>
    <s v="Safco Value Mate Series Steel Bookcases, Baked Enamel Finish on Steel, Gray"/>
    <n v="35"/>
    <n v="1"/>
    <n v="0.5"/>
    <n v="-16"/>
    <x v="0"/>
    <s v="Oct"/>
  </r>
  <r>
    <n v="788"/>
    <s v="CA-2015-154620"/>
    <x v="132"/>
    <d v="2015-12-16T00:00:00"/>
    <x v="1"/>
    <s v="LT-17110"/>
    <s v="Liz Thompson"/>
    <x v="0"/>
    <s v="United States"/>
    <x v="68"/>
    <x v="2"/>
    <n v="93534"/>
    <x v="1"/>
    <s v="FUR-CH-10004675"/>
    <x v="0"/>
    <x v="1"/>
    <s v="Lifetime Advantage Folding Chairs, 4/Carton"/>
    <n v="349"/>
    <n v="2"/>
    <n v="0.2"/>
    <n v="35"/>
    <x v="4"/>
    <s v="Dec"/>
  </r>
  <r>
    <n v="792"/>
    <s v="CA-2015-115938"/>
    <x v="133"/>
    <d v="2015-06-30T00:00:00"/>
    <x v="1"/>
    <s v="SA-20830"/>
    <s v="Sue Ann Reed"/>
    <x v="0"/>
    <s v="United States"/>
    <x v="52"/>
    <x v="25"/>
    <n v="23223"/>
    <x v="0"/>
    <s v="FUR-CH-10003199"/>
    <x v="0"/>
    <x v="1"/>
    <s v="Office Star - Contemporary Task Swivel Chair"/>
    <n v="333"/>
    <n v="3"/>
    <n v="0"/>
    <n v="80"/>
    <x v="4"/>
    <s v="Jun"/>
  </r>
  <r>
    <n v="800"/>
    <s v="CA-2015-101910"/>
    <x v="61"/>
    <d v="2015-12-03T00:00:00"/>
    <x v="1"/>
    <s v="CD-11920"/>
    <s v="Carlos Daly"/>
    <x v="0"/>
    <s v="United States"/>
    <x v="69"/>
    <x v="2"/>
    <n v="92530"/>
    <x v="1"/>
    <s v="FUR-CH-10002647"/>
    <x v="0"/>
    <x v="1"/>
    <s v="Situations Contoured Folding Chairs, 4/Set"/>
    <n v="284"/>
    <n v="5"/>
    <n v="0.2"/>
    <n v="18"/>
    <x v="6"/>
    <s v="Nov"/>
  </r>
  <r>
    <n v="801"/>
    <s v="CA-2017-105809"/>
    <x v="134"/>
    <d v="2017-02-23T00:00:00"/>
    <x v="2"/>
    <s v="HW-14935"/>
    <s v="Helen Wasserman"/>
    <x v="1"/>
    <s v="United States"/>
    <x v="53"/>
    <x v="2"/>
    <n v="92105"/>
    <x v="1"/>
    <s v="FUR-FU-10004090"/>
    <x v="0"/>
    <x v="3"/>
    <s v="Executive Impressions 14&quot; Contract Wall Clock"/>
    <n v="22"/>
    <n v="1"/>
    <n v="0"/>
    <n v="7"/>
    <x v="0"/>
    <s v="Feb"/>
  </r>
  <r>
    <n v="805"/>
    <s v="CA-2017-135783"/>
    <x v="135"/>
    <d v="2017-04-24T00:00:00"/>
    <x v="2"/>
    <s v="GM-14440"/>
    <s v="Gary McGarr"/>
    <x v="0"/>
    <s v="United States"/>
    <x v="28"/>
    <x v="2"/>
    <n v="94122"/>
    <x v="1"/>
    <s v="FUR-FU-10000794"/>
    <x v="0"/>
    <x v="3"/>
    <s v="Eldon Stackable Tray, Side-Load, Legal, Smoke"/>
    <n v="18"/>
    <n v="2"/>
    <n v="0"/>
    <n v="6"/>
    <x v="3"/>
    <s v="Apr"/>
  </r>
  <r>
    <n v="808"/>
    <s v="CA-2015-140921"/>
    <x v="136"/>
    <d v="2015-02-05T00:00:00"/>
    <x v="2"/>
    <s v="AA-10375"/>
    <s v="Allen Armold"/>
    <x v="0"/>
    <s v="United States"/>
    <x v="70"/>
    <x v="27"/>
    <n v="68104"/>
    <x v="3"/>
    <s v="FUR-FU-10003347"/>
    <x v="0"/>
    <x v="3"/>
    <s v="Coloredge Poster Frame"/>
    <n v="28"/>
    <n v="2"/>
    <n v="0"/>
    <n v="11"/>
    <x v="3"/>
    <s v="Feb"/>
  </r>
  <r>
    <n v="811"/>
    <s v="CA-2014-151995"/>
    <x v="137"/>
    <d v="2014-10-15T00:00:00"/>
    <x v="2"/>
    <s v="ZC-21910"/>
    <s v="Zuschuss Carroll"/>
    <x v="0"/>
    <s v="United States"/>
    <x v="71"/>
    <x v="13"/>
    <n v="98026"/>
    <x v="1"/>
    <s v="FUR-TA-10002903"/>
    <x v="0"/>
    <x v="2"/>
    <s v="Bevis Round Bullnose 29&quot; High Table Top"/>
    <n v="1299"/>
    <n v="5"/>
    <n v="0"/>
    <n v="312"/>
    <x v="3"/>
    <s v="Oct"/>
  </r>
  <r>
    <n v="814"/>
    <s v="CA-2017-143686"/>
    <x v="138"/>
    <d v="2017-05-14T00:00:00"/>
    <x v="3"/>
    <s v="PJ-19015"/>
    <s v="Pauline Johnson"/>
    <x v="0"/>
    <s v="United States"/>
    <x v="72"/>
    <x v="2"/>
    <n v="92704"/>
    <x v="1"/>
    <s v="FUR-FU-10000794"/>
    <x v="0"/>
    <x v="3"/>
    <s v="Eldon Stackable Tray, Side-Load, Legal, Smoke"/>
    <n v="18"/>
    <n v="2"/>
    <n v="0"/>
    <n v="6"/>
    <x v="7"/>
    <s v="May"/>
  </r>
  <r>
    <n v="820"/>
    <s v="CA-2014-140858"/>
    <x v="139"/>
    <d v="2014-07-02T00:00:00"/>
    <x v="1"/>
    <s v="CA-12775"/>
    <s v="Cynthia Arntzen"/>
    <x v="0"/>
    <s v="United States"/>
    <x v="3"/>
    <x v="3"/>
    <n v="19140"/>
    <x v="2"/>
    <s v="FUR-CH-10001394"/>
    <x v="0"/>
    <x v="1"/>
    <s v="Global Leather Executive Chair"/>
    <n v="1228"/>
    <n v="5"/>
    <n v="0.3"/>
    <n v="0"/>
    <x v="4"/>
    <s v="Jun"/>
  </r>
  <r>
    <n v="830"/>
    <s v="CA-2017-129462"/>
    <x v="140"/>
    <d v="2017-06-21T00:00:00"/>
    <x v="0"/>
    <s v="JE-15745"/>
    <s v="Joel Eaton"/>
    <x v="0"/>
    <s v="United States"/>
    <x v="73"/>
    <x v="0"/>
    <n v="41042"/>
    <x v="0"/>
    <s v="FUR-CH-10000665"/>
    <x v="0"/>
    <x v="1"/>
    <s v="Global Airflow Leather Mesh Back Chair, Black"/>
    <n v="302"/>
    <n v="2"/>
    <n v="0"/>
    <n v="91"/>
    <x v="2"/>
    <s v="Jun"/>
  </r>
  <r>
    <n v="842"/>
    <s v="CA-2015-100454"/>
    <x v="141"/>
    <d v="2015-11-25T00:00:00"/>
    <x v="1"/>
    <s v="BM-11650"/>
    <s v="Brian Moss"/>
    <x v="1"/>
    <s v="United States"/>
    <x v="13"/>
    <x v="7"/>
    <n v="10035"/>
    <x v="2"/>
    <s v="FUR-BO-10001519"/>
    <x v="0"/>
    <x v="0"/>
    <s v="O'Sullivan 3-Shelf Heavy-Duty Bookcases"/>
    <n v="186"/>
    <n v="4"/>
    <n v="0.2"/>
    <n v="9"/>
    <x v="2"/>
    <s v="Nov"/>
  </r>
  <r>
    <n v="848"/>
    <s v="CA-2015-114300"/>
    <x v="142"/>
    <d v="2015-10-17T00:00:00"/>
    <x v="1"/>
    <s v="AF-10885"/>
    <s v="Art Foster"/>
    <x v="0"/>
    <s v="United States"/>
    <x v="74"/>
    <x v="0"/>
    <n v="40214"/>
    <x v="0"/>
    <s v="FUR-CH-10001891"/>
    <x v="0"/>
    <x v="1"/>
    <s v="Global Deluxe Office Fabric Chairs"/>
    <n v="288"/>
    <n v="3"/>
    <n v="0"/>
    <n v="78"/>
    <x v="4"/>
    <s v="Oct"/>
  </r>
  <r>
    <n v="849"/>
    <s v="CA-2017-107503"/>
    <x v="143"/>
    <d v="2017-01-06T00:00:00"/>
    <x v="1"/>
    <s v="GA-14725"/>
    <s v="Guy Armstrong"/>
    <x v="0"/>
    <s v="United States"/>
    <x v="75"/>
    <x v="15"/>
    <n v="44052"/>
    <x v="2"/>
    <s v="FUR-FU-10003878"/>
    <x v="0"/>
    <x v="3"/>
    <s v="Linden 10&quot; Round Wall Clock, Black"/>
    <n v="49"/>
    <n v="4"/>
    <n v="0.2"/>
    <n v="9"/>
    <x v="2"/>
    <s v="Jan"/>
  </r>
  <r>
    <n v="854"/>
    <s v="CA-2016-123274"/>
    <x v="144"/>
    <d v="2016-02-24T00:00:00"/>
    <x v="1"/>
    <s v="GT-14710"/>
    <s v="Greg Tran"/>
    <x v="0"/>
    <s v="United States"/>
    <x v="13"/>
    <x v="7"/>
    <n v="10035"/>
    <x v="2"/>
    <s v="FUR-FU-10004090"/>
    <x v="0"/>
    <x v="3"/>
    <s v="Executive Impressions 14&quot; Contract Wall Clock"/>
    <n v="44"/>
    <n v="2"/>
    <n v="0"/>
    <n v="15"/>
    <x v="2"/>
    <s v="Feb"/>
  </r>
  <r>
    <n v="867"/>
    <s v="CA-2014-149020"/>
    <x v="145"/>
    <d v="2014-01-15T00:00:00"/>
    <x v="1"/>
    <s v="AJ-10780"/>
    <s v="Anthony Jacobs"/>
    <x v="1"/>
    <s v="United States"/>
    <x v="76"/>
    <x v="25"/>
    <n v="22153"/>
    <x v="0"/>
    <s v="FUR-FU-10000965"/>
    <x v="0"/>
    <x v="3"/>
    <s v="Howard Miller 11-1/2&quot; Diameter Ridgewood Wall Clock"/>
    <n v="52"/>
    <n v="1"/>
    <n v="0"/>
    <n v="21"/>
    <x v="2"/>
    <s v="Jan"/>
  </r>
  <r>
    <n v="876"/>
    <s v="CA-2016-116736"/>
    <x v="146"/>
    <d v="2016-01-21T00:00:00"/>
    <x v="1"/>
    <s v="CC-12430"/>
    <s v="Chuck Clark"/>
    <x v="2"/>
    <s v="United States"/>
    <x v="41"/>
    <x v="28"/>
    <n v="3301"/>
    <x v="2"/>
    <s v="FUR-FU-10004017"/>
    <x v="0"/>
    <x v="3"/>
    <s v="Tenex Contemporary Contur Chairmats for Low and Medium Pile Carpet, Computer, 39&quot; x 49&quot;"/>
    <n v="323"/>
    <n v="3"/>
    <n v="0"/>
    <n v="65"/>
    <x v="4"/>
    <s v="Jan"/>
  </r>
  <r>
    <n v="881"/>
    <s v="CA-2017-111689"/>
    <x v="147"/>
    <d v="2017-12-02T00:00:00"/>
    <x v="0"/>
    <s v="HP-14815"/>
    <s v="Harold Pawlan"/>
    <x v="2"/>
    <s v="United States"/>
    <x v="13"/>
    <x v="7"/>
    <n v="10024"/>
    <x v="2"/>
    <s v="FUR-CH-10004287"/>
    <x v="0"/>
    <x v="1"/>
    <s v="SAFCO Arco Folding Chair"/>
    <n v="1243"/>
    <n v="5"/>
    <n v="0.1"/>
    <n v="262"/>
    <x v="3"/>
    <s v="Nov"/>
  </r>
  <r>
    <n v="884"/>
    <s v="CA-2016-165148"/>
    <x v="148"/>
    <d v="2016-10-24T00:00:00"/>
    <x v="2"/>
    <s v="PM-19135"/>
    <s v="Peter McVee"/>
    <x v="2"/>
    <s v="United States"/>
    <x v="25"/>
    <x v="17"/>
    <n v="48227"/>
    <x v="3"/>
    <s v="FUR-FU-10000732"/>
    <x v="0"/>
    <x v="3"/>
    <s v="Eldon 200 Class Desk Accessories"/>
    <n v="31"/>
    <n v="5"/>
    <n v="0"/>
    <n v="10"/>
    <x v="3"/>
    <s v="Oct"/>
  </r>
  <r>
    <n v="885"/>
    <s v="CA-2014-134061"/>
    <x v="149"/>
    <d v="2014-05-04T00:00:00"/>
    <x v="1"/>
    <s v="LL-16840"/>
    <s v="Lauren Leatherbury"/>
    <x v="0"/>
    <s v="United States"/>
    <x v="77"/>
    <x v="7"/>
    <n v="14609"/>
    <x v="2"/>
    <s v="FUR-FU-10001424"/>
    <x v="0"/>
    <x v="3"/>
    <s v="Dax Clear Box Frame"/>
    <n v="17"/>
    <n v="2"/>
    <n v="0"/>
    <n v="6"/>
    <x v="2"/>
    <s v="Apr"/>
  </r>
  <r>
    <n v="907"/>
    <s v="CA-2017-143259"/>
    <x v="150"/>
    <d v="2018-01-03T00:00:00"/>
    <x v="1"/>
    <s v="PO-18865"/>
    <s v="Patrick O'Donnell"/>
    <x v="0"/>
    <s v="United States"/>
    <x v="13"/>
    <x v="7"/>
    <n v="10009"/>
    <x v="2"/>
    <s v="FUR-BO-10003441"/>
    <x v="0"/>
    <x v="0"/>
    <s v="Bush Westfield Collection Bookcases, Fully Assembled"/>
    <n v="323"/>
    <n v="4"/>
    <n v="0.2"/>
    <n v="12"/>
    <x v="4"/>
    <s v="Dec"/>
  </r>
  <r>
    <n v="913"/>
    <s v="CA-2015-133627"/>
    <x v="151"/>
    <d v="2015-06-07T00:00:00"/>
    <x v="1"/>
    <s v="SC-20050"/>
    <s v="Sample Company A"/>
    <x v="2"/>
    <s v="United States"/>
    <x v="78"/>
    <x v="19"/>
    <n v="6360"/>
    <x v="2"/>
    <s v="FUR-FU-10001935"/>
    <x v="0"/>
    <x v="3"/>
    <s v="3M Hangers With Command Adhesive"/>
    <n v="22"/>
    <n v="6"/>
    <n v="0"/>
    <n v="9"/>
    <x v="1"/>
    <s v="May"/>
  </r>
  <r>
    <n v="914"/>
    <s v="CA-2017-102519"/>
    <x v="152"/>
    <d v="2017-11-29T00:00:00"/>
    <x v="2"/>
    <s v="BM-11650"/>
    <s v="Brian Moss"/>
    <x v="1"/>
    <s v="United States"/>
    <x v="79"/>
    <x v="16"/>
    <n v="53209"/>
    <x v="3"/>
    <s v="FUR-FU-10004091"/>
    <x v="0"/>
    <x v="3"/>
    <s v="Howard Miller 13&quot; Diameter Goldtone Round Wall Clock"/>
    <n v="47"/>
    <n v="1"/>
    <n v="0"/>
    <n v="19"/>
    <x v="3"/>
    <s v="Nov"/>
  </r>
  <r>
    <n v="916"/>
    <s v="US-2014-141215"/>
    <x v="153"/>
    <d v="2014-06-21T00:00:00"/>
    <x v="1"/>
    <s v="KL-16555"/>
    <s v="Kelly Lampkin"/>
    <x v="1"/>
    <s v="United States"/>
    <x v="21"/>
    <x v="5"/>
    <n v="78207"/>
    <x v="3"/>
    <s v="FUR-TA-10001520"/>
    <x v="0"/>
    <x v="2"/>
    <s v="Lesro Sheffield Collection Coffee Table, End Table, Center Table, Corner Table"/>
    <n v="100"/>
    <n v="2"/>
    <n v="0.3"/>
    <n v="-19"/>
    <x v="6"/>
    <s v="Jun"/>
  </r>
  <r>
    <n v="917"/>
    <s v="US-2014-141215"/>
    <x v="153"/>
    <d v="2014-06-21T00:00:00"/>
    <x v="1"/>
    <s v="KL-16555"/>
    <s v="Kelly Lampkin"/>
    <x v="1"/>
    <s v="United States"/>
    <x v="21"/>
    <x v="5"/>
    <n v="78207"/>
    <x v="3"/>
    <s v="FUR-CH-10003379"/>
    <x v="0"/>
    <x v="1"/>
    <s v="Global Commerce Series High-Back Swivel/Tilt Chairs"/>
    <n v="798"/>
    <n v="4"/>
    <n v="0.3"/>
    <n v="-57"/>
    <x v="6"/>
    <s v="Jun"/>
  </r>
  <r>
    <n v="943"/>
    <s v="CA-2016-142958"/>
    <x v="154"/>
    <d v="2016-12-20T00:00:00"/>
    <x v="1"/>
    <s v="RW-19630"/>
    <s v="Rob Williams"/>
    <x v="1"/>
    <s v="United States"/>
    <x v="80"/>
    <x v="2"/>
    <n v="90503"/>
    <x v="1"/>
    <s v="FUR-TA-10000577"/>
    <x v="0"/>
    <x v="2"/>
    <s v="Bretford CR4500 Series Slim Rectangular Table"/>
    <n v="1114"/>
    <n v="4"/>
    <n v="0.2"/>
    <n v="42"/>
    <x v="1"/>
    <s v="Dec"/>
  </r>
  <r>
    <n v="947"/>
    <s v="US-2015-140200"/>
    <x v="155"/>
    <d v="2015-07-28T00:00:00"/>
    <x v="2"/>
    <s v="CA-12775"/>
    <s v="Cynthia Arntzen"/>
    <x v="0"/>
    <s v="United States"/>
    <x v="81"/>
    <x v="22"/>
    <n v="85204"/>
    <x v="1"/>
    <s v="FUR-TA-10002356"/>
    <x v="0"/>
    <x v="2"/>
    <s v="Bevis Boat-Shaped Conference Table"/>
    <n v="393"/>
    <n v="3"/>
    <n v="0.5"/>
    <n v="-204"/>
    <x v="3"/>
    <s v="Jul"/>
  </r>
  <r>
    <n v="948"/>
    <s v="US-2017-110576"/>
    <x v="156"/>
    <d v="2017-12-02T00:00:00"/>
    <x v="1"/>
    <s v="RB-19795"/>
    <s v="Ross Baird"/>
    <x v="2"/>
    <s v="United States"/>
    <x v="3"/>
    <x v="3"/>
    <n v="19120"/>
    <x v="2"/>
    <s v="FUR-FU-10003601"/>
    <x v="0"/>
    <x v="3"/>
    <s v="Deflect-o RollaMat Studded, Beveled Mat for Medium Pile Carpeting"/>
    <n v="516"/>
    <n v="7"/>
    <n v="0.2"/>
    <n v="-13"/>
    <x v="4"/>
    <s v="Nov"/>
  </r>
  <r>
    <n v="949"/>
    <s v="US-2017-110576"/>
    <x v="156"/>
    <d v="2017-12-02T00:00:00"/>
    <x v="1"/>
    <s v="RB-19795"/>
    <s v="Ross Baird"/>
    <x v="2"/>
    <s v="United States"/>
    <x v="3"/>
    <x v="3"/>
    <n v="19120"/>
    <x v="2"/>
    <s v="FUR-FU-10000576"/>
    <x v="0"/>
    <x v="3"/>
    <s v="Luxo Professional Fluorescent Magnifier Lamp with Clamp-Mount Base"/>
    <n v="1007"/>
    <n v="6"/>
    <n v="0.2"/>
    <n v="76"/>
    <x v="4"/>
    <s v="Nov"/>
  </r>
  <r>
    <n v="950"/>
    <s v="US-2017-110576"/>
    <x v="156"/>
    <d v="2017-12-02T00:00:00"/>
    <x v="1"/>
    <s v="RB-19795"/>
    <s v="Ross Baird"/>
    <x v="2"/>
    <s v="United States"/>
    <x v="3"/>
    <x v="3"/>
    <n v="19120"/>
    <x v="2"/>
    <s v="FUR-TA-10004154"/>
    <x v="0"/>
    <x v="2"/>
    <s v="Riverside Furniture Oval Coffee Table, Oval End Table, End Table with Drawer"/>
    <n v="2065"/>
    <n v="12"/>
    <n v="0.4"/>
    <n v="-620"/>
    <x v="4"/>
    <s v="Nov"/>
  </r>
  <r>
    <n v="953"/>
    <s v="CA-2017-131156"/>
    <x v="157"/>
    <d v="2017-04-07T00:00:00"/>
    <x v="1"/>
    <s v="KH-16360"/>
    <s v="Katherine Hughes"/>
    <x v="0"/>
    <s v="United States"/>
    <x v="3"/>
    <x v="3"/>
    <n v="19143"/>
    <x v="2"/>
    <s v="FUR-FU-10001940"/>
    <x v="0"/>
    <x v="3"/>
    <s v="Staple-based wall hangings"/>
    <n v="25"/>
    <n v="4"/>
    <n v="0.2"/>
    <n v="8"/>
    <x v="4"/>
    <s v="Apr"/>
  </r>
  <r>
    <n v="955"/>
    <s v="CA-2017-136539"/>
    <x v="158"/>
    <d v="2018-01-01T00:00:00"/>
    <x v="1"/>
    <s v="GH-14665"/>
    <s v="Greg Hansen"/>
    <x v="0"/>
    <s v="United States"/>
    <x v="82"/>
    <x v="5"/>
    <n v="78664"/>
    <x v="3"/>
    <s v="FUR-BO-10004709"/>
    <x v="0"/>
    <x v="0"/>
    <s v="Bush Westfield Collection Bookcases, Medium Cherry Finish"/>
    <n v="79"/>
    <n v="2"/>
    <n v="0.32"/>
    <n v="-12"/>
    <x v="4"/>
    <s v="Dec"/>
  </r>
  <r>
    <n v="960"/>
    <s v="CA-2015-112571"/>
    <x v="159"/>
    <d v="2015-09-22T00:00:00"/>
    <x v="3"/>
    <s v="DL-12925"/>
    <s v="Daniel Lacy"/>
    <x v="0"/>
    <s v="United States"/>
    <x v="64"/>
    <x v="2"/>
    <n v="92054"/>
    <x v="1"/>
    <s v="FUR-FU-10004188"/>
    <x v="0"/>
    <x v="3"/>
    <s v="Luxo Professional Combination Clamp-On Lamps"/>
    <n v="205"/>
    <n v="2"/>
    <n v="0"/>
    <n v="53"/>
    <x v="7"/>
    <s v="Sep"/>
  </r>
  <r>
    <n v="961"/>
    <s v="CA-2017-152142"/>
    <x v="160"/>
    <d v="2017-11-19T00:00:00"/>
    <x v="1"/>
    <s v="LW-16990"/>
    <s v="Lindsay Williams"/>
    <x v="1"/>
    <s v="United States"/>
    <x v="28"/>
    <x v="2"/>
    <n v="94110"/>
    <x v="1"/>
    <s v="FUR-CH-10002965"/>
    <x v="0"/>
    <x v="1"/>
    <s v="Global Leather Highback Executive Chair with Pneumatic Height Adjustment, Black"/>
    <n v="322"/>
    <n v="2"/>
    <n v="0.2"/>
    <n v="28"/>
    <x v="2"/>
    <s v="Nov"/>
  </r>
  <r>
    <n v="971"/>
    <s v="CA-2014-115791"/>
    <x v="161"/>
    <d v="2014-01-18T00:00:00"/>
    <x v="0"/>
    <s v="DL-13315"/>
    <s v="Delfina Latchford"/>
    <x v="0"/>
    <s v="United States"/>
    <x v="3"/>
    <x v="3"/>
    <n v="19134"/>
    <x v="2"/>
    <s v="FUR-FU-10001095"/>
    <x v="0"/>
    <x v="3"/>
    <s v="DAX Black Cherry Wood-Tone Poster Frame"/>
    <n v="127"/>
    <n v="6"/>
    <n v="0.2"/>
    <n v="29"/>
    <x v="3"/>
    <s v="Jan"/>
  </r>
  <r>
    <n v="981"/>
    <s v="CA-2016-144939"/>
    <x v="162"/>
    <d v="2016-10-08T00:00:00"/>
    <x v="1"/>
    <s v="EB-13870"/>
    <s v="Emily Burns"/>
    <x v="0"/>
    <s v="United States"/>
    <x v="13"/>
    <x v="7"/>
    <n v="10035"/>
    <x v="2"/>
    <s v="FUR-CH-10003199"/>
    <x v="0"/>
    <x v="1"/>
    <s v="Office Star - Contemporary Task Swivel Chair"/>
    <n v="599"/>
    <n v="6"/>
    <n v="0.1"/>
    <n v="93"/>
    <x v="2"/>
    <s v="Oct"/>
  </r>
  <r>
    <n v="984"/>
    <s v="CA-2014-163419"/>
    <x v="163"/>
    <d v="2014-11-14T00:00:00"/>
    <x v="0"/>
    <s v="TZ-21580"/>
    <s v="Tracy Zic"/>
    <x v="0"/>
    <s v="United States"/>
    <x v="74"/>
    <x v="12"/>
    <n v="80027"/>
    <x v="1"/>
    <s v="FUR-CH-10000665"/>
    <x v="0"/>
    <x v="1"/>
    <s v="Global Airflow Leather Mesh Back Chair, Black"/>
    <n v="604"/>
    <n v="5"/>
    <n v="0.2"/>
    <n v="75"/>
    <x v="0"/>
    <s v="Nov"/>
  </r>
  <r>
    <n v="989"/>
    <s v="CA-2017-167899"/>
    <x v="164"/>
    <d v="2017-05-26T00:00:00"/>
    <x v="1"/>
    <s v="JG-15805"/>
    <s v="John Grady"/>
    <x v="1"/>
    <s v="United States"/>
    <x v="83"/>
    <x v="7"/>
    <n v="13021"/>
    <x v="2"/>
    <s v="FUR-FU-10004071"/>
    <x v="0"/>
    <x v="3"/>
    <s v="Luxo Professional Magnifying Clamp-On Fluorescent Lamps"/>
    <n v="520"/>
    <n v="5"/>
    <n v="0"/>
    <n v="73"/>
    <x v="2"/>
    <s v="May"/>
  </r>
  <r>
    <n v="991"/>
    <s v="CA-2015-153549"/>
    <x v="165"/>
    <d v="2015-03-31T00:00:00"/>
    <x v="0"/>
    <s v="SL-20155"/>
    <s v="Sara Luxemburg"/>
    <x v="2"/>
    <s v="United States"/>
    <x v="51"/>
    <x v="1"/>
    <n v="32216"/>
    <x v="0"/>
    <s v="FUR-CH-10004086"/>
    <x v="0"/>
    <x v="1"/>
    <s v="Hon 4070 Series Pagoda Armless Upholstered Stacking Chairs"/>
    <n v="1167"/>
    <n v="5"/>
    <n v="0.2"/>
    <n v="131"/>
    <x v="3"/>
    <s v="Mar"/>
  </r>
  <r>
    <n v="999"/>
    <s v="CA-2015-162537"/>
    <x v="166"/>
    <d v="2015-11-03T00:00:00"/>
    <x v="1"/>
    <s v="RD-19585"/>
    <s v="Rob Dowd"/>
    <x v="0"/>
    <s v="United States"/>
    <x v="0"/>
    <x v="0"/>
    <n v="42420"/>
    <x v="0"/>
    <s v="FUR-FU-10002885"/>
    <x v="0"/>
    <x v="3"/>
    <s v="Magna Visual Magnetic Picture Hangers"/>
    <n v="24"/>
    <n v="5"/>
    <n v="0"/>
    <n v="9"/>
    <x v="6"/>
    <s v="Oct"/>
  </r>
  <r>
    <n v="1000"/>
    <s v="CA-2015-162537"/>
    <x v="166"/>
    <d v="2015-11-03T00:00:00"/>
    <x v="1"/>
    <s v="RD-19585"/>
    <s v="Rob Dowd"/>
    <x v="0"/>
    <s v="United States"/>
    <x v="0"/>
    <x v="0"/>
    <n v="42420"/>
    <x v="0"/>
    <s v="FUR-FU-10001918"/>
    <x v="0"/>
    <x v="3"/>
    <s v="C-Line Cubicle Keepers Polyproplyene Holder With Velcro Backings"/>
    <n v="33"/>
    <n v="7"/>
    <n v="0"/>
    <n v="13"/>
    <x v="6"/>
    <s v="Oct"/>
  </r>
  <r>
    <n v="1003"/>
    <s v="CA-2015-124891"/>
    <x v="167"/>
    <d v="2015-07-31T00:00:00"/>
    <x v="3"/>
    <s v="RH-19495"/>
    <s v="Rick Hansen"/>
    <x v="0"/>
    <s v="United States"/>
    <x v="13"/>
    <x v="7"/>
    <n v="10024"/>
    <x v="2"/>
    <s v="FUR-TA-10002903"/>
    <x v="0"/>
    <x v="2"/>
    <s v="Bevis Round Bullnose 29&quot; High Table Top"/>
    <n v="1091"/>
    <n v="7"/>
    <n v="0.4"/>
    <n v="-291"/>
    <x v="7"/>
    <s v="Jul"/>
  </r>
  <r>
    <n v="1011"/>
    <s v="CA-2014-158540"/>
    <x v="168"/>
    <d v="2014-11-26T00:00:00"/>
    <x v="2"/>
    <s v="VG-21790"/>
    <s v="Vivek Gonzalez"/>
    <x v="0"/>
    <s v="United States"/>
    <x v="53"/>
    <x v="2"/>
    <n v="92037"/>
    <x v="1"/>
    <s v="FUR-FU-10001602"/>
    <x v="0"/>
    <x v="3"/>
    <s v="Eldon Delta Triangular Chair Mat, 52&quot; x 58&quot;, Clear"/>
    <n v="152"/>
    <n v="4"/>
    <n v="0"/>
    <n v="27"/>
    <x v="3"/>
    <s v="Nov"/>
  </r>
  <r>
    <n v="1012"/>
    <s v="CA-2017-118437"/>
    <x v="169"/>
    <d v="2017-06-21T00:00:00"/>
    <x v="0"/>
    <s v="PF-19165"/>
    <s v="Philip Fox"/>
    <x v="0"/>
    <s v="United States"/>
    <x v="84"/>
    <x v="13"/>
    <n v="98502"/>
    <x v="1"/>
    <s v="FUR-FU-10004848"/>
    <x v="0"/>
    <x v="3"/>
    <s v="Howard Miller 13-3/4&quot; Diameter Brushed Chrome Round Wall Clock"/>
    <n v="155"/>
    <n v="3"/>
    <n v="0"/>
    <n v="47"/>
    <x v="4"/>
    <s v="Jun"/>
  </r>
  <r>
    <n v="1014"/>
    <s v="US-2015-126214"/>
    <x v="170"/>
    <d v="2015-12-24T00:00:00"/>
    <x v="0"/>
    <s v="JS-15880"/>
    <s v="John Stevenson"/>
    <x v="0"/>
    <s v="United States"/>
    <x v="15"/>
    <x v="13"/>
    <n v="98103"/>
    <x v="1"/>
    <s v="FUR-TA-10003748"/>
    <x v="0"/>
    <x v="2"/>
    <s v="Bevis 36 x 72 Conference Tables"/>
    <n v="1618"/>
    <n v="13"/>
    <n v="0"/>
    <n v="356"/>
    <x v="0"/>
    <s v="Dec"/>
  </r>
  <r>
    <n v="1017"/>
    <s v="CA-2015-108665"/>
    <x v="171"/>
    <d v="2015-07-10T00:00:00"/>
    <x v="1"/>
    <s v="KM-16225"/>
    <s v="Kalyca Meade"/>
    <x v="1"/>
    <s v="United States"/>
    <x v="13"/>
    <x v="7"/>
    <n v="10011"/>
    <x v="2"/>
    <s v="FUR-FU-10002191"/>
    <x v="0"/>
    <x v="3"/>
    <s v="G.E. Halogen Desk Lamp Bulbs"/>
    <n v="14"/>
    <n v="2"/>
    <n v="0"/>
    <n v="7"/>
    <x v="4"/>
    <s v="Jul"/>
  </r>
  <r>
    <n v="1018"/>
    <s v="CA-2015-108665"/>
    <x v="171"/>
    <d v="2015-07-10T00:00:00"/>
    <x v="1"/>
    <s v="KM-16225"/>
    <s v="Kalyca Meade"/>
    <x v="1"/>
    <s v="United States"/>
    <x v="13"/>
    <x v="7"/>
    <n v="10011"/>
    <x v="2"/>
    <s v="FUR-FU-10000965"/>
    <x v="0"/>
    <x v="3"/>
    <s v="Howard Miller 11-1/2&quot; Diameter Ridgewood Wall Clock"/>
    <n v="156"/>
    <n v="3"/>
    <n v="0"/>
    <n v="64"/>
    <x v="4"/>
    <s v="Jul"/>
  </r>
  <r>
    <n v="1022"/>
    <s v="CA-2015-124450"/>
    <x v="172"/>
    <d v="2015-05-03T00:00:00"/>
    <x v="1"/>
    <s v="GT-14710"/>
    <s v="Greg Tran"/>
    <x v="0"/>
    <s v="United States"/>
    <x v="85"/>
    <x v="29"/>
    <n v="20016"/>
    <x v="2"/>
    <s v="FUR-CH-10000309"/>
    <x v="0"/>
    <x v="1"/>
    <s v="Global Comet Stacking Arm Chair"/>
    <n v="1268"/>
    <n v="3"/>
    <n v="0"/>
    <n v="317"/>
    <x v="6"/>
    <s v="Apr"/>
  </r>
  <r>
    <n v="1031"/>
    <s v="CA-2014-163552"/>
    <x v="173"/>
    <d v="2014-07-15T00:00:00"/>
    <x v="1"/>
    <s v="LA-16780"/>
    <s v="Laura Armstrong"/>
    <x v="1"/>
    <s v="United States"/>
    <x v="33"/>
    <x v="18"/>
    <n v="7601"/>
    <x v="2"/>
    <s v="FUR-CH-10003379"/>
    <x v="0"/>
    <x v="1"/>
    <s v="Global Commerce Series High-Back Swivel/Tilt Chairs"/>
    <n v="855"/>
    <n v="3"/>
    <n v="0"/>
    <n v="214"/>
    <x v="4"/>
    <s v="Jul"/>
  </r>
  <r>
    <n v="1032"/>
    <s v="CA-2014-163552"/>
    <x v="173"/>
    <d v="2014-07-15T00:00:00"/>
    <x v="1"/>
    <s v="LA-16780"/>
    <s v="Laura Armstrong"/>
    <x v="1"/>
    <s v="United States"/>
    <x v="33"/>
    <x v="18"/>
    <n v="7601"/>
    <x v="2"/>
    <s v="FUR-FU-10000629"/>
    <x v="0"/>
    <x v="3"/>
    <s v="9-3/4 Diameter Round Wall Clock"/>
    <n v="124"/>
    <n v="9"/>
    <n v="0"/>
    <n v="52"/>
    <x v="4"/>
    <s v="Jul"/>
  </r>
  <r>
    <n v="1037"/>
    <s v="CA-2016-113061"/>
    <x v="74"/>
    <d v="2016-04-26T00:00:00"/>
    <x v="1"/>
    <s v="EL-13735"/>
    <s v="Ed Ludwig"/>
    <x v="2"/>
    <s v="United States"/>
    <x v="86"/>
    <x v="23"/>
    <n v="65109"/>
    <x v="3"/>
    <s v="FUR-FU-10003975"/>
    <x v="0"/>
    <x v="3"/>
    <s v="Eldon Advantage Chair Mats for Low to Medium Pile Carpets"/>
    <n v="87"/>
    <n v="2"/>
    <n v="0"/>
    <n v="9"/>
    <x v="4"/>
    <s v="Apr"/>
  </r>
  <r>
    <n v="1041"/>
    <s v="CA-2016-127670"/>
    <x v="174"/>
    <d v="2016-03-24T00:00:00"/>
    <x v="1"/>
    <s v="RD-19660"/>
    <s v="Robert Dilbeck"/>
    <x v="2"/>
    <s v="United States"/>
    <x v="87"/>
    <x v="23"/>
    <n v="63376"/>
    <x v="3"/>
    <s v="FUR-TA-10001095"/>
    <x v="0"/>
    <x v="2"/>
    <s v="Chromcraft Round Conference Tables"/>
    <n v="697"/>
    <n v="4"/>
    <n v="0"/>
    <n v="146"/>
    <x v="4"/>
    <s v="Mar"/>
  </r>
  <r>
    <n v="1043"/>
    <s v="CA-2016-102981"/>
    <x v="175"/>
    <d v="2016-09-09T00:00:00"/>
    <x v="0"/>
    <s v="MO-17500"/>
    <s v="Mary O'Rourke"/>
    <x v="0"/>
    <s v="United States"/>
    <x v="13"/>
    <x v="7"/>
    <n v="10035"/>
    <x v="2"/>
    <s v="FUR-BO-10001811"/>
    <x v="0"/>
    <x v="0"/>
    <s v="Atlantic Metals Mobile 5-Shelf Bookcases, Custom Colors"/>
    <n v="722"/>
    <n v="3"/>
    <n v="0.2"/>
    <n v="90"/>
    <x v="0"/>
    <s v="Sep"/>
  </r>
  <r>
    <n v="1046"/>
    <s v="CA-2017-152702"/>
    <x v="176"/>
    <d v="2017-10-16T00:00:00"/>
    <x v="1"/>
    <s v="SN-20710"/>
    <s v="Steve Nguyen"/>
    <x v="2"/>
    <s v="United States"/>
    <x v="88"/>
    <x v="8"/>
    <n v="61107"/>
    <x v="3"/>
    <s v="FUR-CH-10002304"/>
    <x v="0"/>
    <x v="1"/>
    <s v="Global Stack Chair without Arms, Black"/>
    <n v="255"/>
    <n v="14"/>
    <n v="0.3"/>
    <n v="-18"/>
    <x v="4"/>
    <s v="Oct"/>
  </r>
  <r>
    <n v="1048"/>
    <s v="CA-2016-169103"/>
    <x v="177"/>
    <d v="2016-03-13T00:00:00"/>
    <x v="1"/>
    <s v="ZC-21910"/>
    <s v="Zuschuss Carroll"/>
    <x v="0"/>
    <s v="United States"/>
    <x v="89"/>
    <x v="1"/>
    <n v="33142"/>
    <x v="0"/>
    <s v="FUR-FU-10004006"/>
    <x v="0"/>
    <x v="3"/>
    <s v="Deflect-o DuraMat Lighweight, Studded, Beveled Mat for Low Pile Carpeting"/>
    <n v="102"/>
    <n v="3"/>
    <n v="0.2"/>
    <n v="-4"/>
    <x v="2"/>
    <s v="Mar"/>
  </r>
  <r>
    <n v="1051"/>
    <s v="US-2015-153500"/>
    <x v="97"/>
    <d v="2015-07-05T00:00:00"/>
    <x v="2"/>
    <s v="DG-13300"/>
    <s v="Deirdre Greer"/>
    <x v="1"/>
    <s v="United States"/>
    <x v="3"/>
    <x v="3"/>
    <n v="19134"/>
    <x v="2"/>
    <s v="FUR-FU-10000293"/>
    <x v="0"/>
    <x v="3"/>
    <s v="Eldon Antistatic Chair Mats for Low to Medium Pile Carpets"/>
    <n v="168"/>
    <n v="2"/>
    <n v="0.2"/>
    <n v="-29"/>
    <x v="3"/>
    <s v="Jul"/>
  </r>
  <r>
    <n v="1053"/>
    <s v="US-2015-153500"/>
    <x v="97"/>
    <d v="2015-07-05T00:00:00"/>
    <x v="2"/>
    <s v="DG-13300"/>
    <s v="Deirdre Greer"/>
    <x v="1"/>
    <s v="United States"/>
    <x v="3"/>
    <x v="3"/>
    <n v="19134"/>
    <x v="2"/>
    <s v="FUR-FU-10004460"/>
    <x v="0"/>
    <x v="3"/>
    <s v="Howard Miller 12&quot; Round Wall Clock"/>
    <n v="283"/>
    <n v="9"/>
    <n v="0.2"/>
    <n v="57"/>
    <x v="3"/>
    <s v="Jul"/>
  </r>
  <r>
    <n v="1055"/>
    <s v="CA-2015-110667"/>
    <x v="178"/>
    <d v="2015-04-08T00:00:00"/>
    <x v="1"/>
    <s v="NF-18595"/>
    <s v="Nicole Fjeld"/>
    <x v="2"/>
    <s v="United States"/>
    <x v="13"/>
    <x v="7"/>
    <n v="10009"/>
    <x v="2"/>
    <s v="FUR-FU-10004622"/>
    <x v="0"/>
    <x v="3"/>
    <s v="Eldon Advantage Foldable Chair Mats for Low Pile Carpets"/>
    <n v="108"/>
    <n v="2"/>
    <n v="0"/>
    <n v="23"/>
    <x v="4"/>
    <s v="Apr"/>
  </r>
  <r>
    <n v="1061"/>
    <s v="US-2015-125374"/>
    <x v="179"/>
    <d v="2015-03-29T00:00:00"/>
    <x v="1"/>
    <s v="JD-16060"/>
    <s v="Julia Dunbar"/>
    <x v="0"/>
    <s v="United States"/>
    <x v="6"/>
    <x v="5"/>
    <n v="77095"/>
    <x v="3"/>
    <s v="FUR-CH-10003396"/>
    <x v="0"/>
    <x v="1"/>
    <s v="Global Deluxe Steno Chair"/>
    <n v="108"/>
    <n v="2"/>
    <n v="0.3"/>
    <n v="-29"/>
    <x v="6"/>
    <s v="Mar"/>
  </r>
  <r>
    <n v="1068"/>
    <s v="CA-2016-157686"/>
    <x v="180"/>
    <d v="2016-10-02T00:00:00"/>
    <x v="2"/>
    <s v="BD-11620"/>
    <s v="Brian DeCherney"/>
    <x v="0"/>
    <s v="United States"/>
    <x v="28"/>
    <x v="2"/>
    <n v="94122"/>
    <x v="1"/>
    <s v="FUR-CH-10001146"/>
    <x v="0"/>
    <x v="1"/>
    <s v="Global Value Mid-Back Manager's Chair, Gray"/>
    <n v="195"/>
    <n v="4"/>
    <n v="0.2"/>
    <n v="12"/>
    <x v="5"/>
    <s v="Oct"/>
  </r>
  <r>
    <n v="1082"/>
    <s v="CA-2015-110016"/>
    <x v="101"/>
    <d v="2015-12-04T00:00:00"/>
    <x v="1"/>
    <s v="BT-11395"/>
    <s v="Bill Tyler"/>
    <x v="1"/>
    <s v="United States"/>
    <x v="25"/>
    <x v="17"/>
    <n v="48227"/>
    <x v="3"/>
    <s v="FUR-CH-10002880"/>
    <x v="0"/>
    <x v="1"/>
    <s v="Global High-Back Leather Tilter, Burgundy"/>
    <n v="1107"/>
    <n v="9"/>
    <n v="0"/>
    <n v="122"/>
    <x v="2"/>
    <s v="Nov"/>
  </r>
  <r>
    <n v="1083"/>
    <s v="US-2016-143819"/>
    <x v="181"/>
    <d v="2016-03-05T00:00:00"/>
    <x v="1"/>
    <s v="KD-16270"/>
    <s v="Karen Daniels"/>
    <x v="0"/>
    <s v="United States"/>
    <x v="90"/>
    <x v="7"/>
    <n v="10701"/>
    <x v="2"/>
    <s v="FUR-TA-10001095"/>
    <x v="0"/>
    <x v="2"/>
    <s v="Chromcraft Round Conference Tables"/>
    <n v="837"/>
    <n v="8"/>
    <n v="0.4"/>
    <n v="-265"/>
    <x v="4"/>
    <s v="Mar"/>
  </r>
  <r>
    <n v="1090"/>
    <s v="CA-2017-158407"/>
    <x v="182"/>
    <d v="2017-06-10T00:00:00"/>
    <x v="1"/>
    <s v="LW-16990"/>
    <s v="Lindsay Williams"/>
    <x v="1"/>
    <s v="United States"/>
    <x v="91"/>
    <x v="30"/>
    <n v="28110"/>
    <x v="0"/>
    <s v="FUR-FU-10001967"/>
    <x v="0"/>
    <x v="3"/>
    <s v="Telescoping Adjustable Floor Lamp"/>
    <n v="32"/>
    <n v="2"/>
    <n v="0.2"/>
    <n v="2"/>
    <x v="6"/>
    <s v="Jun"/>
  </r>
  <r>
    <n v="1098"/>
    <s v="CA-2014-159338"/>
    <x v="183"/>
    <d v="2014-06-28T00:00:00"/>
    <x v="2"/>
    <s v="NS-18640"/>
    <s v="Noel Staavos"/>
    <x v="1"/>
    <s v="United States"/>
    <x v="2"/>
    <x v="2"/>
    <n v="90049"/>
    <x v="1"/>
    <s v="FUR-TA-10004147"/>
    <x v="0"/>
    <x v="2"/>
    <s v="Hon 4060 Series Tables"/>
    <n v="448"/>
    <n v="5"/>
    <n v="0.2"/>
    <n v="11"/>
    <x v="0"/>
    <s v="Jun"/>
  </r>
  <r>
    <n v="1100"/>
    <s v="CA-2016-107216"/>
    <x v="184"/>
    <d v="2016-06-17T00:00:00"/>
    <x v="2"/>
    <s v="PV-18985"/>
    <s v="Paul Van Hugh"/>
    <x v="2"/>
    <s v="United States"/>
    <x v="28"/>
    <x v="2"/>
    <n v="94122"/>
    <x v="1"/>
    <s v="FUR-FU-10000206"/>
    <x v="0"/>
    <x v="3"/>
    <s v="GE General Purpose, Extra Long Life, Showcase &amp; Floodlight Incandescent Bulbs"/>
    <n v="9"/>
    <n v="3"/>
    <n v="0"/>
    <n v="4"/>
    <x v="0"/>
    <s v="Jun"/>
  </r>
  <r>
    <n v="1107"/>
    <s v="US-2016-110156"/>
    <x v="185"/>
    <d v="2016-11-24T00:00:00"/>
    <x v="1"/>
    <s v="EH-13945"/>
    <s v="Eric Hoffmann"/>
    <x v="0"/>
    <s v="United States"/>
    <x v="6"/>
    <x v="5"/>
    <n v="77041"/>
    <x v="3"/>
    <s v="FUR-FU-10000206"/>
    <x v="0"/>
    <x v="3"/>
    <s v="GE General Purpose, Extra Long Life, Showcase &amp; Floodlight Incandescent Bulbs"/>
    <n v="2"/>
    <n v="2"/>
    <n v="0.6"/>
    <n v="-1"/>
    <x v="2"/>
    <s v="Nov"/>
  </r>
  <r>
    <n v="1115"/>
    <s v="CA-2017-140585"/>
    <x v="186"/>
    <d v="2017-12-23T00:00:00"/>
    <x v="0"/>
    <s v="RA-19915"/>
    <s v="Russell Applegate"/>
    <x v="0"/>
    <s v="United States"/>
    <x v="92"/>
    <x v="2"/>
    <n v="92024"/>
    <x v="1"/>
    <s v="FUR-BO-10002206"/>
    <x v="0"/>
    <x v="0"/>
    <s v="Bush Saratoga Collection 5-Shelf Bookcase, Hanover Cherry, *Special Order"/>
    <n v="120"/>
    <n v="1"/>
    <n v="0.15"/>
    <n v="-13"/>
    <x v="2"/>
    <s v="Dec"/>
  </r>
  <r>
    <n v="1124"/>
    <s v="US-2014-147627"/>
    <x v="187"/>
    <d v="2014-01-26T00:00:00"/>
    <x v="1"/>
    <s v="HL-15040"/>
    <s v="Hunter Lopez"/>
    <x v="0"/>
    <s v="United States"/>
    <x v="93"/>
    <x v="31"/>
    <n v="72401"/>
    <x v="0"/>
    <s v="FUR-FU-10003194"/>
    <x v="0"/>
    <x v="3"/>
    <s v="Eldon Expressions Desk Accessory, Wood Pencil Holder, Oak"/>
    <n v="39"/>
    <n v="4"/>
    <n v="0"/>
    <n v="12"/>
    <x v="6"/>
    <s v="Jan"/>
  </r>
  <r>
    <n v="1127"/>
    <s v="US-2014-147627"/>
    <x v="187"/>
    <d v="2014-01-26T00:00:00"/>
    <x v="1"/>
    <s v="HL-15040"/>
    <s v="Hunter Lopez"/>
    <x v="0"/>
    <s v="United States"/>
    <x v="93"/>
    <x v="31"/>
    <n v="72401"/>
    <x v="0"/>
    <s v="FUR-CH-10002331"/>
    <x v="0"/>
    <x v="1"/>
    <s v="Hon 4700 Series Mobuis Mid-Back Task Chairs with Adjustable Arms"/>
    <n v="1068"/>
    <n v="3"/>
    <n v="0"/>
    <n v="224"/>
    <x v="6"/>
    <s v="Jan"/>
  </r>
  <r>
    <n v="1130"/>
    <s v="CA-2016-112102"/>
    <x v="188"/>
    <d v="2016-04-16T00:00:00"/>
    <x v="1"/>
    <s v="BD-11605"/>
    <s v="Brian Dahlen"/>
    <x v="0"/>
    <s v="United States"/>
    <x v="76"/>
    <x v="25"/>
    <n v="22153"/>
    <x v="0"/>
    <s v="FUR-TA-10004086"/>
    <x v="0"/>
    <x v="2"/>
    <s v="KI Adjustable-Height Table"/>
    <n v="344"/>
    <n v="4"/>
    <n v="0"/>
    <n v="76"/>
    <x v="4"/>
    <s v="Apr"/>
  </r>
  <r>
    <n v="1142"/>
    <s v="CA-2014-146969"/>
    <x v="189"/>
    <d v="2014-10-03T00:00:00"/>
    <x v="1"/>
    <s v="AP-10915"/>
    <s v="Arthur Prichep"/>
    <x v="0"/>
    <s v="United States"/>
    <x v="2"/>
    <x v="2"/>
    <n v="90045"/>
    <x v="1"/>
    <s v="FUR-FU-10004188"/>
    <x v="0"/>
    <x v="3"/>
    <s v="Luxo Professional Combination Clamp-On Lamps"/>
    <n v="205"/>
    <n v="2"/>
    <n v="0"/>
    <n v="53"/>
    <x v="4"/>
    <s v="Sep"/>
  </r>
  <r>
    <n v="1152"/>
    <s v="CA-2015-113971"/>
    <x v="190"/>
    <d v="2015-05-14T00:00:00"/>
    <x v="1"/>
    <s v="CB-12535"/>
    <s v="Claudia Bergmann"/>
    <x v="1"/>
    <s v="United States"/>
    <x v="94"/>
    <x v="15"/>
    <n v="44221"/>
    <x v="2"/>
    <s v="FUR-FU-10001852"/>
    <x v="0"/>
    <x v="3"/>
    <s v="Eldon Regeneration Recycled Desk Accessories, Smoke"/>
    <n v="8"/>
    <n v="6"/>
    <n v="0.2"/>
    <n v="1"/>
    <x v="6"/>
    <s v="May"/>
  </r>
  <r>
    <n v="1156"/>
    <s v="CA-2014-136567"/>
    <x v="191"/>
    <d v="2014-12-21T00:00:00"/>
    <x v="2"/>
    <s v="PS-19045"/>
    <s v="Penelope Sewall"/>
    <x v="2"/>
    <s v="United States"/>
    <x v="95"/>
    <x v="25"/>
    <n v="22801"/>
    <x v="0"/>
    <s v="FUR-TA-10001932"/>
    <x v="0"/>
    <x v="2"/>
    <s v="Chromcraft 48&quot; x 96&quot; Racetrack Double Pedestal Table"/>
    <n v="2244"/>
    <n v="7"/>
    <n v="0"/>
    <n v="494"/>
    <x v="5"/>
    <s v="Dec"/>
  </r>
  <r>
    <n v="1158"/>
    <s v="CA-2014-136567"/>
    <x v="191"/>
    <d v="2014-12-21T00:00:00"/>
    <x v="2"/>
    <s v="PS-19045"/>
    <s v="Penelope Sewall"/>
    <x v="2"/>
    <s v="United States"/>
    <x v="95"/>
    <x v="25"/>
    <n v="22801"/>
    <x v="0"/>
    <s v="FUR-TA-10000617"/>
    <x v="0"/>
    <x v="2"/>
    <s v="Hon Practical Foundations 30 x 60 Training Table, Light Gray/Charcoal"/>
    <n v="455"/>
    <n v="2"/>
    <n v="0"/>
    <n v="100"/>
    <x v="5"/>
    <s v="Dec"/>
  </r>
  <r>
    <n v="1159"/>
    <s v="CA-2016-149314"/>
    <x v="192"/>
    <d v="2016-07-07T00:00:00"/>
    <x v="0"/>
    <s v="GB-14530"/>
    <s v="George Bell"/>
    <x v="1"/>
    <s v="United States"/>
    <x v="2"/>
    <x v="2"/>
    <n v="90004"/>
    <x v="1"/>
    <s v="FUR-CH-10002126"/>
    <x v="0"/>
    <x v="1"/>
    <s v="Hon Deluxe Fabric Upholstered Stacking Chairs"/>
    <n v="195"/>
    <n v="1"/>
    <n v="0.2"/>
    <n v="20"/>
    <x v="2"/>
    <s v="Jul"/>
  </r>
  <r>
    <n v="1168"/>
    <s v="CA-2017-145226"/>
    <x v="64"/>
    <d v="2017-12-10T00:00:00"/>
    <x v="0"/>
    <s v="DL-13315"/>
    <s v="Delfina Latchford"/>
    <x v="0"/>
    <s v="United States"/>
    <x v="13"/>
    <x v="7"/>
    <n v="10035"/>
    <x v="2"/>
    <s v="FUR-FU-10004952"/>
    <x v="0"/>
    <x v="3"/>
    <s v="C-Line Cubicle Keepers Polyproplyene Holder w/Velcro Back, 8-1/2x11, 25/Bx"/>
    <n v="109"/>
    <n v="2"/>
    <n v="0"/>
    <n v="34"/>
    <x v="3"/>
    <s v="Dec"/>
  </r>
  <r>
    <n v="1178"/>
    <s v="CA-2016-113621"/>
    <x v="193"/>
    <d v="2016-12-05T00:00:00"/>
    <x v="1"/>
    <s v="JE-15745"/>
    <s v="Joel Eaton"/>
    <x v="0"/>
    <s v="United States"/>
    <x v="96"/>
    <x v="32"/>
    <n v="20852"/>
    <x v="2"/>
    <s v="FUR-CH-10001270"/>
    <x v="0"/>
    <x v="1"/>
    <s v="Harbour Creations Steel Folding Chair"/>
    <n v="172"/>
    <n v="2"/>
    <n v="0"/>
    <n v="52"/>
    <x v="4"/>
    <s v="Dec"/>
  </r>
  <r>
    <n v="1191"/>
    <s v="CA-2017-117212"/>
    <x v="194"/>
    <d v="2017-02-28T00:00:00"/>
    <x v="0"/>
    <s v="BT-11530"/>
    <s v="Bradley Talbott"/>
    <x v="2"/>
    <s v="United States"/>
    <x v="2"/>
    <x v="2"/>
    <n v="90036"/>
    <x v="1"/>
    <s v="FUR-CH-10003973"/>
    <x v="0"/>
    <x v="1"/>
    <s v="GuestStacker Chair with Chrome Finish Legs"/>
    <n v="892"/>
    <n v="3"/>
    <n v="0.2"/>
    <n v="89"/>
    <x v="3"/>
    <s v="Feb"/>
  </r>
  <r>
    <n v="1195"/>
    <s v="US-2015-130519"/>
    <x v="195"/>
    <d v="2015-09-15T00:00:00"/>
    <x v="3"/>
    <s v="NG-18355"/>
    <s v="Nat Gilpin"/>
    <x v="1"/>
    <s v="United States"/>
    <x v="97"/>
    <x v="1"/>
    <n v="33065"/>
    <x v="0"/>
    <s v="FUR-FU-10002268"/>
    <x v="0"/>
    <x v="3"/>
    <s v="Ultra Door Push Plate"/>
    <n v="16"/>
    <n v="4"/>
    <n v="0.2"/>
    <n v="3"/>
    <x v="7"/>
    <s v="Sep"/>
  </r>
  <r>
    <n v="1197"/>
    <s v="US-2015-130519"/>
    <x v="195"/>
    <d v="2015-09-15T00:00:00"/>
    <x v="3"/>
    <s v="NG-18355"/>
    <s v="Nat Gilpin"/>
    <x v="1"/>
    <s v="United States"/>
    <x v="97"/>
    <x v="1"/>
    <n v="33065"/>
    <x v="0"/>
    <s v="FUR-FU-10003394"/>
    <x v="0"/>
    <x v="3"/>
    <s v="Tenex &quot;The Solids&quot; Textured Chair Mats"/>
    <n v="56"/>
    <n v="1"/>
    <n v="0.2"/>
    <n v="-2"/>
    <x v="7"/>
    <s v="Sep"/>
  </r>
  <r>
    <n v="1199"/>
    <s v="CA-2016-130946"/>
    <x v="57"/>
    <d v="2016-04-12T00:00:00"/>
    <x v="1"/>
    <s v="ZC-21910"/>
    <s v="Zuschuss Carroll"/>
    <x v="0"/>
    <s v="United States"/>
    <x v="6"/>
    <x v="5"/>
    <n v="77041"/>
    <x v="3"/>
    <s v="FUR-CH-10004540"/>
    <x v="0"/>
    <x v="1"/>
    <s v="Global Chrome Stack Chair"/>
    <n v="96"/>
    <n v="4"/>
    <n v="0.3"/>
    <n v="-4"/>
    <x v="4"/>
    <s v="Apr"/>
  </r>
  <r>
    <n v="1201"/>
    <s v="CA-2016-114727"/>
    <x v="196"/>
    <d v="2016-07-24T00:00:00"/>
    <x v="1"/>
    <s v="LS-16945"/>
    <s v="Linda Southworth"/>
    <x v="1"/>
    <s v="United States"/>
    <x v="22"/>
    <x v="12"/>
    <n v="80219"/>
    <x v="1"/>
    <s v="FUR-CH-10002335"/>
    <x v="0"/>
    <x v="1"/>
    <s v="Hon GuestStacker Chair"/>
    <n v="544"/>
    <n v="3"/>
    <n v="0.2"/>
    <n v="41"/>
    <x v="6"/>
    <s v="Jul"/>
  </r>
  <r>
    <n v="1203"/>
    <s v="CA-2016-114727"/>
    <x v="196"/>
    <d v="2016-07-24T00:00:00"/>
    <x v="1"/>
    <s v="LS-16945"/>
    <s v="Linda Southworth"/>
    <x v="1"/>
    <s v="United States"/>
    <x v="22"/>
    <x v="12"/>
    <n v="80219"/>
    <x v="1"/>
    <s v="FUR-CH-10002331"/>
    <x v="0"/>
    <x v="1"/>
    <s v="Hon 4700 Series Mobuis Mid-Back Task Chairs with Adjustable Arms"/>
    <n v="854"/>
    <n v="3"/>
    <n v="0.2"/>
    <n v="11"/>
    <x v="6"/>
    <s v="Jul"/>
  </r>
  <r>
    <n v="1212"/>
    <s v="CA-2016-137050"/>
    <x v="197"/>
    <d v="2016-07-18T00:00:00"/>
    <x v="0"/>
    <s v="SW-20755"/>
    <s v="Steven Ward"/>
    <x v="1"/>
    <s v="United States"/>
    <x v="13"/>
    <x v="7"/>
    <n v="10009"/>
    <x v="2"/>
    <s v="FUR-BO-10004695"/>
    <x v="0"/>
    <x v="0"/>
    <s v="O'Sullivan 2-Door Barrister Bookcase in Odessa Pine"/>
    <n v="579"/>
    <n v="4"/>
    <n v="0.2"/>
    <n v="22"/>
    <x v="4"/>
    <s v="Jul"/>
  </r>
  <r>
    <n v="1213"/>
    <s v="US-2017-118087"/>
    <x v="198"/>
    <d v="2017-09-13T00:00:00"/>
    <x v="1"/>
    <s v="SP-20620"/>
    <s v="Stefania Perrino"/>
    <x v="1"/>
    <s v="United States"/>
    <x v="3"/>
    <x v="3"/>
    <n v="19134"/>
    <x v="2"/>
    <s v="FUR-CH-10004860"/>
    <x v="0"/>
    <x v="1"/>
    <s v="Global Low Back Tilter Chair"/>
    <n v="141"/>
    <n v="2"/>
    <n v="0.3"/>
    <n v="-48"/>
    <x v="4"/>
    <s v="Sep"/>
  </r>
  <r>
    <n v="1218"/>
    <s v="US-2017-118087"/>
    <x v="198"/>
    <d v="2017-09-13T00:00:00"/>
    <x v="1"/>
    <s v="SP-20620"/>
    <s v="Stefania Perrino"/>
    <x v="1"/>
    <s v="United States"/>
    <x v="3"/>
    <x v="3"/>
    <n v="19134"/>
    <x v="2"/>
    <s v="FUR-FU-10001867"/>
    <x v="0"/>
    <x v="3"/>
    <s v="Eldon Expressions Punched Metal &amp; Wood Desk Accessories, Pewter &amp; Cherry"/>
    <n v="17"/>
    <n v="2"/>
    <n v="0.2"/>
    <n v="2"/>
    <x v="4"/>
    <s v="Sep"/>
  </r>
  <r>
    <n v="1223"/>
    <s v="CA-2016-126004"/>
    <x v="199"/>
    <d v="2016-12-05T00:00:00"/>
    <x v="2"/>
    <s v="BM-11140"/>
    <s v="Becky Martin"/>
    <x v="0"/>
    <s v="United States"/>
    <x v="13"/>
    <x v="7"/>
    <n v="10024"/>
    <x v="2"/>
    <s v="FUR-FU-10001602"/>
    <x v="0"/>
    <x v="3"/>
    <s v="Eldon Delta Triangular Chair Mat, 52&quot; x 58&quot;, Clear"/>
    <n v="114"/>
    <n v="3"/>
    <n v="0"/>
    <n v="20"/>
    <x v="5"/>
    <s v="Dec"/>
  </r>
  <r>
    <n v="1230"/>
    <s v="CA-2017-100013"/>
    <x v="200"/>
    <d v="2017-11-11T00:00:00"/>
    <x v="1"/>
    <s v="ZC-21910"/>
    <s v="Zuschuss Carroll"/>
    <x v="0"/>
    <s v="United States"/>
    <x v="2"/>
    <x v="2"/>
    <n v="90045"/>
    <x v="1"/>
    <s v="FUR-FU-10001424"/>
    <x v="0"/>
    <x v="3"/>
    <s v="Dax Clear Box Frame"/>
    <n v="9"/>
    <n v="1"/>
    <n v="0"/>
    <n v="3"/>
    <x v="2"/>
    <s v="Nov"/>
  </r>
  <r>
    <n v="1235"/>
    <s v="CA-2016-144344"/>
    <x v="48"/>
    <d v="2016-10-28T00:00:00"/>
    <x v="3"/>
    <s v="PG-18820"/>
    <s v="Patrick Gardner"/>
    <x v="0"/>
    <s v="United States"/>
    <x v="98"/>
    <x v="1"/>
    <n v="33437"/>
    <x v="0"/>
    <s v="FUR-FU-10000076"/>
    <x v="0"/>
    <x v="3"/>
    <s v="24-Hour Round Wall Clock"/>
    <n v="48"/>
    <n v="3"/>
    <n v="0.2"/>
    <n v="14"/>
    <x v="7"/>
    <s v="Oct"/>
  </r>
  <r>
    <n v="1237"/>
    <s v="CA-2016-144344"/>
    <x v="48"/>
    <d v="2016-10-28T00:00:00"/>
    <x v="3"/>
    <s v="PG-18820"/>
    <s v="Patrick Gardner"/>
    <x v="0"/>
    <s v="United States"/>
    <x v="98"/>
    <x v="1"/>
    <n v="33437"/>
    <x v="0"/>
    <s v="FUR-FU-10003268"/>
    <x v="0"/>
    <x v="3"/>
    <s v="Eldon Radial Chair Mat for Low to Medium Pile Carpets"/>
    <n v="64"/>
    <n v="2"/>
    <n v="0.2"/>
    <n v="0"/>
    <x v="7"/>
    <s v="Oct"/>
  </r>
  <r>
    <n v="1238"/>
    <s v="CA-2016-144344"/>
    <x v="48"/>
    <d v="2016-10-28T00:00:00"/>
    <x v="3"/>
    <s v="PG-18820"/>
    <s v="Patrick Gardner"/>
    <x v="0"/>
    <s v="United States"/>
    <x v="98"/>
    <x v="1"/>
    <n v="33437"/>
    <x v="0"/>
    <s v="FUR-FU-10003553"/>
    <x v="0"/>
    <x v="3"/>
    <s v="Howard Miller 13-1/2&quot; Diameter Rosebrook Wall Clock"/>
    <n v="165"/>
    <n v="3"/>
    <n v="0.2"/>
    <n v="41"/>
    <x v="7"/>
    <s v="Oct"/>
  </r>
  <r>
    <n v="1239"/>
    <s v="CA-2014-127012"/>
    <x v="201"/>
    <d v="2014-08-15T00:00:00"/>
    <x v="1"/>
    <s v="GM-14680"/>
    <s v="Greg Matthias"/>
    <x v="0"/>
    <s v="United States"/>
    <x v="15"/>
    <x v="13"/>
    <n v="98105"/>
    <x v="1"/>
    <s v="FUR-FU-10003691"/>
    <x v="0"/>
    <x v="3"/>
    <s v="Eldon Image Series Desk Accessories, Ebony"/>
    <n v="12"/>
    <n v="1"/>
    <n v="0"/>
    <n v="5"/>
    <x v="4"/>
    <s v="Aug"/>
  </r>
  <r>
    <n v="1246"/>
    <s v="CA-2014-168494"/>
    <x v="202"/>
    <d v="2014-12-14T00:00:00"/>
    <x v="0"/>
    <s v="NP-18700"/>
    <s v="Nora Preis"/>
    <x v="0"/>
    <s v="United States"/>
    <x v="99"/>
    <x v="2"/>
    <n v="93727"/>
    <x v="1"/>
    <s v="FUR-TA-10004619"/>
    <x v="0"/>
    <x v="2"/>
    <s v="Hon Non-Folding Utility Tables"/>
    <n v="765"/>
    <n v="6"/>
    <n v="0.2"/>
    <n v="96"/>
    <x v="3"/>
    <s v="Dec"/>
  </r>
  <r>
    <n v="1247"/>
    <s v="CA-2014-168494"/>
    <x v="202"/>
    <d v="2014-12-14T00:00:00"/>
    <x v="0"/>
    <s v="NP-18700"/>
    <s v="Nora Preis"/>
    <x v="0"/>
    <s v="United States"/>
    <x v="99"/>
    <x v="2"/>
    <n v="93727"/>
    <x v="1"/>
    <s v="FUR-TA-10003473"/>
    <x v="0"/>
    <x v="2"/>
    <s v="Bretford Rectangular Conference Table Tops"/>
    <n v="3611"/>
    <n v="12"/>
    <n v="0.2"/>
    <n v="135"/>
    <x v="3"/>
    <s v="Dec"/>
  </r>
  <r>
    <n v="1248"/>
    <s v="CA-2014-168494"/>
    <x v="202"/>
    <d v="2014-12-14T00:00:00"/>
    <x v="0"/>
    <s v="NP-18700"/>
    <s v="Nora Preis"/>
    <x v="0"/>
    <s v="United States"/>
    <x v="99"/>
    <x v="2"/>
    <n v="93727"/>
    <x v="1"/>
    <s v="FUR-BO-10004467"/>
    <x v="0"/>
    <x v="0"/>
    <s v="Bestar Classic Bookcase"/>
    <n v="255"/>
    <n v="3"/>
    <n v="0.15"/>
    <n v="12"/>
    <x v="3"/>
    <s v="Dec"/>
  </r>
  <r>
    <n v="1250"/>
    <s v="CA-2017-115602"/>
    <x v="186"/>
    <d v="2017-12-24T00:00:00"/>
    <x v="1"/>
    <s v="DJ-13630"/>
    <s v="Doug Jacobs"/>
    <x v="0"/>
    <s v="United States"/>
    <x v="13"/>
    <x v="7"/>
    <n v="10009"/>
    <x v="2"/>
    <s v="FUR-CH-10001708"/>
    <x v="0"/>
    <x v="1"/>
    <s v="Office Star - Contemporary Swivel Chair with Padded Adjustable Arms and Flex Back"/>
    <n v="1142"/>
    <n v="9"/>
    <n v="0.1"/>
    <n v="140"/>
    <x v="6"/>
    <s v="Dec"/>
  </r>
  <r>
    <n v="1256"/>
    <s v="CA-2017-144638"/>
    <x v="203"/>
    <d v="2017-03-14T00:00:00"/>
    <x v="1"/>
    <s v="MH-18115"/>
    <s v="Mick Hernandez"/>
    <x v="2"/>
    <s v="United States"/>
    <x v="100"/>
    <x v="3"/>
    <n v="19013"/>
    <x v="2"/>
    <s v="FUR-FU-10003724"/>
    <x v="0"/>
    <x v="3"/>
    <s v="Westinghouse Clip-On Gooseneck Lamps"/>
    <n v="7"/>
    <n v="1"/>
    <n v="0.2"/>
    <n v="1"/>
    <x v="4"/>
    <s v="Mar"/>
  </r>
  <r>
    <n v="1257"/>
    <s v="CA-2017-144638"/>
    <x v="203"/>
    <d v="2017-03-14T00:00:00"/>
    <x v="1"/>
    <s v="MH-18115"/>
    <s v="Mick Hernandez"/>
    <x v="2"/>
    <s v="United States"/>
    <x v="100"/>
    <x v="3"/>
    <n v="19013"/>
    <x v="2"/>
    <s v="FUR-FU-10003535"/>
    <x v="0"/>
    <x v="3"/>
    <s v="Howard Miller Distant Time Traveler Alarm Clock"/>
    <n v="44"/>
    <n v="2"/>
    <n v="0.2"/>
    <n v="12"/>
    <x v="4"/>
    <s v="Mar"/>
  </r>
  <r>
    <n v="1265"/>
    <s v="CA-2016-155992"/>
    <x v="180"/>
    <d v="2016-10-02T00:00:00"/>
    <x v="2"/>
    <s v="CC-12220"/>
    <s v="Chris Cortes"/>
    <x v="0"/>
    <s v="United States"/>
    <x v="101"/>
    <x v="6"/>
    <n v="46350"/>
    <x v="3"/>
    <s v="FUR-FU-10003724"/>
    <x v="0"/>
    <x v="3"/>
    <s v="Westinghouse Clip-On Gooseneck Lamps"/>
    <n v="42"/>
    <n v="5"/>
    <n v="0"/>
    <n v="11"/>
    <x v="5"/>
    <s v="Oct"/>
  </r>
  <r>
    <n v="1268"/>
    <s v="US-2014-167738"/>
    <x v="109"/>
    <d v="2014-12-29T00:00:00"/>
    <x v="1"/>
    <s v="JC-16105"/>
    <s v="Julie Creighton"/>
    <x v="1"/>
    <s v="United States"/>
    <x v="2"/>
    <x v="2"/>
    <n v="90045"/>
    <x v="1"/>
    <s v="FUR-CH-10001146"/>
    <x v="0"/>
    <x v="1"/>
    <s v="Global Value Mid-Back Manager's Chair, Gray"/>
    <n v="292"/>
    <n v="6"/>
    <n v="0.2"/>
    <n v="18"/>
    <x v="2"/>
    <s v="Dec"/>
  </r>
  <r>
    <n v="1269"/>
    <s v="CA-2017-121412"/>
    <x v="204"/>
    <d v="2017-09-27T00:00:00"/>
    <x v="1"/>
    <s v="BG-11695"/>
    <s v="Brooke Gillingham"/>
    <x v="1"/>
    <s v="United States"/>
    <x v="74"/>
    <x v="12"/>
    <n v="80027"/>
    <x v="1"/>
    <s v="FUR-FU-10000246"/>
    <x v="0"/>
    <x v="3"/>
    <s v="Aluminum Document Frame"/>
    <n v="29"/>
    <n v="3"/>
    <n v="0.2"/>
    <n v="4"/>
    <x v="4"/>
    <s v="Sep"/>
  </r>
  <r>
    <n v="1275"/>
    <s v="CA-2016-119186"/>
    <x v="205"/>
    <d v="2016-05-26T00:00:00"/>
    <x v="3"/>
    <s v="MS-17710"/>
    <s v="Maurice Satty"/>
    <x v="0"/>
    <s v="United States"/>
    <x v="50"/>
    <x v="5"/>
    <n v="76106"/>
    <x v="3"/>
    <s v="FUR-CH-10001973"/>
    <x v="0"/>
    <x v="1"/>
    <s v="Office Star Flex Back Scooter Chair with White Frame"/>
    <n v="388"/>
    <n v="5"/>
    <n v="0.3"/>
    <n v="-89"/>
    <x v="7"/>
    <s v="May"/>
  </r>
  <r>
    <n v="1288"/>
    <s v="CA-2016-154711"/>
    <x v="206"/>
    <d v="2016-11-26T00:00:00"/>
    <x v="1"/>
    <s v="TB-21355"/>
    <s v="Todd Boyes"/>
    <x v="1"/>
    <s v="United States"/>
    <x v="13"/>
    <x v="7"/>
    <n v="10009"/>
    <x v="2"/>
    <s v="FUR-FU-10000397"/>
    <x v="0"/>
    <x v="3"/>
    <s v="Luxo Economy Swing Arm Lamp"/>
    <n v="40"/>
    <n v="2"/>
    <n v="0"/>
    <n v="11"/>
    <x v="4"/>
    <s v="Nov"/>
  </r>
  <r>
    <n v="1301"/>
    <s v="CA-2016-137043"/>
    <x v="207"/>
    <d v="2016-12-25T00:00:00"/>
    <x v="0"/>
    <s v="LC-17140"/>
    <s v="Logan Currie"/>
    <x v="0"/>
    <s v="United States"/>
    <x v="76"/>
    <x v="25"/>
    <n v="22153"/>
    <x v="0"/>
    <s v="FUR-FU-10003664"/>
    <x v="0"/>
    <x v="3"/>
    <s v="Electrix Architect's Clamp-On Swing Arm Lamp, Black"/>
    <n v="573"/>
    <n v="6"/>
    <n v="0"/>
    <n v="166"/>
    <x v="3"/>
    <s v="Dec"/>
  </r>
  <r>
    <n v="1302"/>
    <s v="CA-2016-137043"/>
    <x v="207"/>
    <d v="2016-12-25T00:00:00"/>
    <x v="0"/>
    <s v="LC-17140"/>
    <s v="Logan Currie"/>
    <x v="0"/>
    <s v="United States"/>
    <x v="76"/>
    <x v="25"/>
    <n v="22153"/>
    <x v="0"/>
    <s v="FUR-FU-10003664"/>
    <x v="0"/>
    <x v="3"/>
    <s v="Electrix Architect's Clamp-On Swing Arm Lamp, Black"/>
    <n v="286"/>
    <n v="3"/>
    <n v="0"/>
    <n v="83"/>
    <x v="3"/>
    <s v="Dec"/>
  </r>
  <r>
    <n v="1303"/>
    <s v="CA-2015-115847"/>
    <x v="208"/>
    <d v="2015-09-24T00:00:00"/>
    <x v="0"/>
    <s v="TC-21535"/>
    <s v="Tracy Collins"/>
    <x v="2"/>
    <s v="United States"/>
    <x v="58"/>
    <x v="25"/>
    <n v="22204"/>
    <x v="0"/>
    <s v="FUR-BO-10003433"/>
    <x v="0"/>
    <x v="0"/>
    <s v="Sauder Cornerstone Collection Library"/>
    <n v="62"/>
    <n v="2"/>
    <n v="0"/>
    <n v="4"/>
    <x v="2"/>
    <s v="Sep"/>
  </r>
  <r>
    <n v="1304"/>
    <s v="US-2017-126179"/>
    <x v="209"/>
    <d v="2017-07-07T00:00:00"/>
    <x v="1"/>
    <s v="CS-12460"/>
    <s v="Chuck Sachs"/>
    <x v="0"/>
    <s v="United States"/>
    <x v="29"/>
    <x v="24"/>
    <n v="31907"/>
    <x v="0"/>
    <s v="FUR-FU-10002554"/>
    <x v="0"/>
    <x v="3"/>
    <s v="Westinghouse Floor Lamp with Metal Mesh Shade, Black"/>
    <n v="24"/>
    <n v="1"/>
    <n v="0"/>
    <n v="6"/>
    <x v="4"/>
    <s v="Jul"/>
  </r>
  <r>
    <n v="1311"/>
    <s v="CA-2016-141397"/>
    <x v="210"/>
    <d v="2016-06-21T00:00:00"/>
    <x v="2"/>
    <s v="RC-19825"/>
    <s v="Roy Collins"/>
    <x v="0"/>
    <s v="United States"/>
    <x v="102"/>
    <x v="2"/>
    <n v="91104"/>
    <x v="1"/>
    <s v="FUR-CH-10003846"/>
    <x v="0"/>
    <x v="1"/>
    <s v="Hon Valutask Swivel Chairs"/>
    <n v="162"/>
    <n v="2"/>
    <n v="0.2"/>
    <n v="-8"/>
    <x v="5"/>
    <s v="Jun"/>
  </r>
  <r>
    <n v="1314"/>
    <s v="US-2016-134488"/>
    <x v="211"/>
    <d v="2016-10-01T00:00:00"/>
    <x v="1"/>
    <s v="PK-19075"/>
    <s v="Pete Kriz"/>
    <x v="0"/>
    <s v="United States"/>
    <x v="29"/>
    <x v="15"/>
    <n v="43229"/>
    <x v="2"/>
    <s v="FUR-CH-10003199"/>
    <x v="0"/>
    <x v="1"/>
    <s v="Office Star - Contemporary Task Swivel Chair"/>
    <n v="155"/>
    <n v="2"/>
    <n v="0.3"/>
    <n v="-13"/>
    <x v="1"/>
    <s v="Sep"/>
  </r>
  <r>
    <n v="1316"/>
    <s v="CA-2016-145919"/>
    <x v="105"/>
    <d v="2016-12-23T00:00:00"/>
    <x v="1"/>
    <s v="HG-14965"/>
    <s v="Henry Goldwyn"/>
    <x v="1"/>
    <s v="United States"/>
    <x v="2"/>
    <x v="2"/>
    <n v="90032"/>
    <x v="1"/>
    <s v="FUR-FU-10004960"/>
    <x v="0"/>
    <x v="3"/>
    <s v="Seth Thomas 12&quot; Clock w/ Goldtone Case"/>
    <n v="184"/>
    <n v="8"/>
    <n v="0"/>
    <n v="63"/>
    <x v="2"/>
    <s v="Dec"/>
  </r>
  <r>
    <n v="1327"/>
    <s v="CA-2015-120439"/>
    <x v="212"/>
    <d v="2015-06-18T00:00:00"/>
    <x v="1"/>
    <s v="AD-10180"/>
    <s v="Alan Dominguez"/>
    <x v="2"/>
    <s v="United States"/>
    <x v="3"/>
    <x v="3"/>
    <n v="19120"/>
    <x v="2"/>
    <s v="FUR-FU-10001867"/>
    <x v="0"/>
    <x v="3"/>
    <s v="Eldon Expressions Punched Metal &amp; Wood Desk Accessories, Pewter &amp; Cherry"/>
    <n v="51"/>
    <n v="6"/>
    <n v="0.2"/>
    <n v="5"/>
    <x v="4"/>
    <s v="Jun"/>
  </r>
  <r>
    <n v="1330"/>
    <s v="CA-2016-142762"/>
    <x v="213"/>
    <d v="2016-05-27T00:00:00"/>
    <x v="1"/>
    <s v="LD-17005"/>
    <s v="Lisa DeCherney"/>
    <x v="0"/>
    <s v="United States"/>
    <x v="28"/>
    <x v="2"/>
    <n v="94109"/>
    <x v="1"/>
    <s v="FUR-FU-10003691"/>
    <x v="0"/>
    <x v="3"/>
    <s v="Eldon Image Series Desk Accessories, Ebony"/>
    <n v="37"/>
    <n v="3"/>
    <n v="0"/>
    <n v="16"/>
    <x v="4"/>
    <s v="May"/>
  </r>
  <r>
    <n v="1337"/>
    <s v="US-2017-123281"/>
    <x v="214"/>
    <d v="2017-04-07T00:00:00"/>
    <x v="1"/>
    <s v="JF-15190"/>
    <s v="Jamie Frazer"/>
    <x v="0"/>
    <s v="United States"/>
    <x v="2"/>
    <x v="2"/>
    <n v="90008"/>
    <x v="1"/>
    <s v="FUR-FU-10003724"/>
    <x v="0"/>
    <x v="3"/>
    <s v="Westinghouse Clip-On Gooseneck Lamps"/>
    <n v="25"/>
    <n v="3"/>
    <n v="0"/>
    <n v="7"/>
    <x v="2"/>
    <s v="Apr"/>
  </r>
  <r>
    <n v="1338"/>
    <s v="CA-2017-100524"/>
    <x v="76"/>
    <d v="2017-04-02T00:00:00"/>
    <x v="0"/>
    <s v="CM-12115"/>
    <s v="Chad McGuire"/>
    <x v="0"/>
    <s v="United States"/>
    <x v="13"/>
    <x v="7"/>
    <n v="10011"/>
    <x v="2"/>
    <s v="FUR-FU-10004018"/>
    <x v="0"/>
    <x v="3"/>
    <s v="Tensor Computer Mounted Lamp"/>
    <n v="30"/>
    <n v="2"/>
    <n v="0"/>
    <n v="8"/>
    <x v="3"/>
    <s v="Mar"/>
  </r>
  <r>
    <n v="1351"/>
    <s v="CA-2014-153976"/>
    <x v="215"/>
    <d v="2014-10-08T00:00:00"/>
    <x v="0"/>
    <s v="BP-11290"/>
    <s v="Beth Paige"/>
    <x v="0"/>
    <s v="United States"/>
    <x v="103"/>
    <x v="8"/>
    <n v="60201"/>
    <x v="3"/>
    <s v="FUR-CH-10002880"/>
    <x v="0"/>
    <x v="1"/>
    <s v="Global High-Back Leather Tilter, Burgundy"/>
    <n v="258"/>
    <n v="3"/>
    <n v="0.3"/>
    <n v="-70"/>
    <x v="2"/>
    <s v="Oct"/>
  </r>
  <r>
    <n v="1355"/>
    <s v="CA-2017-162978"/>
    <x v="216"/>
    <d v="2017-05-09T00:00:00"/>
    <x v="1"/>
    <s v="LW-16990"/>
    <s v="Lindsay Williams"/>
    <x v="1"/>
    <s v="United States"/>
    <x v="28"/>
    <x v="2"/>
    <n v="94109"/>
    <x v="1"/>
    <s v="FUR-TA-10003473"/>
    <x v="0"/>
    <x v="2"/>
    <s v="Bretford Rectangular Conference Table Tops"/>
    <n v="301"/>
    <n v="1"/>
    <n v="0.2"/>
    <n v="11"/>
    <x v="2"/>
    <s v="May"/>
  </r>
  <r>
    <n v="1359"/>
    <s v="CA-2017-160045"/>
    <x v="217"/>
    <d v="2017-04-27T00:00:00"/>
    <x v="2"/>
    <s v="LB-16735"/>
    <s v="Larry Blacks"/>
    <x v="0"/>
    <s v="United States"/>
    <x v="50"/>
    <x v="5"/>
    <n v="76106"/>
    <x v="3"/>
    <s v="FUR-FU-10000010"/>
    <x v="0"/>
    <x v="3"/>
    <s v="DAX Value U-Channel Document Frames, Easel Back"/>
    <n v="2"/>
    <n v="1"/>
    <n v="0.6"/>
    <n v="-1"/>
    <x v="5"/>
    <s v="Apr"/>
  </r>
  <r>
    <n v="1360"/>
    <s v="US-2014-151925"/>
    <x v="218"/>
    <d v="2014-10-01T00:00:00"/>
    <x v="0"/>
    <s v="KT-16465"/>
    <s v="Kean Takahito"/>
    <x v="0"/>
    <s v="United States"/>
    <x v="2"/>
    <x v="2"/>
    <n v="90049"/>
    <x v="1"/>
    <s v="FUR-CH-10002961"/>
    <x v="0"/>
    <x v="1"/>
    <s v="Leather Task Chair, Black"/>
    <n v="146"/>
    <n v="2"/>
    <n v="0.2"/>
    <n v="0"/>
    <x v="2"/>
    <s v="Sep"/>
  </r>
  <r>
    <n v="1368"/>
    <s v="US-2017-155425"/>
    <x v="219"/>
    <d v="2017-11-11T00:00:00"/>
    <x v="2"/>
    <s v="AB-10600"/>
    <s v="Ann Blume"/>
    <x v="1"/>
    <s v="United States"/>
    <x v="104"/>
    <x v="22"/>
    <n v="85705"/>
    <x v="1"/>
    <s v="FUR-CH-10003312"/>
    <x v="0"/>
    <x v="1"/>
    <s v="Hon 2090 ÒPillow SoftÓ Series Mid Back Swivel/Tilt Chairs"/>
    <n v="899"/>
    <n v="4"/>
    <n v="0.2"/>
    <n v="-146"/>
    <x v="5"/>
    <s v="Nov"/>
  </r>
  <r>
    <n v="1369"/>
    <s v="CA-2017-133249"/>
    <x v="220"/>
    <d v="2017-07-11T00:00:00"/>
    <x v="2"/>
    <s v="SZ-20035"/>
    <s v="Sam Zeldin"/>
    <x v="2"/>
    <s v="United States"/>
    <x v="105"/>
    <x v="2"/>
    <n v="90660"/>
    <x v="1"/>
    <s v="FUR-FU-10001588"/>
    <x v="0"/>
    <x v="3"/>
    <s v="Deflect-o SuperTray Unbreakable Stackable Tray, Letter, Black"/>
    <n v="146"/>
    <n v="5"/>
    <n v="0"/>
    <n v="63"/>
    <x v="0"/>
    <s v="Jul"/>
  </r>
  <r>
    <n v="1370"/>
    <s v="US-2015-103471"/>
    <x v="37"/>
    <d v="2015-12-28T00:00:00"/>
    <x v="1"/>
    <s v="JR-15670"/>
    <s v="Jim Radford"/>
    <x v="0"/>
    <s v="United States"/>
    <x v="30"/>
    <x v="12"/>
    <n v="80906"/>
    <x v="1"/>
    <s v="FUR-BO-10002613"/>
    <x v="0"/>
    <x v="0"/>
    <s v="Atlantic Metals Mobile 4-Shelf Bookcases, Custom Colors"/>
    <n v="590"/>
    <n v="7"/>
    <n v="0.7"/>
    <n v="-787"/>
    <x v="4"/>
    <s v="Dec"/>
  </r>
  <r>
    <n v="1375"/>
    <s v="CA-2015-120362"/>
    <x v="221"/>
    <d v="2015-09-19T00:00:00"/>
    <x v="1"/>
    <s v="CA-12265"/>
    <s v="Christina Anderson"/>
    <x v="0"/>
    <s v="United States"/>
    <x v="106"/>
    <x v="4"/>
    <n v="84604"/>
    <x v="1"/>
    <s v="FUR-TA-10003008"/>
    <x v="0"/>
    <x v="2"/>
    <s v="Lesro Round Back Collection Coffee Table, End Table"/>
    <n v="913"/>
    <n v="5"/>
    <n v="0"/>
    <n v="119"/>
    <x v="2"/>
    <s v="Sep"/>
  </r>
  <r>
    <n v="1382"/>
    <s v="US-2016-100566"/>
    <x v="222"/>
    <d v="2016-09-09T00:00:00"/>
    <x v="1"/>
    <s v="JK-16120"/>
    <s v="Julie Kriz"/>
    <x v="2"/>
    <s v="United States"/>
    <x v="14"/>
    <x v="8"/>
    <n v="60505"/>
    <x v="3"/>
    <s v="FUR-FU-10003394"/>
    <x v="0"/>
    <x v="3"/>
    <s v="Tenex &quot;The Solids&quot; Textured Chair Mats"/>
    <n v="84"/>
    <n v="3"/>
    <n v="0.6"/>
    <n v="-90"/>
    <x v="6"/>
    <s v="Sep"/>
  </r>
  <r>
    <n v="1386"/>
    <s v="US-2016-108504"/>
    <x v="223"/>
    <d v="2016-02-05T00:00:00"/>
    <x v="3"/>
    <s v="PP-18955"/>
    <s v="Paul Prost"/>
    <x v="2"/>
    <s v="United States"/>
    <x v="107"/>
    <x v="24"/>
    <n v="30080"/>
    <x v="0"/>
    <s v="FUR-FU-10004091"/>
    <x v="0"/>
    <x v="3"/>
    <s v="Eldon 200 Class Desk Accessories, Black"/>
    <n v="19"/>
    <n v="3"/>
    <n v="0"/>
    <n v="7"/>
    <x v="7"/>
    <s v="Feb"/>
  </r>
  <r>
    <n v="1387"/>
    <s v="US-2016-108504"/>
    <x v="223"/>
    <d v="2016-02-05T00:00:00"/>
    <x v="3"/>
    <s v="PP-18955"/>
    <s v="Paul Prost"/>
    <x v="2"/>
    <s v="United States"/>
    <x v="107"/>
    <x v="24"/>
    <n v="30080"/>
    <x v="0"/>
    <s v="FUR-BO-10004015"/>
    <x v="0"/>
    <x v="0"/>
    <s v="Bush Andora Bookcase, Maple/Graphite Gray Finish"/>
    <n v="240"/>
    <n v="2"/>
    <n v="0"/>
    <n v="53"/>
    <x v="7"/>
    <s v="Feb"/>
  </r>
  <r>
    <n v="1395"/>
    <s v="US-2017-117247"/>
    <x v="224"/>
    <d v="2017-10-14T00:00:00"/>
    <x v="1"/>
    <s v="CK-12760"/>
    <s v="Cyma Kinney"/>
    <x v="1"/>
    <s v="United States"/>
    <x v="14"/>
    <x v="8"/>
    <n v="60505"/>
    <x v="3"/>
    <s v="FUR-TA-10002958"/>
    <x v="0"/>
    <x v="2"/>
    <s v="Bevis Oval Conference Table, Walnut"/>
    <n v="652"/>
    <n v="5"/>
    <n v="0.5"/>
    <n v="-431"/>
    <x v="2"/>
    <s v="Oct"/>
  </r>
  <r>
    <n v="1396"/>
    <s v="US-2017-117247"/>
    <x v="224"/>
    <d v="2017-10-14T00:00:00"/>
    <x v="1"/>
    <s v="CK-12760"/>
    <s v="Cyma Kinney"/>
    <x v="1"/>
    <s v="United States"/>
    <x v="14"/>
    <x v="8"/>
    <n v="60505"/>
    <x v="3"/>
    <s v="FUR-TA-10001676"/>
    <x v="0"/>
    <x v="2"/>
    <s v="Hon 61000 Series Interactive Training Tables"/>
    <n v="67"/>
    <n v="3"/>
    <n v="0.5"/>
    <n v="-43"/>
    <x v="2"/>
    <s v="Oct"/>
  </r>
  <r>
    <n v="1403"/>
    <s v="US-2016-161396"/>
    <x v="225"/>
    <d v="2016-04-25T00:00:00"/>
    <x v="1"/>
    <s v="GM-14455"/>
    <s v="Gary Mitchum"/>
    <x v="2"/>
    <s v="United States"/>
    <x v="29"/>
    <x v="15"/>
    <n v="43229"/>
    <x v="2"/>
    <s v="FUR-TA-10002622"/>
    <x v="0"/>
    <x v="2"/>
    <s v="Bush Andora Conference Table, Maple/Graphite Gray Finish"/>
    <n v="205"/>
    <n v="2"/>
    <n v="0.4"/>
    <n v="-58"/>
    <x v="6"/>
    <s v="Apr"/>
  </r>
  <r>
    <n v="1406"/>
    <s v="US-2014-118486"/>
    <x v="226"/>
    <d v="2014-04-08T00:00:00"/>
    <x v="2"/>
    <s v="SD-20485"/>
    <s v="Shirley Daniels"/>
    <x v="2"/>
    <s v="United States"/>
    <x v="3"/>
    <x v="3"/>
    <n v="19143"/>
    <x v="2"/>
    <s v="FUR-TA-10001039"/>
    <x v="0"/>
    <x v="2"/>
    <s v="KI Adjustable-Height Table"/>
    <n v="155"/>
    <n v="3"/>
    <n v="0.4"/>
    <n v="-36"/>
    <x v="3"/>
    <s v="Apr"/>
  </r>
  <r>
    <n v="1409"/>
    <s v="CA-2016-130407"/>
    <x v="227"/>
    <d v="2016-09-06T00:00:00"/>
    <x v="1"/>
    <s v="KD-16270"/>
    <s v="Karen Daniels"/>
    <x v="0"/>
    <s v="United States"/>
    <x v="13"/>
    <x v="7"/>
    <n v="10024"/>
    <x v="2"/>
    <s v="FUR-FU-10001967"/>
    <x v="0"/>
    <x v="3"/>
    <s v="Telescoping Adjustable Floor Lamp"/>
    <n v="40"/>
    <n v="2"/>
    <n v="0"/>
    <n v="10"/>
    <x v="4"/>
    <s v="Sep"/>
  </r>
  <r>
    <n v="1410"/>
    <s v="US-2016-122245"/>
    <x v="228"/>
    <d v="2016-09-30T00:00:00"/>
    <x v="1"/>
    <s v="AB-10105"/>
    <s v="Adrian Barton"/>
    <x v="0"/>
    <s v="United States"/>
    <x v="43"/>
    <x v="22"/>
    <n v="85023"/>
    <x v="1"/>
    <s v="FUR-TA-10002356"/>
    <x v="0"/>
    <x v="2"/>
    <s v="Bevis Boat-Shaped Conference Table"/>
    <n v="393"/>
    <n v="3"/>
    <n v="0.5"/>
    <n v="-204"/>
    <x v="2"/>
    <s v="Sep"/>
  </r>
  <r>
    <n v="1412"/>
    <s v="CA-2016-136329"/>
    <x v="229"/>
    <d v="2016-07-13T00:00:00"/>
    <x v="1"/>
    <s v="JD-15895"/>
    <s v="Jonathan Doherty"/>
    <x v="1"/>
    <s v="United States"/>
    <x v="13"/>
    <x v="7"/>
    <n v="10035"/>
    <x v="2"/>
    <s v="FUR-CH-10002335"/>
    <x v="0"/>
    <x v="1"/>
    <s v="Hon GuestStacker Chair"/>
    <n v="408"/>
    <n v="2"/>
    <n v="0.1"/>
    <n v="73"/>
    <x v="4"/>
    <s v="Jul"/>
  </r>
  <r>
    <n v="1413"/>
    <s v="CA-2016-136329"/>
    <x v="229"/>
    <d v="2016-07-13T00:00:00"/>
    <x v="1"/>
    <s v="JD-15895"/>
    <s v="Jonathan Doherty"/>
    <x v="1"/>
    <s v="United States"/>
    <x v="13"/>
    <x v="7"/>
    <n v="10035"/>
    <x v="2"/>
    <s v="FUR-FU-10000723"/>
    <x v="0"/>
    <x v="3"/>
    <s v="Deflect-o EconoMat Studded, No Bevel Mat for Low Pile Carpeting"/>
    <n v="165"/>
    <n v="4"/>
    <n v="0"/>
    <n v="15"/>
    <x v="4"/>
    <s v="Jul"/>
  </r>
  <r>
    <n v="1416"/>
    <s v="CA-2017-115994"/>
    <x v="230"/>
    <d v="2017-01-31T00:00:00"/>
    <x v="0"/>
    <s v="BT-11305"/>
    <s v="Beth Thompson"/>
    <x v="2"/>
    <s v="United States"/>
    <x v="46"/>
    <x v="2"/>
    <n v="92627"/>
    <x v="1"/>
    <s v="FUR-FU-10003976"/>
    <x v="0"/>
    <x v="3"/>
    <s v="DAX Executive Solid Wood Document Frame, Desktop or Hang, Mahogany, 5 x 7"/>
    <n v="38"/>
    <n v="3"/>
    <n v="0"/>
    <n v="13"/>
    <x v="0"/>
    <s v="Jan"/>
  </r>
  <r>
    <n v="1419"/>
    <s v="CA-2015-126697"/>
    <x v="231"/>
    <d v="2015-09-24T00:00:00"/>
    <x v="2"/>
    <s v="SV-20815"/>
    <s v="Stuart Van"/>
    <x v="1"/>
    <s v="United States"/>
    <x v="6"/>
    <x v="5"/>
    <n v="77041"/>
    <x v="3"/>
    <s v="FUR-FU-10001706"/>
    <x v="0"/>
    <x v="3"/>
    <s v="Longer-Life Soft White Bulbs"/>
    <n v="5"/>
    <n v="4"/>
    <n v="0.6"/>
    <n v="-1"/>
    <x v="0"/>
    <s v="Sep"/>
  </r>
  <r>
    <n v="1434"/>
    <s v="CA-2014-120768"/>
    <x v="232"/>
    <d v="2014-12-21T00:00:00"/>
    <x v="0"/>
    <s v="IM-15070"/>
    <s v="Irene Maddox"/>
    <x v="0"/>
    <s v="United States"/>
    <x v="73"/>
    <x v="33"/>
    <n v="35630"/>
    <x v="0"/>
    <s v="FUR-CH-10000513"/>
    <x v="0"/>
    <x v="1"/>
    <s v="High-Back Leather Manager's Chair"/>
    <n v="1820"/>
    <n v="14"/>
    <n v="0"/>
    <n v="164"/>
    <x v="3"/>
    <s v="Dec"/>
  </r>
  <r>
    <n v="1439"/>
    <s v="CA-2015-139731"/>
    <x v="233"/>
    <d v="2015-10-15T00:00:00"/>
    <x v="3"/>
    <s v="JE-15745"/>
    <s v="Joel Eaton"/>
    <x v="0"/>
    <s v="United States"/>
    <x v="45"/>
    <x v="5"/>
    <n v="79109"/>
    <x v="3"/>
    <s v="FUR-CH-10002024"/>
    <x v="0"/>
    <x v="1"/>
    <s v="HON 5400 Series Task Chairs for Big and Tall"/>
    <n v="2453"/>
    <n v="5"/>
    <n v="0.3"/>
    <n v="-350"/>
    <x v="7"/>
    <s v="Oct"/>
  </r>
  <r>
    <n v="1447"/>
    <s v="CA-2017-102337"/>
    <x v="234"/>
    <d v="2017-06-16T00:00:00"/>
    <x v="2"/>
    <s v="SD-20485"/>
    <s v="Shirley Daniels"/>
    <x v="2"/>
    <s v="United States"/>
    <x v="9"/>
    <x v="8"/>
    <n v="60653"/>
    <x v="3"/>
    <s v="FUR-CH-10004289"/>
    <x v="0"/>
    <x v="1"/>
    <s v="Global Super Steno Chair"/>
    <n v="470"/>
    <n v="7"/>
    <n v="0.3"/>
    <n v="-87"/>
    <x v="0"/>
    <s v="Jun"/>
  </r>
  <r>
    <n v="1457"/>
    <s v="CA-2017-148474"/>
    <x v="235"/>
    <d v="2017-06-19T00:00:00"/>
    <x v="1"/>
    <s v="ME-17320"/>
    <s v="Maria Etezadi"/>
    <x v="2"/>
    <s v="United States"/>
    <x v="29"/>
    <x v="24"/>
    <n v="31907"/>
    <x v="0"/>
    <s v="FUR-TA-10002530"/>
    <x v="0"/>
    <x v="2"/>
    <s v="Iceberg OfficeWorks 42&quot; Round Tables"/>
    <n v="453"/>
    <n v="3"/>
    <n v="0"/>
    <n v="68"/>
    <x v="1"/>
    <s v="Jun"/>
  </r>
  <r>
    <n v="1460"/>
    <s v="CA-2014-155271"/>
    <x v="236"/>
    <d v="2014-05-04T00:00:00"/>
    <x v="3"/>
    <s v="AA-10480"/>
    <s v="Andrew Allen"/>
    <x v="0"/>
    <s v="United States"/>
    <x v="108"/>
    <x v="19"/>
    <n v="6457"/>
    <x v="2"/>
    <s v="FUR-FU-10001473"/>
    <x v="0"/>
    <x v="3"/>
    <s v="DAX Wood Document Frame"/>
    <n v="27"/>
    <n v="2"/>
    <n v="0"/>
    <n v="10"/>
    <x v="7"/>
    <s v="May"/>
  </r>
  <r>
    <n v="1462"/>
    <s v="US-2016-128902"/>
    <x v="237"/>
    <d v="2016-03-15T00:00:00"/>
    <x v="1"/>
    <s v="MB-18085"/>
    <s v="Mick Brown"/>
    <x v="0"/>
    <s v="United States"/>
    <x v="109"/>
    <x v="18"/>
    <n v="8360"/>
    <x v="2"/>
    <s v="FUR-TA-10001095"/>
    <x v="0"/>
    <x v="2"/>
    <s v="Chromcraft Round Conference Tables"/>
    <n v="244"/>
    <n v="2"/>
    <n v="0.3"/>
    <n v="-31"/>
    <x v="4"/>
    <s v="Mar"/>
  </r>
  <r>
    <n v="1464"/>
    <s v="CA-2016-152289"/>
    <x v="238"/>
    <d v="2016-08-28T00:00:00"/>
    <x v="2"/>
    <s v="LC-16930"/>
    <s v="Linda Cazamias"/>
    <x v="1"/>
    <s v="United States"/>
    <x v="102"/>
    <x v="5"/>
    <n v="77506"/>
    <x v="3"/>
    <s v="FUR-CH-10002126"/>
    <x v="0"/>
    <x v="1"/>
    <s v="Hon Deluxe Fabric Upholstered Stacking Chairs"/>
    <n v="1025"/>
    <n v="6"/>
    <n v="0.3"/>
    <n v="-29"/>
    <x v="3"/>
    <s v="Aug"/>
  </r>
  <r>
    <n v="1466"/>
    <s v="CA-2014-151708"/>
    <x v="98"/>
    <d v="2014-08-14T00:00:00"/>
    <x v="1"/>
    <s v="MB-17305"/>
    <s v="Maria Bertelson"/>
    <x v="0"/>
    <s v="United States"/>
    <x v="110"/>
    <x v="22"/>
    <n v="85301"/>
    <x v="1"/>
    <s v="FUR-FU-10001602"/>
    <x v="0"/>
    <x v="3"/>
    <s v="Eldon Delta Triangular Chair Mat, 52&quot; x 58&quot;, Clear"/>
    <n v="121"/>
    <n v="4"/>
    <n v="0.2"/>
    <n v="-3"/>
    <x v="6"/>
    <s v="Aug"/>
  </r>
  <r>
    <n v="1469"/>
    <s v="CA-2017-139199"/>
    <x v="13"/>
    <d v="2017-12-13T00:00:00"/>
    <x v="1"/>
    <s v="DK-12835"/>
    <s v="Damala Kotsonis"/>
    <x v="1"/>
    <s v="United States"/>
    <x v="25"/>
    <x v="17"/>
    <n v="48234"/>
    <x v="3"/>
    <s v="FUR-CH-10000847"/>
    <x v="0"/>
    <x v="1"/>
    <s v="Global Executive Mid-Back Manager's Chair"/>
    <n v="873"/>
    <n v="3"/>
    <n v="0"/>
    <n v="227"/>
    <x v="4"/>
    <s v="Dec"/>
  </r>
  <r>
    <n v="1474"/>
    <s v="US-2015-105676"/>
    <x v="239"/>
    <d v="2015-12-02T00:00:00"/>
    <x v="3"/>
    <s v="NM-18520"/>
    <s v="Neoma Murray"/>
    <x v="0"/>
    <s v="United States"/>
    <x v="6"/>
    <x v="5"/>
    <n v="77036"/>
    <x v="3"/>
    <s v="FUR-FU-10004270"/>
    <x v="0"/>
    <x v="3"/>
    <s v="Eldon Image Series Desk Accessories, Burgundy"/>
    <n v="7"/>
    <n v="4"/>
    <n v="0.6"/>
    <n v="-4"/>
    <x v="5"/>
    <s v="Dec"/>
  </r>
  <r>
    <n v="1489"/>
    <s v="CA-2015-140410"/>
    <x v="240"/>
    <d v="2015-11-07T00:00:00"/>
    <x v="1"/>
    <s v="CM-12655"/>
    <s v="Corinna Mitchell"/>
    <x v="2"/>
    <s v="United States"/>
    <x v="2"/>
    <x v="2"/>
    <n v="90008"/>
    <x v="1"/>
    <s v="FUR-FU-10003347"/>
    <x v="0"/>
    <x v="3"/>
    <s v="Coloredge Poster Frame"/>
    <n v="43"/>
    <n v="3"/>
    <n v="0"/>
    <n v="17"/>
    <x v="4"/>
    <s v="Nov"/>
  </r>
  <r>
    <n v="1493"/>
    <s v="CA-2017-166436"/>
    <x v="241"/>
    <d v="2017-11-28T00:00:00"/>
    <x v="1"/>
    <s v="TS-21370"/>
    <s v="Todd Sumrall"/>
    <x v="1"/>
    <s v="United States"/>
    <x v="13"/>
    <x v="7"/>
    <n v="10035"/>
    <x v="2"/>
    <s v="FUR-CH-10000785"/>
    <x v="0"/>
    <x v="1"/>
    <s v="Global Ergonomic Managers Chair"/>
    <n v="977"/>
    <n v="6"/>
    <n v="0.1"/>
    <n v="174"/>
    <x v="4"/>
    <s v="Nov"/>
  </r>
  <r>
    <n v="1494"/>
    <s v="CA-2017-139661"/>
    <x v="242"/>
    <d v="2017-11-03T00:00:00"/>
    <x v="1"/>
    <s v="JW-15220"/>
    <s v="Jane Waco"/>
    <x v="1"/>
    <s v="United States"/>
    <x v="57"/>
    <x v="13"/>
    <n v="98661"/>
    <x v="1"/>
    <s v="FUR-FU-10002885"/>
    <x v="0"/>
    <x v="3"/>
    <s v="Magna Visual Magnetic Picture Hangers"/>
    <n v="10"/>
    <n v="2"/>
    <n v="0"/>
    <n v="4"/>
    <x v="4"/>
    <s v="Oct"/>
  </r>
  <r>
    <n v="1504"/>
    <s v="CA-2016-100468"/>
    <x v="243"/>
    <d v="2016-12-01T00:00:00"/>
    <x v="1"/>
    <s v="AT-10435"/>
    <s v="Alyssa Tate"/>
    <x v="2"/>
    <s v="United States"/>
    <x v="2"/>
    <x v="2"/>
    <n v="90045"/>
    <x v="1"/>
    <s v="FUR-FU-10000010"/>
    <x v="0"/>
    <x v="3"/>
    <s v="DAX Value U-Channel Document Frames, Easel Back"/>
    <n v="10"/>
    <n v="2"/>
    <n v="0"/>
    <n v="3"/>
    <x v="1"/>
    <s v="Nov"/>
  </r>
  <r>
    <n v="1506"/>
    <s v="CA-2015-153388"/>
    <x v="244"/>
    <d v="2015-08-07T00:00:00"/>
    <x v="1"/>
    <s v="PC-19000"/>
    <s v="Pauline Chand"/>
    <x v="2"/>
    <s v="United States"/>
    <x v="2"/>
    <x v="2"/>
    <n v="90004"/>
    <x v="1"/>
    <s v="FUR-TA-10003715"/>
    <x v="0"/>
    <x v="2"/>
    <s v="Hon 2111 Invitation Series Corner Table"/>
    <n v="1005"/>
    <n v="6"/>
    <n v="0.2"/>
    <n v="-176"/>
    <x v="6"/>
    <s v="Aug"/>
  </r>
  <r>
    <n v="1510"/>
    <s v="CA-2017-103611"/>
    <x v="245"/>
    <d v="2017-09-15T00:00:00"/>
    <x v="2"/>
    <s v="JM-15535"/>
    <s v="Jessica Myrick"/>
    <x v="0"/>
    <s v="United States"/>
    <x v="2"/>
    <x v="2"/>
    <n v="90036"/>
    <x v="1"/>
    <s v="FUR-FU-10004270"/>
    <x v="0"/>
    <x v="3"/>
    <s v="Eldon Image Series Desk Accessories, Burgundy"/>
    <n v="8"/>
    <n v="2"/>
    <n v="0"/>
    <n v="3"/>
    <x v="0"/>
    <s v="Sep"/>
  </r>
  <r>
    <n v="1516"/>
    <s v="US-2017-160759"/>
    <x v="246"/>
    <d v="2017-12-17T00:00:00"/>
    <x v="1"/>
    <s v="AI-10855"/>
    <s v="Arianne Irving"/>
    <x v="0"/>
    <s v="United States"/>
    <x v="3"/>
    <x v="3"/>
    <n v="19120"/>
    <x v="2"/>
    <s v="FUR-CH-10002961"/>
    <x v="0"/>
    <x v="1"/>
    <s v="Leather Task Chair, Black"/>
    <n v="64"/>
    <n v="1"/>
    <n v="0.3"/>
    <n v="-9"/>
    <x v="6"/>
    <s v="Dec"/>
  </r>
  <r>
    <n v="1517"/>
    <s v="CA-2017-148446"/>
    <x v="247"/>
    <d v="2017-12-14T00:00:00"/>
    <x v="0"/>
    <s v="MC-17845"/>
    <s v="Michael Chen"/>
    <x v="0"/>
    <s v="United States"/>
    <x v="111"/>
    <x v="34"/>
    <n v="89031"/>
    <x v="1"/>
    <s v="FUR-TA-10004256"/>
    <x v="0"/>
    <x v="2"/>
    <s v="Bretford ÒJust In TimeÓ Height-Adjustable Multi-Task Work Tables"/>
    <n v="1670"/>
    <n v="4"/>
    <n v="0"/>
    <n v="117"/>
    <x v="4"/>
    <s v="Dec"/>
  </r>
  <r>
    <n v="1522"/>
    <s v="CA-2015-144806"/>
    <x v="248"/>
    <d v="2015-12-11T00:00:00"/>
    <x v="1"/>
    <s v="GH-14425"/>
    <s v="Gary Hwang"/>
    <x v="0"/>
    <s v="United States"/>
    <x v="104"/>
    <x v="22"/>
    <n v="85705"/>
    <x v="1"/>
    <s v="FUR-FU-10002253"/>
    <x v="0"/>
    <x v="3"/>
    <s v="Howard Miller 13&quot; Diameter Pewter Finish Round Wall Clock"/>
    <n v="206"/>
    <n v="6"/>
    <n v="0.2"/>
    <n v="49"/>
    <x v="2"/>
    <s v="Dec"/>
  </r>
  <r>
    <n v="1528"/>
    <s v="CA-2016-122392"/>
    <x v="249"/>
    <d v="2016-07-27T00:00:00"/>
    <x v="1"/>
    <s v="CJ-12010"/>
    <s v="Caroline Jumper"/>
    <x v="0"/>
    <s v="United States"/>
    <x v="112"/>
    <x v="3"/>
    <n v="18103"/>
    <x v="2"/>
    <s v="FUR-FU-10002456"/>
    <x v="0"/>
    <x v="3"/>
    <s v="Master Caster Door Stop, Large Neon Orange"/>
    <n v="12"/>
    <n v="2"/>
    <n v="0.2"/>
    <n v="3"/>
    <x v="2"/>
    <s v="Jul"/>
  </r>
  <r>
    <n v="1535"/>
    <s v="CA-2017-124086"/>
    <x v="250"/>
    <d v="2017-02-14T00:00:00"/>
    <x v="1"/>
    <s v="MP-18175"/>
    <s v="Mike Pelletier"/>
    <x v="2"/>
    <s v="United States"/>
    <x v="113"/>
    <x v="2"/>
    <n v="92677"/>
    <x v="1"/>
    <s v="FUR-BO-10004015"/>
    <x v="0"/>
    <x v="0"/>
    <s v="Bush Andora Bookcase, Maple/Graphite Gray Finish"/>
    <n v="204"/>
    <n v="2"/>
    <n v="0.15"/>
    <n v="17"/>
    <x v="4"/>
    <s v="Feb"/>
  </r>
  <r>
    <n v="1540"/>
    <s v="CA-2017-121888"/>
    <x v="102"/>
    <d v="2017-09-17T00:00:00"/>
    <x v="0"/>
    <s v="CL-11890"/>
    <s v="Carl Ludwig"/>
    <x v="0"/>
    <s v="United States"/>
    <x v="114"/>
    <x v="20"/>
    <n v="2149"/>
    <x v="2"/>
    <s v="FUR-BO-10002545"/>
    <x v="0"/>
    <x v="0"/>
    <s v="Atlantic Metals Mobile 3-Shelf Bookcases, Custom Colors"/>
    <n v="783"/>
    <n v="3"/>
    <n v="0"/>
    <n v="204"/>
    <x v="3"/>
    <s v="Sep"/>
  </r>
  <r>
    <n v="1542"/>
    <s v="CA-2014-166884"/>
    <x v="251"/>
    <d v="2014-03-16T00:00:00"/>
    <x v="0"/>
    <s v="CK-12205"/>
    <s v="Chloris Kastensmidt"/>
    <x v="0"/>
    <s v="United States"/>
    <x v="29"/>
    <x v="15"/>
    <n v="43229"/>
    <x v="2"/>
    <s v="FUR-FU-10003981"/>
    <x v="0"/>
    <x v="3"/>
    <s v="Eldon Wave Desk Accessories"/>
    <n v="8"/>
    <n v="5"/>
    <n v="0.2"/>
    <n v="2"/>
    <x v="2"/>
    <s v="Mar"/>
  </r>
  <r>
    <n v="1546"/>
    <s v="CA-2014-150245"/>
    <x v="252"/>
    <d v="2015-01-04T00:00:00"/>
    <x v="0"/>
    <s v="PC-18745"/>
    <s v="Pamela Coakley"/>
    <x v="1"/>
    <s v="United States"/>
    <x v="115"/>
    <x v="7"/>
    <n v="13601"/>
    <x v="2"/>
    <s v="FUR-BO-10002613"/>
    <x v="0"/>
    <x v="0"/>
    <s v="Atlantic Metals Mobile 4-Shelf Bookcases, Custom Colors"/>
    <n v="1573"/>
    <n v="7"/>
    <n v="0.2"/>
    <n v="197"/>
    <x v="4"/>
    <s v="Dec"/>
  </r>
  <r>
    <n v="1559"/>
    <s v="CA-2015-112116"/>
    <x v="253"/>
    <d v="2015-03-18T00:00:00"/>
    <x v="0"/>
    <s v="JE-15475"/>
    <s v="Jeremy Ellison"/>
    <x v="0"/>
    <s v="United States"/>
    <x v="15"/>
    <x v="13"/>
    <n v="98103"/>
    <x v="1"/>
    <s v="FUR-TA-10001039"/>
    <x v="0"/>
    <x v="2"/>
    <s v="KI Adjustable-Height Table"/>
    <n v="172"/>
    <n v="2"/>
    <n v="0"/>
    <n v="45"/>
    <x v="3"/>
    <s v="Mar"/>
  </r>
  <r>
    <n v="1563"/>
    <s v="US-2017-102890"/>
    <x v="254"/>
    <d v="2017-06-30T00:00:00"/>
    <x v="3"/>
    <s v="SG-20470"/>
    <s v="Sheri Gordon"/>
    <x v="0"/>
    <s v="United States"/>
    <x v="13"/>
    <x v="7"/>
    <n v="10011"/>
    <x v="2"/>
    <s v="FUR-TA-10000577"/>
    <x v="0"/>
    <x v="2"/>
    <s v="Bretford CR4500 Series Slim Rectangular Table"/>
    <n v="1045"/>
    <n v="5"/>
    <n v="0.4"/>
    <n v="-296"/>
    <x v="7"/>
    <s v="Jun"/>
  </r>
  <r>
    <n v="1571"/>
    <s v="US-2014-157385"/>
    <x v="255"/>
    <d v="2014-11-25T00:00:00"/>
    <x v="2"/>
    <s v="SC-20095"/>
    <s v="Sanjit Chand"/>
    <x v="0"/>
    <s v="United States"/>
    <x v="2"/>
    <x v="2"/>
    <n v="90004"/>
    <x v="1"/>
    <s v="FUR-CH-10000863"/>
    <x v="0"/>
    <x v="1"/>
    <s v="Novimex Swivel Fabric Task Chair"/>
    <n v="604"/>
    <n v="5"/>
    <n v="0.2"/>
    <n v="-68"/>
    <x v="3"/>
    <s v="Nov"/>
  </r>
  <r>
    <n v="1574"/>
    <s v="US-2014-157385"/>
    <x v="255"/>
    <d v="2014-11-25T00:00:00"/>
    <x v="2"/>
    <s v="SC-20095"/>
    <s v="Sanjit Chand"/>
    <x v="0"/>
    <s v="United States"/>
    <x v="2"/>
    <x v="2"/>
    <n v="90004"/>
    <x v="1"/>
    <s v="FUR-CH-10000595"/>
    <x v="0"/>
    <x v="1"/>
    <s v="Safco Contoured Stacking Chairs"/>
    <n v="381"/>
    <n v="2"/>
    <n v="0.2"/>
    <n v="24"/>
    <x v="3"/>
    <s v="Nov"/>
  </r>
  <r>
    <n v="1576"/>
    <s v="CA-2014-101602"/>
    <x v="256"/>
    <d v="2014-12-18T00:00:00"/>
    <x v="2"/>
    <s v="MC-18100"/>
    <s v="Mick Crebagga"/>
    <x v="0"/>
    <s v="United States"/>
    <x v="116"/>
    <x v="5"/>
    <n v="79907"/>
    <x v="3"/>
    <s v="FUR-CH-10004675"/>
    <x v="0"/>
    <x v="1"/>
    <s v="Lifetime Advantage Folding Chairs, 4/Carton"/>
    <n v="763"/>
    <n v="5"/>
    <n v="0.3"/>
    <n v="-22"/>
    <x v="0"/>
    <s v="Dec"/>
  </r>
  <r>
    <n v="1581"/>
    <s v="CA-2015-131338"/>
    <x v="38"/>
    <d v="2015-08-12T00:00:00"/>
    <x v="2"/>
    <s v="NP-18325"/>
    <s v="Naresj Patel"/>
    <x v="0"/>
    <s v="United States"/>
    <x v="13"/>
    <x v="7"/>
    <n v="10024"/>
    <x v="2"/>
    <s v="FUR-TA-10002607"/>
    <x v="0"/>
    <x v="2"/>
    <s v="KI Conference Tables"/>
    <n v="383"/>
    <n v="9"/>
    <n v="0.4"/>
    <n v="-153"/>
    <x v="0"/>
    <s v="Aug"/>
  </r>
  <r>
    <n v="1584"/>
    <s v="CA-2015-131338"/>
    <x v="38"/>
    <d v="2015-08-12T00:00:00"/>
    <x v="2"/>
    <s v="NP-18325"/>
    <s v="Naresj Patel"/>
    <x v="0"/>
    <s v="United States"/>
    <x v="13"/>
    <x v="7"/>
    <n v="10024"/>
    <x v="2"/>
    <s v="FUR-FU-10002157"/>
    <x v="0"/>
    <x v="3"/>
    <s v="Artistic Insta-Plaque"/>
    <n v="47"/>
    <n v="3"/>
    <n v="0"/>
    <n v="18"/>
    <x v="0"/>
    <s v="Aug"/>
  </r>
  <r>
    <n v="1585"/>
    <s v="CA-2015-131338"/>
    <x v="38"/>
    <d v="2015-08-12T00:00:00"/>
    <x v="2"/>
    <s v="NP-18325"/>
    <s v="Naresj Patel"/>
    <x v="0"/>
    <s v="United States"/>
    <x v="13"/>
    <x v="7"/>
    <n v="10024"/>
    <x v="2"/>
    <s v="FUR-FU-10001706"/>
    <x v="0"/>
    <x v="3"/>
    <s v="Longer-Life Soft White Bulbs"/>
    <n v="6"/>
    <n v="2"/>
    <n v="0"/>
    <n v="3"/>
    <x v="0"/>
    <s v="Aug"/>
  </r>
  <r>
    <n v="1595"/>
    <s v="CA-2015-118423"/>
    <x v="257"/>
    <d v="2015-03-27T00:00:00"/>
    <x v="2"/>
    <s v="DP-13390"/>
    <s v="Dennis Pardue"/>
    <x v="2"/>
    <s v="United States"/>
    <x v="117"/>
    <x v="8"/>
    <n v="61604"/>
    <x v="3"/>
    <s v="FUR-BO-10000362"/>
    <x v="0"/>
    <x v="0"/>
    <s v="Sauder Inglewood Library Bookcases"/>
    <n v="359"/>
    <n v="3"/>
    <n v="0.3"/>
    <n v="-36"/>
    <x v="0"/>
    <s v="Mar"/>
  </r>
  <r>
    <n v="1596"/>
    <s v="CA-2017-149181"/>
    <x v="258"/>
    <d v="2017-05-12T00:00:00"/>
    <x v="1"/>
    <s v="MD-17350"/>
    <s v="Maribeth Dona"/>
    <x v="0"/>
    <s v="United States"/>
    <x v="29"/>
    <x v="15"/>
    <n v="43229"/>
    <x v="2"/>
    <s v="FUR-CH-10004540"/>
    <x v="0"/>
    <x v="1"/>
    <s v="Global Chrome Stack Chair"/>
    <n v="48"/>
    <n v="2"/>
    <n v="0.3"/>
    <n v="-2"/>
    <x v="4"/>
    <s v="May"/>
  </r>
  <r>
    <n v="1597"/>
    <s v="CA-2017-132234"/>
    <x v="259"/>
    <d v="2017-10-18T00:00:00"/>
    <x v="2"/>
    <s v="MY-17380"/>
    <s v="Maribeth Yedwab"/>
    <x v="1"/>
    <s v="United States"/>
    <x v="13"/>
    <x v="7"/>
    <n v="10011"/>
    <x v="2"/>
    <s v="FUR-FU-10001290"/>
    <x v="0"/>
    <x v="3"/>
    <s v="Executive Impressions Supervisor Wall Clock"/>
    <n v="547"/>
    <n v="13"/>
    <n v="0"/>
    <n v="175"/>
    <x v="3"/>
    <s v="Oct"/>
  </r>
  <r>
    <n v="1601"/>
    <s v="CA-2017-158876"/>
    <x v="49"/>
    <d v="2017-11-21T00:00:00"/>
    <x v="0"/>
    <s v="AB-10150"/>
    <s v="Aimee Bixby"/>
    <x v="0"/>
    <s v="United States"/>
    <x v="118"/>
    <x v="5"/>
    <n v="75007"/>
    <x v="3"/>
    <s v="FUR-FU-10001967"/>
    <x v="0"/>
    <x v="3"/>
    <s v="Telescoping Adjustable Floor Lamp"/>
    <n v="16"/>
    <n v="2"/>
    <n v="0.6"/>
    <n v="-14"/>
    <x v="3"/>
    <s v="Nov"/>
  </r>
  <r>
    <n v="1602"/>
    <s v="CA-2016-164672"/>
    <x v="260"/>
    <d v="2016-05-13T00:00:00"/>
    <x v="0"/>
    <s v="GB-14530"/>
    <s v="George Bell"/>
    <x v="1"/>
    <s v="United States"/>
    <x v="63"/>
    <x v="14"/>
    <n v="19901"/>
    <x v="2"/>
    <s v="FUR-FU-10001488"/>
    <x v="0"/>
    <x v="3"/>
    <s v="Tenex 46&quot; x 60&quot; Computer Anti-Static Chairmat, Rectangular Shaped"/>
    <n v="212"/>
    <n v="2"/>
    <n v="0"/>
    <n v="42"/>
    <x v="2"/>
    <s v="May"/>
  </r>
  <r>
    <n v="1611"/>
    <s v="CA-2014-156349"/>
    <x v="261"/>
    <d v="2014-05-30T00:00:00"/>
    <x v="1"/>
    <s v="ML-17395"/>
    <s v="Marina Lichtenstein"/>
    <x v="1"/>
    <s v="United States"/>
    <x v="2"/>
    <x v="2"/>
    <n v="90008"/>
    <x v="1"/>
    <s v="FUR-BO-10000362"/>
    <x v="0"/>
    <x v="0"/>
    <s v="Sauder Inglewood Library Bookcases"/>
    <n v="291"/>
    <n v="2"/>
    <n v="0.15"/>
    <n v="27"/>
    <x v="4"/>
    <s v="May"/>
  </r>
  <r>
    <n v="1621"/>
    <s v="CA-2017-108560"/>
    <x v="220"/>
    <d v="2017-07-15T00:00:00"/>
    <x v="1"/>
    <s v="JC-15385"/>
    <s v="Jenna Caffey"/>
    <x v="0"/>
    <s v="United States"/>
    <x v="119"/>
    <x v="13"/>
    <n v="98031"/>
    <x v="1"/>
    <s v="FUR-FU-10002937"/>
    <x v="0"/>
    <x v="3"/>
    <s v="GE 48&quot; Fluorescent Tube, Cool White Energy Saver, 34 Watts, 30/Box"/>
    <n v="198"/>
    <n v="2"/>
    <n v="0"/>
    <n v="99"/>
    <x v="1"/>
    <s v="Jul"/>
  </r>
  <r>
    <n v="1628"/>
    <s v="CA-2015-143119"/>
    <x v="262"/>
    <d v="2015-09-30T00:00:00"/>
    <x v="1"/>
    <s v="MC-17275"/>
    <s v="Marc Crier"/>
    <x v="0"/>
    <s v="United States"/>
    <x v="120"/>
    <x v="35"/>
    <n v="70506"/>
    <x v="0"/>
    <s v="FUR-CH-10001270"/>
    <x v="0"/>
    <x v="1"/>
    <s v="Harbour Creations Steel Folding Chair"/>
    <n v="518"/>
    <n v="6"/>
    <n v="0"/>
    <n v="155"/>
    <x v="6"/>
    <s v="Sep"/>
  </r>
  <r>
    <n v="1629"/>
    <s v="CA-2017-101049"/>
    <x v="263"/>
    <d v="2017-06-25T00:00:00"/>
    <x v="0"/>
    <s v="AS-10240"/>
    <s v="Alan Shonely"/>
    <x v="0"/>
    <s v="United States"/>
    <x v="59"/>
    <x v="15"/>
    <n v="44105"/>
    <x v="2"/>
    <s v="FUR-FU-10004415"/>
    <x v="0"/>
    <x v="3"/>
    <s v="Stacking Tray, Side-Loading, Legal, Smoke"/>
    <n v="18"/>
    <n v="5"/>
    <n v="0.2"/>
    <n v="2"/>
    <x v="4"/>
    <s v="Jun"/>
  </r>
  <r>
    <n v="1642"/>
    <s v="CA-2016-157266"/>
    <x v="205"/>
    <d v="2016-06-01T00:00:00"/>
    <x v="1"/>
    <s v="TB-21280"/>
    <s v="Toby Braunhardt"/>
    <x v="0"/>
    <s v="United States"/>
    <x v="85"/>
    <x v="29"/>
    <n v="20016"/>
    <x v="2"/>
    <s v="FUR-FU-10000629"/>
    <x v="0"/>
    <x v="3"/>
    <s v="9-3/4 Diameter Round Wall Clock"/>
    <n v="41"/>
    <n v="3"/>
    <n v="0"/>
    <n v="17"/>
    <x v="6"/>
    <s v="May"/>
  </r>
  <r>
    <n v="1658"/>
    <s v="CA-2014-127159"/>
    <x v="264"/>
    <d v="2014-05-15T00:00:00"/>
    <x v="2"/>
    <s v="HL-15040"/>
    <s v="Hunter Lopez"/>
    <x v="0"/>
    <s v="United States"/>
    <x v="79"/>
    <x v="16"/>
    <n v="53209"/>
    <x v="3"/>
    <s v="FUR-FU-10000010"/>
    <x v="0"/>
    <x v="3"/>
    <s v="DAX Value U-Channel Document Frames, Easel Back"/>
    <n v="35"/>
    <n v="7"/>
    <n v="0"/>
    <n v="11"/>
    <x v="0"/>
    <s v="May"/>
  </r>
  <r>
    <n v="1670"/>
    <s v="US-2015-157154"/>
    <x v="265"/>
    <d v="2015-01-15T00:00:00"/>
    <x v="1"/>
    <s v="MM-17920"/>
    <s v="Michael Moore"/>
    <x v="0"/>
    <s v="United States"/>
    <x v="13"/>
    <x v="7"/>
    <n v="10011"/>
    <x v="2"/>
    <s v="FUR-TA-10001889"/>
    <x v="0"/>
    <x v="2"/>
    <s v="Bush Advantage Collection Racetrack Conference Table"/>
    <n v="1018"/>
    <n v="4"/>
    <n v="0.4"/>
    <n v="-373"/>
    <x v="2"/>
    <s v="Jan"/>
  </r>
  <r>
    <n v="1675"/>
    <s v="CA-2015-143077"/>
    <x v="5"/>
    <d v="2015-09-21T00:00:00"/>
    <x v="1"/>
    <s v="SF-20965"/>
    <s v="Sylvia Foulston"/>
    <x v="1"/>
    <s v="United States"/>
    <x v="6"/>
    <x v="5"/>
    <n v="77041"/>
    <x v="3"/>
    <s v="FUR-FU-10003535"/>
    <x v="0"/>
    <x v="3"/>
    <s v="Howard Miller Distant Time Traveler Alarm Clock"/>
    <n v="22"/>
    <n v="2"/>
    <n v="0.6"/>
    <n v="-10"/>
    <x v="4"/>
    <s v="Sep"/>
  </r>
  <r>
    <n v="1681"/>
    <s v="CA-2014-122882"/>
    <x v="266"/>
    <d v="2014-09-13T00:00:00"/>
    <x v="1"/>
    <s v="SB-20290"/>
    <s v="Sean Braxton"/>
    <x v="1"/>
    <s v="United States"/>
    <x v="3"/>
    <x v="3"/>
    <n v="19134"/>
    <x v="2"/>
    <s v="FUR-FU-10000758"/>
    <x v="0"/>
    <x v="3"/>
    <s v="DAX Natural Wood-Tone Poster Frame"/>
    <n v="42"/>
    <n v="2"/>
    <n v="0.2"/>
    <n v="8"/>
    <x v="6"/>
    <s v="Sep"/>
  </r>
  <r>
    <n v="1684"/>
    <s v="CA-2016-147585"/>
    <x v="267"/>
    <d v="2016-11-12T00:00:00"/>
    <x v="1"/>
    <s v="CB-12535"/>
    <s v="Claudia Bergmann"/>
    <x v="1"/>
    <s v="United States"/>
    <x v="28"/>
    <x v="2"/>
    <n v="94110"/>
    <x v="1"/>
    <s v="FUR-FU-10002597"/>
    <x v="0"/>
    <x v="3"/>
    <s v="C-Line Magnetic Cubicle Keepers, Clear Polypropylene"/>
    <n v="15"/>
    <n v="3"/>
    <n v="0"/>
    <n v="6"/>
    <x v="2"/>
    <s v="Nov"/>
  </r>
  <r>
    <n v="1689"/>
    <s v="CA-2017-143798"/>
    <x v="247"/>
    <d v="2017-12-12T00:00:00"/>
    <x v="2"/>
    <s v="AW-10840"/>
    <s v="Anthony Witt"/>
    <x v="0"/>
    <s v="United States"/>
    <x v="3"/>
    <x v="3"/>
    <n v="19140"/>
    <x v="2"/>
    <s v="FUR-FU-10004306"/>
    <x v="0"/>
    <x v="3"/>
    <s v="Electrix Halogen Magnifier Lamp"/>
    <n v="311"/>
    <n v="2"/>
    <n v="0.2"/>
    <n v="23"/>
    <x v="3"/>
    <s v="Dec"/>
  </r>
  <r>
    <n v="1690"/>
    <s v="CA-2014-142839"/>
    <x v="268"/>
    <d v="2014-08-20T00:00:00"/>
    <x v="1"/>
    <s v="TS-21610"/>
    <s v="Troy Staebel"/>
    <x v="0"/>
    <s v="United States"/>
    <x v="3"/>
    <x v="3"/>
    <n v="19143"/>
    <x v="2"/>
    <s v="FUR-TA-10001539"/>
    <x v="0"/>
    <x v="2"/>
    <s v="Chromcraft Rectangular Conference Tables"/>
    <n v="853"/>
    <n v="6"/>
    <n v="0.4"/>
    <n v="-227"/>
    <x v="4"/>
    <s v="Aug"/>
  </r>
  <r>
    <n v="1693"/>
    <s v="US-2016-154361"/>
    <x v="269"/>
    <d v="2016-03-19T00:00:00"/>
    <x v="1"/>
    <s v="HZ-14950"/>
    <s v="Henia Zydlo"/>
    <x v="0"/>
    <s v="United States"/>
    <x v="29"/>
    <x v="15"/>
    <n v="43229"/>
    <x v="2"/>
    <s v="FUR-FU-10004020"/>
    <x v="0"/>
    <x v="3"/>
    <s v="Advantus Panel Wall Acrylic Frame"/>
    <n v="22"/>
    <n v="5"/>
    <n v="0.2"/>
    <n v="6"/>
    <x v="2"/>
    <s v="Mar"/>
  </r>
  <r>
    <n v="1700"/>
    <s v="CA-2014-135657"/>
    <x v="270"/>
    <d v="2014-06-07T00:00:00"/>
    <x v="0"/>
    <s v="SC-20725"/>
    <s v="Steven Cartwright"/>
    <x v="0"/>
    <s v="United States"/>
    <x v="15"/>
    <x v="13"/>
    <n v="98115"/>
    <x v="1"/>
    <s v="FUR-TA-10004086"/>
    <x v="0"/>
    <x v="2"/>
    <s v="KI Adjustable-Height Table"/>
    <n v="516"/>
    <n v="6"/>
    <n v="0"/>
    <n v="113"/>
    <x v="4"/>
    <s v="Jun"/>
  </r>
  <r>
    <n v="1702"/>
    <s v="CA-2015-114069"/>
    <x v="271"/>
    <d v="2015-07-15T00:00:00"/>
    <x v="0"/>
    <s v="ND-18370"/>
    <s v="Natalie DeCherney"/>
    <x v="0"/>
    <s v="United States"/>
    <x v="13"/>
    <x v="7"/>
    <n v="10035"/>
    <x v="2"/>
    <s v="FUR-CH-10000595"/>
    <x v="0"/>
    <x v="1"/>
    <s v="Safco Contoured Stacking Chairs"/>
    <n v="1931"/>
    <n v="9"/>
    <n v="0.1"/>
    <n v="322"/>
    <x v="3"/>
    <s v="Jul"/>
  </r>
  <r>
    <n v="1710"/>
    <s v="CA-2017-123491"/>
    <x v="242"/>
    <d v="2017-11-05T00:00:00"/>
    <x v="1"/>
    <s v="JK-15205"/>
    <s v="Jamie Kunitz"/>
    <x v="0"/>
    <s v="United States"/>
    <x v="28"/>
    <x v="2"/>
    <n v="94122"/>
    <x v="1"/>
    <s v="FUR-CH-10003061"/>
    <x v="0"/>
    <x v="1"/>
    <s v="Global Leather Task Chair, Black"/>
    <n v="72"/>
    <n v="1"/>
    <n v="0.2"/>
    <n v="-1"/>
    <x v="6"/>
    <s v="Oct"/>
  </r>
  <r>
    <n v="1714"/>
    <s v="US-2017-124968"/>
    <x v="272"/>
    <d v="2017-09-13T00:00:00"/>
    <x v="0"/>
    <s v="MM-18055"/>
    <s v="Michelle Moray"/>
    <x v="0"/>
    <s v="United States"/>
    <x v="9"/>
    <x v="8"/>
    <n v="60610"/>
    <x v="3"/>
    <s v="FUR-TA-10004289"/>
    <x v="0"/>
    <x v="2"/>
    <s v="BoxOffice By Design Rectangular and Half-Moon Meeting Room Tables"/>
    <n v="766"/>
    <n v="7"/>
    <n v="0.5"/>
    <n v="-567"/>
    <x v="2"/>
    <s v="Sep"/>
  </r>
  <r>
    <n v="1715"/>
    <s v="CA-2017-104003"/>
    <x v="273"/>
    <d v="2017-10-13T00:00:00"/>
    <x v="1"/>
    <s v="DC-13285"/>
    <s v="Debra Catini"/>
    <x v="0"/>
    <s v="United States"/>
    <x v="28"/>
    <x v="2"/>
    <n v="94110"/>
    <x v="1"/>
    <s v="FUR-BO-10003965"/>
    <x v="0"/>
    <x v="0"/>
    <s v="O'Sullivan Manor Hill 2-Door Library in Brianna Oak"/>
    <n v="308"/>
    <n v="2"/>
    <n v="0.15"/>
    <n v="-14"/>
    <x v="6"/>
    <s v="Oct"/>
  </r>
  <r>
    <n v="1719"/>
    <s v="CA-2016-169943"/>
    <x v="128"/>
    <d v="2016-05-24T00:00:00"/>
    <x v="1"/>
    <s v="BN-11515"/>
    <s v="Bradley Nguyen"/>
    <x v="0"/>
    <s v="United States"/>
    <x v="13"/>
    <x v="7"/>
    <n v="10011"/>
    <x v="2"/>
    <s v="FUR-FU-10002088"/>
    <x v="0"/>
    <x v="3"/>
    <s v="Nu-Dell Float Frame 11 x 14 1/2"/>
    <n v="36"/>
    <n v="4"/>
    <n v="0"/>
    <n v="15"/>
    <x v="2"/>
    <s v="May"/>
  </r>
  <r>
    <n v="1720"/>
    <s v="CA-2016-169943"/>
    <x v="128"/>
    <d v="2016-05-24T00:00:00"/>
    <x v="1"/>
    <s v="BN-11515"/>
    <s v="Bradley Nguyen"/>
    <x v="0"/>
    <s v="United States"/>
    <x v="13"/>
    <x v="7"/>
    <n v="10011"/>
    <x v="2"/>
    <s v="FUR-FU-10000010"/>
    <x v="0"/>
    <x v="3"/>
    <s v="DAX Value U-Channel Document Frames, Easel Back"/>
    <n v="40"/>
    <n v="8"/>
    <n v="0"/>
    <n v="12"/>
    <x v="2"/>
    <s v="May"/>
  </r>
  <r>
    <n v="1724"/>
    <s v="US-2015-123218"/>
    <x v="274"/>
    <d v="2015-12-25T00:00:00"/>
    <x v="1"/>
    <s v="KD-16345"/>
    <s v="Katherine Ducich"/>
    <x v="0"/>
    <s v="United States"/>
    <x v="9"/>
    <x v="8"/>
    <n v="60623"/>
    <x v="3"/>
    <s v="FUR-BO-10003966"/>
    <x v="0"/>
    <x v="0"/>
    <s v="Sauder Facets Collection Library, Sky Alder Finish"/>
    <n v="359"/>
    <n v="3"/>
    <n v="0.3"/>
    <n v="-72"/>
    <x v="2"/>
    <s v="Dec"/>
  </r>
  <r>
    <n v="1728"/>
    <s v="US-2017-164056"/>
    <x v="275"/>
    <d v="2017-05-04T00:00:00"/>
    <x v="0"/>
    <s v="FM-14215"/>
    <s v="Filia McAdams"/>
    <x v="1"/>
    <s v="United States"/>
    <x v="24"/>
    <x v="15"/>
    <n v="43017"/>
    <x v="2"/>
    <s v="FUR-TA-10001307"/>
    <x v="0"/>
    <x v="2"/>
    <s v="SAFCO PlanMaster Heigh-Adjustable Drafting Table Base, 43w x 30d x 30-37h, Black"/>
    <n v="1048"/>
    <n v="5"/>
    <n v="0.4"/>
    <n v="-70"/>
    <x v="2"/>
    <s v="Apr"/>
  </r>
  <r>
    <n v="1743"/>
    <s v="CA-2017-152807"/>
    <x v="242"/>
    <d v="2017-11-03T00:00:00"/>
    <x v="1"/>
    <s v="MC-18100"/>
    <s v="Mick Crebagga"/>
    <x v="0"/>
    <s v="United States"/>
    <x v="3"/>
    <x v="3"/>
    <n v="19140"/>
    <x v="2"/>
    <s v="FUR-FU-10004415"/>
    <x v="0"/>
    <x v="3"/>
    <s v="Stacking Tray, Side-Loading, Legal, Smoke"/>
    <n v="7"/>
    <n v="2"/>
    <n v="0.2"/>
    <n v="1"/>
    <x v="4"/>
    <s v="Oct"/>
  </r>
  <r>
    <n v="1751"/>
    <s v="CA-2015-139094"/>
    <x v="276"/>
    <d v="2015-11-27T00:00:00"/>
    <x v="1"/>
    <s v="MO-17800"/>
    <s v="Meg O'Connel"/>
    <x v="2"/>
    <s v="United States"/>
    <x v="21"/>
    <x v="5"/>
    <n v="78207"/>
    <x v="3"/>
    <s v="FUR-TA-10004607"/>
    <x v="0"/>
    <x v="2"/>
    <s v="Hon 2111 Invitation Series Straight Table"/>
    <n v="207"/>
    <n v="2"/>
    <n v="0.3"/>
    <n v="-33"/>
    <x v="2"/>
    <s v="Nov"/>
  </r>
  <r>
    <n v="1752"/>
    <s v="CA-2017-168837"/>
    <x v="277"/>
    <d v="2017-10-17T00:00:00"/>
    <x v="2"/>
    <s v="JW-15955"/>
    <s v="Joni Wasserman"/>
    <x v="0"/>
    <s v="United States"/>
    <x v="121"/>
    <x v="2"/>
    <n v="94601"/>
    <x v="1"/>
    <s v="FUR-FU-10001918"/>
    <x v="0"/>
    <x v="3"/>
    <s v="C-Line Cubicle Keepers Polyproplyene Holder With Velcro Backings"/>
    <n v="9"/>
    <n v="2"/>
    <n v="0"/>
    <n v="4"/>
    <x v="0"/>
    <s v="Oct"/>
  </r>
  <r>
    <n v="1761"/>
    <s v="CA-2015-130785"/>
    <x v="278"/>
    <d v="2015-09-09T00:00:00"/>
    <x v="1"/>
    <s v="AG-10900"/>
    <s v="Arthur Gainer"/>
    <x v="0"/>
    <s v="United States"/>
    <x v="53"/>
    <x v="2"/>
    <n v="92105"/>
    <x v="1"/>
    <s v="FUR-BO-10000330"/>
    <x v="0"/>
    <x v="0"/>
    <s v="Sauder Camden County Barrister Bookcase, Planked Cherry Finish"/>
    <n v="411"/>
    <n v="4"/>
    <n v="0.15"/>
    <n v="-5"/>
    <x v="4"/>
    <s v="Sep"/>
  </r>
  <r>
    <n v="1763"/>
    <s v="CA-2015-130785"/>
    <x v="278"/>
    <d v="2015-09-09T00:00:00"/>
    <x v="1"/>
    <s v="AG-10900"/>
    <s v="Arthur Gainer"/>
    <x v="0"/>
    <s v="United States"/>
    <x v="53"/>
    <x v="2"/>
    <n v="92105"/>
    <x v="1"/>
    <s v="FUR-BO-10003159"/>
    <x v="0"/>
    <x v="0"/>
    <s v="Sauder Camden County Collection Libraries, Planked Cherry Finish"/>
    <n v="293"/>
    <n v="3"/>
    <n v="0.15"/>
    <n v="-21"/>
    <x v="4"/>
    <s v="Sep"/>
  </r>
  <r>
    <n v="1766"/>
    <s v="CA-2016-110254"/>
    <x v="279"/>
    <d v="2016-08-08T00:00:00"/>
    <x v="1"/>
    <s v="ML-17755"/>
    <s v="Max Ludwig"/>
    <x v="2"/>
    <s v="United States"/>
    <x v="122"/>
    <x v="25"/>
    <n v="23434"/>
    <x v="0"/>
    <s v="FUR-FU-10001591"/>
    <x v="0"/>
    <x v="3"/>
    <s v="Advantus Panel Wall Certificate Holder - 8.5x11"/>
    <n v="110"/>
    <n v="9"/>
    <n v="0"/>
    <n v="46"/>
    <x v="4"/>
    <s v="Aug"/>
  </r>
  <r>
    <n v="1792"/>
    <s v="CA-2014-120474"/>
    <x v="280"/>
    <d v="2014-12-03T00:00:00"/>
    <x v="2"/>
    <s v="RP-19390"/>
    <s v="Resi Pšlking"/>
    <x v="0"/>
    <s v="United States"/>
    <x v="123"/>
    <x v="16"/>
    <n v="53711"/>
    <x v="3"/>
    <s v="FUR-CH-10001854"/>
    <x v="0"/>
    <x v="1"/>
    <s v="Office Star - Professional Matrix Back Chair with 2-to-1 Synchro Tilt and Mesh Fabric Seat"/>
    <n v="2808"/>
    <n v="8"/>
    <n v="0"/>
    <n v="674"/>
    <x v="3"/>
    <s v="Dec"/>
  </r>
  <r>
    <n v="1799"/>
    <s v="CA-2016-100965"/>
    <x v="281"/>
    <d v="2016-07-11T00:00:00"/>
    <x v="1"/>
    <s v="RM-19375"/>
    <s v="Raymond Messe"/>
    <x v="0"/>
    <s v="United States"/>
    <x v="124"/>
    <x v="2"/>
    <n v="95123"/>
    <x v="1"/>
    <s v="FUR-FU-10003039"/>
    <x v="0"/>
    <x v="3"/>
    <s v="Howard Miller 11-1/2&quot; Diameter Grantwood Wall Clock"/>
    <n v="216"/>
    <n v="5"/>
    <n v="0"/>
    <n v="73"/>
    <x v="4"/>
    <s v="Jul"/>
  </r>
  <r>
    <n v="1802"/>
    <s v="CA-2016-149461"/>
    <x v="282"/>
    <d v="2016-11-19T00:00:00"/>
    <x v="1"/>
    <s v="AS-10135"/>
    <s v="Adrian Shami"/>
    <x v="2"/>
    <s v="United States"/>
    <x v="83"/>
    <x v="13"/>
    <n v="98002"/>
    <x v="1"/>
    <s v="FUR-FU-10004270"/>
    <x v="0"/>
    <x v="3"/>
    <s v="Eldon Image Series Desk Accessories, Burgundy"/>
    <n v="4"/>
    <n v="1"/>
    <n v="0"/>
    <n v="2"/>
    <x v="6"/>
    <s v="Nov"/>
  </r>
  <r>
    <n v="1810"/>
    <s v="CA-2016-165484"/>
    <x v="283"/>
    <d v="2016-10-29T00:00:00"/>
    <x v="1"/>
    <s v="HK-14890"/>
    <s v="Heather Kirkland"/>
    <x v="1"/>
    <s v="United States"/>
    <x v="9"/>
    <x v="8"/>
    <n v="60610"/>
    <x v="3"/>
    <s v="FUR-FU-10001196"/>
    <x v="0"/>
    <x v="3"/>
    <s v="DAX Cubicle Frames - 8x10"/>
    <n v="16"/>
    <n v="7"/>
    <n v="0.6"/>
    <n v="-12"/>
    <x v="6"/>
    <s v="Oct"/>
  </r>
  <r>
    <n v="1812"/>
    <s v="CA-2014-132612"/>
    <x v="2"/>
    <d v="2014-06-11T00:00:00"/>
    <x v="0"/>
    <s v="FO-14305"/>
    <s v="Frank Olsen"/>
    <x v="0"/>
    <s v="United States"/>
    <x v="95"/>
    <x v="25"/>
    <n v="22801"/>
    <x v="0"/>
    <s v="FUR-TA-10004534"/>
    <x v="0"/>
    <x v="2"/>
    <s v="Bevis 44 x 96 Conference Tables"/>
    <n v="1441"/>
    <n v="7"/>
    <n v="0"/>
    <n v="245"/>
    <x v="3"/>
    <s v="Jun"/>
  </r>
  <r>
    <n v="1813"/>
    <s v="US-2017-161193"/>
    <x v="93"/>
    <d v="2017-11-26T00:00:00"/>
    <x v="1"/>
    <s v="BT-11680"/>
    <s v="Brian Thompson"/>
    <x v="0"/>
    <s v="United States"/>
    <x v="19"/>
    <x v="15"/>
    <n v="43055"/>
    <x v="2"/>
    <s v="FUR-FU-10001861"/>
    <x v="0"/>
    <x v="3"/>
    <s v="Floodlight Indoor Halogen Bulbs, 1 Bulb per Pack, 60 Watts"/>
    <n v="78"/>
    <n v="5"/>
    <n v="0.2"/>
    <n v="28"/>
    <x v="6"/>
    <s v="Nov"/>
  </r>
  <r>
    <n v="1814"/>
    <s v="US-2017-161193"/>
    <x v="93"/>
    <d v="2017-11-26T00:00:00"/>
    <x v="1"/>
    <s v="BT-11680"/>
    <s v="Brian Thompson"/>
    <x v="0"/>
    <s v="United States"/>
    <x v="19"/>
    <x v="15"/>
    <n v="43055"/>
    <x v="2"/>
    <s v="FUR-FU-10000206"/>
    <x v="0"/>
    <x v="3"/>
    <s v="GE General Purpose, Extra Long Life, Showcase &amp; Floodlight Incandescent Bulbs"/>
    <n v="5"/>
    <n v="2"/>
    <n v="0.2"/>
    <n v="2"/>
    <x v="6"/>
    <s v="Nov"/>
  </r>
  <r>
    <n v="1815"/>
    <s v="CA-2015-131597"/>
    <x v="221"/>
    <d v="2015-09-18T00:00:00"/>
    <x v="1"/>
    <s v="SP-20620"/>
    <s v="Stefania Perrino"/>
    <x v="1"/>
    <s v="United States"/>
    <x v="2"/>
    <x v="2"/>
    <n v="90045"/>
    <x v="1"/>
    <s v="FUR-TA-10002607"/>
    <x v="0"/>
    <x v="2"/>
    <s v="KI Conference Tables"/>
    <n v="170"/>
    <n v="3"/>
    <n v="0.2"/>
    <n v="-9"/>
    <x v="4"/>
    <s v="Sep"/>
  </r>
  <r>
    <n v="1820"/>
    <s v="US-2014-130379"/>
    <x v="284"/>
    <d v="2014-05-29T00:00:00"/>
    <x v="1"/>
    <s v="JL-15235"/>
    <s v="Janet Lee"/>
    <x v="0"/>
    <s v="United States"/>
    <x v="9"/>
    <x v="8"/>
    <n v="60623"/>
    <x v="3"/>
    <s v="FUR-FU-10002553"/>
    <x v="0"/>
    <x v="3"/>
    <s v="Electrix Incandescent Magnifying Lamp, Black"/>
    <n v="29"/>
    <n v="2"/>
    <n v="0.6"/>
    <n v="-24"/>
    <x v="4"/>
    <s v="May"/>
  </r>
  <r>
    <n v="1823"/>
    <s v="CA-2016-168956"/>
    <x v="285"/>
    <d v="2016-02-20T00:00:00"/>
    <x v="1"/>
    <s v="EA-14035"/>
    <s v="Erin Ashbrook"/>
    <x v="1"/>
    <s v="United States"/>
    <x v="9"/>
    <x v="8"/>
    <n v="60623"/>
    <x v="3"/>
    <s v="FUR-CH-10004754"/>
    <x v="0"/>
    <x v="1"/>
    <s v="Global Stack Chair with Arms, Black"/>
    <n v="63"/>
    <n v="3"/>
    <n v="0.3"/>
    <n v="-3"/>
    <x v="4"/>
    <s v="Feb"/>
  </r>
  <r>
    <n v="1826"/>
    <s v="CA-2016-167507"/>
    <x v="286"/>
    <d v="2016-12-28T00:00:00"/>
    <x v="1"/>
    <s v="SA-20830"/>
    <s v="Sue Ann Reed"/>
    <x v="0"/>
    <s v="United States"/>
    <x v="125"/>
    <x v="36"/>
    <n v="97756"/>
    <x v="1"/>
    <s v="FUR-FU-10001935"/>
    <x v="0"/>
    <x v="3"/>
    <s v="3M Hangers With Command Adhesive"/>
    <n v="12"/>
    <n v="4"/>
    <n v="0.2"/>
    <n v="3"/>
    <x v="6"/>
    <s v="Dec"/>
  </r>
  <r>
    <n v="1827"/>
    <s v="CA-2016-167507"/>
    <x v="286"/>
    <d v="2016-12-28T00:00:00"/>
    <x v="1"/>
    <s v="SA-20830"/>
    <s v="Sue Ann Reed"/>
    <x v="0"/>
    <s v="United States"/>
    <x v="125"/>
    <x v="36"/>
    <n v="97756"/>
    <x v="1"/>
    <s v="FUR-FU-10002878"/>
    <x v="0"/>
    <x v="3"/>
    <s v="Seth Thomas 14&quot; Day/Date Wall Clock"/>
    <n v="23"/>
    <n v="1"/>
    <n v="0.2"/>
    <n v="5"/>
    <x v="6"/>
    <s v="Dec"/>
  </r>
  <r>
    <n v="1832"/>
    <s v="CA-2017-145884"/>
    <x v="85"/>
    <d v="2017-10-21T00:00:00"/>
    <x v="3"/>
    <s v="SL-20155"/>
    <s v="Sara Luxemburg"/>
    <x v="2"/>
    <s v="United States"/>
    <x v="126"/>
    <x v="37"/>
    <n v="74403"/>
    <x v="3"/>
    <s v="FUR-TA-10002356"/>
    <x v="0"/>
    <x v="2"/>
    <s v="Bevis Boat-Shaped Conference Table"/>
    <n v="262"/>
    <n v="1"/>
    <n v="0"/>
    <n v="63"/>
    <x v="7"/>
    <s v="Oct"/>
  </r>
  <r>
    <n v="1833"/>
    <s v="CA-2015-131422"/>
    <x v="287"/>
    <d v="2015-11-09T00:00:00"/>
    <x v="1"/>
    <s v="GB-14530"/>
    <s v="George Bell"/>
    <x v="1"/>
    <s v="United States"/>
    <x v="91"/>
    <x v="30"/>
    <n v="28110"/>
    <x v="0"/>
    <s v="FUR-CH-10001270"/>
    <x v="0"/>
    <x v="1"/>
    <s v="Harbour Creations Steel Folding Chair"/>
    <n v="207"/>
    <n v="3"/>
    <n v="0.2"/>
    <n v="26"/>
    <x v="4"/>
    <s v="Nov"/>
  </r>
  <r>
    <n v="1839"/>
    <s v="CA-2014-117345"/>
    <x v="288"/>
    <d v="2014-08-05T00:00:00"/>
    <x v="1"/>
    <s v="BF-10975"/>
    <s v="Barbara Fisher"/>
    <x v="1"/>
    <s v="United States"/>
    <x v="127"/>
    <x v="30"/>
    <n v="28205"/>
    <x v="0"/>
    <s v="FUR-FU-10000629"/>
    <x v="0"/>
    <x v="3"/>
    <s v="9-3/4 Diameter Round Wall Clock"/>
    <n v="44"/>
    <n v="4"/>
    <n v="0.2"/>
    <n v="12"/>
    <x v="4"/>
    <s v="Aug"/>
  </r>
  <r>
    <n v="1842"/>
    <s v="CA-2016-157763"/>
    <x v="196"/>
    <d v="2016-07-23T00:00:00"/>
    <x v="1"/>
    <s v="KH-16330"/>
    <s v="Katharine Harms"/>
    <x v="1"/>
    <s v="United States"/>
    <x v="128"/>
    <x v="0"/>
    <n v="42104"/>
    <x v="0"/>
    <s v="FUR-CH-10000988"/>
    <x v="0"/>
    <x v="1"/>
    <s v="Hon Olson Stacker Stools"/>
    <n v="141"/>
    <n v="1"/>
    <n v="0"/>
    <n v="39"/>
    <x v="2"/>
    <s v="Jul"/>
  </r>
  <r>
    <n v="1844"/>
    <s v="CA-2015-135391"/>
    <x v="289"/>
    <d v="2015-02-11T00:00:00"/>
    <x v="0"/>
    <s v="FA-14230"/>
    <s v="Frank Atkinson"/>
    <x v="1"/>
    <s v="United States"/>
    <x v="21"/>
    <x v="5"/>
    <n v="78207"/>
    <x v="3"/>
    <s v="FUR-FU-10001986"/>
    <x v="0"/>
    <x v="3"/>
    <s v="Dana Fluorescent Magnifying Lamp, White, 36&quot;"/>
    <n v="41"/>
    <n v="2"/>
    <n v="0.6"/>
    <n v="-31"/>
    <x v="3"/>
    <s v="Feb"/>
  </r>
  <r>
    <n v="1847"/>
    <s v="US-2017-158512"/>
    <x v="290"/>
    <d v="2017-01-17T00:00:00"/>
    <x v="0"/>
    <s v="DA-13450"/>
    <s v="Dianna Arnett"/>
    <x v="2"/>
    <s v="United States"/>
    <x v="85"/>
    <x v="29"/>
    <n v="20016"/>
    <x v="2"/>
    <s v="FUR-FU-10004973"/>
    <x v="0"/>
    <x v="3"/>
    <s v="Flat Face Poster Frame"/>
    <n v="38"/>
    <n v="2"/>
    <n v="0"/>
    <n v="16"/>
    <x v="2"/>
    <s v="Jan"/>
  </r>
  <r>
    <n v="1848"/>
    <s v="CA-2017-128370"/>
    <x v="291"/>
    <d v="2017-09-10T00:00:00"/>
    <x v="3"/>
    <s v="FH-14275"/>
    <s v="Frank Hawley"/>
    <x v="1"/>
    <s v="United States"/>
    <x v="2"/>
    <x v="2"/>
    <n v="90004"/>
    <x v="1"/>
    <s v="FUR-CH-10002602"/>
    <x v="0"/>
    <x v="1"/>
    <s v="DMI Arturo Collection Mission-style Design Wood Chair"/>
    <n v="362"/>
    <n v="3"/>
    <n v="0.2"/>
    <n v="27"/>
    <x v="7"/>
    <s v="Sep"/>
  </r>
  <r>
    <n v="1861"/>
    <s v="US-2017-121251"/>
    <x v="292"/>
    <d v="2017-03-27T00:00:00"/>
    <x v="2"/>
    <s v="GM-14440"/>
    <s v="Gary McGarr"/>
    <x v="0"/>
    <s v="United States"/>
    <x v="13"/>
    <x v="7"/>
    <n v="10009"/>
    <x v="2"/>
    <s v="FUR-BO-10001918"/>
    <x v="0"/>
    <x v="0"/>
    <s v="Sauder Forest Hills Library with Doors, Woodland Oak Finish"/>
    <n v="258"/>
    <n v="2"/>
    <n v="0.2"/>
    <n v="-29"/>
    <x v="5"/>
    <s v="Mar"/>
  </r>
  <r>
    <n v="1864"/>
    <s v="US-2016-100839"/>
    <x v="25"/>
    <d v="2016-10-17T00:00:00"/>
    <x v="1"/>
    <s v="NC-18625"/>
    <s v="Noah Childs"/>
    <x v="1"/>
    <s v="United States"/>
    <x v="14"/>
    <x v="12"/>
    <n v="80013"/>
    <x v="1"/>
    <s v="FUR-TA-10004575"/>
    <x v="0"/>
    <x v="2"/>
    <s v="Hon 5100 Series Wood Tables"/>
    <n v="727"/>
    <n v="5"/>
    <n v="0.5"/>
    <n v="-466"/>
    <x v="4"/>
    <s v="Oct"/>
  </r>
  <r>
    <n v="1865"/>
    <s v="US-2016-100839"/>
    <x v="25"/>
    <d v="2016-10-17T00:00:00"/>
    <x v="1"/>
    <s v="NC-18625"/>
    <s v="Noah Childs"/>
    <x v="1"/>
    <s v="United States"/>
    <x v="14"/>
    <x v="12"/>
    <n v="80013"/>
    <x v="1"/>
    <s v="FUR-FU-10001617"/>
    <x v="0"/>
    <x v="3"/>
    <s v="Executive Impressions 8-1/2&quot; Career Panel/Partition Cubicle Clock"/>
    <n v="25"/>
    <n v="3"/>
    <n v="0.2"/>
    <n v="4"/>
    <x v="4"/>
    <s v="Oct"/>
  </r>
  <r>
    <n v="1867"/>
    <s v="CA-2017-118857"/>
    <x v="293"/>
    <d v="2017-04-18T00:00:00"/>
    <x v="2"/>
    <s v="AH-10075"/>
    <s v="Adam Hart"/>
    <x v="1"/>
    <s v="United States"/>
    <x v="0"/>
    <x v="34"/>
    <n v="89015"/>
    <x v="1"/>
    <s v="FUR-FU-10004460"/>
    <x v="0"/>
    <x v="3"/>
    <s v="Howard Miller 12&quot; Round Wall Clock"/>
    <n v="196"/>
    <n v="5"/>
    <n v="0"/>
    <n v="71"/>
    <x v="0"/>
    <s v="Apr"/>
  </r>
  <r>
    <n v="1872"/>
    <s v="CA-2014-116932"/>
    <x v="294"/>
    <d v="2014-07-25T00:00:00"/>
    <x v="1"/>
    <s v="ME-18010"/>
    <s v="Michelle Ellison"/>
    <x v="1"/>
    <s v="United States"/>
    <x v="28"/>
    <x v="2"/>
    <n v="94122"/>
    <x v="1"/>
    <s v="FUR-CH-10001215"/>
    <x v="0"/>
    <x v="1"/>
    <s v="Global Troy Executive Leather Low-Back Tilter"/>
    <n v="802"/>
    <n v="2"/>
    <n v="0.2"/>
    <n v="50"/>
    <x v="4"/>
    <s v="Jul"/>
  </r>
  <r>
    <n v="1873"/>
    <s v="CA-2014-116932"/>
    <x v="294"/>
    <d v="2014-07-25T00:00:00"/>
    <x v="1"/>
    <s v="ME-18010"/>
    <s v="Michelle Ellison"/>
    <x v="1"/>
    <s v="United States"/>
    <x v="28"/>
    <x v="2"/>
    <n v="94122"/>
    <x v="1"/>
    <s v="FUR-TA-10004175"/>
    <x v="0"/>
    <x v="2"/>
    <s v="Hon 30&quot; x 60&quot; Table with Locking Drawer"/>
    <n v="273"/>
    <n v="1"/>
    <n v="0.2"/>
    <n v="27"/>
    <x v="4"/>
    <s v="Jul"/>
  </r>
  <r>
    <n v="1874"/>
    <s v="CA-2017-142888"/>
    <x v="295"/>
    <d v="2017-11-25T00:00:00"/>
    <x v="1"/>
    <s v="BP-11230"/>
    <s v="Benjamin Patterson"/>
    <x v="0"/>
    <s v="United States"/>
    <x v="129"/>
    <x v="13"/>
    <n v="99207"/>
    <x v="1"/>
    <s v="FUR-TA-10004767"/>
    <x v="0"/>
    <x v="2"/>
    <s v="Safco Drafting Table"/>
    <n v="71"/>
    <n v="1"/>
    <n v="0"/>
    <n v="21"/>
    <x v="4"/>
    <s v="Nov"/>
  </r>
  <r>
    <n v="1876"/>
    <s v="US-2016-112977"/>
    <x v="296"/>
    <d v="2016-03-16T00:00:00"/>
    <x v="1"/>
    <s v="CJ-12010"/>
    <s v="Caroline Jumper"/>
    <x v="0"/>
    <s v="United States"/>
    <x v="62"/>
    <x v="7"/>
    <n v="11561"/>
    <x v="2"/>
    <s v="FUR-BO-10003272"/>
    <x v="0"/>
    <x v="0"/>
    <s v="O'Sullivan Living Dimensions 5-Shelf Bookcases"/>
    <n v="177"/>
    <n v="1"/>
    <n v="0.2"/>
    <n v="-22"/>
    <x v="6"/>
    <s v="Mar"/>
  </r>
  <r>
    <n v="1878"/>
    <s v="CA-2017-118885"/>
    <x v="297"/>
    <d v="2018-01-02T00:00:00"/>
    <x v="1"/>
    <s v="JG-15160"/>
    <s v="James Galang"/>
    <x v="0"/>
    <s v="United States"/>
    <x v="2"/>
    <x v="2"/>
    <n v="90049"/>
    <x v="1"/>
    <s v="FUR-CH-10002880"/>
    <x v="0"/>
    <x v="1"/>
    <s v="Global High-Back Leather Tilter, Burgundy"/>
    <n v="394"/>
    <n v="4"/>
    <n v="0.2"/>
    <n v="-44"/>
    <x v="4"/>
    <s v="Dec"/>
  </r>
  <r>
    <n v="1882"/>
    <s v="CA-2015-109512"/>
    <x v="298"/>
    <d v="2015-03-05T00:00:00"/>
    <x v="3"/>
    <s v="LF-17185"/>
    <s v="Luke Foster"/>
    <x v="0"/>
    <s v="United States"/>
    <x v="13"/>
    <x v="7"/>
    <n v="10011"/>
    <x v="2"/>
    <s v="FUR-CH-10001146"/>
    <x v="0"/>
    <x v="1"/>
    <s v="Global Value Mid-Back Manager's Chair, Gray"/>
    <n v="384"/>
    <n v="7"/>
    <n v="0.1"/>
    <n v="64"/>
    <x v="7"/>
    <s v="Mar"/>
  </r>
  <r>
    <n v="1886"/>
    <s v="CA-2016-147578"/>
    <x v="74"/>
    <d v="2016-04-26T00:00:00"/>
    <x v="0"/>
    <s v="PG-18895"/>
    <s v="Paul Gonzalez"/>
    <x v="0"/>
    <s v="United States"/>
    <x v="28"/>
    <x v="2"/>
    <n v="94122"/>
    <x v="1"/>
    <s v="FUR-FU-10001889"/>
    <x v="0"/>
    <x v="3"/>
    <s v="Ultra Door Pull Handle"/>
    <n v="32"/>
    <n v="3"/>
    <n v="0"/>
    <n v="10"/>
    <x v="4"/>
    <s v="Apr"/>
  </r>
  <r>
    <n v="1890"/>
    <s v="CA-2014-142587"/>
    <x v="299"/>
    <d v="2014-10-22T00:00:00"/>
    <x v="2"/>
    <s v="TB-21520"/>
    <s v="Tracy Blumstein"/>
    <x v="0"/>
    <s v="United States"/>
    <x v="130"/>
    <x v="15"/>
    <n v="45014"/>
    <x v="2"/>
    <s v="FUR-TA-10000617"/>
    <x v="0"/>
    <x v="2"/>
    <s v="Hon Practical Foundations 30 x 60 Training Table, Light Gray/Charcoal"/>
    <n v="410"/>
    <n v="3"/>
    <n v="0.4"/>
    <n v="-123"/>
    <x v="5"/>
    <s v="Oct"/>
  </r>
  <r>
    <n v="1900"/>
    <s v="CA-2014-169775"/>
    <x v="300"/>
    <d v="2014-09-02T00:00:00"/>
    <x v="0"/>
    <s v="RA-19945"/>
    <s v="Ryan Akin"/>
    <x v="0"/>
    <s v="United States"/>
    <x v="89"/>
    <x v="1"/>
    <n v="33178"/>
    <x v="0"/>
    <s v="FUR-TA-10001857"/>
    <x v="0"/>
    <x v="2"/>
    <s v="Balt Solid Wood Rectangular Table"/>
    <n v="174"/>
    <n v="3"/>
    <n v="0.45"/>
    <n v="-111"/>
    <x v="4"/>
    <s v="Aug"/>
  </r>
  <r>
    <n v="1904"/>
    <s v="CA-2017-167094"/>
    <x v="85"/>
    <d v="2017-10-22T00:00:00"/>
    <x v="2"/>
    <s v="DK-12835"/>
    <s v="Damala Kotsonis"/>
    <x v="1"/>
    <s v="United States"/>
    <x v="76"/>
    <x v="36"/>
    <n v="97477"/>
    <x v="1"/>
    <s v="FUR-CH-10000155"/>
    <x v="0"/>
    <x v="1"/>
    <s v="Global Comet Stacking Armless Chair"/>
    <n v="478"/>
    <n v="2"/>
    <n v="0.2"/>
    <n v="48"/>
    <x v="5"/>
    <s v="Oct"/>
  </r>
  <r>
    <n v="1909"/>
    <s v="CA-2015-157959"/>
    <x v="136"/>
    <d v="2015-02-04T00:00:00"/>
    <x v="2"/>
    <s v="RW-19540"/>
    <s v="Rick Wilson"/>
    <x v="1"/>
    <s v="United States"/>
    <x v="2"/>
    <x v="2"/>
    <n v="90008"/>
    <x v="1"/>
    <s v="FUR-FU-10004093"/>
    <x v="0"/>
    <x v="3"/>
    <s v="Hand-Finished Solid Wood Document Frame"/>
    <n v="137"/>
    <n v="4"/>
    <n v="0"/>
    <n v="41"/>
    <x v="5"/>
    <s v="Feb"/>
  </r>
  <r>
    <n v="1910"/>
    <s v="CA-2017-105886"/>
    <x v="186"/>
    <d v="2017-12-23T00:00:00"/>
    <x v="1"/>
    <s v="DB-13660"/>
    <s v="Duane Benoit"/>
    <x v="0"/>
    <s v="United States"/>
    <x v="64"/>
    <x v="7"/>
    <n v="11572"/>
    <x v="2"/>
    <s v="FUR-FU-10001037"/>
    <x v="0"/>
    <x v="3"/>
    <s v="DAX Charcoal/Nickel-Tone Document Frame, 5 x 7"/>
    <n v="19"/>
    <n v="2"/>
    <n v="0"/>
    <n v="9"/>
    <x v="2"/>
    <s v="Dec"/>
  </r>
  <r>
    <n v="1921"/>
    <s v="US-2017-111423"/>
    <x v="301"/>
    <d v="2017-08-19T00:00:00"/>
    <x v="2"/>
    <s v="EH-13765"/>
    <s v="Edward Hooks"/>
    <x v="1"/>
    <s v="United States"/>
    <x v="115"/>
    <x v="7"/>
    <n v="13601"/>
    <x v="2"/>
    <s v="FUR-CH-10003981"/>
    <x v="0"/>
    <x v="1"/>
    <s v="Global Commerce Series Low-Back Swivel/Tilt Chairs"/>
    <n v="463"/>
    <n v="2"/>
    <n v="0.1"/>
    <n v="98"/>
    <x v="3"/>
    <s v="Aug"/>
  </r>
  <r>
    <n v="1933"/>
    <s v="CA-2017-161200"/>
    <x v="302"/>
    <d v="2017-08-10T00:00:00"/>
    <x v="0"/>
    <s v="SV-20365"/>
    <s v="Seth Vernon"/>
    <x v="0"/>
    <s v="United States"/>
    <x v="120"/>
    <x v="35"/>
    <n v="70506"/>
    <x v="0"/>
    <s v="FUR-BO-10000468"/>
    <x v="0"/>
    <x v="0"/>
    <s v="O'Sullivan 2-Shelf Heavy-Duty Bookcases"/>
    <n v="146"/>
    <n v="3"/>
    <n v="0"/>
    <n v="23"/>
    <x v="4"/>
    <s v="Aug"/>
  </r>
  <r>
    <n v="1934"/>
    <s v="CA-2017-161200"/>
    <x v="302"/>
    <d v="2017-08-10T00:00:00"/>
    <x v="0"/>
    <s v="SV-20365"/>
    <s v="Seth Vernon"/>
    <x v="0"/>
    <s v="United States"/>
    <x v="120"/>
    <x v="35"/>
    <n v="70506"/>
    <x v="0"/>
    <s v="FUR-FU-10001706"/>
    <x v="0"/>
    <x v="3"/>
    <s v="Longer-Life Soft White Bulbs"/>
    <n v="15"/>
    <n v="5"/>
    <n v="0"/>
    <n v="7"/>
    <x v="4"/>
    <s v="Aug"/>
  </r>
  <r>
    <n v="1937"/>
    <s v="CA-2015-141768"/>
    <x v="303"/>
    <d v="2015-05-27T00:00:00"/>
    <x v="0"/>
    <s v="NP-18685"/>
    <s v="Nora Pelletier"/>
    <x v="2"/>
    <s v="United States"/>
    <x v="28"/>
    <x v="2"/>
    <n v="94109"/>
    <x v="1"/>
    <s v="FUR-FU-10002268"/>
    <x v="0"/>
    <x v="3"/>
    <s v="Ultra Door Push Plate"/>
    <n v="15"/>
    <n v="3"/>
    <n v="0"/>
    <n v="5"/>
    <x v="3"/>
    <s v="May"/>
  </r>
  <r>
    <n v="1941"/>
    <s v="CA-2016-112109"/>
    <x v="304"/>
    <d v="2016-07-12T00:00:00"/>
    <x v="1"/>
    <s v="JE-15715"/>
    <s v="Joe Elijah"/>
    <x v="0"/>
    <s v="United States"/>
    <x v="131"/>
    <x v="12"/>
    <n v="80020"/>
    <x v="1"/>
    <s v="FUR-CH-10004287"/>
    <x v="0"/>
    <x v="1"/>
    <s v="SAFCO Arco Folding Chair"/>
    <n v="663"/>
    <n v="3"/>
    <n v="0.2"/>
    <n v="75"/>
    <x v="4"/>
    <s v="Jul"/>
  </r>
  <r>
    <n v="1948"/>
    <s v="CA-2017-157987"/>
    <x v="113"/>
    <d v="2017-09-06T00:00:00"/>
    <x v="1"/>
    <s v="AC-10615"/>
    <s v="Ann Chong"/>
    <x v="1"/>
    <s v="United States"/>
    <x v="13"/>
    <x v="7"/>
    <n v="10009"/>
    <x v="2"/>
    <s v="FUR-FU-10001196"/>
    <x v="0"/>
    <x v="3"/>
    <s v="DAX Cubicle Frames - 8x10"/>
    <n v="12"/>
    <n v="2"/>
    <n v="0"/>
    <n v="3"/>
    <x v="4"/>
    <s v="Sep"/>
  </r>
  <r>
    <n v="1949"/>
    <s v="CA-2017-157987"/>
    <x v="113"/>
    <d v="2017-09-06T00:00:00"/>
    <x v="1"/>
    <s v="AC-10615"/>
    <s v="Ann Chong"/>
    <x v="1"/>
    <s v="United States"/>
    <x v="13"/>
    <x v="7"/>
    <n v="10009"/>
    <x v="2"/>
    <s v="FUR-TA-10001889"/>
    <x v="0"/>
    <x v="2"/>
    <s v="Bush Advantage Collection Racetrack Conference Table"/>
    <n v="255"/>
    <n v="1"/>
    <n v="0.4"/>
    <n v="-93"/>
    <x v="4"/>
    <s v="Sep"/>
  </r>
  <r>
    <n v="1954"/>
    <s v="CA-2017-157987"/>
    <x v="113"/>
    <d v="2017-09-06T00:00:00"/>
    <x v="1"/>
    <s v="AC-10615"/>
    <s v="Ann Chong"/>
    <x v="1"/>
    <s v="United States"/>
    <x v="13"/>
    <x v="7"/>
    <n v="10009"/>
    <x v="2"/>
    <s v="FUR-CH-10003379"/>
    <x v="0"/>
    <x v="1"/>
    <s v="Global Commerce Series High-Back Swivel/Tilt Chairs"/>
    <n v="1282"/>
    <n v="5"/>
    <n v="0.1"/>
    <n v="214"/>
    <x v="4"/>
    <s v="Sep"/>
  </r>
  <r>
    <n v="1978"/>
    <s v="CA-2014-110408"/>
    <x v="305"/>
    <d v="2014-10-20T00:00:00"/>
    <x v="0"/>
    <s v="AS-10225"/>
    <s v="Alan Schoenberger"/>
    <x v="1"/>
    <s v="United States"/>
    <x v="132"/>
    <x v="33"/>
    <n v="36116"/>
    <x v="0"/>
    <s v="FUR-CH-10003774"/>
    <x v="0"/>
    <x v="1"/>
    <s v="Global Wood Trimmed Manager's Task Chair, Khaki"/>
    <n v="546"/>
    <n v="6"/>
    <n v="0"/>
    <n v="71"/>
    <x v="3"/>
    <s v="Oct"/>
  </r>
  <r>
    <n v="1980"/>
    <s v="CA-2016-112669"/>
    <x v="65"/>
    <d v="2016-04-14T00:00:00"/>
    <x v="3"/>
    <s v="KT-16465"/>
    <s v="Kean Takahito"/>
    <x v="0"/>
    <s v="United States"/>
    <x v="110"/>
    <x v="22"/>
    <n v="85301"/>
    <x v="1"/>
    <s v="FUR-CH-10004086"/>
    <x v="0"/>
    <x v="1"/>
    <s v="Hon 4070 Series Pagoda Armless Upholstered Stacking Chairs"/>
    <n v="934"/>
    <n v="4"/>
    <n v="0.2"/>
    <n v="105"/>
    <x v="7"/>
    <s v="Apr"/>
  </r>
  <r>
    <n v="1985"/>
    <s v="CA-2014-164721"/>
    <x v="306"/>
    <d v="2014-11-27T00:00:00"/>
    <x v="0"/>
    <s v="LW-16825"/>
    <s v="Laurel Workman"/>
    <x v="1"/>
    <s v="United States"/>
    <x v="133"/>
    <x v="2"/>
    <n v="94513"/>
    <x v="1"/>
    <s v="FUR-FU-10001940"/>
    <x v="0"/>
    <x v="3"/>
    <s v="Staple-based wall hangings"/>
    <n v="24"/>
    <n v="3"/>
    <n v="0"/>
    <n v="11"/>
    <x v="3"/>
    <s v="Nov"/>
  </r>
  <r>
    <n v="1989"/>
    <s v="CA-2015-127509"/>
    <x v="307"/>
    <d v="2015-11-13T00:00:00"/>
    <x v="1"/>
    <s v="AS-10090"/>
    <s v="Adam Shillingsburg"/>
    <x v="0"/>
    <s v="United States"/>
    <x v="76"/>
    <x v="23"/>
    <n v="65807"/>
    <x v="3"/>
    <s v="FUR-TA-10002855"/>
    <x v="0"/>
    <x v="2"/>
    <s v="Bevis Round Conference Table Top &amp; Single Column Base"/>
    <n v="1024"/>
    <n v="7"/>
    <n v="0"/>
    <n v="215"/>
    <x v="4"/>
    <s v="Nov"/>
  </r>
  <r>
    <n v="1997"/>
    <s v="US-2017-147221"/>
    <x v="308"/>
    <d v="2017-12-04T00:00:00"/>
    <x v="0"/>
    <s v="JS-16030"/>
    <s v="Joy Smith"/>
    <x v="0"/>
    <s v="United States"/>
    <x v="6"/>
    <x v="5"/>
    <n v="77036"/>
    <x v="3"/>
    <s v="FUR-FU-10004020"/>
    <x v="0"/>
    <x v="3"/>
    <s v="Advantus Panel Wall Acrylic Frame"/>
    <n v="9"/>
    <n v="4"/>
    <n v="0.6"/>
    <n v="-4"/>
    <x v="3"/>
    <s v="Dec"/>
  </r>
  <r>
    <n v="2004"/>
    <s v="CA-2017-163510"/>
    <x v="19"/>
    <d v="2017-12-28T00:00:00"/>
    <x v="0"/>
    <s v="JW-15955"/>
    <s v="Joni Wasserman"/>
    <x v="0"/>
    <s v="United States"/>
    <x v="74"/>
    <x v="0"/>
    <n v="40214"/>
    <x v="0"/>
    <s v="FUR-CH-10001146"/>
    <x v="0"/>
    <x v="1"/>
    <s v="Global Value Mid-Back Manager's Chair, Gray"/>
    <n v="304"/>
    <n v="5"/>
    <n v="0"/>
    <n v="76"/>
    <x v="0"/>
    <s v="Dec"/>
  </r>
  <r>
    <n v="2008"/>
    <s v="CA-2017-165386"/>
    <x v="309"/>
    <d v="2017-08-04T00:00:00"/>
    <x v="2"/>
    <s v="CM-12190"/>
    <s v="Charlotte Melton"/>
    <x v="0"/>
    <s v="United States"/>
    <x v="9"/>
    <x v="8"/>
    <n v="60623"/>
    <x v="3"/>
    <s v="FUR-BO-10003034"/>
    <x v="0"/>
    <x v="0"/>
    <s v="O'Sullivan Elevations Bookcase, Cherry Finish"/>
    <n v="183"/>
    <n v="2"/>
    <n v="0.3"/>
    <n v="-37"/>
    <x v="5"/>
    <s v="Aug"/>
  </r>
  <r>
    <n v="2014"/>
    <s v="CA-2016-145905"/>
    <x v="126"/>
    <d v="2016-09-23T00:00:00"/>
    <x v="1"/>
    <s v="AM-10705"/>
    <s v="Anne McFarland"/>
    <x v="0"/>
    <s v="United States"/>
    <x v="83"/>
    <x v="33"/>
    <n v="36830"/>
    <x v="0"/>
    <s v="FUR-CH-10001854"/>
    <x v="0"/>
    <x v="1"/>
    <s v="Office Star - Professional Matrix Back Chair with 2-to-1 Synchro Tilt and Mesh Fabric Seat"/>
    <n v="351"/>
    <n v="1"/>
    <n v="0"/>
    <n v="84"/>
    <x v="2"/>
    <s v="Sep"/>
  </r>
  <r>
    <n v="2024"/>
    <s v="CA-2016-168354"/>
    <x v="107"/>
    <d v="2016-09-21T00:00:00"/>
    <x v="2"/>
    <s v="RH-19510"/>
    <s v="Rick Huthwaite"/>
    <x v="2"/>
    <s v="United States"/>
    <x v="134"/>
    <x v="38"/>
    <n v="2908"/>
    <x v="2"/>
    <s v="FUR-CH-10004675"/>
    <x v="0"/>
    <x v="1"/>
    <s v="Lifetime Advantage Folding Chairs, 4/Carton"/>
    <n v="872"/>
    <n v="4"/>
    <n v="0"/>
    <n v="244"/>
    <x v="3"/>
    <s v="Sep"/>
  </r>
  <r>
    <n v="2026"/>
    <s v="CA-2015-114237"/>
    <x v="310"/>
    <d v="2015-03-15T00:00:00"/>
    <x v="2"/>
    <s v="MC-17275"/>
    <s v="Marc Crier"/>
    <x v="0"/>
    <s v="United States"/>
    <x v="15"/>
    <x v="13"/>
    <n v="98103"/>
    <x v="1"/>
    <s v="FUR-BO-10004409"/>
    <x v="0"/>
    <x v="0"/>
    <s v="Safco Value Mate Series Steel Bookcases, Baked Enamel Finish on Steel, Gray"/>
    <n v="142"/>
    <n v="2"/>
    <n v="0"/>
    <n v="40"/>
    <x v="3"/>
    <s v="Mar"/>
  </r>
  <r>
    <n v="2036"/>
    <s v="CA-2017-162481"/>
    <x v="58"/>
    <d v="2017-09-29T00:00:00"/>
    <x v="1"/>
    <s v="CT-11995"/>
    <s v="Carol Triggs"/>
    <x v="0"/>
    <s v="United States"/>
    <x v="77"/>
    <x v="11"/>
    <n v="55901"/>
    <x v="3"/>
    <s v="FUR-CH-10003061"/>
    <x v="0"/>
    <x v="1"/>
    <s v="Global Leather Task Chair, Black"/>
    <n v="270"/>
    <n v="3"/>
    <n v="0"/>
    <n v="51"/>
    <x v="4"/>
    <s v="Sep"/>
  </r>
  <r>
    <n v="2042"/>
    <s v="CA-2015-122287"/>
    <x v="311"/>
    <d v="2015-06-23T00:00:00"/>
    <x v="1"/>
    <s v="SN-20560"/>
    <s v="Skye Norling"/>
    <x v="2"/>
    <s v="United States"/>
    <x v="117"/>
    <x v="22"/>
    <n v="85345"/>
    <x v="1"/>
    <s v="FUR-FU-10004973"/>
    <x v="0"/>
    <x v="3"/>
    <s v="Flat Face Poster Frame"/>
    <n v="75"/>
    <n v="5"/>
    <n v="0.2"/>
    <n v="21"/>
    <x v="2"/>
    <s v="Jun"/>
  </r>
  <r>
    <n v="2049"/>
    <s v="CA-2015-142237"/>
    <x v="312"/>
    <d v="2015-07-13T00:00:00"/>
    <x v="2"/>
    <s v="CK-12595"/>
    <s v="Clytie Kelty"/>
    <x v="0"/>
    <s v="United States"/>
    <x v="3"/>
    <x v="3"/>
    <n v="19134"/>
    <x v="2"/>
    <s v="FUR-FU-10004848"/>
    <x v="0"/>
    <x v="3"/>
    <s v="Howard Miller 13-3/4&quot; Diameter Brushed Chrome Round Wall Clock"/>
    <n v="290"/>
    <n v="7"/>
    <n v="0.2"/>
    <n v="36"/>
    <x v="3"/>
    <s v="Jul"/>
  </r>
  <r>
    <n v="2052"/>
    <s v="CA-2015-142237"/>
    <x v="312"/>
    <d v="2015-07-13T00:00:00"/>
    <x v="2"/>
    <s v="CK-12595"/>
    <s v="Clytie Kelty"/>
    <x v="0"/>
    <s v="United States"/>
    <x v="3"/>
    <x v="3"/>
    <n v="19134"/>
    <x v="2"/>
    <s v="FUR-CH-10003833"/>
    <x v="0"/>
    <x v="1"/>
    <s v="Novimex Fabric Task Chair"/>
    <n v="341"/>
    <n v="8"/>
    <n v="0.3"/>
    <n v="-73"/>
    <x v="3"/>
    <s v="Jul"/>
  </r>
  <r>
    <n v="2054"/>
    <s v="CA-2015-142237"/>
    <x v="312"/>
    <d v="2015-07-13T00:00:00"/>
    <x v="2"/>
    <s v="CK-12595"/>
    <s v="Clytie Kelty"/>
    <x v="0"/>
    <s v="United States"/>
    <x v="3"/>
    <x v="3"/>
    <n v="19134"/>
    <x v="2"/>
    <s v="FUR-FU-10003142"/>
    <x v="0"/>
    <x v="3"/>
    <s v="Master Big Foot Doorstop, Beige"/>
    <n v="25"/>
    <n v="6"/>
    <n v="0.2"/>
    <n v="3"/>
    <x v="3"/>
    <s v="Jul"/>
  </r>
  <r>
    <n v="2055"/>
    <s v="CA-2016-136434"/>
    <x v="193"/>
    <d v="2016-12-07T00:00:00"/>
    <x v="1"/>
    <s v="RD-19480"/>
    <s v="Rick Duston"/>
    <x v="0"/>
    <s v="United States"/>
    <x v="52"/>
    <x v="6"/>
    <n v="47374"/>
    <x v="3"/>
    <s v="FUR-FU-10001196"/>
    <x v="0"/>
    <x v="3"/>
    <s v="DAX Cubicle Frames - 8x10"/>
    <n v="17"/>
    <n v="3"/>
    <n v="0"/>
    <n v="5"/>
    <x v="6"/>
    <s v="Dec"/>
  </r>
  <r>
    <n v="2057"/>
    <s v="CA-2017-120376"/>
    <x v="313"/>
    <d v="2017-12-25T00:00:00"/>
    <x v="2"/>
    <s v="TP-21130"/>
    <s v="Theone Pippenger"/>
    <x v="0"/>
    <s v="United States"/>
    <x v="25"/>
    <x v="17"/>
    <n v="48227"/>
    <x v="3"/>
    <s v="FUR-CH-10002335"/>
    <x v="0"/>
    <x v="1"/>
    <s v="Hon GuestStacker Chair"/>
    <n v="1587"/>
    <n v="7"/>
    <n v="0"/>
    <n v="413"/>
    <x v="0"/>
    <s v="Dec"/>
  </r>
  <r>
    <n v="2059"/>
    <s v="CA-2017-120376"/>
    <x v="313"/>
    <d v="2017-12-25T00:00:00"/>
    <x v="2"/>
    <s v="TP-21130"/>
    <s v="Theone Pippenger"/>
    <x v="0"/>
    <s v="United States"/>
    <x v="25"/>
    <x v="17"/>
    <n v="48227"/>
    <x v="3"/>
    <s v="FUR-TA-10004534"/>
    <x v="0"/>
    <x v="2"/>
    <s v="Bevis 44 x 96 Conference Tables"/>
    <n v="412"/>
    <n v="2"/>
    <n v="0"/>
    <n v="70"/>
    <x v="0"/>
    <s v="Dec"/>
  </r>
  <r>
    <n v="2066"/>
    <s v="CA-2014-106439"/>
    <x v="314"/>
    <d v="2014-11-04T00:00:00"/>
    <x v="1"/>
    <s v="GG-14650"/>
    <s v="Greg Guthrie"/>
    <x v="1"/>
    <s v="United States"/>
    <x v="2"/>
    <x v="2"/>
    <n v="90049"/>
    <x v="1"/>
    <s v="FUR-CH-10003833"/>
    <x v="0"/>
    <x v="1"/>
    <s v="Novimex Fabric Task Chair"/>
    <n v="146"/>
    <n v="3"/>
    <n v="0.2"/>
    <n v="-9"/>
    <x v="4"/>
    <s v="Oct"/>
  </r>
  <r>
    <n v="2070"/>
    <s v="CA-2015-133452"/>
    <x v="315"/>
    <d v="2015-04-19T00:00:00"/>
    <x v="1"/>
    <s v="ZC-21910"/>
    <s v="Zuschuss Carroll"/>
    <x v="0"/>
    <s v="United States"/>
    <x v="135"/>
    <x v="2"/>
    <n v="91767"/>
    <x v="1"/>
    <s v="FUR-TA-10003954"/>
    <x v="0"/>
    <x v="2"/>
    <s v="Hon 94000 Series Round Tables"/>
    <n v="711"/>
    <n v="3"/>
    <n v="0.2"/>
    <n v="-98"/>
    <x v="6"/>
    <s v="Apr"/>
  </r>
  <r>
    <n v="2072"/>
    <s v="US-2017-110996"/>
    <x v="93"/>
    <d v="2017-11-25T00:00:00"/>
    <x v="1"/>
    <s v="KA-16525"/>
    <s v="Kelly Andreada"/>
    <x v="0"/>
    <s v="United States"/>
    <x v="136"/>
    <x v="2"/>
    <n v="91761"/>
    <x v="1"/>
    <s v="FUR-CH-10003956"/>
    <x v="0"/>
    <x v="1"/>
    <s v="Novimex High-Tech Fabric Mesh Task Chair"/>
    <n v="284"/>
    <n v="5"/>
    <n v="0.2"/>
    <n v="-46"/>
    <x v="2"/>
    <s v="Nov"/>
  </r>
  <r>
    <n v="2076"/>
    <s v="CA-2014-131051"/>
    <x v="280"/>
    <d v="2014-12-05T00:00:00"/>
    <x v="1"/>
    <s v="TR-21325"/>
    <s v="Toby Ritter"/>
    <x v="0"/>
    <s v="United States"/>
    <x v="28"/>
    <x v="2"/>
    <n v="94122"/>
    <x v="1"/>
    <s v="FUR-FU-10001861"/>
    <x v="0"/>
    <x v="3"/>
    <s v="Floodlight Indoor Halogen Bulbs, 1 Bulb per Pack, 60 Watts"/>
    <n v="58"/>
    <n v="3"/>
    <n v="0"/>
    <n v="29"/>
    <x v="4"/>
    <s v="Dec"/>
  </r>
  <r>
    <n v="2082"/>
    <s v="CA-2015-120103"/>
    <x v="37"/>
    <d v="2015-12-29T00:00:00"/>
    <x v="1"/>
    <s v="MS-17365"/>
    <s v="Maribeth Schnelling"/>
    <x v="0"/>
    <s v="United States"/>
    <x v="43"/>
    <x v="22"/>
    <n v="85023"/>
    <x v="1"/>
    <s v="FUR-FU-10002885"/>
    <x v="0"/>
    <x v="3"/>
    <s v="Magna Visual Magnetic Picture Hangers"/>
    <n v="8"/>
    <n v="2"/>
    <n v="0.2"/>
    <n v="2"/>
    <x v="2"/>
    <s v="Dec"/>
  </r>
  <r>
    <n v="2092"/>
    <s v="CA-2017-166142"/>
    <x v="316"/>
    <d v="2017-07-19T00:00:00"/>
    <x v="1"/>
    <s v="MM-17260"/>
    <s v="Magdelene Morse"/>
    <x v="0"/>
    <s v="United States"/>
    <x v="16"/>
    <x v="14"/>
    <n v="19805"/>
    <x v="2"/>
    <s v="FUR-TA-10004607"/>
    <x v="0"/>
    <x v="2"/>
    <s v="Hon 2111 Invitation Series Straight Table"/>
    <n v="310"/>
    <n v="3"/>
    <n v="0.3"/>
    <n v="-49"/>
    <x v="4"/>
    <s v="Jul"/>
  </r>
  <r>
    <n v="2093"/>
    <s v="CA-2014-145926"/>
    <x v="317"/>
    <d v="2014-11-21T00:00:00"/>
    <x v="1"/>
    <s v="MP-17470"/>
    <s v="Mark Packer"/>
    <x v="2"/>
    <s v="United States"/>
    <x v="137"/>
    <x v="11"/>
    <n v="56560"/>
    <x v="3"/>
    <s v="FUR-CH-10004289"/>
    <x v="0"/>
    <x v="1"/>
    <s v="Global Super Steno Chair"/>
    <n v="480"/>
    <n v="5"/>
    <n v="0"/>
    <n v="82"/>
    <x v="4"/>
    <s v="Nov"/>
  </r>
  <r>
    <n v="2103"/>
    <s v="CA-2014-123295"/>
    <x v="318"/>
    <d v="2014-07-18T00:00:00"/>
    <x v="3"/>
    <s v="AH-10120"/>
    <s v="Adrian Hane"/>
    <x v="2"/>
    <s v="United States"/>
    <x v="104"/>
    <x v="22"/>
    <n v="85705"/>
    <x v="1"/>
    <s v="FUR-CH-10002372"/>
    <x v="0"/>
    <x v="1"/>
    <s v="Office Star - Ergonomically Designed Knee Chair"/>
    <n v="259"/>
    <n v="4"/>
    <n v="0.2"/>
    <n v="-26"/>
    <x v="7"/>
    <s v="Jul"/>
  </r>
  <r>
    <n v="2112"/>
    <s v="CA-2015-164882"/>
    <x v="319"/>
    <d v="2015-10-31T00:00:00"/>
    <x v="3"/>
    <s v="SG-20080"/>
    <s v="Sandra Glassco"/>
    <x v="0"/>
    <s v="United States"/>
    <x v="138"/>
    <x v="2"/>
    <n v="92374"/>
    <x v="1"/>
    <s v="FUR-CH-10004218"/>
    <x v="0"/>
    <x v="1"/>
    <s v="Global Fabric Manager's Chair, Dark Gray"/>
    <n v="323"/>
    <n v="4"/>
    <n v="0.2"/>
    <n v="20"/>
    <x v="7"/>
    <s v="Oct"/>
  </r>
  <r>
    <n v="2116"/>
    <s v="CA-2015-164882"/>
    <x v="319"/>
    <d v="2015-10-31T00:00:00"/>
    <x v="3"/>
    <s v="SG-20080"/>
    <s v="Sandra Glassco"/>
    <x v="0"/>
    <s v="United States"/>
    <x v="138"/>
    <x v="2"/>
    <n v="92374"/>
    <x v="1"/>
    <s v="FUR-BO-10002213"/>
    <x v="0"/>
    <x v="0"/>
    <s v="DMI Eclipse Executive Suite Bookcases"/>
    <n v="426"/>
    <n v="1"/>
    <n v="0.15"/>
    <n v="20"/>
    <x v="7"/>
    <s v="Oct"/>
  </r>
  <r>
    <n v="2117"/>
    <s v="CA-2015-159786"/>
    <x v="33"/>
    <d v="2015-10-17T00:00:00"/>
    <x v="0"/>
    <s v="RK-19300"/>
    <s v="Ralph Kennedy"/>
    <x v="0"/>
    <s v="United States"/>
    <x v="77"/>
    <x v="7"/>
    <n v="14609"/>
    <x v="2"/>
    <s v="FUR-TA-10001307"/>
    <x v="0"/>
    <x v="2"/>
    <s v="SAFCO PlanMaster Heigh-Adjustable Drafting Table Base, 43w x 30d x 30-37h, Black"/>
    <n v="210"/>
    <n v="1"/>
    <n v="0.4"/>
    <n v="-14"/>
    <x v="2"/>
    <s v="Oct"/>
  </r>
  <r>
    <n v="2122"/>
    <s v="CA-2017-158246"/>
    <x v="17"/>
    <d v="2017-11-11T00:00:00"/>
    <x v="2"/>
    <s v="JB-15400"/>
    <s v="Jennifer Braxton"/>
    <x v="1"/>
    <s v="United States"/>
    <x v="139"/>
    <x v="2"/>
    <n v="94086"/>
    <x v="1"/>
    <s v="FUR-CH-10003061"/>
    <x v="0"/>
    <x v="1"/>
    <s v="Global Leather Task Chair, Black"/>
    <n v="216"/>
    <n v="3"/>
    <n v="0.2"/>
    <n v="-3"/>
    <x v="3"/>
    <s v="Nov"/>
  </r>
  <r>
    <n v="2123"/>
    <s v="CA-2017-167381"/>
    <x v="320"/>
    <d v="2017-09-24T00:00:00"/>
    <x v="0"/>
    <s v="EH-14005"/>
    <s v="Erica Hernandez"/>
    <x v="2"/>
    <s v="United States"/>
    <x v="140"/>
    <x v="17"/>
    <n v="48911"/>
    <x v="3"/>
    <s v="FUR-BO-10001972"/>
    <x v="0"/>
    <x v="0"/>
    <s v="O'Sullivan 4-Shelf Bookcase in Odessa Pine"/>
    <n v="242"/>
    <n v="2"/>
    <n v="0"/>
    <n v="41"/>
    <x v="3"/>
    <s v="Sep"/>
  </r>
  <r>
    <n v="2128"/>
    <s v="CA-2015-134859"/>
    <x v="103"/>
    <d v="2015-10-09T00:00:00"/>
    <x v="1"/>
    <s v="JK-16120"/>
    <s v="Julie Kriz"/>
    <x v="2"/>
    <s v="United States"/>
    <x v="3"/>
    <x v="3"/>
    <n v="19134"/>
    <x v="2"/>
    <s v="FUR-FU-10003623"/>
    <x v="0"/>
    <x v="3"/>
    <s v="DataProducts Ampli Magnifier Task Lamp, Black,"/>
    <n v="65"/>
    <n v="3"/>
    <n v="0.2"/>
    <n v="6"/>
    <x v="2"/>
    <s v="Oct"/>
  </r>
  <r>
    <n v="2132"/>
    <s v="US-2014-114188"/>
    <x v="321"/>
    <d v="2014-05-22T00:00:00"/>
    <x v="0"/>
    <s v="RF-19345"/>
    <s v="Randy Ferguson"/>
    <x v="1"/>
    <s v="United States"/>
    <x v="63"/>
    <x v="28"/>
    <n v="3820"/>
    <x v="2"/>
    <s v="FUR-FU-10000076"/>
    <x v="0"/>
    <x v="3"/>
    <s v="24-Hour Round Wall Clock"/>
    <n v="140"/>
    <n v="7"/>
    <n v="0"/>
    <n v="60"/>
    <x v="3"/>
    <s v="May"/>
  </r>
  <r>
    <n v="2137"/>
    <s v="CA-2015-156377"/>
    <x v="322"/>
    <d v="2016-01-05T00:00:00"/>
    <x v="1"/>
    <s v="TB-21625"/>
    <s v="Trudy Brown"/>
    <x v="0"/>
    <s v="United States"/>
    <x v="141"/>
    <x v="5"/>
    <n v="75051"/>
    <x v="3"/>
    <s v="FUR-FU-10002364"/>
    <x v="0"/>
    <x v="3"/>
    <s v="Eldon Expressions Wood Desk Accessories, Oak"/>
    <n v="15"/>
    <n v="5"/>
    <n v="0.6"/>
    <n v="-11"/>
    <x v="2"/>
    <s v="Dec"/>
  </r>
  <r>
    <n v="2142"/>
    <s v="CA-2014-159520"/>
    <x v="323"/>
    <d v="2014-06-11T00:00:00"/>
    <x v="1"/>
    <s v="GT-14635"/>
    <s v="Grant Thornton"/>
    <x v="1"/>
    <s v="United States"/>
    <x v="62"/>
    <x v="7"/>
    <n v="11561"/>
    <x v="2"/>
    <s v="FUR-TA-10003238"/>
    <x v="0"/>
    <x v="2"/>
    <s v="Chromcraft Bull-Nose Wood 48&quot; x 96&quot; Rectangular Conference Tables"/>
    <n v="992"/>
    <n v="3"/>
    <n v="0.4"/>
    <n v="-347"/>
    <x v="2"/>
    <s v="Jun"/>
  </r>
  <r>
    <n v="2146"/>
    <s v="US-2016-152051"/>
    <x v="324"/>
    <d v="2016-06-29T00:00:00"/>
    <x v="1"/>
    <s v="TS-21160"/>
    <s v="Theresa Swint"/>
    <x v="1"/>
    <s v="United States"/>
    <x v="142"/>
    <x v="3"/>
    <n v="17403"/>
    <x v="2"/>
    <s v="FUR-CH-10002965"/>
    <x v="0"/>
    <x v="1"/>
    <s v="Global Leather Highback Executive Chair with Pneumatic Height Adjustment, Black"/>
    <n v="422"/>
    <n v="3"/>
    <n v="0.3"/>
    <n v="-18"/>
    <x v="4"/>
    <s v="Jun"/>
  </r>
  <r>
    <n v="2149"/>
    <s v="CA-2014-141607"/>
    <x v="202"/>
    <d v="2014-12-17T00:00:00"/>
    <x v="1"/>
    <s v="WB-21850"/>
    <s v="William Brown"/>
    <x v="0"/>
    <s v="United States"/>
    <x v="41"/>
    <x v="2"/>
    <n v="94521"/>
    <x v="1"/>
    <s v="FUR-FU-10003975"/>
    <x v="0"/>
    <x v="3"/>
    <s v="Eldon Advantage Chair Mats for Low to Medium Pile Carpets"/>
    <n v="43"/>
    <n v="1"/>
    <n v="0"/>
    <n v="4"/>
    <x v="2"/>
    <s v="Dec"/>
  </r>
  <r>
    <n v="2151"/>
    <s v="US-2017-139969"/>
    <x v="49"/>
    <d v="2017-11-26T00:00:00"/>
    <x v="1"/>
    <s v="AF-10870"/>
    <s v="Art Ferguson"/>
    <x v="0"/>
    <s v="United States"/>
    <x v="143"/>
    <x v="5"/>
    <n v="77840"/>
    <x v="3"/>
    <s v="FUR-CH-10001973"/>
    <x v="0"/>
    <x v="1"/>
    <s v="Office Star Flex Back Scooter Chair with White Frame"/>
    <n v="233"/>
    <n v="3"/>
    <n v="0.3"/>
    <n v="-53"/>
    <x v="1"/>
    <s v="Nov"/>
  </r>
  <r>
    <n v="2155"/>
    <s v="US-2016-120460"/>
    <x v="325"/>
    <d v="2016-05-05T00:00:00"/>
    <x v="1"/>
    <s v="BF-11170"/>
    <s v="Ben Ferrer"/>
    <x v="2"/>
    <s v="United States"/>
    <x v="144"/>
    <x v="5"/>
    <n v="75081"/>
    <x v="3"/>
    <s v="FUR-FU-10004973"/>
    <x v="0"/>
    <x v="3"/>
    <s v="Flat Face Poster Frame"/>
    <n v="23"/>
    <n v="3"/>
    <n v="0.6"/>
    <n v="-10"/>
    <x v="2"/>
    <s v="Apr"/>
  </r>
  <r>
    <n v="2161"/>
    <s v="CA-2016-141019"/>
    <x v="326"/>
    <d v="2016-05-14T00:00:00"/>
    <x v="3"/>
    <s v="LH-17155"/>
    <s v="Logan Haushalter"/>
    <x v="0"/>
    <s v="United States"/>
    <x v="145"/>
    <x v="15"/>
    <n v="45231"/>
    <x v="2"/>
    <s v="FUR-FU-10002937"/>
    <x v="0"/>
    <x v="3"/>
    <s v="GE 48&quot; Fluorescent Tube, Cool White Energy Saver, 34 Watts, 30/Box"/>
    <n v="79"/>
    <n v="1"/>
    <n v="0.2"/>
    <n v="30"/>
    <x v="7"/>
    <s v="May"/>
  </r>
  <r>
    <n v="2166"/>
    <s v="CA-2016-154018"/>
    <x v="25"/>
    <d v="2016-10-19T00:00:00"/>
    <x v="1"/>
    <s v="HA-14920"/>
    <s v="Helen Andreada"/>
    <x v="0"/>
    <s v="United States"/>
    <x v="146"/>
    <x v="5"/>
    <n v="78041"/>
    <x v="3"/>
    <s v="FUR-FU-10003394"/>
    <x v="0"/>
    <x v="3"/>
    <s v="Tenex &quot;The Solids&quot; Textured Chair Mats"/>
    <n v="140"/>
    <n v="5"/>
    <n v="0.6"/>
    <n v="-150"/>
    <x v="6"/>
    <s v="Oct"/>
  </r>
  <r>
    <n v="2172"/>
    <s v="US-2017-137491"/>
    <x v="49"/>
    <d v="2017-11-25T00:00:00"/>
    <x v="1"/>
    <s v="LC-16930"/>
    <s v="Linda Cazamias"/>
    <x v="1"/>
    <s v="United States"/>
    <x v="147"/>
    <x v="5"/>
    <n v="76903"/>
    <x v="3"/>
    <s v="FUR-CH-10004675"/>
    <x v="0"/>
    <x v="1"/>
    <s v="Lifetime Advantage Folding Chairs, 4/Carton"/>
    <n v="305"/>
    <n v="2"/>
    <n v="0.3"/>
    <n v="-9"/>
    <x v="6"/>
    <s v="Nov"/>
  </r>
  <r>
    <n v="2182"/>
    <s v="CA-2016-128818"/>
    <x v="327"/>
    <d v="2016-05-11T00:00:00"/>
    <x v="1"/>
    <s v="CJ-12010"/>
    <s v="Caroline Jumper"/>
    <x v="0"/>
    <s v="United States"/>
    <x v="13"/>
    <x v="7"/>
    <n v="10009"/>
    <x v="2"/>
    <s v="FUR-CH-10002084"/>
    <x v="0"/>
    <x v="1"/>
    <s v="Hon Mobius Operator's Chair"/>
    <n v="443"/>
    <n v="4"/>
    <n v="0.1"/>
    <n v="59"/>
    <x v="4"/>
    <s v="May"/>
  </r>
  <r>
    <n v="2185"/>
    <s v="CA-2016-128818"/>
    <x v="327"/>
    <d v="2016-05-11T00:00:00"/>
    <x v="1"/>
    <s v="CJ-12010"/>
    <s v="Caroline Jumper"/>
    <x v="0"/>
    <s v="United States"/>
    <x v="13"/>
    <x v="7"/>
    <n v="10009"/>
    <x v="2"/>
    <s v="FUR-FU-10001940"/>
    <x v="0"/>
    <x v="3"/>
    <s v="Staple-based wall hangings"/>
    <n v="64"/>
    <n v="8"/>
    <n v="0"/>
    <n v="28"/>
    <x v="4"/>
    <s v="May"/>
  </r>
  <r>
    <n v="2189"/>
    <s v="CA-2017-143063"/>
    <x v="328"/>
    <d v="2017-08-15T00:00:00"/>
    <x v="1"/>
    <s v="IL-15100"/>
    <s v="Ivan Liston"/>
    <x v="0"/>
    <s v="United States"/>
    <x v="29"/>
    <x v="6"/>
    <n v="47201"/>
    <x v="3"/>
    <s v="FUR-FU-10003708"/>
    <x v="0"/>
    <x v="3"/>
    <s v="Tenex Traditional Chairmats for Medium Pile Carpet, Standard Lip, 36&quot; x 48&quot;"/>
    <n v="121"/>
    <n v="2"/>
    <n v="0"/>
    <n v="25"/>
    <x v="2"/>
    <s v="Aug"/>
  </r>
  <r>
    <n v="2201"/>
    <s v="US-2014-165659"/>
    <x v="42"/>
    <d v="2014-06-06T00:00:00"/>
    <x v="1"/>
    <s v="LT-17110"/>
    <s v="Liz Thompson"/>
    <x v="0"/>
    <s v="United States"/>
    <x v="148"/>
    <x v="31"/>
    <n v="72209"/>
    <x v="0"/>
    <s v="FUR-FU-10001935"/>
    <x v="0"/>
    <x v="3"/>
    <s v="3M Hangers With Command Adhesive"/>
    <n v="22"/>
    <n v="6"/>
    <n v="0"/>
    <n v="9"/>
    <x v="2"/>
    <s v="Jun"/>
  </r>
  <r>
    <n v="2204"/>
    <s v="CA-2015-138002"/>
    <x v="329"/>
    <d v="2015-09-12T00:00:00"/>
    <x v="1"/>
    <s v="BT-11305"/>
    <s v="Beth Thompson"/>
    <x v="2"/>
    <s v="United States"/>
    <x v="15"/>
    <x v="13"/>
    <n v="98103"/>
    <x v="1"/>
    <s v="FUR-FU-10004748"/>
    <x v="0"/>
    <x v="3"/>
    <s v="Howard Miller 16&quot; Diameter Gallery Wall Clock"/>
    <n v="192"/>
    <n v="3"/>
    <n v="0"/>
    <n v="75"/>
    <x v="6"/>
    <s v="Sep"/>
  </r>
  <r>
    <n v="2205"/>
    <s v="CA-2015-128860"/>
    <x v="330"/>
    <d v="2015-07-05T00:00:00"/>
    <x v="1"/>
    <s v="SC-20725"/>
    <s v="Steven Cartwright"/>
    <x v="0"/>
    <s v="United States"/>
    <x v="68"/>
    <x v="3"/>
    <n v="17602"/>
    <x v="2"/>
    <s v="FUR-FU-10001473"/>
    <x v="0"/>
    <x v="3"/>
    <s v="Eldon Executive Woodline II Desk Accessories, Mahogany"/>
    <n v="20"/>
    <n v="1"/>
    <n v="0.2"/>
    <n v="2"/>
    <x v="6"/>
    <s v="Jun"/>
  </r>
  <r>
    <n v="2213"/>
    <s v="CA-2017-107874"/>
    <x v="295"/>
    <d v="2017-11-25T00:00:00"/>
    <x v="1"/>
    <s v="SW-20275"/>
    <s v="Scott Williamson"/>
    <x v="0"/>
    <s v="United States"/>
    <x v="13"/>
    <x v="7"/>
    <n v="10035"/>
    <x v="2"/>
    <s v="FUR-FU-10003535"/>
    <x v="0"/>
    <x v="3"/>
    <s v="Howard Miller Distant Time Traveler Alarm Clock"/>
    <n v="27"/>
    <n v="1"/>
    <n v="0"/>
    <n v="11"/>
    <x v="4"/>
    <s v="Nov"/>
  </r>
  <r>
    <n v="2217"/>
    <s v="CA-2017-129378"/>
    <x v="95"/>
    <d v="2017-10-02T00:00:00"/>
    <x v="2"/>
    <s v="NS-18505"/>
    <s v="Neola Schneider"/>
    <x v="0"/>
    <s v="United States"/>
    <x v="124"/>
    <x v="2"/>
    <n v="95123"/>
    <x v="1"/>
    <s v="FUR-CH-10000553"/>
    <x v="0"/>
    <x v="1"/>
    <s v="Metal Folding Chairs, Beige, 4/Carton"/>
    <n v="109"/>
    <n v="4"/>
    <n v="0.2"/>
    <n v="10"/>
    <x v="5"/>
    <s v="Oct"/>
  </r>
  <r>
    <n v="2224"/>
    <s v="CA-2015-131884"/>
    <x v="248"/>
    <d v="2015-12-06T00:00:00"/>
    <x v="3"/>
    <s v="DK-13375"/>
    <s v="Dennis Kane"/>
    <x v="0"/>
    <s v="United States"/>
    <x v="149"/>
    <x v="15"/>
    <n v="43302"/>
    <x v="2"/>
    <s v="FUR-CH-10004860"/>
    <x v="0"/>
    <x v="1"/>
    <s v="Global Low Back Tilter Chair"/>
    <n v="71"/>
    <n v="1"/>
    <n v="0.3"/>
    <n v="-24"/>
    <x v="7"/>
    <s v="Dec"/>
  </r>
  <r>
    <n v="2226"/>
    <s v="CA-2016-106383"/>
    <x v="331"/>
    <d v="2016-03-21T00:00:00"/>
    <x v="0"/>
    <s v="BT-11440"/>
    <s v="Bobby Trafton"/>
    <x v="0"/>
    <s v="United States"/>
    <x v="150"/>
    <x v="12"/>
    <n v="80122"/>
    <x v="1"/>
    <s v="FUR-BO-10002202"/>
    <x v="0"/>
    <x v="0"/>
    <s v="Atlantic Metals Mobile 2-Shelf Bookcases, Custom Colors"/>
    <n v="72"/>
    <n v="1"/>
    <n v="0.7"/>
    <n v="-99"/>
    <x v="3"/>
    <s v="Mar"/>
  </r>
  <r>
    <n v="2229"/>
    <s v="CA-2016-139157"/>
    <x v="180"/>
    <d v="2016-10-05T00:00:00"/>
    <x v="1"/>
    <s v="GM-14680"/>
    <s v="Greg Matthias"/>
    <x v="0"/>
    <s v="United States"/>
    <x v="13"/>
    <x v="7"/>
    <n v="10024"/>
    <x v="2"/>
    <s v="FUR-TA-10003238"/>
    <x v="0"/>
    <x v="2"/>
    <s v="Chromcraft Bull-Nose Wood 48&quot; x 96&quot; Rectangular Conference Tables"/>
    <n v="331"/>
    <n v="1"/>
    <n v="0.4"/>
    <n v="-116"/>
    <x v="4"/>
    <s v="Oct"/>
  </r>
  <r>
    <n v="2232"/>
    <s v="CA-2017-157091"/>
    <x v="332"/>
    <d v="2017-07-01T00:00:00"/>
    <x v="1"/>
    <s v="DB-13405"/>
    <s v="Denny Blanton"/>
    <x v="0"/>
    <s v="United States"/>
    <x v="101"/>
    <x v="6"/>
    <n v="46350"/>
    <x v="3"/>
    <s v="FUR-FU-10000293"/>
    <x v="0"/>
    <x v="3"/>
    <s v="Eldon Antistatic Chair Mats for Low to Medium Pile Carpets"/>
    <n v="526"/>
    <n v="5"/>
    <n v="0"/>
    <n v="32"/>
    <x v="2"/>
    <s v="Jun"/>
  </r>
  <r>
    <n v="2239"/>
    <s v="CA-2017-166849"/>
    <x v="333"/>
    <d v="2017-04-26T00:00:00"/>
    <x v="1"/>
    <s v="SJ-20125"/>
    <s v="Sanjit Jacobs"/>
    <x v="2"/>
    <s v="United States"/>
    <x v="9"/>
    <x v="8"/>
    <n v="60610"/>
    <x v="3"/>
    <s v="FUR-FU-10004597"/>
    <x v="0"/>
    <x v="3"/>
    <s v="Eldon Cleatmat Chair Mats for Medium Pile Carpets"/>
    <n v="44"/>
    <n v="2"/>
    <n v="0.6"/>
    <n v="-52"/>
    <x v="6"/>
    <s v="Apr"/>
  </r>
  <r>
    <n v="2257"/>
    <s v="CA-2016-164091"/>
    <x v="334"/>
    <d v="2016-09-22T00:00:00"/>
    <x v="1"/>
    <s v="LA-16780"/>
    <s v="Laura Armstrong"/>
    <x v="1"/>
    <s v="United States"/>
    <x v="151"/>
    <x v="39"/>
    <n v="4401"/>
    <x v="2"/>
    <s v="FUR-FU-10004952"/>
    <x v="0"/>
    <x v="3"/>
    <s v="C-Line Cubicle Keepers Polyproplyene Holder w/Velcro Back, 8-1/2x11, 25/Bx"/>
    <n v="109"/>
    <n v="2"/>
    <n v="0"/>
    <n v="34"/>
    <x v="2"/>
    <s v="Sep"/>
  </r>
  <r>
    <n v="2258"/>
    <s v="CA-2017-105214"/>
    <x v="140"/>
    <d v="2017-06-19T00:00:00"/>
    <x v="2"/>
    <s v="TS-21610"/>
    <s v="Troy Staebel"/>
    <x v="0"/>
    <s v="United States"/>
    <x v="28"/>
    <x v="2"/>
    <n v="94122"/>
    <x v="1"/>
    <s v="FUR-CH-10000015"/>
    <x v="0"/>
    <x v="1"/>
    <s v="Hon Multipurpose Stacking Arm Chairs"/>
    <n v="1213"/>
    <n v="7"/>
    <n v="0.2"/>
    <n v="91"/>
    <x v="0"/>
    <s v="Jun"/>
  </r>
  <r>
    <n v="2263"/>
    <s v="CA-2017-122994"/>
    <x v="335"/>
    <d v="2017-02-09T00:00:00"/>
    <x v="2"/>
    <s v="MV-17485"/>
    <s v="Mark Van Huff"/>
    <x v="0"/>
    <s v="United States"/>
    <x v="58"/>
    <x v="25"/>
    <n v="22204"/>
    <x v="0"/>
    <s v="FUR-BO-10004015"/>
    <x v="0"/>
    <x v="0"/>
    <s v="Bush Andora Bookcase, Maple/Graphite Gray Finish"/>
    <n v="360"/>
    <n v="3"/>
    <n v="0"/>
    <n v="79"/>
    <x v="0"/>
    <s v="Feb"/>
  </r>
  <r>
    <n v="2273"/>
    <s v="CA-2015-142944"/>
    <x v="336"/>
    <d v="2015-03-11T00:00:00"/>
    <x v="1"/>
    <s v="JL-15850"/>
    <s v="John Lucas"/>
    <x v="0"/>
    <s v="United States"/>
    <x v="28"/>
    <x v="2"/>
    <n v="94122"/>
    <x v="1"/>
    <s v="FUR-FU-10000308"/>
    <x v="0"/>
    <x v="3"/>
    <s v="Deflect-o Glass Clear Studded Chair Mats"/>
    <n v="435"/>
    <n v="7"/>
    <n v="0"/>
    <n v="96"/>
    <x v="2"/>
    <s v="Mar"/>
  </r>
  <r>
    <n v="2275"/>
    <s v="CA-2014-157882"/>
    <x v="215"/>
    <d v="2014-10-08T00:00:00"/>
    <x v="0"/>
    <s v="AR-10405"/>
    <s v="Allen Rosenblatt"/>
    <x v="1"/>
    <s v="United States"/>
    <x v="2"/>
    <x v="2"/>
    <n v="90036"/>
    <x v="1"/>
    <s v="FUR-TA-10001866"/>
    <x v="0"/>
    <x v="2"/>
    <s v="Bevis Round Conference Room Tables and Bases"/>
    <n v="143"/>
    <n v="1"/>
    <n v="0.2"/>
    <n v="4"/>
    <x v="2"/>
    <s v="Oct"/>
  </r>
  <r>
    <n v="2276"/>
    <s v="CA-2014-157882"/>
    <x v="215"/>
    <d v="2014-10-08T00:00:00"/>
    <x v="0"/>
    <s v="AR-10405"/>
    <s v="Allen Rosenblatt"/>
    <x v="1"/>
    <s v="United States"/>
    <x v="2"/>
    <x v="2"/>
    <n v="90036"/>
    <x v="1"/>
    <s v="FUR-CH-10002774"/>
    <x v="0"/>
    <x v="1"/>
    <s v="Global Deluxe Stacking Chair, Gray"/>
    <n v="122"/>
    <n v="3"/>
    <n v="0.2"/>
    <n v="14"/>
    <x v="2"/>
    <s v="Oct"/>
  </r>
  <r>
    <n v="2278"/>
    <s v="CA-2014-104283"/>
    <x v="337"/>
    <d v="2014-07-01T00:00:00"/>
    <x v="1"/>
    <s v="LM-17065"/>
    <s v="Liz MacKendrick"/>
    <x v="0"/>
    <s v="United States"/>
    <x v="152"/>
    <x v="21"/>
    <n v="38671"/>
    <x v="0"/>
    <s v="FUR-TA-10001039"/>
    <x v="0"/>
    <x v="2"/>
    <s v="KI Adjustable-Height Table"/>
    <n v="86"/>
    <n v="1"/>
    <n v="0"/>
    <n v="22"/>
    <x v="4"/>
    <s v="Jun"/>
  </r>
  <r>
    <n v="2280"/>
    <s v="CA-2017-142622"/>
    <x v="242"/>
    <d v="2017-11-02T00:00:00"/>
    <x v="2"/>
    <s v="JK-15625"/>
    <s v="Jim Karlsson"/>
    <x v="0"/>
    <s v="United States"/>
    <x v="15"/>
    <x v="13"/>
    <n v="98115"/>
    <x v="1"/>
    <s v="FUR-CH-10003833"/>
    <x v="0"/>
    <x v="1"/>
    <s v="Novimex Fabric Task Chair"/>
    <n v="98"/>
    <n v="2"/>
    <n v="0.2"/>
    <n v="-6"/>
    <x v="0"/>
    <s v="Oct"/>
  </r>
  <r>
    <n v="2281"/>
    <s v="CA-2017-142622"/>
    <x v="242"/>
    <d v="2017-11-02T00:00:00"/>
    <x v="2"/>
    <s v="JK-15625"/>
    <s v="Jim Karlsson"/>
    <x v="0"/>
    <s v="United States"/>
    <x v="15"/>
    <x v="13"/>
    <n v="98115"/>
    <x v="1"/>
    <s v="FUR-CH-10004289"/>
    <x v="0"/>
    <x v="1"/>
    <s v="Global Super Steno Chair"/>
    <n v="614"/>
    <n v="8"/>
    <n v="0.2"/>
    <n v="-23"/>
    <x v="0"/>
    <s v="Oct"/>
  </r>
  <r>
    <n v="2282"/>
    <s v="CA-2017-142622"/>
    <x v="242"/>
    <d v="2017-11-02T00:00:00"/>
    <x v="2"/>
    <s v="JK-15625"/>
    <s v="Jim Karlsson"/>
    <x v="0"/>
    <s v="United States"/>
    <x v="15"/>
    <x v="13"/>
    <n v="98115"/>
    <x v="1"/>
    <s v="FUR-BO-10004467"/>
    <x v="0"/>
    <x v="0"/>
    <s v="Bestar Classic Bookcase"/>
    <n v="200"/>
    <n v="2"/>
    <n v="0"/>
    <n v="38"/>
    <x v="0"/>
    <s v="Oct"/>
  </r>
  <r>
    <n v="2290"/>
    <s v="CA-2017-115154"/>
    <x v="338"/>
    <d v="2017-01-11T00:00:00"/>
    <x v="2"/>
    <s v="RS-19420"/>
    <s v="Ricardo Sperren"/>
    <x v="1"/>
    <s v="United States"/>
    <x v="15"/>
    <x v="13"/>
    <n v="98115"/>
    <x v="1"/>
    <s v="FUR-TA-10001950"/>
    <x v="0"/>
    <x v="2"/>
    <s v="Balt Solid Wood Round Tables"/>
    <n v="893"/>
    <n v="2"/>
    <n v="0"/>
    <n v="80"/>
    <x v="0"/>
    <s v="Jan"/>
  </r>
  <r>
    <n v="2292"/>
    <s v="CA-2015-149342"/>
    <x v="339"/>
    <d v="2015-04-25T00:00:00"/>
    <x v="1"/>
    <s v="TS-21160"/>
    <s v="Theresa Swint"/>
    <x v="1"/>
    <s v="United States"/>
    <x v="29"/>
    <x v="24"/>
    <n v="31907"/>
    <x v="0"/>
    <s v="FUR-FU-10002937"/>
    <x v="0"/>
    <x v="3"/>
    <s v="GE 48&quot; Fluorescent Tube, Cool White Energy Saver, 34 Watts, 30/Box"/>
    <n v="595"/>
    <n v="6"/>
    <n v="0"/>
    <n v="298"/>
    <x v="2"/>
    <s v="Apr"/>
  </r>
  <r>
    <n v="2295"/>
    <s v="CA-2017-127929"/>
    <x v="340"/>
    <d v="2017-12-27T00:00:00"/>
    <x v="1"/>
    <s v="FM-14215"/>
    <s v="Filia McAdams"/>
    <x v="1"/>
    <s v="United States"/>
    <x v="108"/>
    <x v="19"/>
    <n v="6457"/>
    <x v="2"/>
    <s v="FUR-FU-10003708"/>
    <x v="0"/>
    <x v="3"/>
    <s v="Tenex Traditional Chairmats for Medium Pile Carpet, Standard Lip, 36&quot; x 48&quot;"/>
    <n v="182"/>
    <n v="3"/>
    <n v="0"/>
    <n v="38"/>
    <x v="4"/>
    <s v="Dec"/>
  </r>
  <r>
    <n v="2297"/>
    <s v="CA-2015-113145"/>
    <x v="341"/>
    <d v="2015-11-05T00:00:00"/>
    <x v="1"/>
    <s v="VD-21670"/>
    <s v="Valerie Dominguez"/>
    <x v="0"/>
    <s v="United States"/>
    <x v="13"/>
    <x v="7"/>
    <n v="10011"/>
    <x v="2"/>
    <s v="FUR-FU-10000965"/>
    <x v="0"/>
    <x v="3"/>
    <s v="Howard Miller 11-1/2&quot; Diameter Ridgewood Wall Clock"/>
    <n v="260"/>
    <n v="5"/>
    <n v="0"/>
    <n v="106"/>
    <x v="4"/>
    <s v="Nov"/>
  </r>
  <r>
    <n v="2304"/>
    <s v="CA-2017-157931"/>
    <x v="342"/>
    <d v="2017-09-22T00:00:00"/>
    <x v="0"/>
    <s v="MO-17800"/>
    <s v="Meg O'Connel"/>
    <x v="2"/>
    <s v="United States"/>
    <x v="153"/>
    <x v="24"/>
    <n v="30076"/>
    <x v="0"/>
    <s v="FUR-CH-10000785"/>
    <x v="0"/>
    <x v="1"/>
    <s v="Global Ergonomic Managers Chair"/>
    <n v="724"/>
    <n v="4"/>
    <n v="0"/>
    <n v="188"/>
    <x v="2"/>
    <s v="Sep"/>
  </r>
  <r>
    <n v="2306"/>
    <s v="CA-2016-115574"/>
    <x v="207"/>
    <d v="2016-12-24T00:00:00"/>
    <x v="2"/>
    <s v="BP-11185"/>
    <s v="Ben Peterman"/>
    <x v="1"/>
    <s v="United States"/>
    <x v="9"/>
    <x v="8"/>
    <n v="60623"/>
    <x v="3"/>
    <s v="FUR-BO-10003441"/>
    <x v="0"/>
    <x v="0"/>
    <s v="Bush Westfield Collection Bookcases, Fully Assembled"/>
    <n v="141"/>
    <n v="2"/>
    <n v="0.3"/>
    <n v="-14"/>
    <x v="5"/>
    <s v="Dec"/>
  </r>
  <r>
    <n v="2309"/>
    <s v="US-2017-120418"/>
    <x v="343"/>
    <d v="2017-06-12T00:00:00"/>
    <x v="2"/>
    <s v="BC-11125"/>
    <s v="Becky Castell"/>
    <x v="2"/>
    <s v="United States"/>
    <x v="117"/>
    <x v="22"/>
    <n v="85345"/>
    <x v="1"/>
    <s v="FUR-CH-10001394"/>
    <x v="0"/>
    <x v="1"/>
    <s v="Global Leather Executive Chair"/>
    <n v="281"/>
    <n v="1"/>
    <n v="0.2"/>
    <n v="35"/>
    <x v="5"/>
    <s v="Jun"/>
  </r>
  <r>
    <n v="2317"/>
    <s v="CA-2017-122035"/>
    <x v="96"/>
    <d v="2017-07-25T00:00:00"/>
    <x v="1"/>
    <s v="EM-13825"/>
    <s v="Elizabeth Moffitt"/>
    <x v="1"/>
    <s v="United States"/>
    <x v="154"/>
    <x v="40"/>
    <n v="57103"/>
    <x v="3"/>
    <s v="FUR-CH-10003833"/>
    <x v="0"/>
    <x v="1"/>
    <s v="Novimex Fabric Task Chair"/>
    <n v="183"/>
    <n v="3"/>
    <n v="0"/>
    <n v="27"/>
    <x v="2"/>
    <s v="Jul"/>
  </r>
  <r>
    <n v="2327"/>
    <s v="CA-2015-105102"/>
    <x v="195"/>
    <d v="2015-09-19T00:00:00"/>
    <x v="0"/>
    <s v="BM-11575"/>
    <s v="Brendan Murry"/>
    <x v="1"/>
    <s v="United States"/>
    <x v="13"/>
    <x v="7"/>
    <n v="10035"/>
    <x v="2"/>
    <s v="FUR-BO-10004709"/>
    <x v="0"/>
    <x v="0"/>
    <s v="Bush Westfield Collection Bookcases, Medium Cherry Finish"/>
    <n v="46"/>
    <n v="1"/>
    <n v="0.2"/>
    <n v="1"/>
    <x v="4"/>
    <s v="Sep"/>
  </r>
  <r>
    <n v="2330"/>
    <s v="US-2015-147739"/>
    <x v="344"/>
    <d v="2015-12-29T00:00:00"/>
    <x v="1"/>
    <s v="JD-16150"/>
    <s v="Justin Deggeller"/>
    <x v="1"/>
    <s v="United States"/>
    <x v="3"/>
    <x v="3"/>
    <n v="19140"/>
    <x v="2"/>
    <s v="FUR-FU-10001468"/>
    <x v="0"/>
    <x v="3"/>
    <s v="Tenex Antistatic Computer Chair Mats"/>
    <n v="547"/>
    <n v="4"/>
    <n v="0.2"/>
    <n v="-68"/>
    <x v="4"/>
    <s v="Dec"/>
  </r>
  <r>
    <n v="2342"/>
    <s v="US-2014-143231"/>
    <x v="252"/>
    <d v="2015-01-03T00:00:00"/>
    <x v="2"/>
    <s v="GM-14455"/>
    <s v="Gary Mitchum"/>
    <x v="2"/>
    <s v="United States"/>
    <x v="20"/>
    <x v="20"/>
    <n v="2038"/>
    <x v="2"/>
    <s v="FUR-FU-10002501"/>
    <x v="0"/>
    <x v="3"/>
    <s v="Nu-Dell Executive Frame"/>
    <n v="63"/>
    <n v="5"/>
    <n v="0"/>
    <n v="23"/>
    <x v="0"/>
    <s v="Dec"/>
  </r>
  <r>
    <n v="2348"/>
    <s v="CA-2016-159373"/>
    <x v="345"/>
    <d v="2016-03-18T00:00:00"/>
    <x v="1"/>
    <s v="LT-17110"/>
    <s v="Liz Thompson"/>
    <x v="0"/>
    <s v="United States"/>
    <x v="21"/>
    <x v="5"/>
    <n v="78207"/>
    <x v="3"/>
    <s v="FUR-TA-10004619"/>
    <x v="0"/>
    <x v="2"/>
    <s v="Hon Non-Folding Utility Tables"/>
    <n v="558"/>
    <n v="5"/>
    <n v="0.3"/>
    <n v="0"/>
    <x v="2"/>
    <s v="Mar"/>
  </r>
  <r>
    <n v="2354"/>
    <s v="CA-2015-111514"/>
    <x v="346"/>
    <d v="2015-09-02T00:00:00"/>
    <x v="2"/>
    <s v="SC-20260"/>
    <s v="Scott Cohen"/>
    <x v="1"/>
    <s v="United States"/>
    <x v="28"/>
    <x v="2"/>
    <n v="94122"/>
    <x v="1"/>
    <s v="FUR-BO-10002545"/>
    <x v="0"/>
    <x v="0"/>
    <s v="Atlantic Metals Mobile 3-Shelf Bookcases, Custom Colors"/>
    <n v="1553"/>
    <n v="7"/>
    <n v="0.15"/>
    <n v="201"/>
    <x v="3"/>
    <s v="Aug"/>
  </r>
  <r>
    <n v="2358"/>
    <s v="US-2014-148838"/>
    <x v="347"/>
    <d v="2014-03-21T00:00:00"/>
    <x v="1"/>
    <s v="CP-12340"/>
    <s v="Christine Phan"/>
    <x v="1"/>
    <s v="United States"/>
    <x v="13"/>
    <x v="7"/>
    <n v="10024"/>
    <x v="2"/>
    <s v="FUR-TA-10003473"/>
    <x v="0"/>
    <x v="2"/>
    <s v="Bretford Rectangular Conference Table Tops"/>
    <n v="1580"/>
    <n v="7"/>
    <n v="0.4"/>
    <n v="-448"/>
    <x v="4"/>
    <s v="Mar"/>
  </r>
  <r>
    <n v="2359"/>
    <s v="US-2014-148838"/>
    <x v="347"/>
    <d v="2014-03-21T00:00:00"/>
    <x v="1"/>
    <s v="CP-12340"/>
    <s v="Christine Phan"/>
    <x v="1"/>
    <s v="United States"/>
    <x v="13"/>
    <x v="7"/>
    <n v="10024"/>
    <x v="2"/>
    <s v="FUR-TA-10001950"/>
    <x v="0"/>
    <x v="2"/>
    <s v="Balt Solid Wood Round Tables"/>
    <n v="1072"/>
    <n v="4"/>
    <n v="0.4"/>
    <n v="-554"/>
    <x v="4"/>
    <s v="Mar"/>
  </r>
  <r>
    <n v="2360"/>
    <s v="US-2014-148838"/>
    <x v="347"/>
    <d v="2014-03-21T00:00:00"/>
    <x v="1"/>
    <s v="CP-12340"/>
    <s v="Christine Phan"/>
    <x v="1"/>
    <s v="United States"/>
    <x v="13"/>
    <x v="7"/>
    <n v="10024"/>
    <x v="2"/>
    <s v="FUR-TA-10004175"/>
    <x v="0"/>
    <x v="2"/>
    <s v="Hon 30&quot; x 60&quot; Table with Locking Drawer"/>
    <n v="614"/>
    <n v="3"/>
    <n v="0.4"/>
    <n v="-123"/>
    <x v="4"/>
    <s v="Mar"/>
  </r>
  <r>
    <n v="2364"/>
    <s v="US-2016-108637"/>
    <x v="345"/>
    <d v="2016-03-18T00:00:00"/>
    <x v="1"/>
    <s v="AB-10060"/>
    <s v="Adam Bellavance"/>
    <x v="2"/>
    <s v="United States"/>
    <x v="61"/>
    <x v="25"/>
    <n v="22980"/>
    <x v="0"/>
    <s v="FUR-FU-10004864"/>
    <x v="0"/>
    <x v="3"/>
    <s v="Howard Miller 14-1/2&quot; Diameter Chrome Round Wall Clock"/>
    <n v="128"/>
    <n v="2"/>
    <n v="0"/>
    <n v="41"/>
    <x v="2"/>
    <s v="Mar"/>
  </r>
  <r>
    <n v="2367"/>
    <s v="CA-2014-102295"/>
    <x v="168"/>
    <d v="2014-11-26T00:00:00"/>
    <x v="0"/>
    <s v="EH-13990"/>
    <s v="Erica Hackney"/>
    <x v="0"/>
    <s v="United States"/>
    <x v="155"/>
    <x v="2"/>
    <n v="95823"/>
    <x v="1"/>
    <s v="FUR-CH-10001714"/>
    <x v="0"/>
    <x v="1"/>
    <s v="Global Leather &amp; Oak Executive Chair, Burgundy"/>
    <n v="121"/>
    <n v="1"/>
    <n v="0.2"/>
    <n v="-18"/>
    <x v="3"/>
    <s v="Nov"/>
  </r>
  <r>
    <n v="2369"/>
    <s v="US-2016-129469"/>
    <x v="348"/>
    <d v="2016-09-27T00:00:00"/>
    <x v="1"/>
    <s v="KL-16555"/>
    <s v="Kelly Lampkin"/>
    <x v="1"/>
    <s v="United States"/>
    <x v="130"/>
    <x v="15"/>
    <n v="45014"/>
    <x v="2"/>
    <s v="FUR-FU-10002298"/>
    <x v="0"/>
    <x v="3"/>
    <s v="Rubbermaid ClusterMat Chairmats, Mat Size- 66&quot; x 60&quot;, Lip 20&quot; x 11&quot; -90 Degree Angle"/>
    <n v="533"/>
    <n v="6"/>
    <n v="0.2"/>
    <n v="-27"/>
    <x v="4"/>
    <s v="Sep"/>
  </r>
  <r>
    <n v="2372"/>
    <s v="CA-2016-159940"/>
    <x v="281"/>
    <d v="2016-07-11T00:00:00"/>
    <x v="0"/>
    <s v="BF-11020"/>
    <s v="Barry Franzšsisch"/>
    <x v="1"/>
    <s v="United States"/>
    <x v="14"/>
    <x v="8"/>
    <n v="60505"/>
    <x v="3"/>
    <s v="FUR-FU-10004973"/>
    <x v="0"/>
    <x v="3"/>
    <s v="Flat Face Poster Frame"/>
    <n v="60"/>
    <n v="8"/>
    <n v="0.6"/>
    <n v="-27"/>
    <x v="4"/>
    <s v="Jul"/>
  </r>
  <r>
    <n v="2375"/>
    <s v="CA-2016-159940"/>
    <x v="281"/>
    <d v="2016-07-11T00:00:00"/>
    <x v="0"/>
    <s v="BF-11020"/>
    <s v="Barry Franzšsisch"/>
    <x v="1"/>
    <s v="United States"/>
    <x v="14"/>
    <x v="8"/>
    <n v="60505"/>
    <x v="3"/>
    <s v="FUR-CH-10000785"/>
    <x v="0"/>
    <x v="1"/>
    <s v="Global Ergonomic Managers Chair"/>
    <n v="253"/>
    <n v="2"/>
    <n v="0.3"/>
    <n v="-14"/>
    <x v="4"/>
    <s v="Jul"/>
  </r>
  <r>
    <n v="2382"/>
    <s v="CA-2016-118052"/>
    <x v="349"/>
    <d v="2016-05-10T00:00:00"/>
    <x v="1"/>
    <s v="BE-11455"/>
    <s v="Brad Eason"/>
    <x v="2"/>
    <s v="United States"/>
    <x v="75"/>
    <x v="15"/>
    <n v="44052"/>
    <x v="2"/>
    <s v="FUR-FU-10004848"/>
    <x v="0"/>
    <x v="3"/>
    <s v="DAX Solid Wood Frames"/>
    <n v="55"/>
    <n v="7"/>
    <n v="0.2"/>
    <n v="12"/>
    <x v="4"/>
    <s v="May"/>
  </r>
  <r>
    <n v="2393"/>
    <s v="US-2015-127040"/>
    <x v="248"/>
    <d v="2015-12-10T00:00:00"/>
    <x v="1"/>
    <s v="SG-20605"/>
    <s v="Speros Goranitis"/>
    <x v="0"/>
    <s v="United States"/>
    <x v="13"/>
    <x v="7"/>
    <n v="10009"/>
    <x v="2"/>
    <s v="FUR-FU-10002878"/>
    <x v="0"/>
    <x v="3"/>
    <s v="Seth Thomas 14&quot; Day/Date Wall Clock"/>
    <n v="114"/>
    <n v="4"/>
    <n v="0"/>
    <n v="42"/>
    <x v="4"/>
    <s v="Dec"/>
  </r>
  <r>
    <n v="2404"/>
    <s v="US-2016-110170"/>
    <x v="350"/>
    <d v="2016-10-03T00:00:00"/>
    <x v="1"/>
    <s v="HM-14860"/>
    <s v="Harry Marie"/>
    <x v="1"/>
    <s v="United States"/>
    <x v="156"/>
    <x v="5"/>
    <n v="77340"/>
    <x v="3"/>
    <s v="FUR-BO-10000780"/>
    <x v="0"/>
    <x v="0"/>
    <s v="O'Sullivan Plantations 2-Door Library in Landvery Oak"/>
    <n v="957"/>
    <n v="7"/>
    <n v="0.32"/>
    <n v="-225"/>
    <x v="6"/>
    <s v="Sep"/>
  </r>
  <r>
    <n v="2410"/>
    <s v="CA-2017-155985"/>
    <x v="351"/>
    <d v="2017-03-25T00:00:00"/>
    <x v="2"/>
    <s v="BE-11335"/>
    <s v="Bill Eplett"/>
    <x v="2"/>
    <s v="United States"/>
    <x v="28"/>
    <x v="2"/>
    <n v="94122"/>
    <x v="1"/>
    <s v="FUR-FU-10000758"/>
    <x v="0"/>
    <x v="3"/>
    <s v="DAX Natural Wood-Tone Poster Frame"/>
    <n v="212"/>
    <n v="8"/>
    <n v="0"/>
    <n v="76"/>
    <x v="3"/>
    <s v="Mar"/>
  </r>
  <r>
    <n v="2414"/>
    <s v="CA-2014-151295"/>
    <x v="352"/>
    <d v="2014-11-16T00:00:00"/>
    <x v="1"/>
    <s v="JA-15970"/>
    <s v="Joseph Airdo"/>
    <x v="0"/>
    <s v="United States"/>
    <x v="2"/>
    <x v="2"/>
    <n v="90045"/>
    <x v="1"/>
    <s v="FUR-TA-10002356"/>
    <x v="0"/>
    <x v="2"/>
    <s v="Bevis Boat-Shaped Conference Table"/>
    <n v="629"/>
    <n v="3"/>
    <n v="0.2"/>
    <n v="31"/>
    <x v="4"/>
    <s v="Nov"/>
  </r>
  <r>
    <n v="2415"/>
    <s v="CA-2016-156300"/>
    <x v="353"/>
    <d v="2017-01-02T00:00:00"/>
    <x v="1"/>
    <s v="TB-21595"/>
    <s v="Troy Blackwell"/>
    <x v="0"/>
    <s v="United States"/>
    <x v="79"/>
    <x v="16"/>
    <n v="53209"/>
    <x v="3"/>
    <s v="FUR-CH-10001714"/>
    <x v="0"/>
    <x v="1"/>
    <s v="Global Leather &amp; Oak Executive Chair, Burgundy"/>
    <n v="754"/>
    <n v="5"/>
    <n v="0"/>
    <n v="60"/>
    <x v="4"/>
    <s v="Dec"/>
  </r>
  <r>
    <n v="2416"/>
    <s v="CA-2015-146087"/>
    <x v="171"/>
    <d v="2015-07-11T00:00:00"/>
    <x v="1"/>
    <s v="PP-18955"/>
    <s v="Paul Prost"/>
    <x v="2"/>
    <s v="United States"/>
    <x v="157"/>
    <x v="20"/>
    <n v="1040"/>
    <x v="2"/>
    <s v="FUR-BO-10002824"/>
    <x v="0"/>
    <x v="0"/>
    <s v="Bush Mission Pointe Library"/>
    <n v="302"/>
    <n v="2"/>
    <n v="0"/>
    <n v="60"/>
    <x v="2"/>
    <s v="Jul"/>
  </r>
  <r>
    <n v="2426"/>
    <s v="US-2017-147669"/>
    <x v="19"/>
    <d v="2017-12-30T00:00:00"/>
    <x v="1"/>
    <s v="SV-20935"/>
    <s v="Susan Vittorini"/>
    <x v="0"/>
    <s v="United States"/>
    <x v="130"/>
    <x v="15"/>
    <n v="45014"/>
    <x v="2"/>
    <s v="FUR-TA-10002645"/>
    <x v="0"/>
    <x v="2"/>
    <s v="Hon Rectangular Conference Tables"/>
    <n v="273"/>
    <n v="2"/>
    <n v="0.4"/>
    <n v="-105"/>
    <x v="2"/>
    <s v="Dec"/>
  </r>
  <r>
    <n v="2430"/>
    <s v="CA-2016-169922"/>
    <x v="354"/>
    <d v="2016-06-17T00:00:00"/>
    <x v="1"/>
    <s v="MZ-17515"/>
    <s v="Mary Zewe"/>
    <x v="1"/>
    <s v="United States"/>
    <x v="58"/>
    <x v="5"/>
    <n v="76017"/>
    <x v="3"/>
    <s v="FUR-FU-10004415"/>
    <x v="0"/>
    <x v="3"/>
    <s v="Stacking Tray, Side-Loading, Legal, Smoke"/>
    <n v="13"/>
    <n v="7"/>
    <n v="0.6"/>
    <n v="-9"/>
    <x v="6"/>
    <s v="Jun"/>
  </r>
  <r>
    <n v="2432"/>
    <s v="CA-2017-129805"/>
    <x v="158"/>
    <d v="2018-01-02T00:00:00"/>
    <x v="1"/>
    <s v="HM-14860"/>
    <s v="Harry Marie"/>
    <x v="1"/>
    <s v="United States"/>
    <x v="15"/>
    <x v="13"/>
    <n v="98103"/>
    <x v="1"/>
    <s v="FUR-FU-10001935"/>
    <x v="0"/>
    <x v="3"/>
    <s v="3M Hangers With Command Adhesive"/>
    <n v="7"/>
    <n v="2"/>
    <n v="0"/>
    <n v="3"/>
    <x v="2"/>
    <s v="Dec"/>
  </r>
  <r>
    <n v="2433"/>
    <s v="CA-2014-148586"/>
    <x v="355"/>
    <d v="2014-04-01T00:00:00"/>
    <x v="1"/>
    <s v="AZ-10750"/>
    <s v="Annie Zypern"/>
    <x v="0"/>
    <s v="United States"/>
    <x v="13"/>
    <x v="7"/>
    <n v="10009"/>
    <x v="2"/>
    <s v="FUR-CH-10002439"/>
    <x v="0"/>
    <x v="1"/>
    <s v="Iceberg Nesting Folding Chair, 19w x 6d x 43h"/>
    <n v="367"/>
    <n v="7"/>
    <n v="0.1"/>
    <n v="65"/>
    <x v="1"/>
    <s v="Mar"/>
  </r>
  <r>
    <n v="2437"/>
    <s v="CA-2017-140053"/>
    <x v="209"/>
    <d v="2017-07-10T00:00:00"/>
    <x v="1"/>
    <s v="CA-12265"/>
    <s v="Christina Anderson"/>
    <x v="0"/>
    <s v="United States"/>
    <x v="158"/>
    <x v="41"/>
    <n v="87401"/>
    <x v="1"/>
    <s v="FUR-FU-10003708"/>
    <x v="0"/>
    <x v="3"/>
    <s v="Tenex Traditional Chairmats for Medium Pile Carpet, Standard Lip, 36&quot; x 48&quot;"/>
    <n v="546"/>
    <n v="9"/>
    <n v="0"/>
    <n v="115"/>
    <x v="1"/>
    <s v="Jul"/>
  </r>
  <r>
    <n v="2438"/>
    <s v="CA-2014-164210"/>
    <x v="356"/>
    <d v="2014-11-20T00:00:00"/>
    <x v="0"/>
    <s v="PW-19240"/>
    <s v="Pierre Wener"/>
    <x v="0"/>
    <s v="United States"/>
    <x v="74"/>
    <x v="12"/>
    <n v="80027"/>
    <x v="1"/>
    <s v="FUR-TA-10000849"/>
    <x v="0"/>
    <x v="2"/>
    <s v="Bevis Rectangular Conference Tables"/>
    <n v="146"/>
    <n v="2"/>
    <n v="0.5"/>
    <n v="-99"/>
    <x v="3"/>
    <s v="Nov"/>
  </r>
  <r>
    <n v="2440"/>
    <s v="CA-2017-139948"/>
    <x v="357"/>
    <d v="2017-07-22T00:00:00"/>
    <x v="1"/>
    <s v="SW-20455"/>
    <s v="Shaun Weien"/>
    <x v="0"/>
    <s v="United States"/>
    <x v="26"/>
    <x v="1"/>
    <n v="33614"/>
    <x v="0"/>
    <s v="FUR-FU-10002597"/>
    <x v="0"/>
    <x v="3"/>
    <s v="C-Line Magnetic Cubicle Keepers, Clear Polypropylene"/>
    <n v="8"/>
    <n v="2"/>
    <n v="0.2"/>
    <n v="2"/>
    <x v="2"/>
    <s v="Jul"/>
  </r>
  <r>
    <n v="2442"/>
    <s v="CA-2016-146934"/>
    <x v="358"/>
    <d v="2016-05-27T00:00:00"/>
    <x v="1"/>
    <s v="AF-10870"/>
    <s v="Art Ferguson"/>
    <x v="0"/>
    <s v="United States"/>
    <x v="159"/>
    <x v="18"/>
    <n v="7055"/>
    <x v="2"/>
    <s v="FUR-TA-10003748"/>
    <x v="0"/>
    <x v="2"/>
    <s v="Bevis 36 x 72 Conference Tables"/>
    <n v="174"/>
    <n v="2"/>
    <n v="0.3"/>
    <n v="-20"/>
    <x v="2"/>
    <s v="May"/>
  </r>
  <r>
    <n v="2448"/>
    <s v="CA-2016-119165"/>
    <x v="359"/>
    <d v="2016-11-06T00:00:00"/>
    <x v="1"/>
    <s v="BD-11320"/>
    <s v="Bill Donatelli"/>
    <x v="0"/>
    <s v="United States"/>
    <x v="3"/>
    <x v="3"/>
    <n v="19143"/>
    <x v="2"/>
    <s v="FUR-CH-10000988"/>
    <x v="0"/>
    <x v="1"/>
    <s v="Hon Olson Stacker Stools"/>
    <n v="493"/>
    <n v="5"/>
    <n v="0.3"/>
    <n v="-14"/>
    <x v="6"/>
    <s v="Oct"/>
  </r>
  <r>
    <n v="2471"/>
    <s v="US-2016-135923"/>
    <x v="360"/>
    <d v="2016-01-28T00:00:00"/>
    <x v="1"/>
    <s v="CM-11935"/>
    <s v="Carlos Meador"/>
    <x v="0"/>
    <s v="United States"/>
    <x v="160"/>
    <x v="30"/>
    <n v="28314"/>
    <x v="0"/>
    <s v="FUR-FU-10002107"/>
    <x v="0"/>
    <x v="3"/>
    <s v="Eldon Pizzaz Desk Accessories"/>
    <n v="14"/>
    <n v="8"/>
    <n v="0.2"/>
    <n v="4"/>
    <x v="6"/>
    <s v="Jan"/>
  </r>
  <r>
    <n v="2472"/>
    <s v="US-2016-135923"/>
    <x v="360"/>
    <d v="2016-01-28T00:00:00"/>
    <x v="1"/>
    <s v="CM-11935"/>
    <s v="Carlos Meador"/>
    <x v="0"/>
    <s v="United States"/>
    <x v="160"/>
    <x v="30"/>
    <n v="28314"/>
    <x v="0"/>
    <s v="FUR-BO-10002213"/>
    <x v="0"/>
    <x v="0"/>
    <s v="Sauder Forest Hills Library, Woodland Oak Finish"/>
    <n v="451"/>
    <n v="4"/>
    <n v="0.2"/>
    <n v="-68"/>
    <x v="6"/>
    <s v="Jan"/>
  </r>
  <r>
    <n v="2474"/>
    <s v="CA-2016-114972"/>
    <x v="361"/>
    <d v="2016-11-06T00:00:00"/>
    <x v="2"/>
    <s v="PF-19225"/>
    <s v="Phillip Flathmann"/>
    <x v="0"/>
    <s v="United States"/>
    <x v="2"/>
    <x v="2"/>
    <n v="90032"/>
    <x v="1"/>
    <s v="FUR-CH-10001190"/>
    <x v="0"/>
    <x v="1"/>
    <s v="Global Deluxe High-Back Office Chair in Storm"/>
    <n v="218"/>
    <n v="2"/>
    <n v="0.2"/>
    <n v="-30"/>
    <x v="0"/>
    <s v="Nov"/>
  </r>
  <r>
    <n v="2478"/>
    <s v="CA-2017-102750"/>
    <x v="362"/>
    <d v="2017-09-08T00:00:00"/>
    <x v="0"/>
    <s v="GM-14695"/>
    <s v="Greg Maxwell"/>
    <x v="1"/>
    <s v="United States"/>
    <x v="2"/>
    <x v="2"/>
    <n v="90036"/>
    <x v="1"/>
    <s v="FUR-TA-10000198"/>
    <x v="0"/>
    <x v="2"/>
    <s v="Chromcraft Bull-Nose Wood Oval Conference Tables &amp; Bases"/>
    <n v="1322"/>
    <n v="3"/>
    <n v="0.2"/>
    <n v="-99"/>
    <x v="4"/>
    <s v="Sep"/>
  </r>
  <r>
    <n v="2484"/>
    <s v="CA-2017-126067"/>
    <x v="363"/>
    <d v="2017-09-03T00:00:00"/>
    <x v="1"/>
    <s v="KN-16705"/>
    <s v="Kristina Nunn"/>
    <x v="2"/>
    <s v="United States"/>
    <x v="15"/>
    <x v="13"/>
    <n v="98105"/>
    <x v="1"/>
    <s v="FUR-TA-10000617"/>
    <x v="0"/>
    <x v="2"/>
    <s v="Hon Practical Foundations 30 x 60 Training Table, Light Gray/Charcoal"/>
    <n v="1138"/>
    <n v="5"/>
    <n v="0"/>
    <n v="250"/>
    <x v="6"/>
    <s v="Aug"/>
  </r>
  <r>
    <n v="2494"/>
    <s v="CA-2016-146206"/>
    <x v="364"/>
    <d v="2016-09-14T00:00:00"/>
    <x v="0"/>
    <s v="KT-16480"/>
    <s v="Kean Thornton"/>
    <x v="0"/>
    <s v="United States"/>
    <x v="6"/>
    <x v="5"/>
    <n v="77095"/>
    <x v="3"/>
    <s v="FUR-TA-10004086"/>
    <x v="0"/>
    <x v="2"/>
    <s v="KI Adjustable-Height Table"/>
    <n v="301"/>
    <n v="5"/>
    <n v="0.3"/>
    <n v="-34"/>
    <x v="4"/>
    <s v="Sep"/>
  </r>
  <r>
    <n v="2496"/>
    <s v="CA-2014-136644"/>
    <x v="365"/>
    <d v="2014-06-22T00:00:00"/>
    <x v="1"/>
    <s v="SC-20575"/>
    <s v="Sonia Cooley"/>
    <x v="0"/>
    <s v="United States"/>
    <x v="161"/>
    <x v="6"/>
    <n v="46544"/>
    <x v="3"/>
    <s v="FUR-CH-10000225"/>
    <x v="0"/>
    <x v="1"/>
    <s v="Global Geo Office Task Chair, Gray"/>
    <n v="648"/>
    <n v="8"/>
    <n v="0"/>
    <n v="32"/>
    <x v="6"/>
    <s v="Jun"/>
  </r>
  <r>
    <n v="2507"/>
    <s v="CA-2014-143917"/>
    <x v="366"/>
    <d v="2014-07-27T00:00:00"/>
    <x v="0"/>
    <s v="KL-16645"/>
    <s v="Ken Lonsdale"/>
    <x v="0"/>
    <s v="United States"/>
    <x v="28"/>
    <x v="2"/>
    <n v="94122"/>
    <x v="1"/>
    <s v="FUR-FU-10004351"/>
    <x v="0"/>
    <x v="3"/>
    <s v="Staple-based wall hangings"/>
    <n v="78"/>
    <n v="8"/>
    <n v="0"/>
    <n v="34"/>
    <x v="3"/>
    <s v="Jul"/>
  </r>
  <r>
    <n v="2515"/>
    <s v="CA-2016-124506"/>
    <x v="367"/>
    <d v="2016-11-17T00:00:00"/>
    <x v="1"/>
    <s v="BB-11545"/>
    <s v="Brenda Bowman"/>
    <x v="1"/>
    <s v="United States"/>
    <x v="9"/>
    <x v="8"/>
    <n v="60623"/>
    <x v="3"/>
    <s v="FUR-CH-10004540"/>
    <x v="0"/>
    <x v="1"/>
    <s v="Global Chrome Stack Chair"/>
    <n v="48"/>
    <n v="2"/>
    <n v="0.3"/>
    <n v="-2"/>
    <x v="6"/>
    <s v="Nov"/>
  </r>
  <r>
    <n v="2518"/>
    <s v="CA-2017-123134"/>
    <x v="368"/>
    <d v="2017-05-07T00:00:00"/>
    <x v="1"/>
    <s v="DW-13585"/>
    <s v="Dorothy Wardle"/>
    <x v="1"/>
    <s v="United States"/>
    <x v="162"/>
    <x v="18"/>
    <n v="7090"/>
    <x v="2"/>
    <s v="FUR-FU-10003975"/>
    <x v="0"/>
    <x v="3"/>
    <s v="Eldon Advantage Chair Mats for Low to Medium Pile Carpets"/>
    <n v="130"/>
    <n v="3"/>
    <n v="0"/>
    <n v="13"/>
    <x v="2"/>
    <s v="May"/>
  </r>
  <r>
    <n v="2537"/>
    <s v="CA-2015-168746"/>
    <x v="369"/>
    <d v="2015-01-29T00:00:00"/>
    <x v="0"/>
    <s v="SV-20365"/>
    <s v="Seth Vernon"/>
    <x v="0"/>
    <s v="United States"/>
    <x v="59"/>
    <x v="15"/>
    <n v="44105"/>
    <x v="2"/>
    <s v="FUR-CH-10000513"/>
    <x v="0"/>
    <x v="1"/>
    <s v="High-Back Leather Manager's Chair"/>
    <n v="182"/>
    <n v="2"/>
    <n v="0.3"/>
    <n v="-55"/>
    <x v="3"/>
    <s v="Jan"/>
  </r>
  <r>
    <n v="2540"/>
    <s v="CA-2015-113404"/>
    <x v="370"/>
    <d v="2015-07-16T00:00:00"/>
    <x v="3"/>
    <s v="EM-13810"/>
    <s v="Eleni McCrary"/>
    <x v="1"/>
    <s v="United States"/>
    <x v="28"/>
    <x v="2"/>
    <n v="94122"/>
    <x v="1"/>
    <s v="FUR-CH-10003312"/>
    <x v="0"/>
    <x v="1"/>
    <s v="Hon 2090 ÒPillow SoftÓ Series Mid Back Swivel/Tilt Chairs"/>
    <n v="1349"/>
    <n v="6"/>
    <n v="0.2"/>
    <n v="-219"/>
    <x v="7"/>
    <s v="Jul"/>
  </r>
  <r>
    <n v="2541"/>
    <s v="CA-2015-113404"/>
    <x v="370"/>
    <d v="2015-07-16T00:00:00"/>
    <x v="3"/>
    <s v="EM-13810"/>
    <s v="Eleni McCrary"/>
    <x v="1"/>
    <s v="United States"/>
    <x v="28"/>
    <x v="2"/>
    <n v="94122"/>
    <x v="1"/>
    <s v="FUR-CH-10004086"/>
    <x v="0"/>
    <x v="1"/>
    <s v="Hon 4070 Series Pagoda Armless Upholstered Stacking Chairs"/>
    <n v="700"/>
    <n v="3"/>
    <n v="0.2"/>
    <n v="79"/>
    <x v="7"/>
    <s v="Jul"/>
  </r>
  <r>
    <n v="2542"/>
    <s v="CA-2016-144792"/>
    <x v="325"/>
    <d v="2016-05-04T00:00:00"/>
    <x v="1"/>
    <s v="KD-16615"/>
    <s v="Ken Dana"/>
    <x v="1"/>
    <s v="United States"/>
    <x v="163"/>
    <x v="22"/>
    <n v="85254"/>
    <x v="1"/>
    <s v="FUR-FU-10002759"/>
    <x v="0"/>
    <x v="3"/>
    <s v="12-1/2 Diameter Round Wall Clock"/>
    <n v="112"/>
    <n v="7"/>
    <n v="0.2"/>
    <n v="22"/>
    <x v="4"/>
    <s v="Apr"/>
  </r>
  <r>
    <n v="2544"/>
    <s v="US-2016-114174"/>
    <x v="63"/>
    <d v="2016-09-14T00:00:00"/>
    <x v="1"/>
    <s v="AP-10720"/>
    <s v="Anne Pryor"/>
    <x v="2"/>
    <s v="United States"/>
    <x v="164"/>
    <x v="20"/>
    <n v="2148"/>
    <x v="2"/>
    <s v="FUR-BO-10003450"/>
    <x v="0"/>
    <x v="0"/>
    <s v="Bush Westfield Collection Bookcases, Dark Cherry Finish"/>
    <n v="174"/>
    <n v="3"/>
    <n v="0"/>
    <n v="14"/>
    <x v="6"/>
    <s v="Sep"/>
  </r>
  <r>
    <n v="2547"/>
    <s v="CA-2017-108070"/>
    <x v="371"/>
    <d v="2017-04-20T00:00:00"/>
    <x v="1"/>
    <s v="JE-15745"/>
    <s v="Joel Eaton"/>
    <x v="0"/>
    <s v="United States"/>
    <x v="124"/>
    <x v="2"/>
    <n v="95123"/>
    <x v="1"/>
    <s v="FUR-BO-10001337"/>
    <x v="0"/>
    <x v="0"/>
    <s v="O'Sullivan Living Dimensions 2-Shelf Bookcases"/>
    <n v="103"/>
    <n v="1"/>
    <n v="0.15"/>
    <n v="-6"/>
    <x v="4"/>
    <s v="Apr"/>
  </r>
  <r>
    <n v="2552"/>
    <s v="CA-2017-101042"/>
    <x v="49"/>
    <d v="2017-11-23T00:00:00"/>
    <x v="1"/>
    <s v="AB-10105"/>
    <s v="Adrian Barton"/>
    <x v="0"/>
    <s v="United States"/>
    <x v="0"/>
    <x v="0"/>
    <n v="42420"/>
    <x v="0"/>
    <s v="FUR-FU-10004665"/>
    <x v="0"/>
    <x v="3"/>
    <s v="3M Polarizing Task Lamp with Clamp Arm, Light Gray"/>
    <n v="822"/>
    <n v="6"/>
    <n v="0"/>
    <n v="214"/>
    <x v="4"/>
    <s v="Nov"/>
  </r>
  <r>
    <n v="2557"/>
    <s v="US-2016-126844"/>
    <x v="372"/>
    <d v="2016-10-14T00:00:00"/>
    <x v="1"/>
    <s v="BW-11110"/>
    <s v="Bart Watters"/>
    <x v="1"/>
    <s v="United States"/>
    <x v="6"/>
    <x v="5"/>
    <n v="77070"/>
    <x v="3"/>
    <s v="FUR-FU-10004909"/>
    <x v="0"/>
    <x v="3"/>
    <s v="Contemporary Wood/Metal Frame"/>
    <n v="52"/>
    <n v="8"/>
    <n v="0.6"/>
    <n v="-32"/>
    <x v="6"/>
    <s v="Oct"/>
  </r>
  <r>
    <n v="2559"/>
    <s v="CA-2015-147788"/>
    <x v="151"/>
    <d v="2015-06-04T00:00:00"/>
    <x v="1"/>
    <s v="TM-21010"/>
    <s v="Tamara Manning"/>
    <x v="0"/>
    <s v="United States"/>
    <x v="4"/>
    <x v="4"/>
    <n v="84057"/>
    <x v="1"/>
    <s v="FUR-BO-10004357"/>
    <x v="0"/>
    <x v="0"/>
    <s v="O'Sullivan Living Dimensions 3-Shelf Bookcases"/>
    <n v="1407"/>
    <n v="7"/>
    <n v="0"/>
    <n v="141"/>
    <x v="4"/>
    <s v="May"/>
  </r>
  <r>
    <n v="2568"/>
    <s v="CA-2017-123967"/>
    <x v="373"/>
    <d v="2017-11-03T00:00:00"/>
    <x v="0"/>
    <s v="SF-20200"/>
    <s v="Sarah Foster"/>
    <x v="0"/>
    <s v="United States"/>
    <x v="165"/>
    <x v="13"/>
    <n v="98226"/>
    <x v="1"/>
    <s v="FUR-TA-10003954"/>
    <x v="0"/>
    <x v="2"/>
    <s v="Hon 94000 Series Round Tables"/>
    <n v="2666"/>
    <n v="9"/>
    <n v="0"/>
    <n v="240"/>
    <x v="3"/>
    <s v="Nov"/>
  </r>
  <r>
    <n v="2574"/>
    <s v="CA-2017-145128"/>
    <x v="374"/>
    <d v="2017-07-14T00:00:00"/>
    <x v="1"/>
    <s v="SM-20320"/>
    <s v="Sean Miller"/>
    <x v="2"/>
    <s v="United States"/>
    <x v="120"/>
    <x v="6"/>
    <n v="47905"/>
    <x v="3"/>
    <s v="FUR-FU-10000293"/>
    <x v="0"/>
    <x v="3"/>
    <s v="Eldon Antistatic Chair Mats for Low to Medium Pile Carpets"/>
    <n v="526"/>
    <n v="5"/>
    <n v="0"/>
    <n v="32"/>
    <x v="2"/>
    <s v="Jul"/>
  </r>
  <r>
    <n v="2579"/>
    <s v="US-2014-155502"/>
    <x v="375"/>
    <d v="2014-01-31T00:00:00"/>
    <x v="1"/>
    <s v="SD-20485"/>
    <s v="Shirley Daniels"/>
    <x v="2"/>
    <s v="United States"/>
    <x v="166"/>
    <x v="25"/>
    <n v="22304"/>
    <x v="0"/>
    <s v="FUR-FU-10004587"/>
    <x v="0"/>
    <x v="3"/>
    <s v="GE General Use Halogen Bulbs, 100 Watts, 1 Bulb per Pack"/>
    <n v="63"/>
    <n v="3"/>
    <n v="0"/>
    <n v="31"/>
    <x v="2"/>
    <s v="Jan"/>
  </r>
  <r>
    <n v="2584"/>
    <s v="US-2014-155502"/>
    <x v="375"/>
    <d v="2014-01-31T00:00:00"/>
    <x v="1"/>
    <s v="SD-20485"/>
    <s v="Shirley Daniels"/>
    <x v="2"/>
    <s v="United States"/>
    <x v="166"/>
    <x v="25"/>
    <n v="22304"/>
    <x v="0"/>
    <s v="FUR-FU-10001847"/>
    <x v="0"/>
    <x v="3"/>
    <s v="Eldon Image Series Black Desk Accessories"/>
    <n v="12"/>
    <n v="3"/>
    <n v="0"/>
    <n v="4"/>
    <x v="2"/>
    <s v="Jan"/>
  </r>
  <r>
    <n v="2588"/>
    <s v="CA-2017-131695"/>
    <x v="254"/>
    <d v="2017-07-06T00:00:00"/>
    <x v="1"/>
    <s v="RA-19285"/>
    <s v="Ralph Arnett"/>
    <x v="0"/>
    <s v="United States"/>
    <x v="13"/>
    <x v="7"/>
    <n v="10024"/>
    <x v="2"/>
    <s v="FUR-FU-10002045"/>
    <x v="0"/>
    <x v="3"/>
    <s v="Executive Impressions 14&quot;"/>
    <n v="22"/>
    <n v="1"/>
    <n v="0"/>
    <n v="10"/>
    <x v="6"/>
    <s v="Jun"/>
  </r>
  <r>
    <n v="2591"/>
    <s v="US-2016-115455"/>
    <x v="63"/>
    <d v="2016-09-14T00:00:00"/>
    <x v="1"/>
    <s v="SE-20110"/>
    <s v="Sanjit Engle"/>
    <x v="0"/>
    <s v="United States"/>
    <x v="167"/>
    <x v="8"/>
    <n v="60090"/>
    <x v="3"/>
    <s v="FUR-FU-10004671"/>
    <x v="0"/>
    <x v="3"/>
    <s v="Executive Impressions 12&quot; Wall Clock"/>
    <n v="14"/>
    <n v="2"/>
    <n v="0.6"/>
    <n v="-8"/>
    <x v="6"/>
    <s v="Sep"/>
  </r>
  <r>
    <n v="2592"/>
    <s v="US-2016-115455"/>
    <x v="63"/>
    <d v="2016-09-14T00:00:00"/>
    <x v="1"/>
    <s v="SE-20110"/>
    <s v="Sanjit Engle"/>
    <x v="0"/>
    <s v="United States"/>
    <x v="167"/>
    <x v="8"/>
    <n v="60090"/>
    <x v="3"/>
    <s v="FUR-TA-10003569"/>
    <x v="0"/>
    <x v="2"/>
    <s v="Bretford CR8500 Series Meeting Room Furniture"/>
    <n v="601"/>
    <n v="3"/>
    <n v="0.5"/>
    <n v="-301"/>
    <x v="6"/>
    <s v="Sep"/>
  </r>
  <r>
    <n v="2604"/>
    <s v="CA-2016-165848"/>
    <x v="41"/>
    <d v="2016-06-04T00:00:00"/>
    <x v="3"/>
    <s v="EN-13780"/>
    <s v="Edward Nazzal"/>
    <x v="0"/>
    <s v="United States"/>
    <x v="13"/>
    <x v="7"/>
    <n v="10035"/>
    <x v="2"/>
    <s v="FUR-BO-10000362"/>
    <x v="0"/>
    <x v="0"/>
    <s v="Sauder Inglewood Library Bookcases"/>
    <n v="137"/>
    <n v="1"/>
    <n v="0.2"/>
    <n v="5"/>
    <x v="7"/>
    <s v="Jun"/>
  </r>
  <r>
    <n v="2605"/>
    <s v="CA-2016-165848"/>
    <x v="41"/>
    <d v="2016-06-04T00:00:00"/>
    <x v="3"/>
    <s v="EN-13780"/>
    <s v="Edward Nazzal"/>
    <x v="0"/>
    <s v="United States"/>
    <x v="13"/>
    <x v="7"/>
    <n v="10035"/>
    <x v="2"/>
    <s v="FUR-FU-10003878"/>
    <x v="0"/>
    <x v="3"/>
    <s v="Linden 10&quot; Round Wall Clock, Black"/>
    <n v="61"/>
    <n v="4"/>
    <n v="0"/>
    <n v="21"/>
    <x v="7"/>
    <s v="Jun"/>
  </r>
  <r>
    <n v="2610"/>
    <s v="CA-2014-127446"/>
    <x v="306"/>
    <d v="2014-11-30T00:00:00"/>
    <x v="1"/>
    <s v="MC-17590"/>
    <s v="Matt Collister"/>
    <x v="1"/>
    <s v="United States"/>
    <x v="58"/>
    <x v="5"/>
    <n v="76017"/>
    <x v="3"/>
    <s v="FUR-TA-10000577"/>
    <x v="0"/>
    <x v="2"/>
    <s v="Bretford CR4500 Series Slim Rectangular Table"/>
    <n v="1219"/>
    <n v="5"/>
    <n v="0.3"/>
    <n v="-122"/>
    <x v="2"/>
    <s v="Nov"/>
  </r>
  <r>
    <n v="2613"/>
    <s v="CA-2014-127446"/>
    <x v="306"/>
    <d v="2014-11-30T00:00:00"/>
    <x v="1"/>
    <s v="MC-17590"/>
    <s v="Matt Collister"/>
    <x v="1"/>
    <s v="United States"/>
    <x v="58"/>
    <x v="5"/>
    <n v="76017"/>
    <x v="3"/>
    <s v="FUR-FU-10000221"/>
    <x v="0"/>
    <x v="3"/>
    <s v="Master Caster Door Stop, Brown"/>
    <n v="6"/>
    <n v="3"/>
    <n v="0.6"/>
    <n v="-4"/>
    <x v="2"/>
    <s v="Nov"/>
  </r>
  <r>
    <n v="2614"/>
    <s v="CA-2016-137204"/>
    <x v="376"/>
    <d v="2016-05-05T00:00:00"/>
    <x v="1"/>
    <s v="BO-11350"/>
    <s v="Bill Overfelt"/>
    <x v="1"/>
    <s v="United States"/>
    <x v="2"/>
    <x v="2"/>
    <n v="90045"/>
    <x v="1"/>
    <s v="FUR-CH-10002304"/>
    <x v="0"/>
    <x v="1"/>
    <s v="Global Stack Chair without Arms, Black"/>
    <n v="42"/>
    <n v="2"/>
    <n v="0.2"/>
    <n v="3"/>
    <x v="1"/>
    <s v="Apr"/>
  </r>
  <r>
    <n v="2615"/>
    <s v="CA-2014-147298"/>
    <x v="377"/>
    <d v="2014-05-03T00:00:00"/>
    <x v="1"/>
    <s v="AG-10300"/>
    <s v="Aleksandra Gannaway"/>
    <x v="1"/>
    <s v="United States"/>
    <x v="2"/>
    <x v="2"/>
    <n v="90049"/>
    <x v="1"/>
    <s v="FUR-CH-10004886"/>
    <x v="0"/>
    <x v="1"/>
    <s v="Bevis Steel Folding Chairs"/>
    <n v="230"/>
    <n v="3"/>
    <n v="0.2"/>
    <n v="23"/>
    <x v="1"/>
    <s v="Apr"/>
  </r>
  <r>
    <n v="2632"/>
    <s v="US-2017-110604"/>
    <x v="378"/>
    <d v="2017-05-20T00:00:00"/>
    <x v="1"/>
    <s v="JF-15295"/>
    <s v="Jason Fortune-"/>
    <x v="0"/>
    <s v="United States"/>
    <x v="15"/>
    <x v="13"/>
    <n v="98103"/>
    <x v="1"/>
    <s v="FUR-FU-10000076"/>
    <x v="0"/>
    <x v="3"/>
    <s v="24-Hour Round Wall Clock"/>
    <n v="40"/>
    <n v="2"/>
    <n v="0"/>
    <n v="17"/>
    <x v="2"/>
    <s v="May"/>
  </r>
  <r>
    <n v="2633"/>
    <s v="US-2017-110604"/>
    <x v="378"/>
    <d v="2017-05-20T00:00:00"/>
    <x v="1"/>
    <s v="JF-15295"/>
    <s v="Jason Fortune-"/>
    <x v="0"/>
    <s v="United States"/>
    <x v="15"/>
    <x v="13"/>
    <n v="98103"/>
    <x v="1"/>
    <s v="FUR-CH-10002017"/>
    <x v="0"/>
    <x v="1"/>
    <s v="SAFCO Optional Arm Kit for Workspace Cribbage Stacking Chair"/>
    <n v="43"/>
    <n v="2"/>
    <n v="0.2"/>
    <n v="4"/>
    <x v="2"/>
    <s v="May"/>
  </r>
  <r>
    <n v="2634"/>
    <s v="US-2017-110604"/>
    <x v="378"/>
    <d v="2017-05-20T00:00:00"/>
    <x v="1"/>
    <s v="JF-15295"/>
    <s v="Jason Fortune-"/>
    <x v="0"/>
    <s v="United States"/>
    <x v="15"/>
    <x v="13"/>
    <n v="98103"/>
    <x v="1"/>
    <s v="FUR-CH-10004287"/>
    <x v="0"/>
    <x v="1"/>
    <s v="SAFCO Arco Folding Chair"/>
    <n v="221"/>
    <n v="1"/>
    <n v="0.2"/>
    <n v="25"/>
    <x v="2"/>
    <s v="May"/>
  </r>
  <r>
    <n v="2635"/>
    <s v="CA-2015-116750"/>
    <x v="379"/>
    <d v="2015-07-10T00:00:00"/>
    <x v="0"/>
    <s v="BF-10975"/>
    <s v="Barbara Fisher"/>
    <x v="1"/>
    <s v="United States"/>
    <x v="160"/>
    <x v="30"/>
    <n v="28314"/>
    <x v="0"/>
    <s v="FUR-FU-10003829"/>
    <x v="0"/>
    <x v="3"/>
    <s v="Stackable Trays"/>
    <n v="5"/>
    <n v="2"/>
    <n v="0.2"/>
    <n v="1"/>
    <x v="2"/>
    <s v="Jul"/>
  </r>
  <r>
    <n v="2641"/>
    <s v="CA-2017-108441"/>
    <x v="235"/>
    <d v="2017-06-18T00:00:00"/>
    <x v="1"/>
    <s v="SB-20170"/>
    <s v="Sarah Bern"/>
    <x v="0"/>
    <s v="United States"/>
    <x v="13"/>
    <x v="7"/>
    <n v="10035"/>
    <x v="2"/>
    <s v="FUR-CH-10000595"/>
    <x v="0"/>
    <x v="1"/>
    <s v="Safco Contoured Stacking Chairs"/>
    <n v="858"/>
    <n v="4"/>
    <n v="0.1"/>
    <n v="143"/>
    <x v="6"/>
    <s v="Jun"/>
  </r>
  <r>
    <n v="2645"/>
    <s v="CA-2016-149111"/>
    <x v="380"/>
    <d v="2016-04-21T00:00:00"/>
    <x v="0"/>
    <s v="BF-11170"/>
    <s v="Ben Ferrer"/>
    <x v="2"/>
    <s v="United States"/>
    <x v="168"/>
    <x v="30"/>
    <n v="27604"/>
    <x v="0"/>
    <s v="FUR-FU-10000206"/>
    <x v="0"/>
    <x v="3"/>
    <s v="GE General Purpose, Extra Long Life, Showcase &amp; Floodlight Incandescent Bulbs"/>
    <n v="19"/>
    <n v="8"/>
    <n v="0.2"/>
    <n v="6"/>
    <x v="4"/>
    <s v="Apr"/>
  </r>
  <r>
    <n v="2646"/>
    <s v="CA-2014-131002"/>
    <x v="266"/>
    <d v="2014-09-12T00:00:00"/>
    <x v="0"/>
    <s v="TB-21400"/>
    <s v="Tom Boeckenhauer"/>
    <x v="0"/>
    <s v="United States"/>
    <x v="169"/>
    <x v="37"/>
    <n v="74133"/>
    <x v="3"/>
    <s v="FUR-FU-10004270"/>
    <x v="0"/>
    <x v="3"/>
    <s v="Executive Impressions 13&quot; Clairmont Wall Clock"/>
    <n v="58"/>
    <n v="3"/>
    <n v="0"/>
    <n v="24"/>
    <x v="2"/>
    <s v="Sep"/>
  </r>
  <r>
    <n v="2649"/>
    <s v="CA-2014-131002"/>
    <x v="266"/>
    <d v="2014-09-12T00:00:00"/>
    <x v="0"/>
    <s v="TB-21400"/>
    <s v="Tom Boeckenhauer"/>
    <x v="0"/>
    <s v="United States"/>
    <x v="169"/>
    <x v="37"/>
    <n v="74133"/>
    <x v="3"/>
    <s v="FUR-FU-10004665"/>
    <x v="0"/>
    <x v="3"/>
    <s v="3M Polarizing Task Lamp with Clamp Arm, Light Gray"/>
    <n v="822"/>
    <n v="6"/>
    <n v="0"/>
    <n v="214"/>
    <x v="2"/>
    <s v="Sep"/>
  </r>
  <r>
    <n v="2651"/>
    <s v="US-2016-146794"/>
    <x v="73"/>
    <d v="2016-10-01T00:00:00"/>
    <x v="1"/>
    <s v="SH-19975"/>
    <s v="Sally Hughsby"/>
    <x v="1"/>
    <s v="United States"/>
    <x v="170"/>
    <x v="2"/>
    <n v="92345"/>
    <x v="1"/>
    <s v="FUR-BO-10004467"/>
    <x v="0"/>
    <x v="0"/>
    <s v="Bestar Classic Bookcase"/>
    <n v="425"/>
    <n v="5"/>
    <n v="0.15"/>
    <n v="20"/>
    <x v="2"/>
    <s v="Sep"/>
  </r>
  <r>
    <n v="2655"/>
    <s v="CA-2017-112515"/>
    <x v="342"/>
    <d v="2017-09-21T00:00:00"/>
    <x v="0"/>
    <s v="AS-10225"/>
    <s v="Alan Schoenberger"/>
    <x v="1"/>
    <s v="United States"/>
    <x v="106"/>
    <x v="4"/>
    <n v="84604"/>
    <x v="1"/>
    <s v="FUR-BO-10003404"/>
    <x v="0"/>
    <x v="0"/>
    <s v="Global Adaptabilites Bookcase, Cherry/Storm Gray Finish"/>
    <n v="1293"/>
    <n v="3"/>
    <n v="0"/>
    <n v="78"/>
    <x v="4"/>
    <s v="Sep"/>
  </r>
  <r>
    <n v="2660"/>
    <s v="CA-2015-135538"/>
    <x v="37"/>
    <d v="2015-12-28T00:00:00"/>
    <x v="1"/>
    <s v="HR-14830"/>
    <s v="Harold Ryan"/>
    <x v="1"/>
    <s v="United States"/>
    <x v="171"/>
    <x v="22"/>
    <n v="85234"/>
    <x v="1"/>
    <s v="FUR-CH-10004287"/>
    <x v="0"/>
    <x v="1"/>
    <s v="SAFCO Arco Folding Chair"/>
    <n v="884"/>
    <n v="4"/>
    <n v="0.2"/>
    <n v="99"/>
    <x v="4"/>
    <s v="Dec"/>
  </r>
  <r>
    <n v="2665"/>
    <s v="CA-2016-164784"/>
    <x v="381"/>
    <d v="2016-05-04T00:00:00"/>
    <x v="2"/>
    <s v="HF-14995"/>
    <s v="Herbert Flentye"/>
    <x v="0"/>
    <s v="United States"/>
    <x v="10"/>
    <x v="9"/>
    <n v="38109"/>
    <x v="0"/>
    <s v="FUR-TA-10004534"/>
    <x v="0"/>
    <x v="2"/>
    <s v="Bevis 44 x 96 Conference Tables"/>
    <n v="371"/>
    <n v="3"/>
    <n v="0.4"/>
    <n v="-142"/>
    <x v="0"/>
    <s v="May"/>
  </r>
  <r>
    <n v="2669"/>
    <s v="US-2015-139759"/>
    <x v="382"/>
    <d v="2015-08-30T00:00:00"/>
    <x v="1"/>
    <s v="NL-18310"/>
    <s v="Nancy Lomonaco"/>
    <x v="2"/>
    <s v="United States"/>
    <x v="2"/>
    <x v="2"/>
    <n v="90045"/>
    <x v="1"/>
    <s v="FUR-CH-10002774"/>
    <x v="0"/>
    <x v="1"/>
    <s v="Global Deluxe Stacking Chair, Gray"/>
    <n v="41"/>
    <n v="1"/>
    <n v="0.2"/>
    <n v="5"/>
    <x v="2"/>
    <s v="Aug"/>
  </r>
  <r>
    <n v="2672"/>
    <s v="CA-2014-126403"/>
    <x v="383"/>
    <d v="2014-09-12T00:00:00"/>
    <x v="0"/>
    <s v="RR-19525"/>
    <s v="Rick Reed"/>
    <x v="1"/>
    <s v="United States"/>
    <x v="172"/>
    <x v="20"/>
    <n v="1852"/>
    <x v="2"/>
    <s v="FUR-CH-10003761"/>
    <x v="0"/>
    <x v="1"/>
    <s v="Global Italian Leather Office Chair"/>
    <n v="786"/>
    <n v="6"/>
    <n v="0"/>
    <n v="212"/>
    <x v="0"/>
    <s v="Sep"/>
  </r>
  <r>
    <n v="2694"/>
    <s v="CA-2016-138079"/>
    <x v="360"/>
    <d v="2016-01-28T00:00:00"/>
    <x v="1"/>
    <s v="AJ-10795"/>
    <s v="Anthony Johnson"/>
    <x v="1"/>
    <s v="United States"/>
    <x v="15"/>
    <x v="13"/>
    <n v="98115"/>
    <x v="1"/>
    <s v="FUR-FU-10001475"/>
    <x v="0"/>
    <x v="3"/>
    <s v="Contract Clock, 14&quot;, Brown"/>
    <n v="110"/>
    <n v="5"/>
    <n v="0"/>
    <n v="37"/>
    <x v="6"/>
    <s v="Jan"/>
  </r>
  <r>
    <n v="2695"/>
    <s v="CA-2014-143182"/>
    <x v="384"/>
    <d v="2014-10-20T00:00:00"/>
    <x v="1"/>
    <s v="DL-12865"/>
    <s v="Dan Lawera"/>
    <x v="0"/>
    <s v="United States"/>
    <x v="173"/>
    <x v="1"/>
    <n v="33012"/>
    <x v="0"/>
    <s v="FUR-FU-10004270"/>
    <x v="0"/>
    <x v="3"/>
    <s v="Executive Impressions 13&quot; Clairmont Wall Clock"/>
    <n v="15"/>
    <n v="1"/>
    <n v="0.2"/>
    <n v="4"/>
    <x v="2"/>
    <s v="Oct"/>
  </r>
  <r>
    <n v="2701"/>
    <s v="CA-2014-145317"/>
    <x v="385"/>
    <d v="2014-03-23T00:00:00"/>
    <x v="1"/>
    <s v="SM-20320"/>
    <s v="Sean Miller"/>
    <x v="2"/>
    <s v="United States"/>
    <x v="51"/>
    <x v="1"/>
    <n v="32216"/>
    <x v="0"/>
    <s v="FUR-FU-10004270"/>
    <x v="0"/>
    <x v="3"/>
    <s v="Executive Impressions 13&quot; Clairmont Wall Clock"/>
    <n v="31"/>
    <n v="2"/>
    <n v="0.2"/>
    <n v="8"/>
    <x v="2"/>
    <s v="Mar"/>
  </r>
  <r>
    <n v="2703"/>
    <s v="CA-2014-145317"/>
    <x v="385"/>
    <d v="2014-03-23T00:00:00"/>
    <x v="1"/>
    <s v="SM-20320"/>
    <s v="Sean Miller"/>
    <x v="2"/>
    <s v="United States"/>
    <x v="51"/>
    <x v="1"/>
    <n v="32216"/>
    <x v="0"/>
    <s v="FUR-FU-10001986"/>
    <x v="0"/>
    <x v="3"/>
    <s v="Dana Fluorescent Magnifying Lamp, White, 36&quot;"/>
    <n v="122"/>
    <n v="3"/>
    <n v="0.2"/>
    <n v="15"/>
    <x v="2"/>
    <s v="Mar"/>
  </r>
  <r>
    <n v="2709"/>
    <s v="CA-2015-121797"/>
    <x v="386"/>
    <d v="2015-02-06T00:00:00"/>
    <x v="1"/>
    <s v="CC-12145"/>
    <s v="Charles Crestani"/>
    <x v="0"/>
    <s v="United States"/>
    <x v="2"/>
    <x v="2"/>
    <n v="90049"/>
    <x v="1"/>
    <s v="FUR-FU-10001876"/>
    <x v="0"/>
    <x v="3"/>
    <s v="Computer Room Manger, 14&quot;"/>
    <n v="227"/>
    <n v="7"/>
    <n v="0"/>
    <n v="82"/>
    <x v="1"/>
    <s v="Jan"/>
  </r>
  <r>
    <n v="2712"/>
    <s v="CA-2017-132430"/>
    <x v="224"/>
    <d v="2017-10-11T00:00:00"/>
    <x v="2"/>
    <s v="CP-12085"/>
    <s v="Cathy Prescott"/>
    <x v="1"/>
    <s v="United States"/>
    <x v="174"/>
    <x v="15"/>
    <n v="44107"/>
    <x v="2"/>
    <s v="FUR-FU-10003577"/>
    <x v="0"/>
    <x v="3"/>
    <s v="Nu-Dell Leatherette Frames"/>
    <n v="46"/>
    <n v="4"/>
    <n v="0.2"/>
    <n v="9"/>
    <x v="3"/>
    <s v="Oct"/>
  </r>
  <r>
    <n v="2720"/>
    <s v="CA-2014-110030"/>
    <x v="387"/>
    <d v="2014-12-08T00:00:00"/>
    <x v="0"/>
    <s v="LF-17185"/>
    <s v="Luke Foster"/>
    <x v="0"/>
    <s v="United States"/>
    <x v="6"/>
    <x v="5"/>
    <n v="77095"/>
    <x v="3"/>
    <s v="FUR-FU-10002759"/>
    <x v="0"/>
    <x v="3"/>
    <s v="12-1/2 Diameter Round Wall Clock"/>
    <n v="24"/>
    <n v="3"/>
    <n v="0.6"/>
    <n v="-14"/>
    <x v="3"/>
    <s v="Dec"/>
  </r>
  <r>
    <n v="2727"/>
    <s v="CA-2017-149888"/>
    <x v="388"/>
    <d v="2017-11-13T00:00:00"/>
    <x v="1"/>
    <s v="EP-13915"/>
    <s v="Emily Phan"/>
    <x v="0"/>
    <s v="United States"/>
    <x v="3"/>
    <x v="3"/>
    <n v="19120"/>
    <x v="2"/>
    <s v="FUR-TA-10000849"/>
    <x v="0"/>
    <x v="2"/>
    <s v="Bevis Rectangular Conference Tables"/>
    <n v="350"/>
    <n v="4"/>
    <n v="0.4"/>
    <n v="-140"/>
    <x v="6"/>
    <s v="Nov"/>
  </r>
  <r>
    <n v="2732"/>
    <s v="CA-2017-104801"/>
    <x v="389"/>
    <d v="2017-02-19T00:00:00"/>
    <x v="1"/>
    <s v="FH-14350"/>
    <s v="Fred Harton"/>
    <x v="0"/>
    <s v="United States"/>
    <x v="15"/>
    <x v="13"/>
    <n v="98105"/>
    <x v="1"/>
    <s v="FUR-FU-10004017"/>
    <x v="0"/>
    <x v="3"/>
    <s v="Tenex Contemporary Contur Chairmats for Low and Medium Pile Carpet, Computer, 39&quot; x 49&quot;"/>
    <n v="108"/>
    <n v="1"/>
    <n v="0"/>
    <n v="22"/>
    <x v="6"/>
    <s v="Feb"/>
  </r>
  <r>
    <n v="2738"/>
    <s v="CA-2015-115798"/>
    <x v="18"/>
    <d v="2015-11-19T00:00:00"/>
    <x v="1"/>
    <s v="KL-16645"/>
    <s v="Ken Lonsdale"/>
    <x v="0"/>
    <s v="United States"/>
    <x v="19"/>
    <x v="14"/>
    <n v="19711"/>
    <x v="2"/>
    <s v="FUR-BO-10004467"/>
    <x v="0"/>
    <x v="0"/>
    <s v="Bestar Classic Bookcase"/>
    <n v="300"/>
    <n v="3"/>
    <n v="0"/>
    <n v="57"/>
    <x v="6"/>
    <s v="Nov"/>
  </r>
  <r>
    <n v="2743"/>
    <s v="CA-2014-149244"/>
    <x v="53"/>
    <d v="2014-11-08T00:00:00"/>
    <x v="1"/>
    <s v="MS-17530"/>
    <s v="MaryBeth Skach"/>
    <x v="0"/>
    <s v="United States"/>
    <x v="53"/>
    <x v="2"/>
    <n v="92037"/>
    <x v="1"/>
    <s v="FUR-FU-10004671"/>
    <x v="0"/>
    <x v="3"/>
    <s v="Executive Impressions 12&quot; Wall Clock"/>
    <n v="35"/>
    <n v="2"/>
    <n v="0"/>
    <n v="13"/>
    <x v="4"/>
    <s v="Nov"/>
  </r>
  <r>
    <n v="2744"/>
    <s v="CA-2015-140144"/>
    <x v="390"/>
    <d v="2015-06-25T00:00:00"/>
    <x v="0"/>
    <s v="SC-20770"/>
    <s v="Stewart Carmichael"/>
    <x v="1"/>
    <s v="United States"/>
    <x v="28"/>
    <x v="2"/>
    <n v="94122"/>
    <x v="1"/>
    <s v="FUR-FU-10002253"/>
    <x v="0"/>
    <x v="3"/>
    <s v="Howard Miller 13&quot; Diameter Pewter Finish Round Wall Clock"/>
    <n v="258"/>
    <n v="6"/>
    <n v="0"/>
    <n v="100"/>
    <x v="2"/>
    <s v="Jun"/>
  </r>
  <r>
    <n v="2747"/>
    <s v="CA-2014-155887"/>
    <x v="264"/>
    <d v="2014-05-17T00:00:00"/>
    <x v="1"/>
    <s v="KT-16480"/>
    <s v="Kean Thornton"/>
    <x v="0"/>
    <s v="United States"/>
    <x v="20"/>
    <x v="20"/>
    <n v="2038"/>
    <x v="2"/>
    <s v="FUR-TA-10002228"/>
    <x v="0"/>
    <x v="2"/>
    <s v="Bevis Traditional Conference Table Top, Plinth Base"/>
    <n v="700"/>
    <n v="3"/>
    <n v="0.3"/>
    <n v="-130"/>
    <x v="2"/>
    <s v="May"/>
  </r>
  <r>
    <n v="2750"/>
    <s v="US-2014-141257"/>
    <x v="391"/>
    <d v="2014-06-14T00:00:00"/>
    <x v="1"/>
    <s v="CS-11950"/>
    <s v="Carlos Soltero"/>
    <x v="0"/>
    <s v="United States"/>
    <x v="15"/>
    <x v="13"/>
    <n v="98115"/>
    <x v="1"/>
    <s v="FUR-CH-10002758"/>
    <x v="0"/>
    <x v="1"/>
    <s v="Hon Deluxe Fabric Upholstered Stacking Chairs, Squared Back"/>
    <n v="586"/>
    <n v="3"/>
    <n v="0.2"/>
    <n v="73"/>
    <x v="6"/>
    <s v="Jun"/>
  </r>
  <r>
    <n v="2752"/>
    <s v="CA-2014-158029"/>
    <x v="261"/>
    <d v="2014-05-30T00:00:00"/>
    <x v="1"/>
    <s v="HF-14995"/>
    <s v="Herbert Flentye"/>
    <x v="0"/>
    <s v="United States"/>
    <x v="2"/>
    <x v="2"/>
    <n v="90008"/>
    <x v="1"/>
    <s v="FUR-CH-10000988"/>
    <x v="0"/>
    <x v="1"/>
    <s v="Hon Olson Stacker Stools"/>
    <n v="225"/>
    <n v="2"/>
    <n v="0.2"/>
    <n v="23"/>
    <x v="4"/>
    <s v="May"/>
  </r>
  <r>
    <n v="2759"/>
    <s v="CA-2016-146171"/>
    <x v="237"/>
    <d v="2016-03-15T00:00:00"/>
    <x v="1"/>
    <s v="JP-16135"/>
    <s v="Julie Prescott"/>
    <x v="2"/>
    <s v="United States"/>
    <x v="29"/>
    <x v="24"/>
    <n v="31907"/>
    <x v="0"/>
    <s v="FUR-FU-10004270"/>
    <x v="0"/>
    <x v="3"/>
    <s v="Executive Impressions 13&quot; Clairmont Wall Clock"/>
    <n v="77"/>
    <n v="4"/>
    <n v="0"/>
    <n v="32"/>
    <x v="4"/>
    <s v="Mar"/>
  </r>
  <r>
    <n v="2773"/>
    <s v="CA-2017-158967"/>
    <x v="247"/>
    <d v="2017-12-12T00:00:00"/>
    <x v="2"/>
    <s v="BT-11680"/>
    <s v="Brian Thompson"/>
    <x v="0"/>
    <s v="United States"/>
    <x v="1"/>
    <x v="1"/>
    <n v="33311"/>
    <x v="0"/>
    <s v="FUR-FU-10001940"/>
    <x v="0"/>
    <x v="3"/>
    <s v="Staple-based wall hangings"/>
    <n v="19"/>
    <n v="3"/>
    <n v="0.2"/>
    <n v="6"/>
    <x v="3"/>
    <s v="Dec"/>
  </r>
  <r>
    <n v="2778"/>
    <s v="CA-2015-138534"/>
    <x v="392"/>
    <d v="2015-07-19T00:00:00"/>
    <x v="0"/>
    <s v="JM-15535"/>
    <s v="Jessica Myrick"/>
    <x v="0"/>
    <s v="United States"/>
    <x v="175"/>
    <x v="2"/>
    <n v="93309"/>
    <x v="1"/>
    <s v="FUR-BO-10003159"/>
    <x v="0"/>
    <x v="0"/>
    <s v="Sauder Camden County Collection Libraries, Planked Cherry Finish"/>
    <n v="195"/>
    <n v="2"/>
    <n v="0.15"/>
    <n v="-14"/>
    <x v="3"/>
    <s v="Jul"/>
  </r>
  <r>
    <n v="2779"/>
    <s v="CA-2017-108322"/>
    <x v="393"/>
    <d v="2017-05-05T00:00:00"/>
    <x v="1"/>
    <s v="SS-20140"/>
    <s v="Saphhira Shifley"/>
    <x v="1"/>
    <s v="United States"/>
    <x v="176"/>
    <x v="1"/>
    <n v="33068"/>
    <x v="0"/>
    <s v="FUR-FU-10001935"/>
    <x v="0"/>
    <x v="3"/>
    <s v="3M Hangers With Command Adhesive"/>
    <n v="24"/>
    <n v="8"/>
    <n v="0.2"/>
    <n v="6"/>
    <x v="2"/>
    <s v="Apr"/>
  </r>
  <r>
    <n v="2786"/>
    <s v="CA-2015-149972"/>
    <x v="231"/>
    <d v="2015-09-23T00:00:00"/>
    <x v="2"/>
    <s v="CD-12790"/>
    <s v="Cynthia Delaney"/>
    <x v="2"/>
    <s v="United States"/>
    <x v="2"/>
    <x v="2"/>
    <n v="90036"/>
    <x v="1"/>
    <s v="FUR-CH-10004997"/>
    <x v="0"/>
    <x v="1"/>
    <s v="Hon Every-Day Series Multi-Task Chairs"/>
    <n v="602"/>
    <n v="4"/>
    <n v="0.2"/>
    <n v="0"/>
    <x v="3"/>
    <s v="Sep"/>
  </r>
  <r>
    <n v="2788"/>
    <s v="US-2014-117744"/>
    <x v="116"/>
    <d v="2014-12-06T00:00:00"/>
    <x v="1"/>
    <s v="MD-17860"/>
    <s v="Michael Dominguez"/>
    <x v="1"/>
    <s v="United States"/>
    <x v="177"/>
    <x v="5"/>
    <n v="78415"/>
    <x v="3"/>
    <s v="FUR-FU-10001588"/>
    <x v="0"/>
    <x v="3"/>
    <s v="Deflect-o SuperTray Unbreakable Stackable Tray, Letter, Black"/>
    <n v="58"/>
    <n v="5"/>
    <n v="0.6"/>
    <n v="-25"/>
    <x v="4"/>
    <s v="Dec"/>
  </r>
  <r>
    <n v="2790"/>
    <s v="US-2014-117744"/>
    <x v="116"/>
    <d v="2014-12-06T00:00:00"/>
    <x v="1"/>
    <s v="MD-17860"/>
    <s v="Michael Dominguez"/>
    <x v="1"/>
    <s v="United States"/>
    <x v="177"/>
    <x v="5"/>
    <n v="78415"/>
    <x v="3"/>
    <s v="FUR-FU-10002759"/>
    <x v="0"/>
    <x v="3"/>
    <s v="12-1/2 Diameter Round Wall Clock"/>
    <n v="40"/>
    <n v="5"/>
    <n v="0.6"/>
    <n v="-24"/>
    <x v="4"/>
    <s v="Dec"/>
  </r>
  <r>
    <n v="2797"/>
    <s v="CA-2014-154599"/>
    <x v="394"/>
    <d v="2014-04-17T00:00:00"/>
    <x v="1"/>
    <s v="KN-16450"/>
    <s v="Kean Nguyen"/>
    <x v="1"/>
    <s v="United States"/>
    <x v="178"/>
    <x v="2"/>
    <n v="90278"/>
    <x v="1"/>
    <s v="FUR-BO-10001337"/>
    <x v="0"/>
    <x v="0"/>
    <s v="O'Sullivan Living Dimensions 2-Shelf Bookcases"/>
    <n v="308"/>
    <n v="3"/>
    <n v="0.15"/>
    <n v="-18"/>
    <x v="2"/>
    <s v="Apr"/>
  </r>
  <r>
    <n v="2803"/>
    <s v="CA-2017-143329"/>
    <x v="54"/>
    <d v="2017-11-08T00:00:00"/>
    <x v="1"/>
    <s v="DL-13330"/>
    <s v="Denise Leinenbach"/>
    <x v="0"/>
    <s v="United States"/>
    <x v="179"/>
    <x v="41"/>
    <n v="88001"/>
    <x v="1"/>
    <s v="FUR-FU-10000629"/>
    <x v="0"/>
    <x v="3"/>
    <s v="9-3/4 Diameter Round Wall Clock"/>
    <n v="41"/>
    <n v="3"/>
    <n v="0"/>
    <n v="17"/>
    <x v="2"/>
    <s v="Nov"/>
  </r>
  <r>
    <n v="2806"/>
    <s v="CA-2015-122623"/>
    <x v="395"/>
    <d v="2015-09-11T00:00:00"/>
    <x v="1"/>
    <s v="CC-12145"/>
    <s v="Charles Crestani"/>
    <x v="0"/>
    <s v="United States"/>
    <x v="116"/>
    <x v="5"/>
    <n v="79907"/>
    <x v="3"/>
    <s v="FUR-CH-10000553"/>
    <x v="0"/>
    <x v="1"/>
    <s v="Metal Folding Chairs, Beige, 4/Carton"/>
    <n v="48"/>
    <n v="2"/>
    <n v="0.3"/>
    <n v="-2"/>
    <x v="4"/>
    <s v="Sep"/>
  </r>
  <r>
    <n v="2809"/>
    <s v="CA-2015-148635"/>
    <x v="396"/>
    <d v="2015-07-27T00:00:00"/>
    <x v="0"/>
    <s v="MH-18025"/>
    <s v="Michelle Huthwaite"/>
    <x v="0"/>
    <s v="United States"/>
    <x v="15"/>
    <x v="13"/>
    <n v="98115"/>
    <x v="1"/>
    <s v="FUR-BO-10002213"/>
    <x v="0"/>
    <x v="0"/>
    <s v="Sauder Forest Hills Library, Woodland Oak Finish"/>
    <n v="705"/>
    <n v="5"/>
    <n v="0"/>
    <n v="56"/>
    <x v="3"/>
    <s v="Jul"/>
  </r>
  <r>
    <n v="2810"/>
    <s v="CA-2015-148635"/>
    <x v="396"/>
    <d v="2015-07-27T00:00:00"/>
    <x v="0"/>
    <s v="MH-18025"/>
    <s v="Michelle Huthwaite"/>
    <x v="0"/>
    <s v="United States"/>
    <x v="15"/>
    <x v="13"/>
    <n v="98115"/>
    <x v="1"/>
    <s v="FUR-CH-10001854"/>
    <x v="0"/>
    <x v="1"/>
    <s v="Office Star - Professional Matrix Back Chair with 2-to-1 Synchro Tilt and Mesh Fabric Seat"/>
    <n v="562"/>
    <n v="2"/>
    <n v="0.2"/>
    <n v="28"/>
    <x v="3"/>
    <s v="Jul"/>
  </r>
  <r>
    <n v="2812"/>
    <s v="CA-2015-135685"/>
    <x v="397"/>
    <d v="2015-11-18T00:00:00"/>
    <x v="0"/>
    <s v="MP-18175"/>
    <s v="Mike Pelletier"/>
    <x v="2"/>
    <s v="United States"/>
    <x v="79"/>
    <x v="16"/>
    <n v="53209"/>
    <x v="3"/>
    <s v="FUR-FU-10001185"/>
    <x v="0"/>
    <x v="3"/>
    <s v="Advantus Employee of the Month Certificate Frame, 11 x 13-1/2"/>
    <n v="186"/>
    <n v="6"/>
    <n v="0"/>
    <n v="76"/>
    <x v="3"/>
    <s v="Nov"/>
  </r>
  <r>
    <n v="2813"/>
    <s v="CA-2015-135685"/>
    <x v="397"/>
    <d v="2015-11-18T00:00:00"/>
    <x v="0"/>
    <s v="MP-18175"/>
    <s v="Mike Pelletier"/>
    <x v="2"/>
    <s v="United States"/>
    <x v="79"/>
    <x v="16"/>
    <n v="53209"/>
    <x v="3"/>
    <s v="FUR-TA-10001520"/>
    <x v="0"/>
    <x v="2"/>
    <s v="Lesro Sheffield Collection Coffee Table, End Table, Center Table, Corner Table"/>
    <n v="214"/>
    <n v="3"/>
    <n v="0"/>
    <n v="36"/>
    <x v="3"/>
    <s v="Nov"/>
  </r>
  <r>
    <n v="2815"/>
    <s v="CA-2015-135685"/>
    <x v="397"/>
    <d v="2015-11-18T00:00:00"/>
    <x v="0"/>
    <s v="MP-18175"/>
    <s v="Mike Pelletier"/>
    <x v="2"/>
    <s v="United States"/>
    <x v="79"/>
    <x v="16"/>
    <n v="53209"/>
    <x v="3"/>
    <s v="FUR-TA-10000688"/>
    <x v="0"/>
    <x v="2"/>
    <s v="Chromcraft Bull-Nose Wood Round Conference Table Top, Wood Base"/>
    <n v="654"/>
    <n v="3"/>
    <n v="0"/>
    <n v="111"/>
    <x v="3"/>
    <s v="Nov"/>
  </r>
  <r>
    <n v="2817"/>
    <s v="CA-2015-104626"/>
    <x v="398"/>
    <d v="2015-09-08T00:00:00"/>
    <x v="1"/>
    <s v="DR-12940"/>
    <s v="Daniel Raglin"/>
    <x v="2"/>
    <s v="United States"/>
    <x v="20"/>
    <x v="20"/>
    <n v="2038"/>
    <x v="2"/>
    <s v="FUR-CH-10003817"/>
    <x v="0"/>
    <x v="1"/>
    <s v="Global Value Steno Chair, Gray"/>
    <n v="61"/>
    <n v="1"/>
    <n v="0"/>
    <n v="15"/>
    <x v="1"/>
    <s v="Sep"/>
  </r>
  <r>
    <n v="2818"/>
    <s v="CA-2015-104626"/>
    <x v="398"/>
    <d v="2015-09-08T00:00:00"/>
    <x v="1"/>
    <s v="DR-12940"/>
    <s v="Daniel Raglin"/>
    <x v="2"/>
    <s v="United States"/>
    <x v="20"/>
    <x v="20"/>
    <n v="2038"/>
    <x v="2"/>
    <s v="FUR-FU-10000308"/>
    <x v="0"/>
    <x v="3"/>
    <s v="Deflect-o Glass Clear Studded Chair Mats"/>
    <n v="124"/>
    <n v="2"/>
    <n v="0"/>
    <n v="27"/>
    <x v="1"/>
    <s v="Sep"/>
  </r>
  <r>
    <n v="2821"/>
    <s v="CA-2016-160500"/>
    <x v="399"/>
    <d v="2016-05-08T00:00:00"/>
    <x v="2"/>
    <s v="DM-13015"/>
    <s v="Darrin Martin"/>
    <x v="0"/>
    <s v="United States"/>
    <x v="92"/>
    <x v="2"/>
    <n v="92024"/>
    <x v="1"/>
    <s v="FUR-TA-10003748"/>
    <x v="0"/>
    <x v="2"/>
    <s v="Bevis 36 x 72 Conference Tables"/>
    <n v="299"/>
    <n v="3"/>
    <n v="0.2"/>
    <n v="7"/>
    <x v="0"/>
    <s v="May"/>
  </r>
  <r>
    <n v="2826"/>
    <s v="US-2014-112914"/>
    <x v="400"/>
    <d v="2014-09-30T00:00:00"/>
    <x v="1"/>
    <s v="MT-18070"/>
    <s v="Michelle Tran"/>
    <x v="2"/>
    <s v="United States"/>
    <x v="6"/>
    <x v="5"/>
    <n v="77041"/>
    <x v="3"/>
    <s v="FUR-BO-10003272"/>
    <x v="0"/>
    <x v="0"/>
    <s v="O'Sullivan Living Dimensions 5-Shelf Bookcases"/>
    <n v="301"/>
    <n v="2"/>
    <n v="0.32"/>
    <n v="-97"/>
    <x v="2"/>
    <s v="Sep"/>
  </r>
  <r>
    <n v="2841"/>
    <s v="US-2014-125521"/>
    <x v="401"/>
    <d v="2014-03-19T00:00:00"/>
    <x v="1"/>
    <s v="CK-12325"/>
    <s v="Christine Kargatis"/>
    <x v="2"/>
    <s v="United States"/>
    <x v="180"/>
    <x v="25"/>
    <n v="23320"/>
    <x v="0"/>
    <s v="FUR-CH-10003379"/>
    <x v="0"/>
    <x v="1"/>
    <s v="Global Commerce Series High-Back Swivel/Tilt Chairs"/>
    <n v="1140"/>
    <n v="4"/>
    <n v="0"/>
    <n v="285"/>
    <x v="2"/>
    <s v="Mar"/>
  </r>
  <r>
    <n v="2845"/>
    <s v="US-2016-162852"/>
    <x v="402"/>
    <d v="2016-12-31T00:00:00"/>
    <x v="1"/>
    <s v="BG-11695"/>
    <s v="Brooke Gillingham"/>
    <x v="1"/>
    <s v="United States"/>
    <x v="181"/>
    <x v="8"/>
    <n v="60098"/>
    <x v="3"/>
    <s v="FUR-CH-10004853"/>
    <x v="0"/>
    <x v="1"/>
    <s v="Global Manager's Adjustable Task Chair, Storm"/>
    <n v="845"/>
    <n v="8"/>
    <n v="0.3"/>
    <n v="-12"/>
    <x v="4"/>
    <s v="Dec"/>
  </r>
  <r>
    <n v="2848"/>
    <s v="CA-2017-157854"/>
    <x v="403"/>
    <d v="2017-04-15T00:00:00"/>
    <x v="1"/>
    <s v="DM-13345"/>
    <s v="Denise Monton"/>
    <x v="1"/>
    <s v="United States"/>
    <x v="153"/>
    <x v="24"/>
    <n v="30076"/>
    <x v="0"/>
    <s v="FUR-FU-10003832"/>
    <x v="0"/>
    <x v="3"/>
    <s v="Eldon Expressions Punched Metal &amp; Wood Desk Accessories, Black &amp; Cherry"/>
    <n v="56"/>
    <n v="6"/>
    <n v="0"/>
    <n v="16"/>
    <x v="1"/>
    <s v="Apr"/>
  </r>
  <r>
    <n v="2853"/>
    <s v="CA-2016-136371"/>
    <x v="331"/>
    <d v="2016-03-21T00:00:00"/>
    <x v="0"/>
    <s v="SV-20935"/>
    <s v="Susan Vittorini"/>
    <x v="0"/>
    <s v="United States"/>
    <x v="64"/>
    <x v="7"/>
    <n v="11572"/>
    <x v="2"/>
    <s v="FUR-FU-10000409"/>
    <x v="0"/>
    <x v="3"/>
    <s v="GE 4 Foot Flourescent Tube, 40 Watt"/>
    <n v="15"/>
    <n v="1"/>
    <n v="0"/>
    <n v="7"/>
    <x v="3"/>
    <s v="Mar"/>
  </r>
  <r>
    <n v="2854"/>
    <s v="CA-2016-136371"/>
    <x v="331"/>
    <d v="2016-03-21T00:00:00"/>
    <x v="0"/>
    <s v="SV-20935"/>
    <s v="Susan Vittorini"/>
    <x v="0"/>
    <s v="United States"/>
    <x v="64"/>
    <x v="7"/>
    <n v="11572"/>
    <x v="2"/>
    <s v="FUR-FU-10000221"/>
    <x v="0"/>
    <x v="3"/>
    <s v="Master Caster Door Stop, Brown"/>
    <n v="20"/>
    <n v="4"/>
    <n v="0"/>
    <n v="7"/>
    <x v="3"/>
    <s v="Mar"/>
  </r>
  <r>
    <n v="2857"/>
    <s v="CA-2016-128594"/>
    <x v="238"/>
    <d v="2016-08-29T00:00:00"/>
    <x v="2"/>
    <s v="DJ-13510"/>
    <s v="Don Jones"/>
    <x v="1"/>
    <s v="United States"/>
    <x v="53"/>
    <x v="2"/>
    <n v="92037"/>
    <x v="1"/>
    <s v="FUR-CH-10001215"/>
    <x v="0"/>
    <x v="1"/>
    <s v="Global Troy Executive Leather Low-Back Tilter"/>
    <n v="1603"/>
    <n v="4"/>
    <n v="0.2"/>
    <n v="100"/>
    <x v="0"/>
    <s v="Aug"/>
  </r>
  <r>
    <n v="2858"/>
    <s v="CA-2016-154690"/>
    <x v="404"/>
    <d v="2016-08-17T00:00:00"/>
    <x v="0"/>
    <s v="CC-12370"/>
    <s v="Christopher Conant"/>
    <x v="0"/>
    <s v="United States"/>
    <x v="160"/>
    <x v="30"/>
    <n v="28314"/>
    <x v="0"/>
    <s v="FUR-CH-10000988"/>
    <x v="0"/>
    <x v="1"/>
    <s v="Hon Olson Stacker Stools"/>
    <n v="225"/>
    <n v="2"/>
    <n v="0.2"/>
    <n v="23"/>
    <x v="3"/>
    <s v="Aug"/>
  </r>
  <r>
    <n v="2861"/>
    <s v="CA-2017-138975"/>
    <x v="405"/>
    <d v="2017-05-23T00:00:00"/>
    <x v="1"/>
    <s v="SC-20380"/>
    <s v="Shahid Collister"/>
    <x v="0"/>
    <s v="United States"/>
    <x v="182"/>
    <x v="24"/>
    <n v="30318"/>
    <x v="0"/>
    <s v="FUR-BO-10004695"/>
    <x v="0"/>
    <x v="0"/>
    <s v="O'Sullivan 2-Door Barrister Bookcase in Odessa Pine"/>
    <n v="1629"/>
    <n v="9"/>
    <n v="0"/>
    <n v="375"/>
    <x v="4"/>
    <s v="May"/>
  </r>
  <r>
    <n v="2870"/>
    <s v="CA-2017-143861"/>
    <x v="235"/>
    <d v="2017-06-19T00:00:00"/>
    <x v="1"/>
    <s v="LC-16885"/>
    <s v="Lena Creighton"/>
    <x v="0"/>
    <s v="United States"/>
    <x v="66"/>
    <x v="1"/>
    <n v="33710"/>
    <x v="0"/>
    <s v="FUR-FU-10001546"/>
    <x v="0"/>
    <x v="3"/>
    <s v="Dana Swing-Arm Lamps"/>
    <n v="17"/>
    <n v="2"/>
    <n v="0.2"/>
    <n v="1"/>
    <x v="1"/>
    <s v="Jun"/>
  </r>
  <r>
    <n v="2872"/>
    <s v="CA-2014-148040"/>
    <x v="406"/>
    <d v="2014-03-26T00:00:00"/>
    <x v="1"/>
    <s v="BF-11275"/>
    <s v="Beth Fritzler"/>
    <x v="1"/>
    <s v="United States"/>
    <x v="104"/>
    <x v="22"/>
    <n v="85705"/>
    <x v="1"/>
    <s v="FUR-CH-10001482"/>
    <x v="0"/>
    <x v="1"/>
    <s v="Office Star - Mesh Screen back chair with Vinyl seat"/>
    <n v="314"/>
    <n v="3"/>
    <n v="0.2"/>
    <n v="-35"/>
    <x v="4"/>
    <s v="Mar"/>
  </r>
  <r>
    <n v="2876"/>
    <s v="US-2016-167339"/>
    <x v="407"/>
    <d v="2016-01-23T00:00:00"/>
    <x v="0"/>
    <s v="TD-20995"/>
    <s v="Tamara Dahlen"/>
    <x v="0"/>
    <s v="United States"/>
    <x v="53"/>
    <x v="2"/>
    <n v="92037"/>
    <x v="1"/>
    <s v="FUR-CH-10004289"/>
    <x v="0"/>
    <x v="1"/>
    <s v="Global Super Steno Chair"/>
    <n v="154"/>
    <n v="2"/>
    <n v="0.2"/>
    <n v="-6"/>
    <x v="3"/>
    <s v="Jan"/>
  </r>
  <r>
    <n v="2877"/>
    <s v="US-2016-167339"/>
    <x v="407"/>
    <d v="2016-01-23T00:00:00"/>
    <x v="0"/>
    <s v="TD-20995"/>
    <s v="Tamara Dahlen"/>
    <x v="0"/>
    <s v="United States"/>
    <x v="53"/>
    <x v="2"/>
    <n v="92037"/>
    <x v="1"/>
    <s v="FUR-CH-10000785"/>
    <x v="0"/>
    <x v="1"/>
    <s v="Global Ergonomic Managers Chair"/>
    <n v="1013"/>
    <n v="7"/>
    <n v="0.2"/>
    <n v="76"/>
    <x v="3"/>
    <s v="Jan"/>
  </r>
  <r>
    <n v="2884"/>
    <s v="CA-2016-130799"/>
    <x v="367"/>
    <d v="2016-11-16T00:00:00"/>
    <x v="0"/>
    <s v="BK-11260"/>
    <s v="Berenike Kampe"/>
    <x v="0"/>
    <s v="United States"/>
    <x v="28"/>
    <x v="2"/>
    <n v="94110"/>
    <x v="1"/>
    <s v="FUR-FU-10001852"/>
    <x v="0"/>
    <x v="3"/>
    <s v="Eldon Regeneration Recycled Desk Accessories, Smoke"/>
    <n v="7"/>
    <n v="4"/>
    <n v="0"/>
    <n v="2"/>
    <x v="2"/>
    <s v="Nov"/>
  </r>
  <r>
    <n v="2886"/>
    <s v="US-2016-159856"/>
    <x v="408"/>
    <d v="2016-10-22T00:00:00"/>
    <x v="1"/>
    <s v="EP-13915"/>
    <s v="Emily Phan"/>
    <x v="0"/>
    <s v="United States"/>
    <x v="183"/>
    <x v="22"/>
    <n v="85281"/>
    <x v="1"/>
    <s v="FUR-CH-10003396"/>
    <x v="0"/>
    <x v="1"/>
    <s v="Global Deluxe Steno Chair"/>
    <n v="308"/>
    <n v="5"/>
    <n v="0.2"/>
    <n v="-35"/>
    <x v="4"/>
    <s v="Oct"/>
  </r>
  <r>
    <n v="2891"/>
    <s v="CA-2014-142727"/>
    <x v="149"/>
    <d v="2014-05-01T00:00:00"/>
    <x v="0"/>
    <s v="HG-14845"/>
    <s v="Harry Greene"/>
    <x v="0"/>
    <s v="United States"/>
    <x v="184"/>
    <x v="35"/>
    <n v="70601"/>
    <x v="0"/>
    <s v="FUR-CH-10002304"/>
    <x v="0"/>
    <x v="1"/>
    <s v="Global Stack Chair without Arms, Black"/>
    <n v="52"/>
    <n v="2"/>
    <n v="0"/>
    <n v="13"/>
    <x v="3"/>
    <s v="Apr"/>
  </r>
  <r>
    <n v="2895"/>
    <s v="CA-2017-139913"/>
    <x v="409"/>
    <d v="2017-10-29T00:00:00"/>
    <x v="1"/>
    <s v="JC-16105"/>
    <s v="Julie Creighton"/>
    <x v="1"/>
    <s v="United States"/>
    <x v="77"/>
    <x v="7"/>
    <n v="14609"/>
    <x v="2"/>
    <s v="FUR-FU-10000771"/>
    <x v="0"/>
    <x v="3"/>
    <s v="Eldon 200 Class Desk Accessories, Smoke"/>
    <n v="69"/>
    <n v="11"/>
    <n v="0"/>
    <n v="29"/>
    <x v="6"/>
    <s v="Oct"/>
  </r>
  <r>
    <n v="2899"/>
    <s v="US-2015-114839"/>
    <x v="12"/>
    <d v="2015-04-30T00:00:00"/>
    <x v="1"/>
    <s v="PW-19240"/>
    <s v="Pierre Wener"/>
    <x v="0"/>
    <s v="United States"/>
    <x v="6"/>
    <x v="5"/>
    <n v="77036"/>
    <x v="3"/>
    <s v="FUR-CH-10004086"/>
    <x v="0"/>
    <x v="1"/>
    <s v="Hon 4070 Series Pagoda Armless Upholstered Stacking Chairs"/>
    <n v="408"/>
    <n v="2"/>
    <n v="0.3"/>
    <n v="-6"/>
    <x v="4"/>
    <s v="Apr"/>
  </r>
  <r>
    <n v="2905"/>
    <s v="CA-2016-153577"/>
    <x v="410"/>
    <d v="2016-07-01T00:00:00"/>
    <x v="1"/>
    <s v="KH-16330"/>
    <s v="Katharine Harms"/>
    <x v="1"/>
    <s v="United States"/>
    <x v="185"/>
    <x v="8"/>
    <n v="60035"/>
    <x v="3"/>
    <s v="FUR-CH-10003981"/>
    <x v="0"/>
    <x v="1"/>
    <s v="Global Commerce Series Low-Back Swivel/Tilt Chairs"/>
    <n v="540"/>
    <n v="3"/>
    <n v="0.3"/>
    <n v="-8"/>
    <x v="4"/>
    <s v="Jun"/>
  </r>
  <r>
    <n v="2920"/>
    <s v="CA-2016-160129"/>
    <x v="411"/>
    <d v="2016-11-23T00:00:00"/>
    <x v="3"/>
    <s v="LS-17200"/>
    <s v="Luke Schmidt"/>
    <x v="1"/>
    <s v="United States"/>
    <x v="3"/>
    <x v="3"/>
    <n v="19140"/>
    <x v="2"/>
    <s v="FUR-FU-10002088"/>
    <x v="0"/>
    <x v="3"/>
    <s v="Nu-Dell Float Frame 11 x 14 1/2"/>
    <n v="14"/>
    <n v="2"/>
    <n v="0.2"/>
    <n v="4"/>
    <x v="7"/>
    <s v="Nov"/>
  </r>
  <r>
    <n v="2921"/>
    <s v="CA-2016-160129"/>
    <x v="411"/>
    <d v="2016-11-23T00:00:00"/>
    <x v="3"/>
    <s v="LS-17200"/>
    <s v="Luke Schmidt"/>
    <x v="1"/>
    <s v="United States"/>
    <x v="3"/>
    <x v="3"/>
    <n v="19140"/>
    <x v="2"/>
    <s v="FUR-FU-10003976"/>
    <x v="0"/>
    <x v="3"/>
    <s v="DAX Executive Solid Wood Document Frame, Desktop or Hang, Mahogany, 5 x 7"/>
    <n v="70"/>
    <n v="7"/>
    <n v="0.2"/>
    <n v="12"/>
    <x v="7"/>
    <s v="Nov"/>
  </r>
  <r>
    <n v="2926"/>
    <s v="CA-2014-157721"/>
    <x v="412"/>
    <d v="2014-09-05T00:00:00"/>
    <x v="2"/>
    <s v="JM-16195"/>
    <s v="Justin MacKendrick"/>
    <x v="0"/>
    <s v="United States"/>
    <x v="115"/>
    <x v="7"/>
    <n v="13601"/>
    <x v="2"/>
    <s v="FUR-FU-10002116"/>
    <x v="0"/>
    <x v="3"/>
    <s v="Tenex Carpeted, Granite-Look or Clear Contemporary Contour Shape Chair Mats"/>
    <n v="71"/>
    <n v="1"/>
    <n v="0"/>
    <n v="5"/>
    <x v="0"/>
    <s v="Sep"/>
  </r>
  <r>
    <n v="2927"/>
    <s v="CA-2017-128629"/>
    <x v="413"/>
    <d v="2017-07-14T00:00:00"/>
    <x v="0"/>
    <s v="BP-11155"/>
    <s v="Becky Pak"/>
    <x v="0"/>
    <s v="United States"/>
    <x v="29"/>
    <x v="24"/>
    <n v="31907"/>
    <x v="0"/>
    <s v="FUR-FU-10000771"/>
    <x v="0"/>
    <x v="3"/>
    <s v="Eldon 200 Class Desk Accessories, Smoke"/>
    <n v="19"/>
    <n v="3"/>
    <n v="0"/>
    <n v="8"/>
    <x v="4"/>
    <s v="Jul"/>
  </r>
  <r>
    <n v="2930"/>
    <s v="CA-2017-143434"/>
    <x v="414"/>
    <d v="2017-11-24T00:00:00"/>
    <x v="1"/>
    <s v="ME-17320"/>
    <s v="Maria Etezadi"/>
    <x v="2"/>
    <s v="United States"/>
    <x v="186"/>
    <x v="17"/>
    <n v="48601"/>
    <x v="3"/>
    <s v="FUR-FU-10002597"/>
    <x v="0"/>
    <x v="3"/>
    <s v="C-Line Magnetic Cubicle Keepers, Clear Polypropylene"/>
    <n v="20"/>
    <n v="4"/>
    <n v="0"/>
    <n v="8"/>
    <x v="6"/>
    <s v="Nov"/>
  </r>
  <r>
    <n v="2933"/>
    <s v="CA-2015-168564"/>
    <x v="415"/>
    <d v="2015-08-08T00:00:00"/>
    <x v="3"/>
    <s v="TT-21220"/>
    <s v="Thomas Thornton"/>
    <x v="0"/>
    <s v="United States"/>
    <x v="28"/>
    <x v="2"/>
    <n v="94109"/>
    <x v="1"/>
    <s v="FUR-CH-10000785"/>
    <x v="0"/>
    <x v="1"/>
    <s v="Global Ergonomic Managers Chair"/>
    <n v="145"/>
    <n v="1"/>
    <n v="0.2"/>
    <n v="11"/>
    <x v="7"/>
    <s v="Aug"/>
  </r>
  <r>
    <n v="2941"/>
    <s v="CA-2017-155880"/>
    <x v="416"/>
    <d v="2017-03-31T00:00:00"/>
    <x v="1"/>
    <s v="JD-16150"/>
    <s v="Justin Deggeller"/>
    <x v="1"/>
    <s v="United States"/>
    <x v="79"/>
    <x v="16"/>
    <n v="53209"/>
    <x v="3"/>
    <s v="FUR-CH-10000422"/>
    <x v="0"/>
    <x v="1"/>
    <s v="Global Highback Leather Tilter in Burgundy"/>
    <n v="91"/>
    <n v="1"/>
    <n v="0"/>
    <n v="15"/>
    <x v="6"/>
    <s v="Mar"/>
  </r>
  <r>
    <n v="2942"/>
    <s v="CA-2017-155880"/>
    <x v="416"/>
    <d v="2017-03-31T00:00:00"/>
    <x v="1"/>
    <s v="JD-16150"/>
    <s v="Justin Deggeller"/>
    <x v="1"/>
    <s v="United States"/>
    <x v="79"/>
    <x v="16"/>
    <n v="53209"/>
    <x v="3"/>
    <s v="FUR-CH-10004675"/>
    <x v="0"/>
    <x v="1"/>
    <s v="Lifetime Advantage Folding Chairs, 4/Carton"/>
    <n v="1527"/>
    <n v="7"/>
    <n v="0"/>
    <n v="427"/>
    <x v="6"/>
    <s v="Mar"/>
  </r>
  <r>
    <n v="2943"/>
    <s v="CA-2017-155880"/>
    <x v="416"/>
    <d v="2017-03-31T00:00:00"/>
    <x v="1"/>
    <s v="JD-16150"/>
    <s v="Justin Deggeller"/>
    <x v="1"/>
    <s v="United States"/>
    <x v="79"/>
    <x v="16"/>
    <n v="53209"/>
    <x v="3"/>
    <s v="FUR-CH-10002880"/>
    <x v="0"/>
    <x v="1"/>
    <s v="Global High-Back Leather Tilter, Burgundy"/>
    <n v="369"/>
    <n v="3"/>
    <n v="0"/>
    <n v="41"/>
    <x v="6"/>
    <s v="Mar"/>
  </r>
  <r>
    <n v="2945"/>
    <s v="CA-2017-126242"/>
    <x v="49"/>
    <d v="2017-11-24T00:00:00"/>
    <x v="1"/>
    <s v="MC-18100"/>
    <s v="Mick Crebagga"/>
    <x v="0"/>
    <s v="United States"/>
    <x v="2"/>
    <x v="2"/>
    <n v="90049"/>
    <x v="1"/>
    <s v="FUR-FU-10002685"/>
    <x v="0"/>
    <x v="3"/>
    <s v="Executive Impressions 13-1/2&quot; Indoor/Outdoor Wall Clock"/>
    <n v="19"/>
    <n v="1"/>
    <n v="0"/>
    <n v="7"/>
    <x v="2"/>
    <s v="Nov"/>
  </r>
  <r>
    <n v="2946"/>
    <s v="CA-2016-166443"/>
    <x v="114"/>
    <d v="2016-11-05T00:00:00"/>
    <x v="2"/>
    <s v="LH-17020"/>
    <s v="Lisa Hazard"/>
    <x v="0"/>
    <s v="United States"/>
    <x v="28"/>
    <x v="2"/>
    <n v="94122"/>
    <x v="1"/>
    <s v="FUR-FU-10004020"/>
    <x v="0"/>
    <x v="3"/>
    <s v="Advantus Panel Wall Acrylic Frame"/>
    <n v="38"/>
    <n v="7"/>
    <n v="0"/>
    <n v="16"/>
    <x v="5"/>
    <s v="Nov"/>
  </r>
  <r>
    <n v="2947"/>
    <s v="CA-2017-169859"/>
    <x v="417"/>
    <d v="2017-12-18T00:00:00"/>
    <x v="1"/>
    <s v="MP-18175"/>
    <s v="Mike Pelletier"/>
    <x v="2"/>
    <s v="United States"/>
    <x v="53"/>
    <x v="2"/>
    <n v="92024"/>
    <x v="1"/>
    <s v="FUR-FU-10004963"/>
    <x v="0"/>
    <x v="3"/>
    <s v="Eldon 400 Class Desk Accessories, Black Carbon"/>
    <n v="26"/>
    <n v="3"/>
    <n v="0"/>
    <n v="11"/>
    <x v="4"/>
    <s v="Dec"/>
  </r>
  <r>
    <n v="2952"/>
    <s v="CA-2017-134915"/>
    <x v="418"/>
    <d v="2017-11-12T00:00:00"/>
    <x v="3"/>
    <s v="EM-14140"/>
    <s v="Eugene Moren"/>
    <x v="2"/>
    <s v="United States"/>
    <x v="110"/>
    <x v="22"/>
    <n v="85301"/>
    <x v="1"/>
    <s v="FUR-CH-10004875"/>
    <x v="0"/>
    <x v="1"/>
    <s v="Harbour Creations 67200 Series Stacking Chairs"/>
    <n v="114"/>
    <n v="2"/>
    <n v="0.2"/>
    <n v="10"/>
    <x v="7"/>
    <s v="Nov"/>
  </r>
  <r>
    <n v="2953"/>
    <s v="CA-2017-134915"/>
    <x v="418"/>
    <d v="2017-11-12T00:00:00"/>
    <x v="3"/>
    <s v="EM-14140"/>
    <s v="Eugene Moren"/>
    <x v="2"/>
    <s v="United States"/>
    <x v="110"/>
    <x v="22"/>
    <n v="85301"/>
    <x v="1"/>
    <s v="FUR-FU-10000305"/>
    <x v="0"/>
    <x v="3"/>
    <s v="Tenex V2T-RE Standard Weight Series Chair Mat, 45&quot; x 53&quot;, Lip 25&quot; x 12&quot;"/>
    <n v="114"/>
    <n v="2"/>
    <n v="0.2"/>
    <n v="-6"/>
    <x v="7"/>
    <s v="Nov"/>
  </r>
  <r>
    <n v="2957"/>
    <s v="CA-2017-123638"/>
    <x v="419"/>
    <d v="2017-07-04T00:00:00"/>
    <x v="1"/>
    <s v="MA-17995"/>
    <s v="Michelle Arnett"/>
    <x v="2"/>
    <s v="United States"/>
    <x v="115"/>
    <x v="7"/>
    <n v="13601"/>
    <x v="2"/>
    <s v="FUR-CH-10002647"/>
    <x v="0"/>
    <x v="1"/>
    <s v="Situations Contoured Folding Chairs, 4/Set"/>
    <n v="192"/>
    <n v="3"/>
    <n v="0.1"/>
    <n v="32"/>
    <x v="1"/>
    <s v="Jun"/>
  </r>
  <r>
    <n v="2963"/>
    <s v="CA-2017-137428"/>
    <x v="420"/>
    <d v="2017-12-21T00:00:00"/>
    <x v="0"/>
    <s v="AY-10555"/>
    <s v="Andy Yotov"/>
    <x v="1"/>
    <s v="United States"/>
    <x v="64"/>
    <x v="2"/>
    <n v="92054"/>
    <x v="1"/>
    <s v="FUR-CH-10002774"/>
    <x v="0"/>
    <x v="1"/>
    <s v="Global Deluxe Stacking Chair, Gray"/>
    <n v="82"/>
    <n v="2"/>
    <n v="0.2"/>
    <n v="9"/>
    <x v="2"/>
    <s v="Dec"/>
  </r>
  <r>
    <n v="2964"/>
    <s v="CA-2017-137428"/>
    <x v="420"/>
    <d v="2017-12-21T00:00:00"/>
    <x v="0"/>
    <s v="AY-10555"/>
    <s v="Andy Yotov"/>
    <x v="1"/>
    <s v="United States"/>
    <x v="64"/>
    <x v="2"/>
    <n v="92054"/>
    <x v="1"/>
    <s v="FUR-CH-10003817"/>
    <x v="0"/>
    <x v="1"/>
    <s v="Global Value Steno Chair, Gray"/>
    <n v="97"/>
    <n v="2"/>
    <n v="0.2"/>
    <n v="6"/>
    <x v="2"/>
    <s v="Dec"/>
  </r>
  <r>
    <n v="2966"/>
    <s v="CA-2017-137428"/>
    <x v="420"/>
    <d v="2017-12-21T00:00:00"/>
    <x v="0"/>
    <s v="AY-10555"/>
    <s v="Andy Yotov"/>
    <x v="1"/>
    <s v="United States"/>
    <x v="64"/>
    <x v="2"/>
    <n v="92054"/>
    <x v="1"/>
    <s v="FUR-FU-10002445"/>
    <x v="0"/>
    <x v="3"/>
    <s v="DAX Two-Tone Rosewood/Black Document Frame, Desktop, 5 x 7"/>
    <n v="19"/>
    <n v="2"/>
    <n v="0"/>
    <n v="8"/>
    <x v="2"/>
    <s v="Dec"/>
  </r>
  <r>
    <n v="2967"/>
    <s v="CA-2014-162866"/>
    <x v="421"/>
    <d v="2014-12-31T00:00:00"/>
    <x v="1"/>
    <s v="Co-12640"/>
    <s v="Corey-Lock"/>
    <x v="0"/>
    <s v="United States"/>
    <x v="187"/>
    <x v="8"/>
    <n v="60076"/>
    <x v="3"/>
    <s v="FUR-FU-10001473"/>
    <x v="0"/>
    <x v="3"/>
    <s v="DAX Wood Document Frame"/>
    <n v="33"/>
    <n v="6"/>
    <n v="0.6"/>
    <n v="-20"/>
    <x v="4"/>
    <s v="Dec"/>
  </r>
  <r>
    <n v="2972"/>
    <s v="CA-2017-167941"/>
    <x v="200"/>
    <d v="2017-11-09T00:00:00"/>
    <x v="0"/>
    <s v="JF-15565"/>
    <s v="Jill Fjeld"/>
    <x v="0"/>
    <s v="United States"/>
    <x v="160"/>
    <x v="30"/>
    <n v="28314"/>
    <x v="0"/>
    <s v="FUR-FU-10004671"/>
    <x v="0"/>
    <x v="3"/>
    <s v="Executive Impressions 12&quot; Wall Clock"/>
    <n v="28"/>
    <n v="2"/>
    <n v="0.2"/>
    <n v="6"/>
    <x v="0"/>
    <s v="Nov"/>
  </r>
  <r>
    <n v="2975"/>
    <s v="CA-2015-137512"/>
    <x v="422"/>
    <d v="2015-05-12T00:00:00"/>
    <x v="1"/>
    <s v="AG-10675"/>
    <s v="Anna Gayman"/>
    <x v="0"/>
    <s v="United States"/>
    <x v="188"/>
    <x v="5"/>
    <n v="75002"/>
    <x v="3"/>
    <s v="FUR-TA-10001095"/>
    <x v="0"/>
    <x v="2"/>
    <s v="Chromcraft Round Conference Tables"/>
    <n v="244"/>
    <n v="2"/>
    <n v="0.3"/>
    <n v="-31"/>
    <x v="2"/>
    <s v="May"/>
  </r>
  <r>
    <n v="2977"/>
    <s v="CA-2017-139773"/>
    <x v="423"/>
    <d v="2017-12-04T00:00:00"/>
    <x v="3"/>
    <s v="DV-13045"/>
    <s v="Darrin Van Huff"/>
    <x v="1"/>
    <s v="United States"/>
    <x v="3"/>
    <x v="3"/>
    <n v="19143"/>
    <x v="2"/>
    <s v="FUR-CH-10001797"/>
    <x v="0"/>
    <x v="1"/>
    <s v="Safco Chair Connectors, 6/Carton"/>
    <n v="189"/>
    <n v="7"/>
    <n v="0.3"/>
    <n v="-3"/>
    <x v="7"/>
    <s v="Dec"/>
  </r>
  <r>
    <n v="2979"/>
    <s v="CA-2014-109232"/>
    <x v="424"/>
    <d v="2014-01-16T00:00:00"/>
    <x v="0"/>
    <s v="ND-18370"/>
    <s v="Natalie DeCherney"/>
    <x v="0"/>
    <s v="United States"/>
    <x v="189"/>
    <x v="10"/>
    <n v="29464"/>
    <x v="0"/>
    <s v="FUR-CH-10000422"/>
    <x v="0"/>
    <x v="1"/>
    <s v="Global Highback Leather Tilter in Burgundy"/>
    <n v="546"/>
    <n v="6"/>
    <n v="0"/>
    <n v="87"/>
    <x v="0"/>
    <s v="Jan"/>
  </r>
  <r>
    <n v="2981"/>
    <s v="CA-2015-139850"/>
    <x v="425"/>
    <d v="2015-06-17T00:00:00"/>
    <x v="1"/>
    <s v="GB-14575"/>
    <s v="Giulietta Baptist"/>
    <x v="0"/>
    <s v="United States"/>
    <x v="3"/>
    <x v="3"/>
    <n v="19134"/>
    <x v="2"/>
    <s v="FUR-FU-10003623"/>
    <x v="0"/>
    <x v="3"/>
    <s v="DataProducts Ampli Magnifier Task Lamp, Black,"/>
    <n v="43"/>
    <n v="2"/>
    <n v="0.2"/>
    <n v="4"/>
    <x v="2"/>
    <s v="Jun"/>
  </r>
  <r>
    <n v="2982"/>
    <s v="CA-2014-131310"/>
    <x v="56"/>
    <d v="2014-07-18T00:00:00"/>
    <x v="1"/>
    <s v="CL-12565"/>
    <s v="Clay Ludtke"/>
    <x v="0"/>
    <s v="United States"/>
    <x v="15"/>
    <x v="13"/>
    <n v="98115"/>
    <x v="1"/>
    <s v="FUR-CH-10001797"/>
    <x v="0"/>
    <x v="1"/>
    <s v="Safco Chair Connectors, 6/Carton"/>
    <n v="123"/>
    <n v="4"/>
    <n v="0.2"/>
    <n v="14"/>
    <x v="6"/>
    <s v="Jul"/>
  </r>
  <r>
    <n v="2985"/>
    <s v="US-2014-112872"/>
    <x v="387"/>
    <d v="2014-12-11T00:00:00"/>
    <x v="0"/>
    <s v="RC-19960"/>
    <s v="Ryan Crowe"/>
    <x v="0"/>
    <s v="United States"/>
    <x v="76"/>
    <x v="36"/>
    <n v="97477"/>
    <x v="1"/>
    <s v="FUR-TA-10003238"/>
    <x v="0"/>
    <x v="2"/>
    <s v="Chromcraft Bull-Nose Wood 48&quot; x 96&quot; Rectangular Conference Tables"/>
    <n v="275"/>
    <n v="1"/>
    <n v="0.5"/>
    <n v="-171"/>
    <x v="2"/>
    <s v="Dec"/>
  </r>
  <r>
    <n v="2986"/>
    <s v="CA-2016-139269"/>
    <x v="426"/>
    <d v="2016-05-30T00:00:00"/>
    <x v="1"/>
    <s v="JB-16045"/>
    <s v="Julia Barnett"/>
    <x v="2"/>
    <s v="United States"/>
    <x v="29"/>
    <x v="24"/>
    <n v="31907"/>
    <x v="0"/>
    <s v="FUR-FU-10000755"/>
    <x v="0"/>
    <x v="3"/>
    <s v="Eldon Expressions Mahogany Wood Desk Collection"/>
    <n v="25"/>
    <n v="4"/>
    <n v="0"/>
    <n v="6"/>
    <x v="2"/>
    <s v="May"/>
  </r>
  <r>
    <n v="2998"/>
    <s v="CA-2014-138317"/>
    <x v="112"/>
    <d v="2014-06-25T00:00:00"/>
    <x v="1"/>
    <s v="NW-18400"/>
    <s v="Natalie Webber"/>
    <x v="0"/>
    <s v="United States"/>
    <x v="3"/>
    <x v="3"/>
    <n v="19120"/>
    <x v="2"/>
    <s v="FUR-FU-10000550"/>
    <x v="0"/>
    <x v="3"/>
    <s v="Stacking Trays by OIC"/>
    <n v="4"/>
    <n v="1"/>
    <n v="0.2"/>
    <n v="1"/>
    <x v="4"/>
    <s v="Jun"/>
  </r>
  <r>
    <n v="3009"/>
    <s v="CA-2016-124772"/>
    <x v="28"/>
    <d v="2016-12-06T00:00:00"/>
    <x v="2"/>
    <s v="JG-15160"/>
    <s v="James Galang"/>
    <x v="0"/>
    <s v="United States"/>
    <x v="190"/>
    <x v="0"/>
    <n v="42071"/>
    <x v="0"/>
    <s v="FUR-FU-10004748"/>
    <x v="0"/>
    <x v="3"/>
    <s v="Howard Miller 16&quot; Diameter Gallery Wall Clock"/>
    <n v="192"/>
    <n v="3"/>
    <n v="0"/>
    <n v="75"/>
    <x v="5"/>
    <s v="Dec"/>
  </r>
  <r>
    <n v="3016"/>
    <s v="US-2015-138919"/>
    <x v="5"/>
    <d v="2015-09-21T00:00:00"/>
    <x v="1"/>
    <s v="LS-16975"/>
    <s v="Lindsay Shagiari"/>
    <x v="2"/>
    <s v="United States"/>
    <x v="13"/>
    <x v="7"/>
    <n v="10035"/>
    <x v="2"/>
    <s v="FUR-TA-10004154"/>
    <x v="0"/>
    <x v="2"/>
    <s v="Riverside Furniture Oval Coffee Table, Oval End Table, End Table with Drawer"/>
    <n v="344"/>
    <n v="2"/>
    <n v="0.4"/>
    <n v="-103"/>
    <x v="4"/>
    <s v="Sep"/>
  </r>
  <r>
    <n v="3018"/>
    <s v="US-2016-160528"/>
    <x v="427"/>
    <d v="2016-08-30T00:00:00"/>
    <x v="1"/>
    <s v="MH-18115"/>
    <s v="Mick Hernandez"/>
    <x v="2"/>
    <s v="United States"/>
    <x v="191"/>
    <x v="5"/>
    <n v="78577"/>
    <x v="3"/>
    <s v="FUR-FU-10004973"/>
    <x v="0"/>
    <x v="3"/>
    <s v="Flat Face Poster Frame"/>
    <n v="23"/>
    <n v="3"/>
    <n v="0.6"/>
    <n v="-10"/>
    <x v="1"/>
    <s v="Aug"/>
  </r>
  <r>
    <n v="3022"/>
    <s v="CA-2015-123568"/>
    <x v="428"/>
    <d v="2015-11-14T00:00:00"/>
    <x v="1"/>
    <s v="SC-20095"/>
    <s v="Sanjit Chand"/>
    <x v="0"/>
    <s v="United States"/>
    <x v="192"/>
    <x v="4"/>
    <n v="84084"/>
    <x v="1"/>
    <s v="FUR-FU-10004090"/>
    <x v="0"/>
    <x v="3"/>
    <s v="Executive Impressions 14&quot; Contract Wall Clock"/>
    <n v="67"/>
    <n v="3"/>
    <n v="0"/>
    <n v="22"/>
    <x v="6"/>
    <s v="Nov"/>
  </r>
  <r>
    <n v="3024"/>
    <s v="CA-2017-124674"/>
    <x v="429"/>
    <d v="2017-11-23T00:00:00"/>
    <x v="1"/>
    <s v="JB-16000"/>
    <s v="Joy Bell-"/>
    <x v="0"/>
    <s v="United States"/>
    <x v="193"/>
    <x v="5"/>
    <n v="78521"/>
    <x v="3"/>
    <s v="FUR-BO-10002202"/>
    <x v="0"/>
    <x v="0"/>
    <s v="Atlantic Metals Mobile 2-Shelf Bookcases, Custom Colors"/>
    <n v="328"/>
    <n v="2"/>
    <n v="0.32"/>
    <n v="-14"/>
    <x v="6"/>
    <s v="Nov"/>
  </r>
  <r>
    <n v="3027"/>
    <s v="CA-2017-169054"/>
    <x v="135"/>
    <d v="2017-04-26T00:00:00"/>
    <x v="1"/>
    <s v="MO-17800"/>
    <s v="Meg O'Connel"/>
    <x v="2"/>
    <s v="United States"/>
    <x v="3"/>
    <x v="3"/>
    <n v="19140"/>
    <x v="2"/>
    <s v="FUR-FU-10001488"/>
    <x v="0"/>
    <x v="3"/>
    <s v="Tenex 46&quot; x 60&quot; Computer Anti-Static Chairmat, Rectangular Shaped"/>
    <n v="254"/>
    <n v="3"/>
    <n v="0.2"/>
    <n v="0"/>
    <x v="4"/>
    <s v="Apr"/>
  </r>
  <r>
    <n v="3029"/>
    <s v="CA-2017-116855"/>
    <x v="430"/>
    <d v="2017-12-21T00:00:00"/>
    <x v="1"/>
    <s v="AI-10855"/>
    <s v="Arianne Irving"/>
    <x v="0"/>
    <s v="United States"/>
    <x v="180"/>
    <x v="25"/>
    <n v="23320"/>
    <x v="0"/>
    <s v="FUR-CH-10003846"/>
    <x v="0"/>
    <x v="1"/>
    <s v="Hon Valutask Swivel Chairs"/>
    <n v="505"/>
    <n v="5"/>
    <n v="0"/>
    <n v="81"/>
    <x v="4"/>
    <s v="Dec"/>
  </r>
  <r>
    <n v="3031"/>
    <s v="CA-2015-168480"/>
    <x v="231"/>
    <d v="2015-09-27T00:00:00"/>
    <x v="1"/>
    <s v="DM-12955"/>
    <s v="Dario Medina"/>
    <x v="1"/>
    <s v="United States"/>
    <x v="194"/>
    <x v="17"/>
    <n v="48146"/>
    <x v="3"/>
    <s v="FUR-BO-10000468"/>
    <x v="0"/>
    <x v="0"/>
    <s v="O'Sullivan 2-Shelf Heavy-Duty Bookcases"/>
    <n v="194"/>
    <n v="4"/>
    <n v="0"/>
    <n v="31"/>
    <x v="6"/>
    <s v="Sep"/>
  </r>
  <r>
    <n v="3033"/>
    <s v="US-2016-114293"/>
    <x v="431"/>
    <d v="2016-11-26T00:00:00"/>
    <x v="1"/>
    <s v="JH-16180"/>
    <s v="Justin Hirsh"/>
    <x v="0"/>
    <s v="United States"/>
    <x v="195"/>
    <x v="36"/>
    <n v="97030"/>
    <x v="1"/>
    <s v="FUR-CH-10003833"/>
    <x v="0"/>
    <x v="1"/>
    <s v="Novimex Fabric Task Chair"/>
    <n v="195"/>
    <n v="4"/>
    <n v="0.2"/>
    <n v="-12"/>
    <x v="2"/>
    <s v="Nov"/>
  </r>
  <r>
    <n v="3039"/>
    <s v="US-2015-123960"/>
    <x v="432"/>
    <d v="2015-06-16T00:00:00"/>
    <x v="1"/>
    <s v="BD-11605"/>
    <s v="Brian Dahlen"/>
    <x v="0"/>
    <s v="United States"/>
    <x v="91"/>
    <x v="35"/>
    <n v="71203"/>
    <x v="0"/>
    <s v="FUR-FU-10004666"/>
    <x v="0"/>
    <x v="3"/>
    <s v="DAX Clear Channel Poster Frame"/>
    <n v="29"/>
    <n v="2"/>
    <n v="0"/>
    <n v="11"/>
    <x v="2"/>
    <s v="Jun"/>
  </r>
  <r>
    <n v="3040"/>
    <s v="CA-2017-101749"/>
    <x v="433"/>
    <d v="2017-10-08T00:00:00"/>
    <x v="1"/>
    <s v="AS-10045"/>
    <s v="Aaron Smayling"/>
    <x v="1"/>
    <s v="United States"/>
    <x v="102"/>
    <x v="2"/>
    <n v="91104"/>
    <x v="1"/>
    <s v="FUR-TA-10001520"/>
    <x v="0"/>
    <x v="2"/>
    <s v="Lesro Sheffield Collection Coffee Table, End Table, Center Table, Corner Table"/>
    <n v="171"/>
    <n v="3"/>
    <n v="0.2"/>
    <n v="-6"/>
    <x v="2"/>
    <s v="Oct"/>
  </r>
  <r>
    <n v="3041"/>
    <s v="US-2016-147991"/>
    <x v="399"/>
    <d v="2016-05-09T00:00:00"/>
    <x v="1"/>
    <s v="ZD-21925"/>
    <s v="Zuschuss Donatelli"/>
    <x v="0"/>
    <s v="United States"/>
    <x v="196"/>
    <x v="9"/>
    <n v="37421"/>
    <x v="0"/>
    <s v="FUR-FU-10004270"/>
    <x v="0"/>
    <x v="3"/>
    <s v="Eldon Image Series Desk Accessories, Burgundy"/>
    <n v="17"/>
    <n v="5"/>
    <n v="0.2"/>
    <n v="3"/>
    <x v="4"/>
    <s v="May"/>
  </r>
  <r>
    <n v="3044"/>
    <s v="CA-2017-149559"/>
    <x v="91"/>
    <d v="2017-09-12T00:00:00"/>
    <x v="3"/>
    <s v="KF-16285"/>
    <s v="Karen Ferguson"/>
    <x v="2"/>
    <s v="United States"/>
    <x v="62"/>
    <x v="2"/>
    <n v="90805"/>
    <x v="1"/>
    <s v="FUR-CH-10002320"/>
    <x v="0"/>
    <x v="1"/>
    <s v="Hon Pagoda Stacking Chairs"/>
    <n v="2054"/>
    <n v="8"/>
    <n v="0.2"/>
    <n v="257"/>
    <x v="5"/>
    <s v="Sep"/>
  </r>
  <r>
    <n v="3049"/>
    <s v="CA-2017-121419"/>
    <x v="214"/>
    <d v="2017-04-04T00:00:00"/>
    <x v="2"/>
    <s v="TC-21475"/>
    <s v="Tony Chapman"/>
    <x v="2"/>
    <s v="United States"/>
    <x v="29"/>
    <x v="24"/>
    <n v="31907"/>
    <x v="0"/>
    <s v="FUR-TA-10004534"/>
    <x v="0"/>
    <x v="2"/>
    <s v="Bevis 44 x 96 Conference Tables"/>
    <n v="412"/>
    <n v="2"/>
    <n v="0"/>
    <n v="70"/>
    <x v="3"/>
    <s v="Apr"/>
  </r>
  <r>
    <n v="3051"/>
    <s v="US-2017-148054"/>
    <x v="434"/>
    <d v="2017-10-11T00:00:00"/>
    <x v="1"/>
    <s v="NZ-18565"/>
    <s v="Nick Zandusky"/>
    <x v="2"/>
    <s v="United States"/>
    <x v="197"/>
    <x v="42"/>
    <n v="83642"/>
    <x v="1"/>
    <s v="FUR-FU-10003247"/>
    <x v="0"/>
    <x v="3"/>
    <s v="36X48 HARDFLOOR CHAIRMAT"/>
    <n v="42"/>
    <n v="2"/>
    <n v="0"/>
    <n v="3"/>
    <x v="2"/>
    <s v="Oct"/>
  </r>
  <r>
    <n v="3059"/>
    <s v="CA-2017-131492"/>
    <x v="66"/>
    <d v="2017-10-24T00:00:00"/>
    <x v="0"/>
    <s v="HH-15010"/>
    <s v="Hilary Holden"/>
    <x v="1"/>
    <s v="United States"/>
    <x v="28"/>
    <x v="2"/>
    <n v="94110"/>
    <x v="1"/>
    <s v="FUR-FU-10003878"/>
    <x v="0"/>
    <x v="3"/>
    <s v="Linden 10&quot; Round Wall Clock, Black"/>
    <n v="31"/>
    <n v="2"/>
    <n v="0"/>
    <n v="10"/>
    <x v="2"/>
    <s v="Oct"/>
  </r>
  <r>
    <n v="3060"/>
    <s v="CA-2017-131492"/>
    <x v="66"/>
    <d v="2017-10-24T00:00:00"/>
    <x v="0"/>
    <s v="HH-15010"/>
    <s v="Hilary Holden"/>
    <x v="1"/>
    <s v="United States"/>
    <x v="28"/>
    <x v="2"/>
    <n v="94110"/>
    <x v="1"/>
    <s v="FUR-TA-10003837"/>
    <x v="0"/>
    <x v="2"/>
    <s v="Anderson Hickey Conga Table Tops &amp; Accessories"/>
    <n v="24"/>
    <n v="2"/>
    <n v="0.2"/>
    <n v="-3"/>
    <x v="2"/>
    <s v="Oct"/>
  </r>
  <r>
    <n v="3072"/>
    <s v="CA-2014-119375"/>
    <x v="317"/>
    <d v="2014-11-22T00:00:00"/>
    <x v="1"/>
    <s v="YC-21895"/>
    <s v="Yoseph Carroll"/>
    <x v="1"/>
    <s v="United States"/>
    <x v="19"/>
    <x v="14"/>
    <n v="19711"/>
    <x v="2"/>
    <s v="FUR-FU-10002379"/>
    <x v="0"/>
    <x v="3"/>
    <s v="Eldon Econocleat Chair Mats for Low Pile Carpets"/>
    <n v="124"/>
    <n v="3"/>
    <n v="0"/>
    <n v="15"/>
    <x v="2"/>
    <s v="Nov"/>
  </r>
  <r>
    <n v="3075"/>
    <s v="CA-2015-126137"/>
    <x v="131"/>
    <d v="2015-10-08T00:00:00"/>
    <x v="1"/>
    <s v="BS-11755"/>
    <s v="Bruce Stewart"/>
    <x v="0"/>
    <s v="United States"/>
    <x v="2"/>
    <x v="2"/>
    <n v="90032"/>
    <x v="1"/>
    <s v="FUR-BO-10004409"/>
    <x v="0"/>
    <x v="0"/>
    <s v="Safco Value Mate Series Steel Bookcases, Baked Enamel Finish on Steel, Gray"/>
    <n v="121"/>
    <n v="2"/>
    <n v="0.15"/>
    <n v="18"/>
    <x v="2"/>
    <s v="Oct"/>
  </r>
  <r>
    <n v="3077"/>
    <s v="CA-2014-143903"/>
    <x v="435"/>
    <d v="2014-07-24T00:00:00"/>
    <x v="1"/>
    <s v="KM-16375"/>
    <s v="Katherine Murray"/>
    <x v="2"/>
    <s v="United States"/>
    <x v="144"/>
    <x v="5"/>
    <n v="75217"/>
    <x v="3"/>
    <s v="FUR-FU-10003724"/>
    <x v="0"/>
    <x v="3"/>
    <s v="Westinghouse Clip-On Gooseneck Lamps"/>
    <n v="17"/>
    <n v="5"/>
    <n v="0.6"/>
    <n v="-14"/>
    <x v="4"/>
    <s v="Jul"/>
  </r>
  <r>
    <n v="3078"/>
    <s v="CA-2014-143903"/>
    <x v="435"/>
    <d v="2014-07-24T00:00:00"/>
    <x v="1"/>
    <s v="KM-16375"/>
    <s v="Katherine Murray"/>
    <x v="2"/>
    <s v="United States"/>
    <x v="144"/>
    <x v="5"/>
    <n v="75217"/>
    <x v="3"/>
    <s v="FUR-CH-10002024"/>
    <x v="0"/>
    <x v="1"/>
    <s v="HON 5400 Series Task Chairs for Big and Tall"/>
    <n v="981"/>
    <n v="2"/>
    <n v="0.3"/>
    <n v="-140"/>
    <x v="4"/>
    <s v="Jul"/>
  </r>
  <r>
    <n v="3087"/>
    <s v="CA-2017-118773"/>
    <x v="436"/>
    <d v="2017-02-14T00:00:00"/>
    <x v="1"/>
    <s v="TP-21415"/>
    <s v="Tom Prescott"/>
    <x v="0"/>
    <s v="United States"/>
    <x v="6"/>
    <x v="5"/>
    <n v="77070"/>
    <x v="3"/>
    <s v="FUR-FU-10000550"/>
    <x v="0"/>
    <x v="3"/>
    <s v="Stacking Trays by OIC"/>
    <n v="4"/>
    <n v="2"/>
    <n v="0.6"/>
    <n v="-3"/>
    <x v="2"/>
    <s v="Feb"/>
  </r>
  <r>
    <n v="3089"/>
    <s v="US-2017-159205"/>
    <x v="76"/>
    <d v="2017-04-02T00:00:00"/>
    <x v="0"/>
    <s v="DB-12910"/>
    <s v="Daniel Byrd"/>
    <x v="2"/>
    <s v="United States"/>
    <x v="0"/>
    <x v="0"/>
    <n v="42420"/>
    <x v="0"/>
    <s v="FUR-FU-10001591"/>
    <x v="0"/>
    <x v="3"/>
    <s v="Advantus Panel Wall Certificate Holder - 8.5x11"/>
    <n v="61"/>
    <n v="5"/>
    <n v="0"/>
    <n v="26"/>
    <x v="3"/>
    <s v="Mar"/>
  </r>
  <r>
    <n v="3099"/>
    <s v="CA-2017-135692"/>
    <x v="437"/>
    <d v="2017-05-01T00:00:00"/>
    <x v="1"/>
    <s v="CV-12805"/>
    <s v="Cynthia Voltz"/>
    <x v="1"/>
    <s v="United States"/>
    <x v="50"/>
    <x v="5"/>
    <n v="76106"/>
    <x v="3"/>
    <s v="FUR-BO-10002268"/>
    <x v="0"/>
    <x v="0"/>
    <s v="Sauder Barrister Bookcases"/>
    <n v="220"/>
    <n v="4"/>
    <n v="0.32"/>
    <n v="-42"/>
    <x v="4"/>
    <s v="Apr"/>
  </r>
  <r>
    <n v="3101"/>
    <s v="CA-2017-131233"/>
    <x v="438"/>
    <d v="2017-04-19T00:00:00"/>
    <x v="1"/>
    <s v="CS-12355"/>
    <s v="Christine Sundaresam"/>
    <x v="0"/>
    <s v="United States"/>
    <x v="13"/>
    <x v="7"/>
    <n v="10024"/>
    <x v="2"/>
    <s v="FUR-BO-10003441"/>
    <x v="0"/>
    <x v="0"/>
    <s v="Bush Westfield Collection Bookcases, Fully Assembled"/>
    <n v="242"/>
    <n v="3"/>
    <n v="0.2"/>
    <n v="9"/>
    <x v="2"/>
    <s v="Apr"/>
  </r>
  <r>
    <n v="3103"/>
    <s v="CA-2017-119578"/>
    <x v="313"/>
    <d v="2017-12-27T00:00:00"/>
    <x v="0"/>
    <s v="JG-15310"/>
    <s v="Jason Gross"/>
    <x v="1"/>
    <s v="United States"/>
    <x v="134"/>
    <x v="38"/>
    <n v="2908"/>
    <x v="2"/>
    <s v="FUR-BO-10003660"/>
    <x v="0"/>
    <x v="0"/>
    <s v="Bush Cubix Collection Bookcases, Fully Assembled"/>
    <n v="221"/>
    <n v="1"/>
    <n v="0"/>
    <n v="51"/>
    <x v="2"/>
    <s v="Dec"/>
  </r>
  <r>
    <n v="3116"/>
    <s v="CA-2016-150350"/>
    <x v="427"/>
    <d v="2016-08-30T00:00:00"/>
    <x v="1"/>
    <s v="MS-17770"/>
    <s v="Maxwell Schwartz"/>
    <x v="0"/>
    <s v="United States"/>
    <x v="15"/>
    <x v="13"/>
    <n v="98105"/>
    <x v="1"/>
    <s v="FUR-CH-10001973"/>
    <x v="0"/>
    <x v="1"/>
    <s v="Office Star Flex Back Scooter Chair with White Frame"/>
    <n v="533"/>
    <n v="6"/>
    <n v="0.2"/>
    <n v="-40"/>
    <x v="1"/>
    <s v="Aug"/>
  </r>
  <r>
    <n v="3119"/>
    <s v="CA-2015-121720"/>
    <x v="432"/>
    <d v="2015-06-12T00:00:00"/>
    <x v="2"/>
    <s v="JE-15610"/>
    <s v="Jim Epp"/>
    <x v="1"/>
    <s v="United States"/>
    <x v="49"/>
    <x v="1"/>
    <n v="33801"/>
    <x v="0"/>
    <s v="FUR-CH-10003312"/>
    <x v="0"/>
    <x v="1"/>
    <s v="Hon 2090 ÒPillow SoftÓ Series Mid Back Swivel/Tilt Chairs"/>
    <n v="1124"/>
    <n v="5"/>
    <n v="0.2"/>
    <n v="-183"/>
    <x v="5"/>
    <s v="Jun"/>
  </r>
  <r>
    <n v="3121"/>
    <s v="CA-2015-121720"/>
    <x v="432"/>
    <d v="2015-06-12T00:00:00"/>
    <x v="2"/>
    <s v="JE-15610"/>
    <s v="Jim Epp"/>
    <x v="1"/>
    <s v="United States"/>
    <x v="49"/>
    <x v="1"/>
    <n v="33801"/>
    <x v="0"/>
    <s v="FUR-FU-10003464"/>
    <x v="0"/>
    <x v="3"/>
    <s v="Seth Thomas 8 1/2&quot; Cubicle Clock"/>
    <n v="49"/>
    <n v="3"/>
    <n v="0.2"/>
    <n v="7"/>
    <x v="5"/>
    <s v="Jun"/>
  </r>
  <r>
    <n v="3129"/>
    <s v="CA-2014-136399"/>
    <x v="439"/>
    <d v="2014-12-17T00:00:00"/>
    <x v="2"/>
    <s v="CC-12100"/>
    <s v="Chad Cunningham"/>
    <x v="2"/>
    <s v="United States"/>
    <x v="2"/>
    <x v="2"/>
    <n v="90049"/>
    <x v="1"/>
    <s v="FUR-FU-10004090"/>
    <x v="0"/>
    <x v="3"/>
    <s v="Executive Impressions 14&quot; Contract Wall Clock"/>
    <n v="44"/>
    <n v="2"/>
    <n v="0"/>
    <n v="15"/>
    <x v="5"/>
    <s v="Dec"/>
  </r>
  <r>
    <n v="3130"/>
    <s v="CA-2014-136399"/>
    <x v="439"/>
    <d v="2014-12-17T00:00:00"/>
    <x v="2"/>
    <s v="CC-12100"/>
    <s v="Chad Cunningham"/>
    <x v="2"/>
    <s v="United States"/>
    <x v="2"/>
    <x v="2"/>
    <n v="90049"/>
    <x v="1"/>
    <s v="FUR-CH-10002602"/>
    <x v="0"/>
    <x v="1"/>
    <s v="DMI Arturo Collection Mission-style Design Wood Chair"/>
    <n v="242"/>
    <n v="2"/>
    <n v="0.2"/>
    <n v="18"/>
    <x v="5"/>
    <s v="Dec"/>
  </r>
  <r>
    <n v="3133"/>
    <s v="CA-2014-107916"/>
    <x v="440"/>
    <d v="2014-08-26T00:00:00"/>
    <x v="2"/>
    <s v="JP-15460"/>
    <s v="Jennifer Patt"/>
    <x v="1"/>
    <s v="United States"/>
    <x v="64"/>
    <x v="7"/>
    <n v="11572"/>
    <x v="2"/>
    <s v="FUR-FU-10004586"/>
    <x v="0"/>
    <x v="3"/>
    <s v="G.E. Longer-Life Indoor Recessed Floodlight Bulbs"/>
    <n v="13"/>
    <n v="2"/>
    <n v="0"/>
    <n v="6"/>
    <x v="3"/>
    <s v="Aug"/>
  </r>
  <r>
    <n v="3140"/>
    <s v="CA-2017-164168"/>
    <x v="418"/>
    <d v="2017-11-18T00:00:00"/>
    <x v="1"/>
    <s v="LS-16975"/>
    <s v="Lindsay Shagiari"/>
    <x v="2"/>
    <s v="United States"/>
    <x v="144"/>
    <x v="5"/>
    <n v="75081"/>
    <x v="3"/>
    <s v="FUR-FU-10001756"/>
    <x v="0"/>
    <x v="3"/>
    <s v="Eldon Expressions Desk Accessory, Wood Photo Frame, Mahogany"/>
    <n v="23"/>
    <n v="3"/>
    <n v="0.6"/>
    <n v="-18"/>
    <x v="6"/>
    <s v="Nov"/>
  </r>
  <r>
    <n v="3145"/>
    <s v="US-2016-148110"/>
    <x v="26"/>
    <d v="2016-09-11T00:00:00"/>
    <x v="1"/>
    <s v="AR-10825"/>
    <s v="Anthony Rawles"/>
    <x v="1"/>
    <s v="United States"/>
    <x v="198"/>
    <x v="5"/>
    <n v="78745"/>
    <x v="3"/>
    <s v="FUR-CH-10002647"/>
    <x v="0"/>
    <x v="1"/>
    <s v="Situations Contoured Folding Chairs, 4/Set"/>
    <n v="348"/>
    <n v="7"/>
    <n v="0.3"/>
    <n v="-25"/>
    <x v="6"/>
    <s v="Sep"/>
  </r>
  <r>
    <n v="3146"/>
    <s v="CA-2017-131828"/>
    <x v="441"/>
    <d v="2017-02-13T00:00:00"/>
    <x v="0"/>
    <s v="CS-11845"/>
    <s v="Cari Sayre"/>
    <x v="1"/>
    <s v="United States"/>
    <x v="15"/>
    <x v="13"/>
    <n v="98105"/>
    <x v="1"/>
    <s v="FUR-CH-10004495"/>
    <x v="0"/>
    <x v="1"/>
    <s v="Global Leather and Oak Executive Chair, Black"/>
    <n v="963"/>
    <n v="4"/>
    <n v="0.2"/>
    <n v="108"/>
    <x v="3"/>
    <s v="Feb"/>
  </r>
  <r>
    <n v="3154"/>
    <s v="CA-2015-147830"/>
    <x v="442"/>
    <d v="2015-12-18T00:00:00"/>
    <x v="2"/>
    <s v="NF-18385"/>
    <s v="Natalie Fritzler"/>
    <x v="0"/>
    <s v="United States"/>
    <x v="19"/>
    <x v="15"/>
    <n v="43055"/>
    <x v="2"/>
    <s v="FUR-FU-10004091"/>
    <x v="0"/>
    <x v="3"/>
    <s v="Howard Miller 13&quot; Diameter Goldtone Round Wall Clock"/>
    <n v="263"/>
    <n v="7"/>
    <n v="0.2"/>
    <n v="69"/>
    <x v="0"/>
    <s v="Dec"/>
  </r>
  <r>
    <n v="3157"/>
    <s v="CA-2015-139584"/>
    <x v="108"/>
    <d v="2015-08-28T00:00:00"/>
    <x v="1"/>
    <s v="EM-13810"/>
    <s v="Eleni McCrary"/>
    <x v="1"/>
    <s v="United States"/>
    <x v="13"/>
    <x v="7"/>
    <n v="10009"/>
    <x v="2"/>
    <s v="FUR-TA-10001539"/>
    <x v="0"/>
    <x v="2"/>
    <s v="Chromcraft Rectangular Conference Tables"/>
    <n v="284"/>
    <n v="2"/>
    <n v="0.4"/>
    <n v="-76"/>
    <x v="4"/>
    <s v="Aug"/>
  </r>
  <r>
    <n v="3168"/>
    <s v="CA-2016-146682"/>
    <x v="443"/>
    <d v="2016-10-31T00:00:00"/>
    <x v="2"/>
    <s v="KW-16435"/>
    <s v="Katrina Willman"/>
    <x v="0"/>
    <s v="United States"/>
    <x v="140"/>
    <x v="17"/>
    <n v="48911"/>
    <x v="3"/>
    <s v="FUR-FU-10002671"/>
    <x v="0"/>
    <x v="3"/>
    <s v="Electrix 20W Halogen Replacement Bulb for Zoom-In Desk Lamp"/>
    <n v="67"/>
    <n v="5"/>
    <n v="0"/>
    <n v="32"/>
    <x v="3"/>
    <s v="Oct"/>
  </r>
  <r>
    <n v="3169"/>
    <s v="CA-2016-138695"/>
    <x v="444"/>
    <d v="2016-06-03T00:00:00"/>
    <x v="1"/>
    <s v="KC-16675"/>
    <s v="Kimberly Carter"/>
    <x v="1"/>
    <s v="United States"/>
    <x v="199"/>
    <x v="1"/>
    <n v="32303"/>
    <x v="0"/>
    <s v="FUR-CH-10003833"/>
    <x v="0"/>
    <x v="1"/>
    <s v="Novimex Fabric Task Chair"/>
    <n v="390"/>
    <n v="8"/>
    <n v="0.2"/>
    <n v="-24"/>
    <x v="6"/>
    <s v="May"/>
  </r>
  <r>
    <n v="3173"/>
    <s v="US-2016-133879"/>
    <x v="445"/>
    <d v="2016-03-28T00:00:00"/>
    <x v="1"/>
    <s v="KT-16465"/>
    <s v="Kean Takahito"/>
    <x v="0"/>
    <s v="United States"/>
    <x v="9"/>
    <x v="8"/>
    <n v="60623"/>
    <x v="3"/>
    <s v="FUR-CH-10000665"/>
    <x v="0"/>
    <x v="1"/>
    <s v="Global Airflow Leather Mesh Back Chair, Black"/>
    <n v="528"/>
    <n v="5"/>
    <n v="0.3"/>
    <n v="0"/>
    <x v="1"/>
    <s v="Mar"/>
  </r>
  <r>
    <n v="3176"/>
    <s v="US-2017-132059"/>
    <x v="204"/>
    <d v="2017-09-29T00:00:00"/>
    <x v="1"/>
    <s v="AP-10915"/>
    <s v="Arthur Prichep"/>
    <x v="0"/>
    <s v="United States"/>
    <x v="200"/>
    <x v="12"/>
    <n v="80525"/>
    <x v="1"/>
    <s v="FUR-BO-10001811"/>
    <x v="0"/>
    <x v="0"/>
    <s v="Atlantic Metals Mobile 5-Shelf Bookcases, Custom Colors"/>
    <n v="181"/>
    <n v="2"/>
    <n v="0.7"/>
    <n v="-241"/>
    <x v="6"/>
    <s v="Sep"/>
  </r>
  <r>
    <n v="3179"/>
    <s v="CA-2017-105235"/>
    <x v="446"/>
    <d v="2017-12-11T00:00:00"/>
    <x v="1"/>
    <s v="SM-20950"/>
    <s v="Suzanne McNair"/>
    <x v="1"/>
    <s v="United States"/>
    <x v="13"/>
    <x v="7"/>
    <n v="10011"/>
    <x v="2"/>
    <s v="FUR-FU-10001487"/>
    <x v="0"/>
    <x v="3"/>
    <s v="Eldon Expressions Wood and Plastic Desk Accessories, Cherry Wood"/>
    <n v="21"/>
    <n v="3"/>
    <n v="0"/>
    <n v="6"/>
    <x v="6"/>
    <s v="Dec"/>
  </r>
  <r>
    <n v="3180"/>
    <s v="CA-2017-105235"/>
    <x v="446"/>
    <d v="2017-12-11T00:00:00"/>
    <x v="1"/>
    <s v="SM-20950"/>
    <s v="Suzanne McNair"/>
    <x v="1"/>
    <s v="United States"/>
    <x v="13"/>
    <x v="7"/>
    <n v="10011"/>
    <x v="2"/>
    <s v="FUR-FU-10000521"/>
    <x v="0"/>
    <x v="3"/>
    <s v="Seth Thomas 14&quot; Putty-Colored Wall Clock"/>
    <n v="59"/>
    <n v="2"/>
    <n v="0"/>
    <n v="18"/>
    <x v="6"/>
    <s v="Dec"/>
  </r>
  <r>
    <n v="3201"/>
    <s v="CA-2014-164224"/>
    <x v="447"/>
    <d v="2014-05-20T00:00:00"/>
    <x v="0"/>
    <s v="TT-21070"/>
    <s v="Ted Trevino"/>
    <x v="0"/>
    <s v="United States"/>
    <x v="40"/>
    <x v="15"/>
    <n v="44312"/>
    <x v="2"/>
    <s v="FUR-FU-10000308"/>
    <x v="0"/>
    <x v="3"/>
    <s v="Deflect-o Glass Clear Studded Chair Mats"/>
    <n v="149"/>
    <n v="3"/>
    <n v="0.2"/>
    <n v="4"/>
    <x v="3"/>
    <s v="May"/>
  </r>
  <r>
    <n v="3205"/>
    <s v="CA-2014-158372"/>
    <x v="448"/>
    <d v="2014-11-16T00:00:00"/>
    <x v="1"/>
    <s v="RD-19900"/>
    <s v="Ruben Dartt"/>
    <x v="0"/>
    <s v="United States"/>
    <x v="53"/>
    <x v="2"/>
    <n v="92037"/>
    <x v="1"/>
    <s v="FUR-FU-10000397"/>
    <x v="0"/>
    <x v="3"/>
    <s v="Luxo Economy Swing Arm Lamp"/>
    <n v="40"/>
    <n v="2"/>
    <n v="0"/>
    <n v="11"/>
    <x v="6"/>
    <s v="Nov"/>
  </r>
  <r>
    <n v="3207"/>
    <s v="CA-2014-158372"/>
    <x v="448"/>
    <d v="2014-11-16T00:00:00"/>
    <x v="1"/>
    <s v="RD-19900"/>
    <s v="Ruben Dartt"/>
    <x v="0"/>
    <s v="United States"/>
    <x v="53"/>
    <x v="2"/>
    <n v="92037"/>
    <x v="1"/>
    <s v="FUR-FU-10001867"/>
    <x v="0"/>
    <x v="3"/>
    <s v="Eldon Expressions Punched Metal &amp; Wood Desk Accessories, Pewter &amp; Cherry"/>
    <n v="53"/>
    <n v="5"/>
    <n v="0"/>
    <n v="15"/>
    <x v="6"/>
    <s v="Nov"/>
  </r>
  <r>
    <n v="3231"/>
    <s v="CA-2017-131625"/>
    <x v="449"/>
    <d v="2017-09-05T00:00:00"/>
    <x v="0"/>
    <s v="BN-11515"/>
    <s v="Bradley Nguyen"/>
    <x v="0"/>
    <s v="United States"/>
    <x v="13"/>
    <x v="7"/>
    <n v="10009"/>
    <x v="2"/>
    <s v="FUR-FU-10004960"/>
    <x v="0"/>
    <x v="3"/>
    <s v="Seth Thomas 12&quot; Clock w/ Goldtone Case"/>
    <n v="115"/>
    <n v="5"/>
    <n v="0"/>
    <n v="39"/>
    <x v="4"/>
    <s v="Sep"/>
  </r>
  <r>
    <n v="3236"/>
    <s v="CA-2016-140746"/>
    <x v="450"/>
    <d v="2016-01-15T00:00:00"/>
    <x v="3"/>
    <s v="RC-19825"/>
    <s v="Roy Collins"/>
    <x v="0"/>
    <s v="United States"/>
    <x v="130"/>
    <x v="19"/>
    <n v="6824"/>
    <x v="2"/>
    <s v="FUR-TA-10002903"/>
    <x v="0"/>
    <x v="2"/>
    <s v="Bevis Round Bullnose 29&quot; High Table Top"/>
    <n v="182"/>
    <n v="1"/>
    <n v="0.3"/>
    <n v="-16"/>
    <x v="7"/>
    <s v="Jan"/>
  </r>
  <r>
    <n v="3239"/>
    <s v="US-2016-127971"/>
    <x v="47"/>
    <d v="2016-11-27T00:00:00"/>
    <x v="1"/>
    <s v="DW-13195"/>
    <s v="David Wiener"/>
    <x v="1"/>
    <s v="United States"/>
    <x v="6"/>
    <x v="5"/>
    <n v="77095"/>
    <x v="3"/>
    <s v="FUR-CH-10003774"/>
    <x v="0"/>
    <x v="1"/>
    <s v="Global Wood Trimmed Manager's Task Chair, Khaki"/>
    <n v="318"/>
    <n v="5"/>
    <n v="0.3"/>
    <n v="-77"/>
    <x v="1"/>
    <s v="Nov"/>
  </r>
  <r>
    <n v="3241"/>
    <s v="US-2016-127971"/>
    <x v="47"/>
    <d v="2016-11-27T00:00:00"/>
    <x v="1"/>
    <s v="DW-13195"/>
    <s v="David Wiener"/>
    <x v="1"/>
    <s v="United States"/>
    <x v="6"/>
    <x v="5"/>
    <n v="77095"/>
    <x v="3"/>
    <s v="FUR-FU-10000023"/>
    <x v="0"/>
    <x v="3"/>
    <s v="Eldon Wave Desk Accessories"/>
    <n v="7"/>
    <n v="3"/>
    <n v="0.6"/>
    <n v="-3"/>
    <x v="1"/>
    <s v="Nov"/>
  </r>
  <r>
    <n v="3245"/>
    <s v="CA-2017-113355"/>
    <x v="451"/>
    <d v="2017-12-05T00:00:00"/>
    <x v="1"/>
    <s v="SJ-20215"/>
    <s v="Sarah Jordon"/>
    <x v="0"/>
    <s v="United States"/>
    <x v="141"/>
    <x v="5"/>
    <n v="75051"/>
    <x v="3"/>
    <s v="FUR-CH-10002602"/>
    <x v="0"/>
    <x v="1"/>
    <s v="DMI Arturo Collection Mission-style Design Wood Chair"/>
    <n v="317"/>
    <n v="3"/>
    <n v="0.3"/>
    <n v="-18"/>
    <x v="4"/>
    <s v="Dec"/>
  </r>
  <r>
    <n v="3249"/>
    <s v="CA-2016-159730"/>
    <x v="334"/>
    <d v="2016-09-21T00:00:00"/>
    <x v="1"/>
    <s v="SJ-20125"/>
    <s v="Sanjit Jacobs"/>
    <x v="2"/>
    <s v="United States"/>
    <x v="15"/>
    <x v="13"/>
    <n v="98103"/>
    <x v="1"/>
    <s v="FUR-CH-10004875"/>
    <x v="0"/>
    <x v="1"/>
    <s v="Harbour Creations 67200 Series Stacking Chairs"/>
    <n v="114"/>
    <n v="2"/>
    <n v="0.2"/>
    <n v="10"/>
    <x v="4"/>
    <s v="Sep"/>
  </r>
  <r>
    <n v="3252"/>
    <s v="CA-2017-119389"/>
    <x v="452"/>
    <d v="2017-04-19T00:00:00"/>
    <x v="2"/>
    <s v="BG-11740"/>
    <s v="Bruce Geld"/>
    <x v="0"/>
    <s v="United States"/>
    <x v="3"/>
    <x v="3"/>
    <n v="19120"/>
    <x v="2"/>
    <s v="FUR-FU-10001473"/>
    <x v="0"/>
    <x v="3"/>
    <s v="Eldon Executive Woodline II Desk Accessories, Mahogany"/>
    <n v="60"/>
    <n v="3"/>
    <n v="0.2"/>
    <n v="5"/>
    <x v="3"/>
    <s v="Apr"/>
  </r>
  <r>
    <n v="3258"/>
    <s v="US-2016-161844"/>
    <x v="453"/>
    <d v="2016-12-14T00:00:00"/>
    <x v="0"/>
    <s v="DK-12835"/>
    <s v="Damala Kotsonis"/>
    <x v="1"/>
    <s v="United States"/>
    <x v="20"/>
    <x v="9"/>
    <n v="37064"/>
    <x v="0"/>
    <s v="FUR-TA-10001676"/>
    <x v="0"/>
    <x v="2"/>
    <s v="Hon 61000 Series Interactive Training Tables"/>
    <n v="80"/>
    <n v="3"/>
    <n v="0.4"/>
    <n v="-29"/>
    <x v="2"/>
    <s v="Dec"/>
  </r>
  <r>
    <n v="3273"/>
    <s v="CA-2015-146038"/>
    <x v="289"/>
    <d v="2015-02-16T00:00:00"/>
    <x v="1"/>
    <s v="SJ-20215"/>
    <s v="Sarah Jordon"/>
    <x v="0"/>
    <s v="United States"/>
    <x v="2"/>
    <x v="2"/>
    <n v="90049"/>
    <x v="1"/>
    <s v="FUR-CH-10002774"/>
    <x v="0"/>
    <x v="1"/>
    <s v="Global Deluxe Stacking Chair, Gray"/>
    <n v="204"/>
    <n v="5"/>
    <n v="0.2"/>
    <n v="23"/>
    <x v="1"/>
    <s v="Feb"/>
  </r>
  <r>
    <n v="3284"/>
    <s v="CA-2014-159478"/>
    <x v="454"/>
    <d v="2014-10-06T00:00:00"/>
    <x v="1"/>
    <s v="MH-17785"/>
    <s v="Maya Herman"/>
    <x v="1"/>
    <s v="United States"/>
    <x v="13"/>
    <x v="7"/>
    <n v="10035"/>
    <x v="2"/>
    <s v="FUR-FU-10000221"/>
    <x v="0"/>
    <x v="3"/>
    <s v="Master Caster Door Stop, Brown"/>
    <n v="15"/>
    <n v="3"/>
    <n v="0"/>
    <n v="5"/>
    <x v="6"/>
    <s v="Sep"/>
  </r>
  <r>
    <n v="3294"/>
    <s v="CA-2014-106264"/>
    <x v="22"/>
    <d v="2014-12-30T00:00:00"/>
    <x v="1"/>
    <s v="CK-12595"/>
    <s v="Clytie Kelty"/>
    <x v="0"/>
    <s v="United States"/>
    <x v="53"/>
    <x v="2"/>
    <n v="92024"/>
    <x v="1"/>
    <s v="FUR-FU-10001852"/>
    <x v="0"/>
    <x v="3"/>
    <s v="Eldon Regeneration Recycled Desk Accessories, Smoke"/>
    <n v="3"/>
    <n v="2"/>
    <n v="0"/>
    <n v="1"/>
    <x v="4"/>
    <s v="Dec"/>
  </r>
  <r>
    <n v="3303"/>
    <s v="US-2014-159926"/>
    <x v="356"/>
    <d v="2014-11-22T00:00:00"/>
    <x v="1"/>
    <s v="CS-11950"/>
    <s v="Carlos Soltero"/>
    <x v="0"/>
    <s v="United States"/>
    <x v="3"/>
    <x v="3"/>
    <n v="19140"/>
    <x v="2"/>
    <s v="FUR-FU-10001473"/>
    <x v="0"/>
    <x v="3"/>
    <s v="Eldon Executive Woodline II Desk Accessories, Mahogany"/>
    <n v="60"/>
    <n v="3"/>
    <n v="0.2"/>
    <n v="5"/>
    <x v="4"/>
    <s v="Nov"/>
  </r>
  <r>
    <n v="3312"/>
    <s v="CA-2016-162747"/>
    <x v="174"/>
    <d v="2016-03-25T00:00:00"/>
    <x v="0"/>
    <s v="AH-10030"/>
    <s v="Aaron Hawkins"/>
    <x v="1"/>
    <s v="United States"/>
    <x v="201"/>
    <x v="21"/>
    <n v="39503"/>
    <x v="0"/>
    <s v="FUR-FU-10003691"/>
    <x v="0"/>
    <x v="3"/>
    <s v="Eldon Image Series Desk Accessories, Ebony"/>
    <n v="86"/>
    <n v="7"/>
    <n v="0"/>
    <n v="38"/>
    <x v="2"/>
    <s v="Mar"/>
  </r>
  <r>
    <n v="3313"/>
    <s v="US-2014-133130"/>
    <x v="52"/>
    <d v="2014-10-01T00:00:00"/>
    <x v="1"/>
    <s v="TH-21100"/>
    <s v="Thea Hendricks"/>
    <x v="0"/>
    <s v="United States"/>
    <x v="53"/>
    <x v="2"/>
    <n v="92037"/>
    <x v="1"/>
    <s v="FUR-CH-10002602"/>
    <x v="0"/>
    <x v="1"/>
    <s v="DMI Arturo Collection Mission-style Design Wood Chair"/>
    <n v="604"/>
    <n v="5"/>
    <n v="0.2"/>
    <n v="45"/>
    <x v="4"/>
    <s v="Sep"/>
  </r>
  <r>
    <n v="3315"/>
    <s v="CA-2017-169978"/>
    <x v="455"/>
    <d v="2017-12-28T00:00:00"/>
    <x v="1"/>
    <s v="HG-15025"/>
    <s v="Hunter Glantz"/>
    <x v="0"/>
    <s v="United States"/>
    <x v="64"/>
    <x v="7"/>
    <n v="11572"/>
    <x v="2"/>
    <s v="FUR-CH-10002602"/>
    <x v="0"/>
    <x v="1"/>
    <s v="DMI Arturo Collection Mission-style Design Wood Chair"/>
    <n v="272"/>
    <n v="2"/>
    <n v="0.1"/>
    <n v="48"/>
    <x v="4"/>
    <s v="Dec"/>
  </r>
  <r>
    <n v="3317"/>
    <s v="CA-2017-161739"/>
    <x v="219"/>
    <d v="2017-11-15T00:00:00"/>
    <x v="0"/>
    <s v="EB-13750"/>
    <s v="Edward Becker"/>
    <x v="1"/>
    <s v="United States"/>
    <x v="82"/>
    <x v="5"/>
    <n v="78664"/>
    <x v="3"/>
    <s v="FUR-FU-10001468"/>
    <x v="0"/>
    <x v="3"/>
    <s v="Tenex Antistatic Computer Chair Mats"/>
    <n v="342"/>
    <n v="5"/>
    <n v="0.6"/>
    <n v="-427"/>
    <x v="2"/>
    <s v="Nov"/>
  </r>
  <r>
    <n v="3321"/>
    <s v="CA-2014-134551"/>
    <x v="191"/>
    <d v="2014-12-25T00:00:00"/>
    <x v="1"/>
    <s v="TS-21505"/>
    <s v="Tony Sayre"/>
    <x v="0"/>
    <s v="United States"/>
    <x v="11"/>
    <x v="9"/>
    <n v="38401"/>
    <x v="0"/>
    <s v="FUR-CH-10004287"/>
    <x v="0"/>
    <x v="1"/>
    <s v="SAFCO Arco Folding Chair"/>
    <n v="663"/>
    <n v="3"/>
    <n v="0.2"/>
    <n v="75"/>
    <x v="2"/>
    <s v="Dec"/>
  </r>
  <r>
    <n v="3324"/>
    <s v="CA-2015-120810"/>
    <x v="456"/>
    <d v="2015-07-27T00:00:00"/>
    <x v="1"/>
    <s v="TH-21550"/>
    <s v="Tracy Hopkins"/>
    <x v="2"/>
    <s v="United States"/>
    <x v="13"/>
    <x v="7"/>
    <n v="10009"/>
    <x v="2"/>
    <s v="FUR-FU-10002253"/>
    <x v="0"/>
    <x v="3"/>
    <s v="Howard Miller 13&quot; Diameter Pewter Finish Round Wall Clock"/>
    <n v="129"/>
    <n v="3"/>
    <n v="0"/>
    <n v="50"/>
    <x v="4"/>
    <s v="Jul"/>
  </r>
  <r>
    <n v="3334"/>
    <s v="CA-2017-122595"/>
    <x v="417"/>
    <d v="2017-12-20T00:00:00"/>
    <x v="1"/>
    <s v="GM-14455"/>
    <s v="Gary Mitchum"/>
    <x v="2"/>
    <s v="United States"/>
    <x v="9"/>
    <x v="8"/>
    <n v="60653"/>
    <x v="3"/>
    <s v="FUR-FU-10002963"/>
    <x v="0"/>
    <x v="3"/>
    <s v="Master Caster Door Stop, Gray"/>
    <n v="2"/>
    <n v="1"/>
    <n v="0.6"/>
    <n v="-1"/>
    <x v="6"/>
    <s v="Dec"/>
  </r>
  <r>
    <n v="3337"/>
    <s v="US-2017-109253"/>
    <x v="67"/>
    <d v="2017-08-22T00:00:00"/>
    <x v="2"/>
    <s v="PR-18880"/>
    <s v="Patrick Ryan"/>
    <x v="0"/>
    <s v="United States"/>
    <x v="121"/>
    <x v="2"/>
    <n v="94601"/>
    <x v="1"/>
    <s v="FUR-FU-10000193"/>
    <x v="0"/>
    <x v="3"/>
    <s v="Tenex Chairmats For Use with Hard Floors"/>
    <n v="130"/>
    <n v="4"/>
    <n v="0"/>
    <n v="10"/>
    <x v="5"/>
    <s v="Aug"/>
  </r>
  <r>
    <n v="3338"/>
    <s v="US-2017-109253"/>
    <x v="67"/>
    <d v="2017-08-22T00:00:00"/>
    <x v="2"/>
    <s v="PR-18880"/>
    <s v="Patrick Ryan"/>
    <x v="0"/>
    <s v="United States"/>
    <x v="121"/>
    <x v="2"/>
    <n v="94601"/>
    <x v="1"/>
    <s v="FUR-TA-10001539"/>
    <x v="0"/>
    <x v="2"/>
    <s v="Chromcraft Rectangular Conference Tables"/>
    <n v="569"/>
    <n v="3"/>
    <n v="0.2"/>
    <n v="28"/>
    <x v="5"/>
    <s v="Aug"/>
  </r>
  <r>
    <n v="3343"/>
    <s v="CA-2016-145982"/>
    <x v="457"/>
    <d v="2016-09-01T00:00:00"/>
    <x v="0"/>
    <s v="TB-21055"/>
    <s v="Ted Butterfield"/>
    <x v="0"/>
    <s v="United States"/>
    <x v="202"/>
    <x v="20"/>
    <n v="2169"/>
    <x v="2"/>
    <s v="FUR-TA-10001307"/>
    <x v="0"/>
    <x v="2"/>
    <s v="SAFCO PlanMaster Heigh-Adjustable Drafting Table Base, 43w x 30d x 30-37h, Black"/>
    <n v="245"/>
    <n v="1"/>
    <n v="0.3"/>
    <n v="21"/>
    <x v="2"/>
    <s v="Aug"/>
  </r>
  <r>
    <n v="3352"/>
    <s v="US-2014-134733"/>
    <x v="458"/>
    <d v="2014-09-28T00:00:00"/>
    <x v="1"/>
    <s v="BM-11650"/>
    <s v="Brian Moss"/>
    <x v="1"/>
    <s v="United States"/>
    <x v="53"/>
    <x v="2"/>
    <n v="92037"/>
    <x v="1"/>
    <s v="FUR-BO-10002916"/>
    <x v="0"/>
    <x v="0"/>
    <s v="Rush Hierlooms Collection 1&quot; Thick Stackable Bookcases"/>
    <n v="436"/>
    <n v="3"/>
    <n v="0.15"/>
    <n v="21"/>
    <x v="2"/>
    <s v="Sep"/>
  </r>
  <r>
    <n v="3355"/>
    <s v="US-2014-150434"/>
    <x v="459"/>
    <d v="2014-07-24T00:00:00"/>
    <x v="1"/>
    <s v="CA-12310"/>
    <s v="Christine Abelman"/>
    <x v="1"/>
    <s v="United States"/>
    <x v="203"/>
    <x v="19"/>
    <n v="6010"/>
    <x v="2"/>
    <s v="FUR-TA-10004152"/>
    <x v="0"/>
    <x v="2"/>
    <s v="Barricks 18&quot; x 48&quot; Non-Folding Utility Table with Bottom Storage Shelf"/>
    <n v="71"/>
    <n v="1"/>
    <n v="0.3"/>
    <n v="-4"/>
    <x v="2"/>
    <s v="Jul"/>
  </r>
  <r>
    <n v="3362"/>
    <s v="US-2015-142020"/>
    <x v="460"/>
    <d v="2015-06-08T00:00:00"/>
    <x v="0"/>
    <s v="TC-21535"/>
    <s v="Tracy Collins"/>
    <x v="2"/>
    <s v="United States"/>
    <x v="13"/>
    <x v="7"/>
    <n v="10024"/>
    <x v="2"/>
    <s v="FUR-FU-10000672"/>
    <x v="0"/>
    <x v="3"/>
    <s v="Executive Impressions 10&quot; Spectator Wall Clock"/>
    <n v="35"/>
    <n v="3"/>
    <n v="0"/>
    <n v="12"/>
    <x v="4"/>
    <s v="Jun"/>
  </r>
  <r>
    <n v="3365"/>
    <s v="CA-2016-130050"/>
    <x v="461"/>
    <d v="2016-07-18T00:00:00"/>
    <x v="0"/>
    <s v="MC-17425"/>
    <s v="Mark Cousins"/>
    <x v="1"/>
    <s v="United States"/>
    <x v="6"/>
    <x v="5"/>
    <n v="77036"/>
    <x v="3"/>
    <s v="FUR-FU-10001940"/>
    <x v="0"/>
    <x v="3"/>
    <s v="Staple-based wall hangings"/>
    <n v="10"/>
    <n v="3"/>
    <n v="0.6"/>
    <n v="-4"/>
    <x v="3"/>
    <s v="Jul"/>
  </r>
  <r>
    <n v="3366"/>
    <s v="CA-2014-115161"/>
    <x v="462"/>
    <d v="2014-02-02T00:00:00"/>
    <x v="2"/>
    <s v="LC-17050"/>
    <s v="Liz Carlisle"/>
    <x v="0"/>
    <s v="United States"/>
    <x v="204"/>
    <x v="2"/>
    <n v="92691"/>
    <x v="1"/>
    <s v="FUR-BO-10003966"/>
    <x v="0"/>
    <x v="0"/>
    <s v="Sauder Facets Collection Library, Sky Alder Finish"/>
    <n v="291"/>
    <n v="2"/>
    <n v="0.15"/>
    <n v="3"/>
    <x v="3"/>
    <s v="Jan"/>
  </r>
  <r>
    <n v="3369"/>
    <s v="CA-2015-115511"/>
    <x v="32"/>
    <d v="2015-11-25T00:00:00"/>
    <x v="1"/>
    <s v="NW-18400"/>
    <s v="Natalie Webber"/>
    <x v="0"/>
    <s v="United States"/>
    <x v="205"/>
    <x v="34"/>
    <n v="89115"/>
    <x v="1"/>
    <s v="FUR-BO-10002598"/>
    <x v="0"/>
    <x v="0"/>
    <s v="Hon Metal Bookcases, Putty"/>
    <n v="142"/>
    <n v="2"/>
    <n v="0"/>
    <n v="41"/>
    <x v="4"/>
    <s v="Nov"/>
  </r>
  <r>
    <n v="3374"/>
    <s v="CA-2015-161718"/>
    <x v="463"/>
    <d v="2015-12-10T00:00:00"/>
    <x v="1"/>
    <s v="SO-20335"/>
    <s v="Sean O'Donnell"/>
    <x v="0"/>
    <s v="United States"/>
    <x v="206"/>
    <x v="7"/>
    <n v="11550"/>
    <x v="2"/>
    <s v="FUR-FU-10002445"/>
    <x v="0"/>
    <x v="3"/>
    <s v="DAX Two-Tone Rosewood/Black Document Frame, Desktop, 5 x 7"/>
    <n v="28"/>
    <n v="3"/>
    <n v="0"/>
    <n v="11"/>
    <x v="6"/>
    <s v="Dec"/>
  </r>
  <r>
    <n v="3375"/>
    <s v="CA-2015-161718"/>
    <x v="463"/>
    <d v="2015-12-10T00:00:00"/>
    <x v="1"/>
    <s v="SO-20335"/>
    <s v="Sean O'Donnell"/>
    <x v="0"/>
    <s v="United States"/>
    <x v="206"/>
    <x v="7"/>
    <n v="11550"/>
    <x v="2"/>
    <s v="FUR-CH-10002372"/>
    <x v="0"/>
    <x v="1"/>
    <s v="Office Star - Ergonomically Designed Knee Chair"/>
    <n v="364"/>
    <n v="5"/>
    <n v="0.1"/>
    <n v="8"/>
    <x v="6"/>
    <s v="Dec"/>
  </r>
  <r>
    <n v="3377"/>
    <s v="CA-2015-161718"/>
    <x v="463"/>
    <d v="2015-12-10T00:00:00"/>
    <x v="1"/>
    <s v="SO-20335"/>
    <s v="Sean O'Donnell"/>
    <x v="0"/>
    <s v="United States"/>
    <x v="206"/>
    <x v="7"/>
    <n v="11550"/>
    <x v="2"/>
    <s v="FUR-CH-10002965"/>
    <x v="0"/>
    <x v="1"/>
    <s v="Global Leather Highback Executive Chair with Pneumatic Height Adjustment, Black"/>
    <n v="362"/>
    <n v="2"/>
    <n v="0.1"/>
    <n v="68"/>
    <x v="6"/>
    <s v="Dec"/>
  </r>
  <r>
    <n v="3381"/>
    <s v="CA-2017-103156"/>
    <x v="68"/>
    <d v="2017-11-24T00:00:00"/>
    <x v="2"/>
    <s v="TD-20995"/>
    <s v="Tamara Dahlen"/>
    <x v="0"/>
    <s v="United States"/>
    <x v="3"/>
    <x v="3"/>
    <n v="19120"/>
    <x v="2"/>
    <s v="FUR-FU-10000320"/>
    <x v="0"/>
    <x v="3"/>
    <s v="OIC Stacking Trays"/>
    <n v="24"/>
    <n v="9"/>
    <n v="0.2"/>
    <n v="7"/>
    <x v="5"/>
    <s v="Nov"/>
  </r>
  <r>
    <n v="3384"/>
    <s v="CA-2015-130659"/>
    <x v="463"/>
    <d v="2015-12-09T00:00:00"/>
    <x v="0"/>
    <s v="MS-17365"/>
    <s v="Maribeth Schnelling"/>
    <x v="0"/>
    <s v="United States"/>
    <x v="13"/>
    <x v="7"/>
    <n v="10035"/>
    <x v="2"/>
    <s v="FUR-CH-10003535"/>
    <x v="0"/>
    <x v="1"/>
    <s v="Global Armless Task Chair, Royal Blue"/>
    <n v="384"/>
    <n v="7"/>
    <n v="0.1"/>
    <n v="30"/>
    <x v="2"/>
    <s v="Dec"/>
  </r>
  <r>
    <n v="3390"/>
    <s v="CA-2017-148404"/>
    <x v="273"/>
    <d v="2017-10-11T00:00:00"/>
    <x v="1"/>
    <s v="Dp-13240"/>
    <s v="Dean percer"/>
    <x v="2"/>
    <s v="United States"/>
    <x v="127"/>
    <x v="30"/>
    <n v="28205"/>
    <x v="0"/>
    <s v="FUR-TA-10001039"/>
    <x v="0"/>
    <x v="2"/>
    <s v="KI Adjustable-Height Table"/>
    <n v="155"/>
    <n v="3"/>
    <n v="0.4"/>
    <n v="-36"/>
    <x v="4"/>
    <s v="Oct"/>
  </r>
  <r>
    <n v="3403"/>
    <s v="CA-2015-129700"/>
    <x v="50"/>
    <d v="2015-05-05T00:00:00"/>
    <x v="2"/>
    <s v="LA-16780"/>
    <s v="Laura Armstrong"/>
    <x v="1"/>
    <s v="United States"/>
    <x v="207"/>
    <x v="8"/>
    <n v="60477"/>
    <x v="3"/>
    <s v="FUR-FU-10001940"/>
    <x v="0"/>
    <x v="3"/>
    <s v="Staple-based wall hangings"/>
    <n v="22"/>
    <n v="7"/>
    <n v="0.6"/>
    <n v="-9"/>
    <x v="5"/>
    <s v="May"/>
  </r>
  <r>
    <n v="3404"/>
    <s v="CA-2017-168739"/>
    <x v="464"/>
    <d v="2017-06-05T00:00:00"/>
    <x v="1"/>
    <s v="HZ-14950"/>
    <s v="Henia Zydlo"/>
    <x v="0"/>
    <s v="United States"/>
    <x v="6"/>
    <x v="5"/>
    <n v="77095"/>
    <x v="3"/>
    <s v="FUR-FU-10003919"/>
    <x v="0"/>
    <x v="3"/>
    <s v="Eldon Executive Woodline II Cherry Finish Desk Accessories"/>
    <n v="65"/>
    <n v="4"/>
    <n v="0.6"/>
    <n v="-52"/>
    <x v="1"/>
    <s v="May"/>
  </r>
  <r>
    <n v="3406"/>
    <s v="US-2014-150119"/>
    <x v="465"/>
    <d v="2014-04-27T00:00:00"/>
    <x v="1"/>
    <s v="LB-16795"/>
    <s v="Laurel Beltran"/>
    <x v="2"/>
    <s v="United States"/>
    <x v="29"/>
    <x v="15"/>
    <n v="43229"/>
    <x v="2"/>
    <s v="FUR-CH-10002965"/>
    <x v="0"/>
    <x v="1"/>
    <s v="Global Leather Highback Executive Chair with Pneumatic Height Adjustment, Black"/>
    <n v="281"/>
    <n v="2"/>
    <n v="0.3"/>
    <n v="-12"/>
    <x v="4"/>
    <s v="Apr"/>
  </r>
  <r>
    <n v="3407"/>
    <s v="US-2014-150119"/>
    <x v="465"/>
    <d v="2014-04-27T00:00:00"/>
    <x v="1"/>
    <s v="LB-16795"/>
    <s v="Laurel Beltran"/>
    <x v="2"/>
    <s v="United States"/>
    <x v="29"/>
    <x v="15"/>
    <n v="43229"/>
    <x v="2"/>
    <s v="FUR-CH-10002965"/>
    <x v="0"/>
    <x v="1"/>
    <s v="Global Leather Highback Executive Chair with Pneumatic Height Adjustment, Black"/>
    <n v="281"/>
    <n v="2"/>
    <n v="0.3"/>
    <n v="-12"/>
    <x v="4"/>
    <s v="Apr"/>
  </r>
  <r>
    <n v="3409"/>
    <s v="US-2014-150119"/>
    <x v="465"/>
    <d v="2014-04-27T00:00:00"/>
    <x v="1"/>
    <s v="LB-16795"/>
    <s v="Laurel Beltran"/>
    <x v="2"/>
    <s v="United States"/>
    <x v="29"/>
    <x v="15"/>
    <n v="43229"/>
    <x v="2"/>
    <s v="FUR-FU-10002191"/>
    <x v="0"/>
    <x v="3"/>
    <s v="G.E. Halogen Desk Lamp Bulbs"/>
    <n v="22"/>
    <n v="4"/>
    <n v="0.2"/>
    <n v="8"/>
    <x v="4"/>
    <s v="Apr"/>
  </r>
  <r>
    <n v="3420"/>
    <s v="CA-2015-150791"/>
    <x v="329"/>
    <d v="2015-09-13T00:00:00"/>
    <x v="1"/>
    <s v="CC-12430"/>
    <s v="Chuck Clark"/>
    <x v="2"/>
    <s v="United States"/>
    <x v="13"/>
    <x v="7"/>
    <n v="10024"/>
    <x v="2"/>
    <s v="FUR-CH-10000665"/>
    <x v="0"/>
    <x v="1"/>
    <s v="Global Airflow Leather Mesh Back Chair, Black"/>
    <n v="272"/>
    <n v="2"/>
    <n v="0.1"/>
    <n v="60"/>
    <x v="1"/>
    <s v="Sep"/>
  </r>
  <r>
    <n v="3427"/>
    <s v="CA-2015-153381"/>
    <x v="262"/>
    <d v="2015-09-28T00:00:00"/>
    <x v="1"/>
    <s v="DE-13255"/>
    <s v="Deanra Eno"/>
    <x v="2"/>
    <s v="United States"/>
    <x v="208"/>
    <x v="26"/>
    <n v="52001"/>
    <x v="3"/>
    <s v="FUR-CH-10000988"/>
    <x v="0"/>
    <x v="1"/>
    <s v="Hon Olson Stacker Stools"/>
    <n v="1408"/>
    <n v="10"/>
    <n v="0"/>
    <n v="394"/>
    <x v="4"/>
    <s v="Sep"/>
  </r>
  <r>
    <n v="3429"/>
    <s v="US-2017-111024"/>
    <x v="209"/>
    <d v="2017-07-06T00:00:00"/>
    <x v="0"/>
    <s v="SZ-20035"/>
    <s v="Sam Zeldin"/>
    <x v="2"/>
    <s v="United States"/>
    <x v="68"/>
    <x v="15"/>
    <n v="43130"/>
    <x v="2"/>
    <s v="FUR-TA-10002041"/>
    <x v="0"/>
    <x v="2"/>
    <s v="Bevis Round Conference Table Top, X-Base"/>
    <n v="215"/>
    <n v="2"/>
    <n v="0.4"/>
    <n v="-104"/>
    <x v="0"/>
    <s v="Jul"/>
  </r>
  <r>
    <n v="3432"/>
    <s v="CA-2017-148264"/>
    <x v="64"/>
    <d v="2017-12-09T00:00:00"/>
    <x v="2"/>
    <s v="LF-17185"/>
    <s v="Luke Foster"/>
    <x v="0"/>
    <s v="United States"/>
    <x v="209"/>
    <x v="2"/>
    <n v="90301"/>
    <x v="1"/>
    <s v="FUR-FU-10002703"/>
    <x v="0"/>
    <x v="3"/>
    <s v="Tenex Traditional Chairmats for Hard Floors, Average Lip, 36&quot; x 48&quot;"/>
    <n v="129"/>
    <n v="2"/>
    <n v="0"/>
    <n v="15"/>
    <x v="5"/>
    <s v="Dec"/>
  </r>
  <r>
    <n v="3437"/>
    <s v="US-2015-100531"/>
    <x v="466"/>
    <d v="2015-09-29T00:00:00"/>
    <x v="2"/>
    <s v="NM-18520"/>
    <s v="Neoma Murray"/>
    <x v="0"/>
    <s v="United States"/>
    <x v="9"/>
    <x v="8"/>
    <n v="60610"/>
    <x v="3"/>
    <s v="FUR-FU-10003849"/>
    <x v="0"/>
    <x v="3"/>
    <s v="DAX Metal Frame, Desktop, Stepped-Edge"/>
    <n v="24"/>
    <n v="3"/>
    <n v="0.6"/>
    <n v="-13"/>
    <x v="3"/>
    <s v="Sep"/>
  </r>
  <r>
    <n v="3438"/>
    <s v="CA-2017-152583"/>
    <x v="242"/>
    <d v="2017-10-30T00:00:00"/>
    <x v="3"/>
    <s v="RA-19945"/>
    <s v="Ryan Akin"/>
    <x v="0"/>
    <s v="United States"/>
    <x v="144"/>
    <x v="5"/>
    <n v="75217"/>
    <x v="3"/>
    <s v="FUR-FU-10003849"/>
    <x v="0"/>
    <x v="3"/>
    <s v="DAX Metal Frame, Desktop, Stepped-Edge"/>
    <n v="16"/>
    <n v="2"/>
    <n v="0.6"/>
    <n v="-9"/>
    <x v="7"/>
    <s v="Oct"/>
  </r>
  <r>
    <n v="3439"/>
    <s v="CA-2017-152583"/>
    <x v="242"/>
    <d v="2017-10-30T00:00:00"/>
    <x v="3"/>
    <s v="RA-19945"/>
    <s v="Ryan Akin"/>
    <x v="0"/>
    <s v="United States"/>
    <x v="144"/>
    <x v="5"/>
    <n v="75217"/>
    <x v="3"/>
    <s v="FUR-TA-10002041"/>
    <x v="0"/>
    <x v="2"/>
    <s v="Bevis Round Conference Table Top, X-Base"/>
    <n v="251"/>
    <n v="2"/>
    <n v="0.3"/>
    <n v="-68"/>
    <x v="7"/>
    <s v="Oct"/>
  </r>
  <r>
    <n v="3458"/>
    <s v="CA-2017-136448"/>
    <x v="467"/>
    <d v="2017-09-18T00:00:00"/>
    <x v="2"/>
    <s v="AS-10090"/>
    <s v="Adam Shillingsburg"/>
    <x v="0"/>
    <s v="United States"/>
    <x v="3"/>
    <x v="3"/>
    <n v="19143"/>
    <x v="2"/>
    <s v="FUR-FU-10003832"/>
    <x v="0"/>
    <x v="3"/>
    <s v="Eldon Expressions Punched Metal &amp; Wood Desk Accessories, Black &amp; Cherry"/>
    <n v="23"/>
    <n v="3"/>
    <n v="0.2"/>
    <n v="2"/>
    <x v="3"/>
    <s v="Sep"/>
  </r>
  <r>
    <n v="3467"/>
    <s v="US-2015-147242"/>
    <x v="468"/>
    <d v="2015-09-14T00:00:00"/>
    <x v="1"/>
    <s v="EH-13765"/>
    <s v="Edward Hooks"/>
    <x v="1"/>
    <s v="United States"/>
    <x v="210"/>
    <x v="20"/>
    <n v="2151"/>
    <x v="2"/>
    <s v="FUR-BO-10004695"/>
    <x v="0"/>
    <x v="0"/>
    <s v="O'Sullivan 2-Door Barrister Bookcase in Odessa Pine"/>
    <n v="362"/>
    <n v="2"/>
    <n v="0"/>
    <n v="83"/>
    <x v="4"/>
    <s v="Sep"/>
  </r>
  <r>
    <n v="3469"/>
    <s v="CA-2016-146143"/>
    <x v="469"/>
    <d v="2016-12-19T00:00:00"/>
    <x v="1"/>
    <s v="MC-17845"/>
    <s v="Michael Chen"/>
    <x v="0"/>
    <s v="United States"/>
    <x v="38"/>
    <x v="21"/>
    <n v="39212"/>
    <x v="0"/>
    <s v="FUR-FU-10002045"/>
    <x v="0"/>
    <x v="3"/>
    <s v="Executive Impressions 14&quot;"/>
    <n v="133"/>
    <n v="6"/>
    <n v="0"/>
    <n v="59"/>
    <x v="2"/>
    <s v="Dec"/>
  </r>
  <r>
    <n v="3471"/>
    <s v="US-2016-150035"/>
    <x v="193"/>
    <d v="2016-12-05T00:00:00"/>
    <x v="1"/>
    <s v="CL-11890"/>
    <s v="Carl Ludwig"/>
    <x v="0"/>
    <s v="United States"/>
    <x v="28"/>
    <x v="2"/>
    <n v="94122"/>
    <x v="1"/>
    <s v="FUR-FU-10003724"/>
    <x v="0"/>
    <x v="3"/>
    <s v="Westinghouse Clip-On Gooseneck Lamps"/>
    <n v="17"/>
    <n v="2"/>
    <n v="0"/>
    <n v="4"/>
    <x v="4"/>
    <s v="Dec"/>
  </r>
  <r>
    <n v="3474"/>
    <s v="CA-2017-111815"/>
    <x v="470"/>
    <d v="2017-03-10T00:00:00"/>
    <x v="1"/>
    <s v="EP-13915"/>
    <s v="Emily Phan"/>
    <x v="0"/>
    <s v="United States"/>
    <x v="211"/>
    <x v="17"/>
    <n v="48127"/>
    <x v="3"/>
    <s v="FUR-CH-10000785"/>
    <x v="0"/>
    <x v="1"/>
    <s v="Global Ergonomic Managers Chair"/>
    <n v="181"/>
    <n v="1"/>
    <n v="0"/>
    <n v="47"/>
    <x v="1"/>
    <s v="Mar"/>
  </r>
  <r>
    <n v="3481"/>
    <s v="CA-2016-131289"/>
    <x v="6"/>
    <d v="2016-12-14T00:00:00"/>
    <x v="1"/>
    <s v="SP-20620"/>
    <s v="Stefania Perrino"/>
    <x v="1"/>
    <s v="United States"/>
    <x v="28"/>
    <x v="2"/>
    <n v="94110"/>
    <x v="1"/>
    <s v="FUR-TA-10003954"/>
    <x v="0"/>
    <x v="2"/>
    <s v="Hon 94000 Series Round Tables"/>
    <n v="1422"/>
    <n v="6"/>
    <n v="0.2"/>
    <n v="-195"/>
    <x v="6"/>
    <s v="Dec"/>
  </r>
  <r>
    <n v="3482"/>
    <s v="CA-2014-124023"/>
    <x v="471"/>
    <d v="2014-04-10T00:00:00"/>
    <x v="2"/>
    <s v="PJ-19015"/>
    <s v="Pauline Johnson"/>
    <x v="0"/>
    <s v="United States"/>
    <x v="212"/>
    <x v="33"/>
    <n v="36608"/>
    <x v="0"/>
    <s v="FUR-FU-10004415"/>
    <x v="0"/>
    <x v="3"/>
    <s v="Stacking Tray, Side-Loading, Legal, Smoke"/>
    <n v="9"/>
    <n v="2"/>
    <n v="0"/>
    <n v="3"/>
    <x v="0"/>
    <s v="Apr"/>
  </r>
  <r>
    <n v="3484"/>
    <s v="CA-2014-124688"/>
    <x v="472"/>
    <d v="2014-08-29T00:00:00"/>
    <x v="2"/>
    <s v="CC-12610"/>
    <s v="Corey Catlett"/>
    <x v="1"/>
    <s v="United States"/>
    <x v="76"/>
    <x v="25"/>
    <n v="22153"/>
    <x v="0"/>
    <s v="FUR-FU-10002456"/>
    <x v="0"/>
    <x v="3"/>
    <s v="Master Caster Door Stop, Large Neon Orange"/>
    <n v="29"/>
    <n v="4"/>
    <n v="0"/>
    <n v="13"/>
    <x v="3"/>
    <s v="Aug"/>
  </r>
  <r>
    <n v="3485"/>
    <s v="CA-2014-124688"/>
    <x v="472"/>
    <d v="2014-08-29T00:00:00"/>
    <x v="2"/>
    <s v="CC-12610"/>
    <s v="Corey Catlett"/>
    <x v="1"/>
    <s v="United States"/>
    <x v="76"/>
    <x v="25"/>
    <n v="22153"/>
    <x v="0"/>
    <s v="FUR-TA-10003569"/>
    <x v="0"/>
    <x v="2"/>
    <s v="Bretford CR8500 Series Meeting Room Furniture"/>
    <n v="1203"/>
    <n v="3"/>
    <n v="0"/>
    <n v="301"/>
    <x v="3"/>
    <s v="Aug"/>
  </r>
  <r>
    <n v="3489"/>
    <s v="CA-2015-157322"/>
    <x v="473"/>
    <d v="2015-07-06T00:00:00"/>
    <x v="1"/>
    <s v="RH-19600"/>
    <s v="Rob Haberlin"/>
    <x v="0"/>
    <s v="United States"/>
    <x v="213"/>
    <x v="8"/>
    <n v="60188"/>
    <x v="3"/>
    <s v="FUR-CH-10004086"/>
    <x v="0"/>
    <x v="1"/>
    <s v="Hon 4070 Series Pagoda Armless Upholstered Stacking Chairs"/>
    <n v="408"/>
    <n v="2"/>
    <n v="0.3"/>
    <n v="-6"/>
    <x v="4"/>
    <s v="Jul"/>
  </r>
  <r>
    <n v="3490"/>
    <s v="CA-2015-157322"/>
    <x v="473"/>
    <d v="2015-07-06T00:00:00"/>
    <x v="1"/>
    <s v="RH-19600"/>
    <s v="Rob Haberlin"/>
    <x v="0"/>
    <s v="United States"/>
    <x v="213"/>
    <x v="8"/>
    <n v="60188"/>
    <x v="3"/>
    <s v="FUR-CH-10003774"/>
    <x v="0"/>
    <x v="1"/>
    <s v="Global Wood Trimmed Manager's Task Chair, Khaki"/>
    <n v="382"/>
    <n v="6"/>
    <n v="0.3"/>
    <n v="-93"/>
    <x v="4"/>
    <s v="Jul"/>
  </r>
  <r>
    <n v="3496"/>
    <s v="CA-2017-142034"/>
    <x v="118"/>
    <d v="2017-09-28T00:00:00"/>
    <x v="1"/>
    <s v="KB-16240"/>
    <s v="Karen Bern"/>
    <x v="1"/>
    <s v="United States"/>
    <x v="214"/>
    <x v="11"/>
    <n v="56301"/>
    <x v="3"/>
    <s v="FUR-CH-10000665"/>
    <x v="0"/>
    <x v="1"/>
    <s v="Global Airflow Leather Mesh Back Chair, Black"/>
    <n v="604"/>
    <n v="4"/>
    <n v="0"/>
    <n v="181"/>
    <x v="4"/>
    <s v="Sep"/>
  </r>
  <r>
    <n v="3497"/>
    <s v="CA-2016-107328"/>
    <x v="474"/>
    <d v="2016-08-15T00:00:00"/>
    <x v="1"/>
    <s v="CA-12055"/>
    <s v="Cathy Armstrong"/>
    <x v="2"/>
    <s v="United States"/>
    <x v="2"/>
    <x v="2"/>
    <n v="90036"/>
    <x v="1"/>
    <s v="FUR-TA-10001932"/>
    <x v="0"/>
    <x v="2"/>
    <s v="Chromcraft 48&quot; x 96&quot; Racetrack Double Pedestal Table"/>
    <n v="513"/>
    <n v="2"/>
    <n v="0.2"/>
    <n v="13"/>
    <x v="1"/>
    <s v="Aug"/>
  </r>
  <r>
    <n v="3508"/>
    <s v="CA-2014-166863"/>
    <x v="475"/>
    <d v="2014-06-24T00:00:00"/>
    <x v="1"/>
    <s v="SC-20020"/>
    <s v="Sam Craven"/>
    <x v="0"/>
    <s v="United States"/>
    <x v="215"/>
    <x v="5"/>
    <n v="75023"/>
    <x v="3"/>
    <s v="FUR-BO-10001608"/>
    <x v="0"/>
    <x v="0"/>
    <s v="Hon Metal Bookcases, Black"/>
    <n v="193"/>
    <n v="4"/>
    <n v="0.32"/>
    <n v="-20"/>
    <x v="4"/>
    <s v="Jun"/>
  </r>
  <r>
    <n v="3513"/>
    <s v="CA-2017-140326"/>
    <x v="362"/>
    <d v="2017-09-06T00:00:00"/>
    <x v="2"/>
    <s v="HW-14935"/>
    <s v="Helen Wasserman"/>
    <x v="1"/>
    <s v="United States"/>
    <x v="9"/>
    <x v="8"/>
    <n v="60653"/>
    <x v="3"/>
    <s v="FUR-BO-10000112"/>
    <x v="0"/>
    <x v="0"/>
    <s v="Bush Birmingham Collection Bookcase, Dark Cherry"/>
    <n v="825"/>
    <n v="9"/>
    <n v="0.3"/>
    <n v="-118"/>
    <x v="3"/>
    <s v="Sep"/>
  </r>
  <r>
    <n v="3520"/>
    <s v="CA-2015-124975"/>
    <x v="476"/>
    <d v="2015-06-25T00:00:00"/>
    <x v="2"/>
    <s v="MG-17875"/>
    <s v="Michael Grace"/>
    <x v="2"/>
    <s v="United States"/>
    <x v="14"/>
    <x v="8"/>
    <n v="60505"/>
    <x v="3"/>
    <s v="FUR-TA-10002645"/>
    <x v="0"/>
    <x v="2"/>
    <s v="Hon Rectangular Conference Tables"/>
    <n v="796"/>
    <n v="7"/>
    <n v="0.5"/>
    <n v="-526"/>
    <x v="0"/>
    <s v="Jun"/>
  </r>
  <r>
    <n v="3542"/>
    <s v="CA-2016-157511"/>
    <x v="126"/>
    <d v="2016-09-20T00:00:00"/>
    <x v="2"/>
    <s v="SV-20365"/>
    <s v="Seth Vernon"/>
    <x v="0"/>
    <s v="United States"/>
    <x v="29"/>
    <x v="15"/>
    <n v="43229"/>
    <x v="2"/>
    <s v="FUR-FU-10002107"/>
    <x v="0"/>
    <x v="3"/>
    <s v="Eldon Pizzaz Desk Accessories"/>
    <n v="5"/>
    <n v="3"/>
    <n v="0.2"/>
    <n v="2"/>
    <x v="3"/>
    <s v="Sep"/>
  </r>
  <r>
    <n v="3543"/>
    <s v="CA-2016-157511"/>
    <x v="126"/>
    <d v="2016-09-20T00:00:00"/>
    <x v="2"/>
    <s v="SV-20365"/>
    <s v="Seth Vernon"/>
    <x v="0"/>
    <s v="United States"/>
    <x v="29"/>
    <x v="15"/>
    <n v="43229"/>
    <x v="2"/>
    <s v="FUR-CH-10002647"/>
    <x v="0"/>
    <x v="1"/>
    <s v="Situations Contoured Folding Chairs, 4/Set"/>
    <n v="99"/>
    <n v="2"/>
    <n v="0.3"/>
    <n v="-7"/>
    <x v="3"/>
    <s v="Sep"/>
  </r>
  <r>
    <n v="3549"/>
    <s v="CA-2017-155292"/>
    <x v="242"/>
    <d v="2017-11-01T00:00:00"/>
    <x v="2"/>
    <s v="RD-19810"/>
    <s v="Ross DeVincentis"/>
    <x v="2"/>
    <s v="United States"/>
    <x v="52"/>
    <x v="0"/>
    <n v="40475"/>
    <x v="0"/>
    <s v="FUR-CH-10000553"/>
    <x v="0"/>
    <x v="1"/>
    <s v="Metal Folding Chairs, Beige, 4/Carton"/>
    <n v="34"/>
    <n v="1"/>
    <n v="0"/>
    <n v="9"/>
    <x v="3"/>
    <s v="Oct"/>
  </r>
  <r>
    <n v="3552"/>
    <s v="CA-2016-152555"/>
    <x v="477"/>
    <d v="2016-04-02T00:00:00"/>
    <x v="0"/>
    <s v="ME-17320"/>
    <s v="Maria Etezadi"/>
    <x v="2"/>
    <s v="United States"/>
    <x v="9"/>
    <x v="8"/>
    <n v="60653"/>
    <x v="3"/>
    <s v="FUR-CH-10002965"/>
    <x v="0"/>
    <x v="1"/>
    <s v="Global Leather Highback Executive Chair with Pneumatic Height Adjustment, Black"/>
    <n v="844"/>
    <n v="6"/>
    <n v="0.3"/>
    <n v="-36"/>
    <x v="4"/>
    <s v="Mar"/>
  </r>
  <r>
    <n v="3568"/>
    <s v="CA-2016-137176"/>
    <x v="478"/>
    <d v="2016-09-14T00:00:00"/>
    <x v="0"/>
    <s v="DB-12910"/>
    <s v="Daniel Byrd"/>
    <x v="2"/>
    <s v="United States"/>
    <x v="144"/>
    <x v="5"/>
    <n v="75220"/>
    <x v="3"/>
    <s v="FUR-FU-10003832"/>
    <x v="0"/>
    <x v="3"/>
    <s v="Eldon Expressions Punched Metal &amp; Wood Desk Accessories, Black &amp; Cherry"/>
    <n v="15"/>
    <n v="4"/>
    <n v="0.6"/>
    <n v="-12"/>
    <x v="2"/>
    <s v="Sep"/>
  </r>
  <r>
    <n v="3581"/>
    <s v="CA-2016-104157"/>
    <x v="81"/>
    <d v="2016-07-29T00:00:00"/>
    <x v="1"/>
    <s v="MT-17815"/>
    <s v="Meg Tillman"/>
    <x v="0"/>
    <s v="United States"/>
    <x v="38"/>
    <x v="21"/>
    <n v="39212"/>
    <x v="0"/>
    <s v="FUR-TA-10004915"/>
    <x v="0"/>
    <x v="2"/>
    <s v="Office Impressions End Table, 20-1/2&quot;H x 24&quot;W x 20&quot;D"/>
    <n v="2430"/>
    <n v="8"/>
    <n v="0"/>
    <n v="389"/>
    <x v="4"/>
    <s v="Jul"/>
  </r>
  <r>
    <n v="3584"/>
    <s v="CA-2015-121650"/>
    <x v="479"/>
    <d v="2015-12-16T00:00:00"/>
    <x v="1"/>
    <s v="KD-16495"/>
    <s v="Keith Dawkins"/>
    <x v="1"/>
    <s v="United States"/>
    <x v="38"/>
    <x v="17"/>
    <n v="49201"/>
    <x v="3"/>
    <s v="FUR-TA-10003569"/>
    <x v="0"/>
    <x v="2"/>
    <s v="Bretford CR8500 Series Meeting Room Furniture"/>
    <n v="802"/>
    <n v="2"/>
    <n v="0"/>
    <n v="200"/>
    <x v="6"/>
    <s v="Dec"/>
  </r>
  <r>
    <n v="3585"/>
    <s v="CA-2015-121650"/>
    <x v="479"/>
    <d v="2015-12-16T00:00:00"/>
    <x v="1"/>
    <s v="KD-16495"/>
    <s v="Keith Dawkins"/>
    <x v="1"/>
    <s v="United States"/>
    <x v="38"/>
    <x v="17"/>
    <n v="49201"/>
    <x v="3"/>
    <s v="FUR-CH-10004289"/>
    <x v="0"/>
    <x v="1"/>
    <s v="Global Super Steno Chair"/>
    <n v="192"/>
    <n v="2"/>
    <n v="0"/>
    <n v="33"/>
    <x v="6"/>
    <s v="Dec"/>
  </r>
  <r>
    <n v="3599"/>
    <s v="CA-2014-102869"/>
    <x v="383"/>
    <d v="2014-09-14T00:00:00"/>
    <x v="0"/>
    <s v="LC-17140"/>
    <s v="Logan Currie"/>
    <x v="0"/>
    <s v="United States"/>
    <x v="3"/>
    <x v="3"/>
    <n v="19140"/>
    <x v="2"/>
    <s v="FUR-FU-10002456"/>
    <x v="0"/>
    <x v="3"/>
    <s v="Master Caster Door Stop, Large Neon Orange"/>
    <n v="17"/>
    <n v="3"/>
    <n v="0.2"/>
    <n v="5"/>
    <x v="2"/>
    <s v="Sep"/>
  </r>
  <r>
    <n v="3603"/>
    <s v="CA-2014-159835"/>
    <x v="317"/>
    <d v="2014-11-24T00:00:00"/>
    <x v="1"/>
    <s v="RB-19330"/>
    <s v="Randy Bradley"/>
    <x v="0"/>
    <s v="United States"/>
    <x v="3"/>
    <x v="3"/>
    <n v="19143"/>
    <x v="2"/>
    <s v="FUR-CH-10004997"/>
    <x v="0"/>
    <x v="1"/>
    <s v="Hon Every-Day Series Multi-Task Chairs"/>
    <n v="658"/>
    <n v="5"/>
    <n v="0.3"/>
    <n v="-94"/>
    <x v="1"/>
    <s v="Nov"/>
  </r>
  <r>
    <n v="3605"/>
    <s v="CA-2017-112956"/>
    <x v="67"/>
    <d v="2017-08-27T00:00:00"/>
    <x v="1"/>
    <s v="TH-21550"/>
    <s v="Tracy Hopkins"/>
    <x v="2"/>
    <s v="United States"/>
    <x v="11"/>
    <x v="32"/>
    <n v="21044"/>
    <x v="2"/>
    <s v="FUR-FU-10003976"/>
    <x v="0"/>
    <x v="3"/>
    <s v="DAX Executive Solid Wood Document Frame, Desktop or Hang, Mahogany, 5 x 7"/>
    <n v="25"/>
    <n v="2"/>
    <n v="0"/>
    <n v="9"/>
    <x v="6"/>
    <s v="Aug"/>
  </r>
  <r>
    <n v="3606"/>
    <s v="CA-2017-112956"/>
    <x v="67"/>
    <d v="2017-08-27T00:00:00"/>
    <x v="1"/>
    <s v="TH-21550"/>
    <s v="Tracy Hopkins"/>
    <x v="2"/>
    <s v="United States"/>
    <x v="11"/>
    <x v="32"/>
    <n v="21044"/>
    <x v="2"/>
    <s v="FUR-FU-10004960"/>
    <x v="0"/>
    <x v="3"/>
    <s v="Seth Thomas 12&quot; Clock w/ Goldtone Case"/>
    <n v="92"/>
    <n v="4"/>
    <n v="0"/>
    <n v="31"/>
    <x v="6"/>
    <s v="Aug"/>
  </r>
  <r>
    <n v="3615"/>
    <s v="CA-2017-112529"/>
    <x v="49"/>
    <d v="2017-11-21T00:00:00"/>
    <x v="2"/>
    <s v="SC-20770"/>
    <s v="Stewart Carmichael"/>
    <x v="1"/>
    <s v="United States"/>
    <x v="21"/>
    <x v="5"/>
    <n v="78207"/>
    <x v="3"/>
    <s v="FUR-TA-10002622"/>
    <x v="0"/>
    <x v="2"/>
    <s v="Bush Andora Conference Table, Maple/Graphite Gray Finish"/>
    <n v="718"/>
    <n v="6"/>
    <n v="0.3"/>
    <n v="-72"/>
    <x v="3"/>
    <s v="Nov"/>
  </r>
  <r>
    <n v="3623"/>
    <s v="CA-2014-159184"/>
    <x v="94"/>
    <d v="2014-09-19T00:00:00"/>
    <x v="1"/>
    <s v="JC-15775"/>
    <s v="John Castell"/>
    <x v="0"/>
    <s v="United States"/>
    <x v="216"/>
    <x v="24"/>
    <n v="31204"/>
    <x v="0"/>
    <s v="FUR-FU-10002878"/>
    <x v="0"/>
    <x v="3"/>
    <s v="Seth Thomas 14&quot; Day/Date Wall Clock"/>
    <n v="142"/>
    <n v="5"/>
    <n v="0"/>
    <n v="53"/>
    <x v="2"/>
    <s v="Sep"/>
  </r>
  <r>
    <n v="3625"/>
    <s v="CA-2017-113530"/>
    <x v="405"/>
    <d v="2017-05-21T00:00:00"/>
    <x v="0"/>
    <s v="BC-11125"/>
    <s v="Becky Castell"/>
    <x v="2"/>
    <s v="United States"/>
    <x v="28"/>
    <x v="2"/>
    <n v="94109"/>
    <x v="1"/>
    <s v="FUR-CH-10002647"/>
    <x v="0"/>
    <x v="1"/>
    <s v="Situations Contoured Folding Chairs, 4/Set"/>
    <n v="681"/>
    <n v="12"/>
    <n v="0.2"/>
    <n v="43"/>
    <x v="3"/>
    <s v="May"/>
  </r>
  <r>
    <n v="3639"/>
    <s v="CA-2016-145177"/>
    <x v="480"/>
    <d v="2016-11-14T00:00:00"/>
    <x v="1"/>
    <s v="PP-18955"/>
    <s v="Paul Prost"/>
    <x v="2"/>
    <s v="United States"/>
    <x v="76"/>
    <x v="15"/>
    <n v="45503"/>
    <x v="2"/>
    <s v="FUR-FU-10000758"/>
    <x v="0"/>
    <x v="3"/>
    <s v="DAX Natural Wood-Tone Poster Frame"/>
    <n v="148"/>
    <n v="7"/>
    <n v="0.2"/>
    <n v="30"/>
    <x v="4"/>
    <s v="Nov"/>
  </r>
  <r>
    <n v="3659"/>
    <s v="CA-2015-128083"/>
    <x v="481"/>
    <d v="2015-03-17T00:00:00"/>
    <x v="1"/>
    <s v="EB-13750"/>
    <s v="Edward Becker"/>
    <x v="1"/>
    <s v="United States"/>
    <x v="217"/>
    <x v="1"/>
    <n v="33317"/>
    <x v="0"/>
    <s v="FUR-FU-10003194"/>
    <x v="0"/>
    <x v="3"/>
    <s v="Eldon Expressions Desk Accessory, Wood Pencil Holder, Oak"/>
    <n v="31"/>
    <n v="4"/>
    <n v="0.2"/>
    <n v="4"/>
    <x v="2"/>
    <s v="Mar"/>
  </r>
  <r>
    <n v="3660"/>
    <s v="CA-2015-128083"/>
    <x v="481"/>
    <d v="2015-03-17T00:00:00"/>
    <x v="1"/>
    <s v="EB-13750"/>
    <s v="Edward Becker"/>
    <x v="1"/>
    <s v="United States"/>
    <x v="217"/>
    <x v="1"/>
    <n v="33317"/>
    <x v="0"/>
    <s v="FUR-FU-10001731"/>
    <x v="0"/>
    <x v="3"/>
    <s v="Acrylic Self-Standing Desk Frames"/>
    <n v="6"/>
    <n v="3"/>
    <n v="0.2"/>
    <n v="1"/>
    <x v="2"/>
    <s v="Mar"/>
  </r>
  <r>
    <n v="3675"/>
    <s v="CA-2017-154109"/>
    <x v="200"/>
    <d v="2017-11-11T00:00:00"/>
    <x v="1"/>
    <s v="ML-17410"/>
    <s v="Maris LaWare"/>
    <x v="0"/>
    <s v="United States"/>
    <x v="3"/>
    <x v="3"/>
    <n v="19143"/>
    <x v="2"/>
    <s v="FUR-CH-10003774"/>
    <x v="0"/>
    <x v="1"/>
    <s v="Global Wood Trimmed Manager's Task Chair, Khaki"/>
    <n v="127"/>
    <n v="2"/>
    <n v="0.3"/>
    <n v="-31"/>
    <x v="2"/>
    <s v="Nov"/>
  </r>
  <r>
    <n v="3677"/>
    <s v="CA-2015-156440"/>
    <x v="482"/>
    <d v="2015-12-09T00:00:00"/>
    <x v="1"/>
    <s v="MH-17620"/>
    <s v="Matt Hagelstein"/>
    <x v="1"/>
    <s v="United States"/>
    <x v="53"/>
    <x v="2"/>
    <n v="92105"/>
    <x v="1"/>
    <s v="FUR-FU-10004090"/>
    <x v="0"/>
    <x v="3"/>
    <s v="Executive Impressions 14&quot; Contract Wall Clock"/>
    <n v="44"/>
    <n v="2"/>
    <n v="0"/>
    <n v="15"/>
    <x v="4"/>
    <s v="Dec"/>
  </r>
  <r>
    <n v="3680"/>
    <s v="CA-2015-132626"/>
    <x v="483"/>
    <d v="2015-07-14T00:00:00"/>
    <x v="1"/>
    <s v="BT-11680"/>
    <s v="Brian Thompson"/>
    <x v="0"/>
    <s v="United States"/>
    <x v="218"/>
    <x v="32"/>
    <n v="20735"/>
    <x v="2"/>
    <s v="FUR-FU-10002918"/>
    <x v="0"/>
    <x v="3"/>
    <s v="Eldon ClusterMat Chair Mat with Cordless Antistatic Protection"/>
    <n v="182"/>
    <n v="2"/>
    <n v="0"/>
    <n v="20"/>
    <x v="2"/>
    <s v="Jul"/>
  </r>
  <r>
    <n v="3694"/>
    <s v="US-2015-131359"/>
    <x v="484"/>
    <d v="2015-11-02T00:00:00"/>
    <x v="0"/>
    <s v="FA-14230"/>
    <s v="Frank Atkinson"/>
    <x v="1"/>
    <s v="United States"/>
    <x v="22"/>
    <x v="12"/>
    <n v="80219"/>
    <x v="1"/>
    <s v="FUR-FU-10003026"/>
    <x v="0"/>
    <x v="3"/>
    <s v="Eldon Regeneration Recycled Desk Accessories, Black"/>
    <n v="15"/>
    <n v="4"/>
    <n v="0.2"/>
    <n v="4"/>
    <x v="0"/>
    <s v="Oct"/>
  </r>
  <r>
    <n v="3698"/>
    <s v="CA-2015-151680"/>
    <x v="485"/>
    <d v="2015-11-21T00:00:00"/>
    <x v="0"/>
    <s v="TC-21475"/>
    <s v="Tony Chapman"/>
    <x v="2"/>
    <s v="United States"/>
    <x v="15"/>
    <x v="13"/>
    <n v="98115"/>
    <x v="1"/>
    <s v="FUR-FU-10000305"/>
    <x v="0"/>
    <x v="3"/>
    <s v="Tenex V2T-RE Standard Weight Series Chair Mat, 45&quot; x 53&quot;, Lip 25&quot; x 12&quot;"/>
    <n v="142"/>
    <n v="2"/>
    <n v="0"/>
    <n v="23"/>
    <x v="3"/>
    <s v="Nov"/>
  </r>
  <r>
    <n v="3701"/>
    <s v="CA-2017-169411"/>
    <x v="455"/>
    <d v="2017-12-29T00:00:00"/>
    <x v="1"/>
    <s v="AC-10615"/>
    <s v="Ann Chong"/>
    <x v="1"/>
    <s v="United States"/>
    <x v="77"/>
    <x v="7"/>
    <n v="14609"/>
    <x v="2"/>
    <s v="FUR-FU-10001602"/>
    <x v="0"/>
    <x v="3"/>
    <s v="Eldon Delta Triangular Chair Mat, 52&quot; x 58&quot;, Clear"/>
    <n v="38"/>
    <n v="1"/>
    <n v="0"/>
    <n v="7"/>
    <x v="2"/>
    <s v="Dec"/>
  </r>
  <r>
    <n v="3702"/>
    <s v="CA-2016-126543"/>
    <x v="486"/>
    <d v="2016-01-13T00:00:00"/>
    <x v="0"/>
    <s v="MF-17665"/>
    <s v="Maureen Fritzler"/>
    <x v="1"/>
    <s v="United States"/>
    <x v="219"/>
    <x v="15"/>
    <n v="43615"/>
    <x v="2"/>
    <s v="FUR-FU-10002445"/>
    <x v="0"/>
    <x v="3"/>
    <s v="DAX Two-Tone Rosewood/Black Document Frame, Desktop, 5 x 7"/>
    <n v="15"/>
    <n v="2"/>
    <n v="0.2"/>
    <n v="4"/>
    <x v="4"/>
    <s v="Jan"/>
  </r>
  <r>
    <n v="3708"/>
    <s v="CA-2014-120544"/>
    <x v="255"/>
    <d v="2014-11-27T00:00:00"/>
    <x v="1"/>
    <s v="SS-20140"/>
    <s v="Saphhira Shifley"/>
    <x v="1"/>
    <s v="United States"/>
    <x v="220"/>
    <x v="5"/>
    <n v="75150"/>
    <x v="3"/>
    <s v="FUR-FU-10001940"/>
    <x v="0"/>
    <x v="3"/>
    <s v="Staple-based wall hangings"/>
    <n v="6"/>
    <n v="2"/>
    <n v="0.6"/>
    <n v="-3"/>
    <x v="4"/>
    <s v="Nov"/>
  </r>
  <r>
    <n v="3711"/>
    <s v="CA-2017-113670"/>
    <x v="487"/>
    <d v="2017-10-17T00:00:00"/>
    <x v="2"/>
    <s v="RS-19765"/>
    <s v="Roland Schwarz"/>
    <x v="1"/>
    <s v="United States"/>
    <x v="2"/>
    <x v="2"/>
    <n v="90045"/>
    <x v="1"/>
    <s v="FUR-TA-10001705"/>
    <x v="0"/>
    <x v="2"/>
    <s v="Bush Advantage Collection Round Conference Table"/>
    <n v="510"/>
    <n v="3"/>
    <n v="0.2"/>
    <n v="6"/>
    <x v="3"/>
    <s v="Oct"/>
  </r>
  <r>
    <n v="3714"/>
    <s v="CA-2017-166198"/>
    <x v="488"/>
    <d v="2017-04-24T00:00:00"/>
    <x v="2"/>
    <s v="JW-15955"/>
    <s v="Joni Wasserman"/>
    <x v="0"/>
    <s v="United States"/>
    <x v="15"/>
    <x v="13"/>
    <n v="98103"/>
    <x v="1"/>
    <s v="FUR-FU-10004622"/>
    <x v="0"/>
    <x v="3"/>
    <s v="Eldon Advantage Foldable Chair Mats for Low Pile Carpets"/>
    <n v="163"/>
    <n v="3"/>
    <n v="0"/>
    <n v="34"/>
    <x v="0"/>
    <s v="Apr"/>
  </r>
  <r>
    <n v="3716"/>
    <s v="CA-2014-135608"/>
    <x v="489"/>
    <d v="2014-12-10T00:00:00"/>
    <x v="0"/>
    <s v="JK-15625"/>
    <s v="Jim Karlsson"/>
    <x v="0"/>
    <s v="United States"/>
    <x v="84"/>
    <x v="13"/>
    <n v="98502"/>
    <x v="1"/>
    <s v="FUR-CH-10002602"/>
    <x v="0"/>
    <x v="1"/>
    <s v="DMI Arturo Collection Mission-style Design Wood Chair"/>
    <n v="604"/>
    <n v="5"/>
    <n v="0.2"/>
    <n v="45"/>
    <x v="3"/>
    <s v="Dec"/>
  </r>
  <r>
    <n v="3721"/>
    <s v="CA-2016-151155"/>
    <x v="490"/>
    <d v="2016-12-24T00:00:00"/>
    <x v="1"/>
    <s v="AB-10255"/>
    <s v="Alejandro Ballentine"/>
    <x v="2"/>
    <s v="United States"/>
    <x v="38"/>
    <x v="21"/>
    <n v="39212"/>
    <x v="0"/>
    <s v="FUR-FU-10001918"/>
    <x v="0"/>
    <x v="3"/>
    <s v="C-Line Cubicle Keepers Polyproplyene Holder With Velcro Backings"/>
    <n v="19"/>
    <n v="4"/>
    <n v="0"/>
    <n v="7"/>
    <x v="4"/>
    <s v="Dec"/>
  </r>
  <r>
    <n v="3736"/>
    <s v="CA-2017-168193"/>
    <x v="491"/>
    <d v="2017-03-11T00:00:00"/>
    <x v="0"/>
    <s v="RM-19750"/>
    <s v="Roland Murray"/>
    <x v="0"/>
    <s v="United States"/>
    <x v="13"/>
    <x v="7"/>
    <n v="10011"/>
    <x v="2"/>
    <s v="FUR-FU-10002554"/>
    <x v="0"/>
    <x v="3"/>
    <s v="Westinghouse Floor Lamp with Metal Mesh Shade, Black"/>
    <n v="72"/>
    <n v="3"/>
    <n v="0"/>
    <n v="17"/>
    <x v="2"/>
    <s v="Mar"/>
  </r>
  <r>
    <n v="3747"/>
    <s v="CA-2016-149979"/>
    <x v="348"/>
    <d v="2016-09-28T00:00:00"/>
    <x v="0"/>
    <s v="RA-19915"/>
    <s v="Russell Applegate"/>
    <x v="0"/>
    <s v="United States"/>
    <x v="29"/>
    <x v="24"/>
    <n v="31907"/>
    <x v="0"/>
    <s v="FUR-CH-10002084"/>
    <x v="0"/>
    <x v="1"/>
    <s v="Hon Mobius Operator's Chair"/>
    <n v="369"/>
    <n v="3"/>
    <n v="0"/>
    <n v="81"/>
    <x v="2"/>
    <s v="Sep"/>
  </r>
  <r>
    <n v="3748"/>
    <s v="CA-2017-161956"/>
    <x v="60"/>
    <d v="2017-08-29T00:00:00"/>
    <x v="0"/>
    <s v="DR-12880"/>
    <s v="Dan Reichenbach"/>
    <x v="1"/>
    <s v="United States"/>
    <x v="209"/>
    <x v="2"/>
    <n v="90301"/>
    <x v="1"/>
    <s v="FUR-FU-10002937"/>
    <x v="0"/>
    <x v="3"/>
    <s v="GE 48&quot; Fluorescent Tube, Cool White Energy Saver, 34 Watts, 30/Box"/>
    <n v="198"/>
    <n v="2"/>
    <n v="0"/>
    <n v="99"/>
    <x v="3"/>
    <s v="Aug"/>
  </r>
  <r>
    <n v="3752"/>
    <s v="CA-2017-161956"/>
    <x v="60"/>
    <d v="2017-08-29T00:00:00"/>
    <x v="0"/>
    <s v="DR-12880"/>
    <s v="Dan Reichenbach"/>
    <x v="1"/>
    <s v="United States"/>
    <x v="209"/>
    <x v="2"/>
    <n v="90301"/>
    <x v="1"/>
    <s v="FUR-CH-10004886"/>
    <x v="0"/>
    <x v="1"/>
    <s v="Bevis Steel Folding Chairs"/>
    <n v="230"/>
    <n v="3"/>
    <n v="0.2"/>
    <n v="23"/>
    <x v="3"/>
    <s v="Aug"/>
  </r>
  <r>
    <n v="3757"/>
    <s v="CA-2016-116799"/>
    <x v="492"/>
    <d v="2016-03-06T00:00:00"/>
    <x v="2"/>
    <s v="JG-15310"/>
    <s v="Jason Gross"/>
    <x v="1"/>
    <s v="United States"/>
    <x v="221"/>
    <x v="5"/>
    <n v="79762"/>
    <x v="3"/>
    <s v="FUR-CH-10004983"/>
    <x v="0"/>
    <x v="1"/>
    <s v="Office Star - Mid Back Dual function Ergonomic High Back Chair with 2-Way Adjustable Arms"/>
    <n v="563"/>
    <n v="5"/>
    <n v="0.3"/>
    <n v="-56"/>
    <x v="0"/>
    <s v="Mar"/>
  </r>
  <r>
    <n v="3761"/>
    <s v="CA-2015-167745"/>
    <x v="493"/>
    <d v="2015-09-23T00:00:00"/>
    <x v="1"/>
    <s v="GB-14530"/>
    <s v="George Bell"/>
    <x v="1"/>
    <s v="United States"/>
    <x v="2"/>
    <x v="2"/>
    <n v="90049"/>
    <x v="1"/>
    <s v="FUR-FU-10001591"/>
    <x v="0"/>
    <x v="3"/>
    <s v="Advantus Panel Wall Certificate Holder - 8.5x11"/>
    <n v="24"/>
    <n v="2"/>
    <n v="0"/>
    <n v="10"/>
    <x v="2"/>
    <s v="Sep"/>
  </r>
  <r>
    <n v="3763"/>
    <s v="CA-2016-156251"/>
    <x v="494"/>
    <d v="2016-08-18T00:00:00"/>
    <x v="0"/>
    <s v="TS-21160"/>
    <s v="Theresa Swint"/>
    <x v="1"/>
    <s v="United States"/>
    <x v="222"/>
    <x v="16"/>
    <n v="53214"/>
    <x v="3"/>
    <s v="FUR-BO-10001337"/>
    <x v="0"/>
    <x v="0"/>
    <s v="O'Sullivan Living Dimensions 2-Shelf Bookcases"/>
    <n v="242"/>
    <n v="2"/>
    <n v="0"/>
    <n v="24"/>
    <x v="2"/>
    <s v="Aug"/>
  </r>
  <r>
    <n v="3766"/>
    <s v="CA-2016-163153"/>
    <x v="445"/>
    <d v="2016-03-25T00:00:00"/>
    <x v="1"/>
    <s v="DM-12955"/>
    <s v="Dario Medina"/>
    <x v="1"/>
    <s v="United States"/>
    <x v="6"/>
    <x v="5"/>
    <n v="77036"/>
    <x v="3"/>
    <s v="FUR-TA-10004767"/>
    <x v="0"/>
    <x v="2"/>
    <s v="Safco Drafting Table"/>
    <n v="99"/>
    <n v="2"/>
    <n v="0.3"/>
    <n v="-1"/>
    <x v="4"/>
    <s v="Mar"/>
  </r>
  <r>
    <n v="3769"/>
    <s v="CA-2014-153913"/>
    <x v="439"/>
    <d v="2014-12-20T00:00:00"/>
    <x v="0"/>
    <s v="KB-16585"/>
    <s v="Ken Black"/>
    <x v="1"/>
    <s v="United States"/>
    <x v="173"/>
    <x v="1"/>
    <n v="33012"/>
    <x v="0"/>
    <s v="FUR-CH-10000988"/>
    <x v="0"/>
    <x v="1"/>
    <s v="Hon Olson Stacker Stools"/>
    <n v="1014"/>
    <n v="9"/>
    <n v="0.2"/>
    <n v="101"/>
    <x v="4"/>
    <s v="Dec"/>
  </r>
  <r>
    <n v="3771"/>
    <s v="CA-2016-155530"/>
    <x v="495"/>
    <d v="2016-12-21T00:00:00"/>
    <x v="1"/>
    <s v="CM-12160"/>
    <s v="Charles McCrossin"/>
    <x v="0"/>
    <s v="United States"/>
    <x v="28"/>
    <x v="2"/>
    <n v="94122"/>
    <x v="1"/>
    <s v="FUR-TA-10004256"/>
    <x v="0"/>
    <x v="2"/>
    <s v="Bretford ÒJust In TimeÓ Height-Adjustable Multi-Task Work Tables"/>
    <n v="2004"/>
    <n v="6"/>
    <n v="0.2"/>
    <n v="-326"/>
    <x v="4"/>
    <s v="Dec"/>
  </r>
  <r>
    <n v="3778"/>
    <s v="CA-2015-107937"/>
    <x v="496"/>
    <d v="2015-05-08T00:00:00"/>
    <x v="1"/>
    <s v="JB-16045"/>
    <s v="Julia Barnett"/>
    <x v="2"/>
    <s v="United States"/>
    <x v="223"/>
    <x v="2"/>
    <n v="91911"/>
    <x v="1"/>
    <s v="FUR-FU-10002298"/>
    <x v="0"/>
    <x v="3"/>
    <s v="Rubbermaid ClusterMat Chairmats, Mat Size- 66&quot; x 60&quot;, Lip 20&quot; x 11&quot; -90 Degree Angle"/>
    <n v="666"/>
    <n v="6"/>
    <n v="0"/>
    <n v="107"/>
    <x v="2"/>
    <s v="May"/>
  </r>
  <r>
    <n v="3796"/>
    <s v="US-2014-117163"/>
    <x v="497"/>
    <d v="2014-02-02T00:00:00"/>
    <x v="1"/>
    <s v="EJ-13720"/>
    <s v="Ed Jacobs"/>
    <x v="0"/>
    <s v="United States"/>
    <x v="53"/>
    <x v="2"/>
    <n v="92037"/>
    <x v="1"/>
    <s v="FUR-TA-10003469"/>
    <x v="0"/>
    <x v="2"/>
    <s v="Balt Split Level Computer Training Table"/>
    <n v="333"/>
    <n v="3"/>
    <n v="0.2"/>
    <n v="-17"/>
    <x v="6"/>
    <s v="Jan"/>
  </r>
  <r>
    <n v="3799"/>
    <s v="CA-2017-147760"/>
    <x v="498"/>
    <d v="2017-11-05T00:00:00"/>
    <x v="2"/>
    <s v="KL-16555"/>
    <s v="Kelly Lampkin"/>
    <x v="1"/>
    <s v="United States"/>
    <x v="224"/>
    <x v="30"/>
    <n v="27405"/>
    <x v="0"/>
    <s v="FUR-TA-10004575"/>
    <x v="0"/>
    <x v="2"/>
    <s v="Hon 5100 Series Wood Tables"/>
    <n v="524"/>
    <n v="3"/>
    <n v="0.4"/>
    <n v="-192"/>
    <x v="5"/>
    <s v="Nov"/>
  </r>
  <r>
    <n v="3801"/>
    <s v="CA-2016-156503"/>
    <x v="499"/>
    <d v="2016-10-20T00:00:00"/>
    <x v="1"/>
    <s v="NC-18415"/>
    <s v="Nathan Cano"/>
    <x v="0"/>
    <s v="United States"/>
    <x v="51"/>
    <x v="30"/>
    <n v="28540"/>
    <x v="0"/>
    <s v="FUR-CH-10003606"/>
    <x v="0"/>
    <x v="1"/>
    <s v="SAFCO Folding Chair Trolley"/>
    <n v="103"/>
    <n v="1"/>
    <n v="0.2"/>
    <n v="10"/>
    <x v="6"/>
    <s v="Oct"/>
  </r>
  <r>
    <n v="3810"/>
    <s v="CA-2015-113628"/>
    <x v="500"/>
    <d v="2015-11-19T00:00:00"/>
    <x v="1"/>
    <s v="AH-10690"/>
    <s v="Anna HŠberlin"/>
    <x v="1"/>
    <s v="United States"/>
    <x v="217"/>
    <x v="1"/>
    <n v="33317"/>
    <x v="0"/>
    <s v="FUR-CH-10003298"/>
    <x v="0"/>
    <x v="1"/>
    <s v="Office Star - Contemporary Task Swivel chair with Loop Arms, Charcoal"/>
    <n v="524"/>
    <n v="5"/>
    <n v="0.2"/>
    <n v="-72"/>
    <x v="1"/>
    <s v="Nov"/>
  </r>
  <r>
    <n v="3812"/>
    <s v="CA-2015-113628"/>
    <x v="500"/>
    <d v="2015-11-19T00:00:00"/>
    <x v="1"/>
    <s v="AH-10690"/>
    <s v="Anna HŠberlin"/>
    <x v="1"/>
    <s v="United States"/>
    <x v="217"/>
    <x v="1"/>
    <n v="33317"/>
    <x v="0"/>
    <s v="FUR-CH-10004477"/>
    <x v="0"/>
    <x v="1"/>
    <s v="Global Push Button Manager's Chair, Indigo"/>
    <n v="146"/>
    <n v="3"/>
    <n v="0.2"/>
    <n v="16"/>
    <x v="1"/>
    <s v="Nov"/>
  </r>
  <r>
    <n v="3817"/>
    <s v="CA-2015-102582"/>
    <x v="195"/>
    <d v="2015-09-19T00:00:00"/>
    <x v="1"/>
    <s v="NW-18400"/>
    <s v="Natalie Webber"/>
    <x v="0"/>
    <s v="United States"/>
    <x v="212"/>
    <x v="33"/>
    <n v="36608"/>
    <x v="0"/>
    <s v="FUR-TA-10003569"/>
    <x v="0"/>
    <x v="2"/>
    <s v="Bretford CR8500 Series Meeting Room Furniture"/>
    <n v="802"/>
    <n v="2"/>
    <n v="0"/>
    <n v="200"/>
    <x v="4"/>
    <s v="Sep"/>
  </r>
  <r>
    <n v="3819"/>
    <s v="CA-2015-102582"/>
    <x v="195"/>
    <d v="2015-09-19T00:00:00"/>
    <x v="1"/>
    <s v="NW-18400"/>
    <s v="Natalie Webber"/>
    <x v="0"/>
    <s v="United States"/>
    <x v="212"/>
    <x v="33"/>
    <n v="36608"/>
    <x v="0"/>
    <s v="FUR-CH-10004853"/>
    <x v="0"/>
    <x v="1"/>
    <s v="Global Manager's Adjustable Task Chair, Storm"/>
    <n v="1057"/>
    <n v="7"/>
    <n v="0"/>
    <n v="306"/>
    <x v="4"/>
    <s v="Sep"/>
  </r>
  <r>
    <n v="3821"/>
    <s v="CA-2017-141873"/>
    <x v="224"/>
    <d v="2017-10-14T00:00:00"/>
    <x v="1"/>
    <s v="HG-14845"/>
    <s v="Harry Greene"/>
    <x v="0"/>
    <s v="United States"/>
    <x v="13"/>
    <x v="7"/>
    <n v="10024"/>
    <x v="2"/>
    <s v="FUR-BO-10003034"/>
    <x v="0"/>
    <x v="0"/>
    <s v="O'Sullivan Elevations Bookcase, Cherry Finish"/>
    <n v="314"/>
    <n v="3"/>
    <n v="0.2"/>
    <n v="-16"/>
    <x v="2"/>
    <s v="Oct"/>
  </r>
  <r>
    <n v="3828"/>
    <s v="CA-2017-141733"/>
    <x v="501"/>
    <d v="2017-05-11T00:00:00"/>
    <x v="1"/>
    <s v="RW-19540"/>
    <s v="Rick Wilson"/>
    <x v="1"/>
    <s v="United States"/>
    <x v="25"/>
    <x v="17"/>
    <n v="48234"/>
    <x v="3"/>
    <s v="FUR-CH-10004086"/>
    <x v="0"/>
    <x v="1"/>
    <s v="Hon 4070 Series Pagoda Armless Upholstered Stacking Chairs"/>
    <n v="1459"/>
    <n v="5"/>
    <n v="0"/>
    <n v="423"/>
    <x v="4"/>
    <s v="May"/>
  </r>
  <r>
    <n v="3829"/>
    <s v="CA-2017-141733"/>
    <x v="501"/>
    <d v="2017-05-11T00:00:00"/>
    <x v="1"/>
    <s v="RW-19540"/>
    <s v="Rick Wilson"/>
    <x v="1"/>
    <s v="United States"/>
    <x v="25"/>
    <x v="17"/>
    <n v="48234"/>
    <x v="3"/>
    <s v="FUR-CH-10002017"/>
    <x v="0"/>
    <x v="1"/>
    <s v="SAFCO Optional Arm Kit for Workspace Cribbage Stacking Chair"/>
    <n v="27"/>
    <n v="1"/>
    <n v="0"/>
    <n v="7"/>
    <x v="4"/>
    <s v="May"/>
  </r>
  <r>
    <n v="3830"/>
    <s v="CA-2017-141733"/>
    <x v="501"/>
    <d v="2017-05-11T00:00:00"/>
    <x v="1"/>
    <s v="RW-19540"/>
    <s v="Rick Wilson"/>
    <x v="1"/>
    <s v="United States"/>
    <x v="25"/>
    <x v="17"/>
    <n v="48234"/>
    <x v="3"/>
    <s v="FUR-CH-10000595"/>
    <x v="0"/>
    <x v="1"/>
    <s v="Safco Contoured Stacking Chairs"/>
    <n v="477"/>
    <n v="2"/>
    <n v="0"/>
    <n v="119"/>
    <x v="4"/>
    <s v="May"/>
  </r>
  <r>
    <n v="3832"/>
    <s v="US-2015-111927"/>
    <x v="502"/>
    <d v="2015-11-19T00:00:00"/>
    <x v="1"/>
    <s v="LS-17230"/>
    <s v="Lycoris Saunders"/>
    <x v="0"/>
    <s v="United States"/>
    <x v="63"/>
    <x v="14"/>
    <n v="19901"/>
    <x v="2"/>
    <s v="FUR-FU-10004017"/>
    <x v="0"/>
    <x v="3"/>
    <s v="Executive Impressions 13&quot; Chairman Wall Clock"/>
    <n v="76"/>
    <n v="3"/>
    <n v="0"/>
    <n v="27"/>
    <x v="2"/>
    <s v="Nov"/>
  </r>
  <r>
    <n v="3835"/>
    <s v="CA-2014-105984"/>
    <x v="168"/>
    <d v="2014-11-24T00:00:00"/>
    <x v="3"/>
    <s v="MY-18295"/>
    <s v="Muhammed Yedwab"/>
    <x v="1"/>
    <s v="United States"/>
    <x v="29"/>
    <x v="15"/>
    <n v="43229"/>
    <x v="2"/>
    <s v="FUR-CH-10000847"/>
    <x v="0"/>
    <x v="1"/>
    <s v="Global Executive Mid-Back Manager's Chair"/>
    <n v="611"/>
    <n v="3"/>
    <n v="0.3"/>
    <n v="-35"/>
    <x v="7"/>
    <s v="Nov"/>
  </r>
  <r>
    <n v="3839"/>
    <s v="CA-2014-126760"/>
    <x v="503"/>
    <d v="2014-08-02T00:00:00"/>
    <x v="1"/>
    <s v="KM-16720"/>
    <s v="Kunst Miller"/>
    <x v="0"/>
    <s v="United States"/>
    <x v="111"/>
    <x v="34"/>
    <n v="89031"/>
    <x v="1"/>
    <s v="FUR-CH-10003312"/>
    <x v="0"/>
    <x v="1"/>
    <s v="Hon 2090 ÒPillow SoftÓ Series Mid Back Swivel/Tilt Chairs"/>
    <n v="674"/>
    <n v="3"/>
    <n v="0.2"/>
    <n v="-110"/>
    <x v="1"/>
    <s v="Jul"/>
  </r>
  <r>
    <n v="3840"/>
    <s v="CA-2014-126760"/>
    <x v="503"/>
    <d v="2014-08-02T00:00:00"/>
    <x v="1"/>
    <s v="KM-16720"/>
    <s v="Kunst Miller"/>
    <x v="0"/>
    <s v="United States"/>
    <x v="111"/>
    <x v="34"/>
    <n v="89031"/>
    <x v="1"/>
    <s v="FUR-FU-10004018"/>
    <x v="0"/>
    <x v="3"/>
    <s v="Tensor Computer Mounted Lamp"/>
    <n v="134"/>
    <n v="9"/>
    <n v="0"/>
    <n v="36"/>
    <x v="1"/>
    <s v="Jul"/>
  </r>
  <r>
    <n v="3842"/>
    <s v="US-2014-109162"/>
    <x v="391"/>
    <d v="2014-06-12T00:00:00"/>
    <x v="1"/>
    <s v="KE-16420"/>
    <s v="Katrina Edelman"/>
    <x v="1"/>
    <s v="United States"/>
    <x v="203"/>
    <x v="9"/>
    <n v="37620"/>
    <x v="0"/>
    <s v="FUR-CH-10002647"/>
    <x v="0"/>
    <x v="1"/>
    <s v="Situations Contoured Folding Chairs, 4/Set"/>
    <n v="170"/>
    <n v="3"/>
    <n v="0.2"/>
    <n v="11"/>
    <x v="4"/>
    <s v="Jun"/>
  </r>
  <r>
    <n v="3846"/>
    <s v="CA-2014-101931"/>
    <x v="504"/>
    <d v="2014-10-31T00:00:00"/>
    <x v="2"/>
    <s v="TS-21370"/>
    <s v="Todd Sumrall"/>
    <x v="1"/>
    <s v="United States"/>
    <x v="2"/>
    <x v="2"/>
    <n v="90049"/>
    <x v="1"/>
    <s v="FUR-BO-10001337"/>
    <x v="0"/>
    <x v="0"/>
    <s v="O'Sullivan Living Dimensions 2-Shelf Bookcases"/>
    <n v="617"/>
    <n v="6"/>
    <n v="0.15"/>
    <n v="-36"/>
    <x v="0"/>
    <s v="Oct"/>
  </r>
  <r>
    <n v="3852"/>
    <s v="CA-2015-127593"/>
    <x v="231"/>
    <d v="2015-09-21T00:00:00"/>
    <x v="3"/>
    <s v="DH-13675"/>
    <s v="Duane Huffman"/>
    <x v="2"/>
    <s v="United States"/>
    <x v="202"/>
    <x v="20"/>
    <n v="2169"/>
    <x v="2"/>
    <s v="FUR-FU-10004006"/>
    <x v="0"/>
    <x v="3"/>
    <s v="Deflect-o DuraMat Lighweight, Studded, Beveled Mat for Low Pile Carpeting"/>
    <n v="85"/>
    <n v="2"/>
    <n v="0"/>
    <n v="15"/>
    <x v="7"/>
    <s v="Sep"/>
  </r>
  <r>
    <n v="3854"/>
    <s v="US-2017-131849"/>
    <x v="505"/>
    <d v="2017-06-10T00:00:00"/>
    <x v="1"/>
    <s v="GH-14410"/>
    <s v="Gary Hansen"/>
    <x v="2"/>
    <s v="United States"/>
    <x v="28"/>
    <x v="2"/>
    <n v="94122"/>
    <x v="1"/>
    <s v="FUR-FU-10004164"/>
    <x v="0"/>
    <x v="3"/>
    <s v="Eldon 300 Class Desk Accessories, Black"/>
    <n v="5"/>
    <n v="1"/>
    <n v="0"/>
    <n v="2"/>
    <x v="4"/>
    <s v="Jun"/>
  </r>
  <r>
    <n v="3860"/>
    <s v="CA-2017-154039"/>
    <x v="506"/>
    <d v="2017-02-22T00:00:00"/>
    <x v="1"/>
    <s v="JK-16120"/>
    <s v="Julie Kriz"/>
    <x v="2"/>
    <s v="United States"/>
    <x v="9"/>
    <x v="8"/>
    <n v="60653"/>
    <x v="3"/>
    <s v="FUR-TA-10001932"/>
    <x v="0"/>
    <x v="2"/>
    <s v="Chromcraft 48&quot; x 96&quot; Racetrack Double Pedestal Table"/>
    <n v="481"/>
    <n v="3"/>
    <n v="0.5"/>
    <n v="-269"/>
    <x v="2"/>
    <s v="Feb"/>
  </r>
  <r>
    <n v="3865"/>
    <s v="CA-2015-157133"/>
    <x v="44"/>
    <d v="2015-12-03T00:00:00"/>
    <x v="1"/>
    <s v="LC-16885"/>
    <s v="Lena Creighton"/>
    <x v="0"/>
    <s v="United States"/>
    <x v="225"/>
    <x v="8"/>
    <n v="61821"/>
    <x v="3"/>
    <s v="FUR-FU-10004904"/>
    <x v="0"/>
    <x v="3"/>
    <s v="Eldon &quot;L&quot; Workstation Diamond Chairmat"/>
    <n v="152"/>
    <n v="5"/>
    <n v="0.6"/>
    <n v="-182"/>
    <x v="2"/>
    <s v="Nov"/>
  </r>
  <r>
    <n v="3869"/>
    <s v="CA-2015-132486"/>
    <x v="507"/>
    <d v="2015-10-27T00:00:00"/>
    <x v="0"/>
    <s v="JF-15355"/>
    <s v="Jay Fein"/>
    <x v="0"/>
    <s v="United States"/>
    <x v="53"/>
    <x v="2"/>
    <n v="92105"/>
    <x v="1"/>
    <s v="FUR-CH-10004495"/>
    <x v="0"/>
    <x v="1"/>
    <s v="Global Leather and Oak Executive Chair, Black"/>
    <n v="241"/>
    <n v="1"/>
    <n v="0.2"/>
    <n v="27"/>
    <x v="4"/>
    <s v="Oct"/>
  </r>
  <r>
    <n v="3870"/>
    <s v="CA-2015-132486"/>
    <x v="507"/>
    <d v="2015-10-27T00:00:00"/>
    <x v="0"/>
    <s v="JF-15355"/>
    <s v="Jay Fein"/>
    <x v="0"/>
    <s v="United States"/>
    <x v="53"/>
    <x v="2"/>
    <n v="92105"/>
    <x v="1"/>
    <s v="FUR-CH-10004540"/>
    <x v="0"/>
    <x v="1"/>
    <s v="Global Chrome Stack Chair"/>
    <n v="192"/>
    <n v="7"/>
    <n v="0.2"/>
    <n v="17"/>
    <x v="4"/>
    <s v="Oct"/>
  </r>
  <r>
    <n v="3873"/>
    <s v="CA-2015-132486"/>
    <x v="507"/>
    <d v="2015-10-27T00:00:00"/>
    <x v="0"/>
    <s v="JF-15355"/>
    <s v="Jay Fein"/>
    <x v="0"/>
    <s v="United States"/>
    <x v="53"/>
    <x v="2"/>
    <n v="92105"/>
    <x v="1"/>
    <s v="FUR-CH-10001854"/>
    <x v="0"/>
    <x v="1"/>
    <s v="Office Star - Professional Matrix Back Chair with 2-to-1 Synchro Tilt and Mesh Fabric Seat"/>
    <n v="842"/>
    <n v="3"/>
    <n v="0.2"/>
    <n v="42"/>
    <x v="4"/>
    <s v="Oct"/>
  </r>
  <r>
    <n v="3883"/>
    <s v="CA-2015-129896"/>
    <x v="508"/>
    <d v="2015-06-20T00:00:00"/>
    <x v="1"/>
    <s v="PF-19120"/>
    <s v="Peter Fuller"/>
    <x v="0"/>
    <s v="United States"/>
    <x v="171"/>
    <x v="22"/>
    <n v="85234"/>
    <x v="1"/>
    <s v="FUR-FU-10004904"/>
    <x v="0"/>
    <x v="3"/>
    <s v="Eldon &quot;L&quot; Workstation Diamond Chairmat"/>
    <n v="365"/>
    <n v="6"/>
    <n v="0.2"/>
    <n v="-36"/>
    <x v="2"/>
    <s v="Jun"/>
  </r>
  <r>
    <n v="3884"/>
    <s v="CA-2015-129896"/>
    <x v="508"/>
    <d v="2015-06-20T00:00:00"/>
    <x v="1"/>
    <s v="PF-19120"/>
    <s v="Peter Fuller"/>
    <x v="0"/>
    <s v="United States"/>
    <x v="171"/>
    <x v="22"/>
    <n v="85234"/>
    <x v="1"/>
    <s v="FUR-FU-10002396"/>
    <x v="0"/>
    <x v="3"/>
    <s v="DAX Copper Panel Document Frame, 5 x 7 Size"/>
    <n v="40"/>
    <n v="4"/>
    <n v="0.2"/>
    <n v="11"/>
    <x v="2"/>
    <s v="Jun"/>
  </r>
  <r>
    <n v="3892"/>
    <s v="US-2016-163881"/>
    <x v="243"/>
    <d v="2016-11-30T00:00:00"/>
    <x v="1"/>
    <s v="SP-20860"/>
    <s v="Sung Pak"/>
    <x v="1"/>
    <s v="United States"/>
    <x v="2"/>
    <x v="2"/>
    <n v="90036"/>
    <x v="1"/>
    <s v="FUR-CH-10001394"/>
    <x v="0"/>
    <x v="1"/>
    <s v="Global Leather Executive Chair"/>
    <n v="1685"/>
    <n v="6"/>
    <n v="0.2"/>
    <n v="211"/>
    <x v="6"/>
    <s v="Nov"/>
  </r>
  <r>
    <n v="3907"/>
    <s v="CA-2015-167010"/>
    <x v="509"/>
    <d v="2015-04-10T00:00:00"/>
    <x v="1"/>
    <s v="VT-21700"/>
    <s v="Valerie Takahito"/>
    <x v="2"/>
    <s v="United States"/>
    <x v="3"/>
    <x v="3"/>
    <n v="19143"/>
    <x v="2"/>
    <s v="FUR-FU-10001468"/>
    <x v="0"/>
    <x v="3"/>
    <s v="Tenex Antistatic Computer Chair Mats"/>
    <n v="547"/>
    <n v="4"/>
    <n v="0.2"/>
    <n v="-68"/>
    <x v="2"/>
    <s v="Apr"/>
  </r>
  <r>
    <n v="3910"/>
    <s v="CA-2015-167010"/>
    <x v="509"/>
    <d v="2015-04-10T00:00:00"/>
    <x v="1"/>
    <s v="VT-21700"/>
    <s v="Valerie Takahito"/>
    <x v="2"/>
    <s v="United States"/>
    <x v="3"/>
    <x v="3"/>
    <n v="19143"/>
    <x v="2"/>
    <s v="FUR-FU-10001037"/>
    <x v="0"/>
    <x v="3"/>
    <s v="DAX Charcoal/Nickel-Tone Document Frame, 5 x 7"/>
    <n v="8"/>
    <n v="1"/>
    <n v="0.2"/>
    <n v="2"/>
    <x v="2"/>
    <s v="Apr"/>
  </r>
  <r>
    <n v="3911"/>
    <s v="CA-2015-167010"/>
    <x v="509"/>
    <d v="2015-04-10T00:00:00"/>
    <x v="1"/>
    <s v="VT-21700"/>
    <s v="Valerie Takahito"/>
    <x v="2"/>
    <s v="United States"/>
    <x v="3"/>
    <x v="3"/>
    <n v="19143"/>
    <x v="2"/>
    <s v="FUR-BO-10004218"/>
    <x v="0"/>
    <x v="0"/>
    <s v="Bush Heritage Pine Collection 5-Shelf Bookcase, Albany Pine Finish, *Special Order"/>
    <n v="352"/>
    <n v="5"/>
    <n v="0.5"/>
    <n v="-211"/>
    <x v="2"/>
    <s v="Apr"/>
  </r>
  <r>
    <n v="3914"/>
    <s v="CA-2017-148068"/>
    <x v="510"/>
    <d v="2017-09-25T00:00:00"/>
    <x v="1"/>
    <s v="MM-18280"/>
    <s v="Muhammed MacIntyre"/>
    <x v="1"/>
    <s v="United States"/>
    <x v="13"/>
    <x v="7"/>
    <n v="10035"/>
    <x v="2"/>
    <s v="FUR-FU-10002268"/>
    <x v="0"/>
    <x v="3"/>
    <s v="Ultra Door Push Plate"/>
    <n v="10"/>
    <n v="2"/>
    <n v="0"/>
    <n v="3"/>
    <x v="1"/>
    <s v="Sep"/>
  </r>
  <r>
    <n v="3915"/>
    <s v="US-2017-142573"/>
    <x v="511"/>
    <d v="2017-07-23T00:00:00"/>
    <x v="1"/>
    <s v="ML-17410"/>
    <s v="Maris LaWare"/>
    <x v="0"/>
    <s v="United States"/>
    <x v="43"/>
    <x v="22"/>
    <n v="85023"/>
    <x v="1"/>
    <s v="FUR-TA-10001932"/>
    <x v="0"/>
    <x v="2"/>
    <s v="Chromcraft 48&quot; x 96&quot; Racetrack Double Pedestal Table"/>
    <n v="802"/>
    <n v="5"/>
    <n v="0.5"/>
    <n v="-449"/>
    <x v="2"/>
    <s v="Jul"/>
  </r>
  <r>
    <n v="3916"/>
    <s v="US-2017-142573"/>
    <x v="511"/>
    <d v="2017-07-23T00:00:00"/>
    <x v="1"/>
    <s v="ML-17410"/>
    <s v="Maris LaWare"/>
    <x v="0"/>
    <s v="United States"/>
    <x v="43"/>
    <x v="22"/>
    <n v="85023"/>
    <x v="1"/>
    <s v="FUR-CH-10004218"/>
    <x v="0"/>
    <x v="1"/>
    <s v="Global Fabric Manager's Chair, Dark Gray"/>
    <n v="162"/>
    <n v="2"/>
    <n v="0.2"/>
    <n v="10"/>
    <x v="2"/>
    <s v="Jul"/>
  </r>
  <r>
    <n v="3919"/>
    <s v="US-2017-142573"/>
    <x v="511"/>
    <d v="2017-07-23T00:00:00"/>
    <x v="1"/>
    <s v="ML-17410"/>
    <s v="Maris LaWare"/>
    <x v="0"/>
    <s v="United States"/>
    <x v="43"/>
    <x v="22"/>
    <n v="85023"/>
    <x v="1"/>
    <s v="FUR-CH-10000513"/>
    <x v="0"/>
    <x v="1"/>
    <s v="High-Back Leather Manager's Chair"/>
    <n v="312"/>
    <n v="3"/>
    <n v="0.2"/>
    <n v="-43"/>
    <x v="2"/>
    <s v="Jul"/>
  </r>
  <r>
    <n v="3927"/>
    <s v="CA-2014-103940"/>
    <x v="512"/>
    <d v="2014-09-21T00:00:00"/>
    <x v="1"/>
    <s v="BN-11515"/>
    <s v="Bradley Nguyen"/>
    <x v="0"/>
    <s v="United States"/>
    <x v="15"/>
    <x v="13"/>
    <n v="98103"/>
    <x v="1"/>
    <s v="FUR-FU-10004671"/>
    <x v="0"/>
    <x v="3"/>
    <s v="Executive Impressions 12&quot; Wall Clock"/>
    <n v="35"/>
    <n v="2"/>
    <n v="0"/>
    <n v="13"/>
    <x v="4"/>
    <s v="Sep"/>
  </r>
  <r>
    <n v="3929"/>
    <s v="CA-2016-162082"/>
    <x v="269"/>
    <d v="2016-03-17T00:00:00"/>
    <x v="2"/>
    <s v="JS-15880"/>
    <s v="John Stevenson"/>
    <x v="0"/>
    <s v="United States"/>
    <x v="226"/>
    <x v="5"/>
    <n v="78550"/>
    <x v="3"/>
    <s v="FUR-BO-10004409"/>
    <x v="0"/>
    <x v="0"/>
    <s v="Safco Value Mate Series Steel Bookcases, Baked Enamel Finish on Steel, Gray"/>
    <n v="241"/>
    <n v="5"/>
    <n v="0.32"/>
    <n v="-14"/>
    <x v="0"/>
    <s v="Mar"/>
  </r>
  <r>
    <n v="3939"/>
    <s v="CA-2015-118955"/>
    <x v="513"/>
    <d v="2015-06-20T00:00:00"/>
    <x v="1"/>
    <s v="LS-17230"/>
    <s v="Lycoris Saunders"/>
    <x v="0"/>
    <s v="United States"/>
    <x v="141"/>
    <x v="5"/>
    <n v="75051"/>
    <x v="3"/>
    <s v="FUR-CH-10001708"/>
    <x v="0"/>
    <x v="1"/>
    <s v="Office Star - Contemporary Swivel Chair with Padded Adjustable Arms and Flex Back"/>
    <n v="197"/>
    <n v="2"/>
    <n v="0.3"/>
    <n v="-25"/>
    <x v="4"/>
    <s v="Jun"/>
  </r>
  <r>
    <n v="3940"/>
    <s v="US-2016-143448"/>
    <x v="43"/>
    <d v="2016-12-10T00:00:00"/>
    <x v="3"/>
    <s v="MH-17455"/>
    <s v="Mark Hamilton"/>
    <x v="0"/>
    <s v="United States"/>
    <x v="227"/>
    <x v="6"/>
    <n v="46142"/>
    <x v="3"/>
    <s v="FUR-CH-10003379"/>
    <x v="0"/>
    <x v="1"/>
    <s v="Global Commerce Series High-Back Swivel/Tilt Chairs"/>
    <n v="1425"/>
    <n v="5"/>
    <n v="0"/>
    <n v="356"/>
    <x v="7"/>
    <s v="Dec"/>
  </r>
  <r>
    <n v="3941"/>
    <s v="CA-2017-117863"/>
    <x v="514"/>
    <d v="2017-05-23T00:00:00"/>
    <x v="1"/>
    <s v="TS-21340"/>
    <s v="Toby Swindell"/>
    <x v="0"/>
    <s v="United States"/>
    <x v="13"/>
    <x v="7"/>
    <n v="10024"/>
    <x v="2"/>
    <s v="FUR-FU-10002456"/>
    <x v="0"/>
    <x v="3"/>
    <s v="Master Caster Door Stop, Large Neon Orange"/>
    <n v="15"/>
    <n v="2"/>
    <n v="0"/>
    <n v="6"/>
    <x v="2"/>
    <s v="May"/>
  </r>
  <r>
    <n v="3951"/>
    <s v="CA-2016-119963"/>
    <x v="515"/>
    <d v="2016-11-22T00:00:00"/>
    <x v="1"/>
    <s v="SN-20710"/>
    <s v="Steve Nguyen"/>
    <x v="2"/>
    <s v="United States"/>
    <x v="102"/>
    <x v="5"/>
    <n v="77506"/>
    <x v="3"/>
    <s v="FUR-CH-10003817"/>
    <x v="0"/>
    <x v="1"/>
    <s v="Global Value Steno Chair, Gray"/>
    <n v="255"/>
    <n v="6"/>
    <n v="0.3"/>
    <n v="-18"/>
    <x v="4"/>
    <s v="Nov"/>
  </r>
  <r>
    <n v="3955"/>
    <s v="CA-2014-133228"/>
    <x v="516"/>
    <d v="2014-04-09T00:00:00"/>
    <x v="1"/>
    <s v="MS-17710"/>
    <s v="Maurice Satty"/>
    <x v="0"/>
    <s v="United States"/>
    <x v="25"/>
    <x v="17"/>
    <n v="48205"/>
    <x v="3"/>
    <s v="FUR-FU-10004020"/>
    <x v="0"/>
    <x v="3"/>
    <s v="Advantus Panel Wall Acrylic Frame"/>
    <n v="5"/>
    <n v="1"/>
    <n v="0"/>
    <n v="2"/>
    <x v="2"/>
    <s v="Apr"/>
  </r>
  <r>
    <n v="3957"/>
    <s v="CA-2016-114951"/>
    <x v="517"/>
    <d v="2016-07-03T00:00:00"/>
    <x v="1"/>
    <s v="DN-13690"/>
    <s v="Duane Noonan"/>
    <x v="0"/>
    <s v="United States"/>
    <x v="28"/>
    <x v="2"/>
    <n v="94109"/>
    <x v="1"/>
    <s v="FUR-FU-10002364"/>
    <x v="0"/>
    <x v="3"/>
    <s v="Eldon Expressions Wood Desk Accessories, Oak"/>
    <n v="22"/>
    <n v="3"/>
    <n v="0"/>
    <n v="6"/>
    <x v="1"/>
    <s v="Jun"/>
  </r>
  <r>
    <n v="3960"/>
    <s v="CA-2016-156573"/>
    <x v="518"/>
    <d v="2016-06-02T00:00:00"/>
    <x v="1"/>
    <s v="RB-19360"/>
    <s v="Raymond Buch"/>
    <x v="0"/>
    <s v="United States"/>
    <x v="228"/>
    <x v="9"/>
    <n v="37211"/>
    <x v="0"/>
    <s v="FUR-FU-10001085"/>
    <x v="0"/>
    <x v="3"/>
    <s v="3M Polarizing Light Filter Sleeves"/>
    <n v="45"/>
    <n v="3"/>
    <n v="0.2"/>
    <n v="15"/>
    <x v="4"/>
    <s v="May"/>
  </r>
  <r>
    <n v="3964"/>
    <s v="CA-2017-134838"/>
    <x v="519"/>
    <d v="2017-02-20T00:00:00"/>
    <x v="2"/>
    <s v="ED-13885"/>
    <s v="Emily Ducich"/>
    <x v="2"/>
    <s v="United States"/>
    <x v="2"/>
    <x v="2"/>
    <n v="90045"/>
    <x v="1"/>
    <s v="FUR-FU-10004018"/>
    <x v="0"/>
    <x v="3"/>
    <s v="Tensor Computer Mounted Lamp"/>
    <n v="45"/>
    <n v="3"/>
    <n v="0"/>
    <n v="12"/>
    <x v="5"/>
    <s v="Feb"/>
  </r>
  <r>
    <n v="3975"/>
    <s v="CA-2016-167556"/>
    <x v="477"/>
    <d v="2016-04-02T00:00:00"/>
    <x v="1"/>
    <s v="JM-15250"/>
    <s v="Janet Martin"/>
    <x v="0"/>
    <s v="United States"/>
    <x v="13"/>
    <x v="7"/>
    <n v="10009"/>
    <x v="2"/>
    <s v="FUR-FU-10004848"/>
    <x v="0"/>
    <x v="3"/>
    <s v="Howard Miller 13-3/4&quot; Diameter Brushed Chrome Round Wall Clock"/>
    <n v="414"/>
    <n v="8"/>
    <n v="0"/>
    <n v="124"/>
    <x v="4"/>
    <s v="Mar"/>
  </r>
  <r>
    <n v="3977"/>
    <s v="US-2016-116400"/>
    <x v="148"/>
    <d v="2016-10-24T00:00:00"/>
    <x v="2"/>
    <s v="EB-13930"/>
    <s v="Eric Barreto"/>
    <x v="0"/>
    <s v="United States"/>
    <x v="52"/>
    <x v="25"/>
    <n v="23223"/>
    <x v="0"/>
    <s v="FUR-FU-10003731"/>
    <x v="0"/>
    <x v="3"/>
    <s v="Eldon Expressions Wood and Plastic Desk Accessories, Oak"/>
    <n v="40"/>
    <n v="4"/>
    <n v="0"/>
    <n v="11"/>
    <x v="3"/>
    <s v="Oct"/>
  </r>
  <r>
    <n v="3980"/>
    <s v="CA-2014-114517"/>
    <x v="520"/>
    <d v="2014-12-27T00:00:00"/>
    <x v="1"/>
    <s v="TH-21235"/>
    <s v="Tiffany House"/>
    <x v="1"/>
    <s v="United States"/>
    <x v="13"/>
    <x v="7"/>
    <n v="10024"/>
    <x v="2"/>
    <s v="FUR-TA-10001676"/>
    <x v="0"/>
    <x v="2"/>
    <s v="Hon 61000 Series Interactive Training Tables"/>
    <n v="53"/>
    <n v="2"/>
    <n v="0.4"/>
    <n v="-20"/>
    <x v="4"/>
    <s v="Dec"/>
  </r>
  <r>
    <n v="3982"/>
    <s v="CA-2017-119564"/>
    <x v="521"/>
    <d v="2017-12-20T00:00:00"/>
    <x v="1"/>
    <s v="PL-18925"/>
    <s v="Paul Lucas"/>
    <x v="2"/>
    <s v="United States"/>
    <x v="15"/>
    <x v="13"/>
    <n v="98115"/>
    <x v="1"/>
    <s v="FUR-FU-10003096"/>
    <x v="0"/>
    <x v="3"/>
    <s v="Master Giant Foot Doorstop, Safety Yellow"/>
    <n v="23"/>
    <n v="3"/>
    <n v="0"/>
    <n v="10"/>
    <x v="2"/>
    <s v="Dec"/>
  </r>
  <r>
    <n v="3983"/>
    <s v="CA-2016-135265"/>
    <x v="281"/>
    <d v="2016-07-09T00:00:00"/>
    <x v="0"/>
    <s v="CC-12370"/>
    <s v="Christopher Conant"/>
    <x v="0"/>
    <s v="United States"/>
    <x v="2"/>
    <x v="2"/>
    <n v="90045"/>
    <x v="1"/>
    <s v="FUR-CH-10003061"/>
    <x v="0"/>
    <x v="1"/>
    <s v="Global Leather Task Chair, Black"/>
    <n v="288"/>
    <n v="4"/>
    <n v="0.2"/>
    <n v="-4"/>
    <x v="3"/>
    <s v="Jul"/>
  </r>
  <r>
    <n v="3986"/>
    <s v="CA-2016-108735"/>
    <x v="380"/>
    <d v="2016-04-21T00:00:00"/>
    <x v="1"/>
    <s v="JM-15535"/>
    <s v="Jessica Myrick"/>
    <x v="0"/>
    <s v="United States"/>
    <x v="174"/>
    <x v="2"/>
    <n v="90712"/>
    <x v="1"/>
    <s v="FUR-BO-10003441"/>
    <x v="0"/>
    <x v="0"/>
    <s v="Bush Westfield Collection Bookcases, Fully Assembled"/>
    <n v="257"/>
    <n v="3"/>
    <n v="0.15"/>
    <n v="24"/>
    <x v="4"/>
    <s v="Apr"/>
  </r>
  <r>
    <n v="3989"/>
    <s v="US-2016-159415"/>
    <x v="380"/>
    <d v="2016-04-22T00:00:00"/>
    <x v="1"/>
    <s v="CS-12175"/>
    <s v="Charles Sheldon"/>
    <x v="1"/>
    <s v="United States"/>
    <x v="11"/>
    <x v="9"/>
    <n v="38401"/>
    <x v="0"/>
    <s v="FUR-FU-10003798"/>
    <x v="0"/>
    <x v="3"/>
    <s v="Ultra Door Kickplate, 8&quot;H x 34&quot;W"/>
    <n v="79"/>
    <n v="5"/>
    <n v="0.2"/>
    <n v="14"/>
    <x v="2"/>
    <s v="Apr"/>
  </r>
  <r>
    <n v="3990"/>
    <s v="CA-2014-122588"/>
    <x v="306"/>
    <d v="2014-11-27T00:00:00"/>
    <x v="0"/>
    <s v="AR-10540"/>
    <s v="Andy Reiter"/>
    <x v="0"/>
    <s v="United States"/>
    <x v="229"/>
    <x v="38"/>
    <n v="2895"/>
    <x v="2"/>
    <s v="FUR-FU-10001095"/>
    <x v="0"/>
    <x v="3"/>
    <s v="DAX Black Cherry Wood-Tone Poster Frame"/>
    <n v="53"/>
    <n v="2"/>
    <n v="0"/>
    <n v="20"/>
    <x v="3"/>
    <s v="Nov"/>
  </r>
  <r>
    <n v="3992"/>
    <s v="CA-2015-161998"/>
    <x v="522"/>
    <d v="2015-05-05T00:00:00"/>
    <x v="1"/>
    <s v="DB-13120"/>
    <s v="David Bremer"/>
    <x v="1"/>
    <s v="United States"/>
    <x v="26"/>
    <x v="1"/>
    <n v="33614"/>
    <x v="0"/>
    <s v="FUR-FU-10001095"/>
    <x v="0"/>
    <x v="3"/>
    <s v="DAX Black Cherry Wood-Tone Poster Frame"/>
    <n v="64"/>
    <n v="3"/>
    <n v="0.2"/>
    <n v="14"/>
    <x v="4"/>
    <s v="May"/>
  </r>
  <r>
    <n v="3995"/>
    <s v="CA-2015-105627"/>
    <x v="523"/>
    <d v="2015-03-12T00:00:00"/>
    <x v="1"/>
    <s v="DK-12895"/>
    <s v="Dana Kaydos"/>
    <x v="0"/>
    <s v="United States"/>
    <x v="230"/>
    <x v="16"/>
    <n v="53142"/>
    <x v="3"/>
    <s v="FUR-BO-10002916"/>
    <x v="0"/>
    <x v="0"/>
    <s v="Rush Hierlooms Collection 1&quot; Thick Stackable Bookcases"/>
    <n v="513"/>
    <n v="3"/>
    <n v="0"/>
    <n v="97"/>
    <x v="4"/>
    <s v="Mar"/>
  </r>
  <r>
    <n v="3996"/>
    <s v="CA-2015-105627"/>
    <x v="523"/>
    <d v="2015-03-12T00:00:00"/>
    <x v="1"/>
    <s v="DK-12895"/>
    <s v="Dana Kaydos"/>
    <x v="0"/>
    <s v="United States"/>
    <x v="230"/>
    <x v="16"/>
    <n v="53142"/>
    <x v="3"/>
    <s v="FUR-CH-10002084"/>
    <x v="0"/>
    <x v="1"/>
    <s v="Hon Mobius Operator's Chair"/>
    <n v="861"/>
    <n v="7"/>
    <n v="0"/>
    <n v="189"/>
    <x v="4"/>
    <s v="Mar"/>
  </r>
  <r>
    <n v="3999"/>
    <s v="CA-2015-105627"/>
    <x v="523"/>
    <d v="2015-03-12T00:00:00"/>
    <x v="1"/>
    <s v="DK-12895"/>
    <s v="Dana Kaydos"/>
    <x v="0"/>
    <s v="United States"/>
    <x v="230"/>
    <x v="16"/>
    <n v="53142"/>
    <x v="3"/>
    <s v="FUR-FU-10000308"/>
    <x v="0"/>
    <x v="3"/>
    <s v="Deflect-o Glass Clear Studded Chair Mats"/>
    <n v="373"/>
    <n v="6"/>
    <n v="0"/>
    <n v="82"/>
    <x v="4"/>
    <s v="Mar"/>
  </r>
  <r>
    <n v="4000"/>
    <s v="US-2015-149629"/>
    <x v="392"/>
    <d v="2015-07-20T00:00:00"/>
    <x v="0"/>
    <s v="MP-17965"/>
    <s v="Michael Paige"/>
    <x v="1"/>
    <s v="United States"/>
    <x v="231"/>
    <x v="1"/>
    <n v="34952"/>
    <x v="0"/>
    <s v="FUR-BO-10004709"/>
    <x v="0"/>
    <x v="0"/>
    <s v="Bush Westfield Collection Bookcases, Medium Cherry Finish"/>
    <n v="232"/>
    <n v="5"/>
    <n v="0.2"/>
    <n v="6"/>
    <x v="0"/>
    <s v="Jul"/>
  </r>
  <r>
    <n v="4001"/>
    <s v="CA-2014-116834"/>
    <x v="524"/>
    <d v="2014-10-16T00:00:00"/>
    <x v="1"/>
    <s v="Dp-13240"/>
    <s v="Dean percer"/>
    <x v="2"/>
    <s v="United States"/>
    <x v="15"/>
    <x v="13"/>
    <n v="98115"/>
    <x v="1"/>
    <s v="FUR-FU-10001196"/>
    <x v="0"/>
    <x v="3"/>
    <s v="DAX Cubicle Frames - 8x10"/>
    <n v="63"/>
    <n v="11"/>
    <n v="0"/>
    <n v="19"/>
    <x v="2"/>
    <s v="Oct"/>
  </r>
  <r>
    <n v="4003"/>
    <s v="CA-2016-145730"/>
    <x v="492"/>
    <d v="2016-03-08T00:00:00"/>
    <x v="1"/>
    <s v="CC-12220"/>
    <s v="Chris Cortes"/>
    <x v="0"/>
    <s v="United States"/>
    <x v="21"/>
    <x v="5"/>
    <n v="78207"/>
    <x v="3"/>
    <s v="FUR-TA-10004915"/>
    <x v="0"/>
    <x v="2"/>
    <s v="Office Impressions End Table, 20-1/2&quot;H x 24&quot;W x 20&quot;D"/>
    <n v="638"/>
    <n v="3"/>
    <n v="0.3"/>
    <n v="-128"/>
    <x v="2"/>
    <s v="Mar"/>
  </r>
  <r>
    <n v="4010"/>
    <s v="CA-2017-144463"/>
    <x v="143"/>
    <d v="2017-01-05T00:00:00"/>
    <x v="1"/>
    <s v="SC-20725"/>
    <s v="Steven Cartwright"/>
    <x v="0"/>
    <s v="United States"/>
    <x v="2"/>
    <x v="2"/>
    <n v="90036"/>
    <x v="1"/>
    <s v="FUR-FU-10001215"/>
    <x v="0"/>
    <x v="3"/>
    <s v="Howard Miller 11-1/2&quot; Diameter Brentwood Wall Clock"/>
    <n v="474"/>
    <n v="11"/>
    <n v="0"/>
    <n v="199"/>
    <x v="4"/>
    <s v="Jan"/>
  </r>
  <r>
    <n v="4021"/>
    <s v="CA-2014-154963"/>
    <x v="525"/>
    <d v="2014-06-27T00:00:00"/>
    <x v="1"/>
    <s v="AA-10645"/>
    <s v="Anna Andreadi"/>
    <x v="0"/>
    <s v="United States"/>
    <x v="100"/>
    <x v="3"/>
    <n v="19013"/>
    <x v="2"/>
    <s v="FUR-CH-10004698"/>
    <x v="0"/>
    <x v="1"/>
    <s v="Padded Folding Chairs, Black, 4/Carton"/>
    <n v="170"/>
    <n v="3"/>
    <n v="0.3"/>
    <n v="-5"/>
    <x v="2"/>
    <s v="Jun"/>
  </r>
  <r>
    <n v="4023"/>
    <s v="CA-2014-154963"/>
    <x v="525"/>
    <d v="2014-06-27T00:00:00"/>
    <x v="1"/>
    <s v="AA-10645"/>
    <s v="Anna Andreadi"/>
    <x v="0"/>
    <s v="United States"/>
    <x v="100"/>
    <x v="3"/>
    <n v="19013"/>
    <x v="2"/>
    <s v="FUR-CH-10000454"/>
    <x v="0"/>
    <x v="1"/>
    <s v="Hon Deluxe Fabric Upholstered Stacking Chairs, Rounded Back"/>
    <n v="854"/>
    <n v="5"/>
    <n v="0.3"/>
    <n v="0"/>
    <x v="2"/>
    <s v="Jun"/>
  </r>
  <r>
    <n v="4024"/>
    <s v="CA-2017-130764"/>
    <x v="526"/>
    <d v="2017-10-28T00:00:00"/>
    <x v="2"/>
    <s v="JO-15145"/>
    <s v="Jack O'Briant"/>
    <x v="1"/>
    <s v="United States"/>
    <x v="28"/>
    <x v="2"/>
    <n v="94110"/>
    <x v="1"/>
    <s v="FUR-BO-10003034"/>
    <x v="0"/>
    <x v="0"/>
    <s v="O'Sullivan Elevations Bookcase, Cherry Finish"/>
    <n v="557"/>
    <n v="5"/>
    <n v="0.15"/>
    <n v="7"/>
    <x v="5"/>
    <s v="Oct"/>
  </r>
  <r>
    <n v="4031"/>
    <s v="CA-2017-124296"/>
    <x v="455"/>
    <d v="2017-12-28T00:00:00"/>
    <x v="1"/>
    <s v="CS-12355"/>
    <s v="Christine Sundaresam"/>
    <x v="0"/>
    <s v="United States"/>
    <x v="120"/>
    <x v="35"/>
    <n v="70506"/>
    <x v="0"/>
    <s v="FUR-CH-10002439"/>
    <x v="0"/>
    <x v="1"/>
    <s v="Iceberg Nesting Folding Chair, 19w x 6d x 43h"/>
    <n v="233"/>
    <n v="4"/>
    <n v="0"/>
    <n v="61"/>
    <x v="4"/>
    <s v="Dec"/>
  </r>
  <r>
    <n v="4038"/>
    <s v="CA-2014-110786"/>
    <x v="527"/>
    <d v="2015-01-02T00:00:00"/>
    <x v="1"/>
    <s v="AJ-10795"/>
    <s v="Anthony Johnson"/>
    <x v="1"/>
    <s v="United States"/>
    <x v="28"/>
    <x v="2"/>
    <n v="94110"/>
    <x v="1"/>
    <s v="FUR-FU-10000550"/>
    <x v="0"/>
    <x v="3"/>
    <s v="Stacking Trays by OIC"/>
    <n v="25"/>
    <n v="5"/>
    <n v="0"/>
    <n v="8"/>
    <x v="4"/>
    <s v="Dec"/>
  </r>
  <r>
    <n v="4044"/>
    <s v="CA-2014-110786"/>
    <x v="527"/>
    <d v="2015-01-02T00:00:00"/>
    <x v="1"/>
    <s v="AJ-10795"/>
    <s v="Anthony Johnson"/>
    <x v="1"/>
    <s v="United States"/>
    <x v="28"/>
    <x v="2"/>
    <n v="94110"/>
    <x v="1"/>
    <s v="FUR-FU-10000672"/>
    <x v="0"/>
    <x v="3"/>
    <s v="Executive Impressions 10&quot; Spectator Wall Clock"/>
    <n v="71"/>
    <n v="6"/>
    <n v="0"/>
    <n v="24"/>
    <x v="4"/>
    <s v="Dec"/>
  </r>
  <r>
    <n v="4045"/>
    <s v="CA-2015-137750"/>
    <x v="528"/>
    <d v="2015-06-30T00:00:00"/>
    <x v="1"/>
    <s v="JF-15565"/>
    <s v="Jill Fjeld"/>
    <x v="0"/>
    <s v="United States"/>
    <x v="28"/>
    <x v="2"/>
    <n v="94110"/>
    <x v="1"/>
    <s v="FUR-FU-10001979"/>
    <x v="0"/>
    <x v="3"/>
    <s v="Dana Halogen Swing-Arm Architect Lamp"/>
    <n v="205"/>
    <n v="5"/>
    <n v="0"/>
    <n v="57"/>
    <x v="2"/>
    <s v="Jun"/>
  </r>
  <r>
    <n v="4050"/>
    <s v="CA-2017-136350"/>
    <x v="529"/>
    <d v="2017-06-26T00:00:00"/>
    <x v="0"/>
    <s v="GA-14515"/>
    <s v="George Ashbrook"/>
    <x v="0"/>
    <s v="United States"/>
    <x v="13"/>
    <x v="7"/>
    <n v="10011"/>
    <x v="2"/>
    <s v="FUR-FU-10003601"/>
    <x v="0"/>
    <x v="3"/>
    <s v="Deflect-o RollaMat Studded, Beveled Mat for Medium Pile Carpeting"/>
    <n v="277"/>
    <n v="3"/>
    <n v="0"/>
    <n v="50"/>
    <x v="3"/>
    <s v="Jun"/>
  </r>
  <r>
    <n v="4051"/>
    <s v="CA-2017-136350"/>
    <x v="529"/>
    <d v="2017-06-26T00:00:00"/>
    <x v="0"/>
    <s v="GA-14515"/>
    <s v="George Ashbrook"/>
    <x v="0"/>
    <s v="United States"/>
    <x v="13"/>
    <x v="7"/>
    <n v="10011"/>
    <x v="2"/>
    <s v="FUR-CH-10001891"/>
    <x v="0"/>
    <x v="1"/>
    <s v="Global Deluxe Office Fabric Chairs"/>
    <n v="173"/>
    <n v="2"/>
    <n v="0.1"/>
    <n v="33"/>
    <x v="3"/>
    <s v="Jun"/>
  </r>
  <r>
    <n v="4053"/>
    <s v="CA-2014-122931"/>
    <x v="189"/>
    <d v="2014-10-03T00:00:00"/>
    <x v="1"/>
    <s v="SM-20950"/>
    <s v="Suzanne McNair"/>
    <x v="1"/>
    <s v="United States"/>
    <x v="3"/>
    <x v="3"/>
    <n v="19134"/>
    <x v="2"/>
    <s v="FUR-TA-10004175"/>
    <x v="0"/>
    <x v="2"/>
    <s v="Hon 30&quot; x 60&quot; Table with Locking Drawer"/>
    <n v="409"/>
    <n v="2"/>
    <n v="0.4"/>
    <n v="-82"/>
    <x v="4"/>
    <s v="Sep"/>
  </r>
  <r>
    <n v="4057"/>
    <s v="CA-2014-122931"/>
    <x v="189"/>
    <d v="2014-10-03T00:00:00"/>
    <x v="1"/>
    <s v="SM-20950"/>
    <s v="Suzanne McNair"/>
    <x v="1"/>
    <s v="United States"/>
    <x v="3"/>
    <x v="3"/>
    <n v="19134"/>
    <x v="2"/>
    <s v="FUR-TA-10004147"/>
    <x v="0"/>
    <x v="2"/>
    <s v="Hon 4060 Series Tables"/>
    <n v="67"/>
    <n v="1"/>
    <n v="0.4"/>
    <n v="-20"/>
    <x v="4"/>
    <s v="Sep"/>
  </r>
  <r>
    <n v="4060"/>
    <s v="CA-2015-124058"/>
    <x v="141"/>
    <d v="2015-11-24T00:00:00"/>
    <x v="1"/>
    <s v="LC-16885"/>
    <s v="Lena Creighton"/>
    <x v="0"/>
    <s v="United States"/>
    <x v="121"/>
    <x v="2"/>
    <n v="94601"/>
    <x v="1"/>
    <s v="FUR-CH-10000595"/>
    <x v="0"/>
    <x v="1"/>
    <s v="Safco Contoured Stacking Chairs"/>
    <n v="572"/>
    <n v="3"/>
    <n v="0.2"/>
    <n v="36"/>
    <x v="4"/>
    <s v="Nov"/>
  </r>
  <r>
    <n v="4072"/>
    <s v="CA-2016-145303"/>
    <x v="530"/>
    <d v="2016-08-31T00:00:00"/>
    <x v="2"/>
    <s v="TP-21415"/>
    <s v="Tom Prescott"/>
    <x v="0"/>
    <s v="United States"/>
    <x v="144"/>
    <x v="5"/>
    <n v="75081"/>
    <x v="3"/>
    <s v="FUR-BO-10003159"/>
    <x v="0"/>
    <x v="0"/>
    <s v="Sauder Camden County Collection Libraries, Planked Cherry Finish"/>
    <n v="156"/>
    <n v="2"/>
    <n v="0.32"/>
    <n v="-53"/>
    <x v="0"/>
    <s v="Aug"/>
  </r>
  <r>
    <n v="4075"/>
    <s v="CA-2017-108112"/>
    <x v="531"/>
    <d v="2017-11-20T00:00:00"/>
    <x v="1"/>
    <s v="DK-12895"/>
    <s v="Dana Kaydos"/>
    <x v="0"/>
    <s v="United States"/>
    <x v="232"/>
    <x v="1"/>
    <n v="33023"/>
    <x v="0"/>
    <s v="FUR-FU-10003553"/>
    <x v="0"/>
    <x v="3"/>
    <s v="Howard Miller 13-1/2&quot; Diameter Rosebrook Wall Clock"/>
    <n v="220"/>
    <n v="4"/>
    <n v="0.2"/>
    <n v="55"/>
    <x v="2"/>
    <s v="Nov"/>
  </r>
  <r>
    <n v="4076"/>
    <s v="CA-2017-108112"/>
    <x v="531"/>
    <d v="2017-11-20T00:00:00"/>
    <x v="1"/>
    <s v="DK-12895"/>
    <s v="Dana Kaydos"/>
    <x v="0"/>
    <s v="United States"/>
    <x v="232"/>
    <x v="1"/>
    <n v="33023"/>
    <x v="0"/>
    <s v="FUR-FU-10001488"/>
    <x v="0"/>
    <x v="3"/>
    <s v="Tenex 46&quot; x 60&quot; Computer Anti-Static Chairmat, Rectangular Shaped"/>
    <n v="339"/>
    <n v="4"/>
    <n v="0.2"/>
    <n v="0"/>
    <x v="2"/>
    <s v="Nov"/>
  </r>
  <r>
    <n v="4089"/>
    <s v="US-2014-156559"/>
    <x v="532"/>
    <d v="2014-08-26T00:00:00"/>
    <x v="1"/>
    <s v="LH-16900"/>
    <s v="Lena Hernandez"/>
    <x v="0"/>
    <s v="United States"/>
    <x v="93"/>
    <x v="31"/>
    <n v="72401"/>
    <x v="0"/>
    <s v="FUR-BO-10000711"/>
    <x v="0"/>
    <x v="0"/>
    <s v="Hon Metal Bookcases, Gray"/>
    <n v="639"/>
    <n v="9"/>
    <n v="0"/>
    <n v="172"/>
    <x v="1"/>
    <s v="Aug"/>
  </r>
  <r>
    <n v="4104"/>
    <s v="CA-2017-137456"/>
    <x v="533"/>
    <d v="2017-12-21T00:00:00"/>
    <x v="3"/>
    <s v="RB-19465"/>
    <s v="Rick Bensley"/>
    <x v="2"/>
    <s v="United States"/>
    <x v="233"/>
    <x v="27"/>
    <n v="68025"/>
    <x v="3"/>
    <s v="FUR-FU-10001940"/>
    <x v="0"/>
    <x v="3"/>
    <s v="Staple-based wall hangings"/>
    <n v="16"/>
    <n v="2"/>
    <n v="0"/>
    <n v="7"/>
    <x v="7"/>
    <s v="Dec"/>
  </r>
  <r>
    <n v="4109"/>
    <s v="CA-2015-105599"/>
    <x v="395"/>
    <d v="2015-09-07T00:00:00"/>
    <x v="3"/>
    <s v="MC-17275"/>
    <s v="Marc Crier"/>
    <x v="0"/>
    <s v="United States"/>
    <x v="13"/>
    <x v="7"/>
    <n v="10011"/>
    <x v="2"/>
    <s v="FUR-TA-10003837"/>
    <x v="0"/>
    <x v="2"/>
    <s v="Anderson Hickey Conga Table Tops &amp; Accessories"/>
    <n v="27"/>
    <n v="3"/>
    <n v="0.4"/>
    <n v="-14"/>
    <x v="7"/>
    <s v="Sep"/>
  </r>
  <r>
    <n v="4111"/>
    <s v="CA-2015-153717"/>
    <x v="344"/>
    <d v="2016-01-01T00:00:00"/>
    <x v="1"/>
    <s v="DL-13495"/>
    <s v="Dionis Lloyd"/>
    <x v="1"/>
    <s v="United States"/>
    <x v="25"/>
    <x v="17"/>
    <n v="48227"/>
    <x v="3"/>
    <s v="FUR-BO-10004360"/>
    <x v="0"/>
    <x v="0"/>
    <s v="Rush Hierlooms Collection Rich Wood Bookcases"/>
    <n v="161"/>
    <n v="1"/>
    <n v="0"/>
    <n v="21"/>
    <x v="1"/>
    <s v="Dec"/>
  </r>
  <r>
    <n v="4126"/>
    <s v="CA-2017-123239"/>
    <x v="534"/>
    <d v="2017-07-31T00:00:00"/>
    <x v="0"/>
    <s v="MG-18145"/>
    <s v="Mike Gockenbach"/>
    <x v="0"/>
    <s v="United States"/>
    <x v="51"/>
    <x v="1"/>
    <n v="32216"/>
    <x v="0"/>
    <s v="FUR-FU-10001602"/>
    <x v="0"/>
    <x v="3"/>
    <s v="Eldon Delta Triangular Chair Mat, 52&quot; x 58&quot;, Clear"/>
    <n v="91"/>
    <n v="3"/>
    <n v="0.2"/>
    <n v="-2"/>
    <x v="4"/>
    <s v="Jul"/>
  </r>
  <r>
    <n v="4141"/>
    <s v="CA-2017-127313"/>
    <x v="451"/>
    <d v="2017-12-04T00:00:00"/>
    <x v="2"/>
    <s v="RA-19285"/>
    <s v="Ralph Arnett"/>
    <x v="0"/>
    <s v="United States"/>
    <x v="3"/>
    <x v="3"/>
    <n v="19120"/>
    <x v="2"/>
    <s v="FUR-FU-10003798"/>
    <x v="0"/>
    <x v="3"/>
    <s v="Ultra Door Kickplate, 8&quot;H x 34&quot;W"/>
    <n v="79"/>
    <n v="5"/>
    <n v="0.2"/>
    <n v="14"/>
    <x v="0"/>
    <s v="Dec"/>
  </r>
  <r>
    <n v="4146"/>
    <s v="CA-2017-112725"/>
    <x v="129"/>
    <d v="2017-02-06T00:00:00"/>
    <x v="1"/>
    <s v="EH-14125"/>
    <s v="Eugene Hildebrand"/>
    <x v="2"/>
    <s v="United States"/>
    <x v="28"/>
    <x v="2"/>
    <n v="94110"/>
    <x v="1"/>
    <s v="FUR-CH-10000863"/>
    <x v="0"/>
    <x v="1"/>
    <s v="Novimex Swivel Fabric Task Chair"/>
    <n v="121"/>
    <n v="1"/>
    <n v="0.2"/>
    <n v="-14"/>
    <x v="1"/>
    <s v="Jan"/>
  </r>
  <r>
    <n v="4147"/>
    <s v="CA-2015-136196"/>
    <x v="44"/>
    <d v="2015-12-04T00:00:00"/>
    <x v="1"/>
    <s v="TP-21415"/>
    <s v="Tom Prescott"/>
    <x v="0"/>
    <s v="United States"/>
    <x v="234"/>
    <x v="7"/>
    <n v="11520"/>
    <x v="2"/>
    <s v="FUR-FU-10004017"/>
    <x v="0"/>
    <x v="3"/>
    <s v="Tenex Contemporary Contur Chairmats for Low and Medium Pile Carpet, Computer, 39&quot; x 49&quot;"/>
    <n v="323"/>
    <n v="3"/>
    <n v="0"/>
    <n v="65"/>
    <x v="6"/>
    <s v="Nov"/>
  </r>
  <r>
    <n v="4169"/>
    <s v="CA-2014-157924"/>
    <x v="524"/>
    <d v="2014-10-13T00:00:00"/>
    <x v="2"/>
    <s v="HA-14920"/>
    <s v="Helen Andreada"/>
    <x v="0"/>
    <s v="United States"/>
    <x v="102"/>
    <x v="2"/>
    <n v="91104"/>
    <x v="1"/>
    <s v="FUR-CH-10000229"/>
    <x v="0"/>
    <x v="1"/>
    <s v="Global Enterprise Series Seating High-Back Swivel/Tilt Chairs"/>
    <n v="434"/>
    <n v="2"/>
    <n v="0.2"/>
    <n v="-65"/>
    <x v="3"/>
    <s v="Oct"/>
  </r>
  <r>
    <n v="4185"/>
    <s v="CA-2016-143749"/>
    <x v="28"/>
    <d v="2016-12-07T00:00:00"/>
    <x v="2"/>
    <s v="AG-10300"/>
    <s v="Aleksandra Gannaway"/>
    <x v="1"/>
    <s v="United States"/>
    <x v="20"/>
    <x v="20"/>
    <n v="2038"/>
    <x v="2"/>
    <s v="FUR-BO-10002853"/>
    <x v="0"/>
    <x v="0"/>
    <s v="O'Sullivan 5-Shelf Heavy-Duty Bookcases"/>
    <n v="82"/>
    <n v="1"/>
    <n v="0"/>
    <n v="20"/>
    <x v="3"/>
    <s v="Dec"/>
  </r>
  <r>
    <n v="4193"/>
    <s v="CA-2015-150875"/>
    <x v="397"/>
    <d v="2015-11-20T00:00:00"/>
    <x v="1"/>
    <s v="HK-14890"/>
    <s v="Heather Kirkland"/>
    <x v="1"/>
    <s v="United States"/>
    <x v="235"/>
    <x v="42"/>
    <n v="83704"/>
    <x v="1"/>
    <s v="FUR-TA-10000577"/>
    <x v="0"/>
    <x v="2"/>
    <s v="Bretford CR4500 Series Slim Rectangular Table"/>
    <n v="696"/>
    <n v="2"/>
    <n v="0"/>
    <n v="160"/>
    <x v="4"/>
    <s v="Nov"/>
  </r>
  <r>
    <n v="4196"/>
    <s v="CA-2016-124233"/>
    <x v="57"/>
    <d v="2016-04-14T00:00:00"/>
    <x v="1"/>
    <s v="CK-12595"/>
    <s v="Clytie Kelty"/>
    <x v="0"/>
    <s v="United States"/>
    <x v="2"/>
    <x v="2"/>
    <n v="90032"/>
    <x v="1"/>
    <s v="FUR-FU-10002597"/>
    <x v="0"/>
    <x v="3"/>
    <s v="C-Line Magnetic Cubicle Keepers, Clear Polypropylene"/>
    <n v="25"/>
    <n v="5"/>
    <n v="0"/>
    <n v="10"/>
    <x v="6"/>
    <s v="Apr"/>
  </r>
  <r>
    <n v="4206"/>
    <s v="CA-2014-145387"/>
    <x v="314"/>
    <d v="2014-11-02T00:00:00"/>
    <x v="0"/>
    <s v="AM-10705"/>
    <s v="Anne McFarland"/>
    <x v="0"/>
    <s v="United States"/>
    <x v="236"/>
    <x v="38"/>
    <n v="2920"/>
    <x v="2"/>
    <s v="FUR-FU-10002364"/>
    <x v="0"/>
    <x v="3"/>
    <s v="Eldon Expressions Wood Desk Accessories, Oak"/>
    <n v="15"/>
    <n v="2"/>
    <n v="0"/>
    <n v="4"/>
    <x v="3"/>
    <s v="Oct"/>
  </r>
  <r>
    <n v="4208"/>
    <s v="CA-2014-145387"/>
    <x v="314"/>
    <d v="2014-11-02T00:00:00"/>
    <x v="0"/>
    <s v="AM-10705"/>
    <s v="Anne McFarland"/>
    <x v="0"/>
    <s v="United States"/>
    <x v="236"/>
    <x v="38"/>
    <n v="2920"/>
    <x v="2"/>
    <s v="FUR-FU-10000023"/>
    <x v="0"/>
    <x v="3"/>
    <s v="Eldon Wave Desk Accessories"/>
    <n v="18"/>
    <n v="3"/>
    <n v="0"/>
    <n v="8"/>
    <x v="3"/>
    <s v="Oct"/>
  </r>
  <r>
    <n v="4209"/>
    <s v="CA-2014-145387"/>
    <x v="314"/>
    <d v="2014-11-02T00:00:00"/>
    <x v="0"/>
    <s v="AM-10705"/>
    <s v="Anne McFarland"/>
    <x v="0"/>
    <s v="United States"/>
    <x v="236"/>
    <x v="38"/>
    <n v="2920"/>
    <x v="2"/>
    <s v="FUR-CH-10002320"/>
    <x v="0"/>
    <x v="1"/>
    <s v="Hon Pagoda Stacking Chairs"/>
    <n v="1605"/>
    <n v="5"/>
    <n v="0"/>
    <n v="481"/>
    <x v="3"/>
    <s v="Oct"/>
  </r>
  <r>
    <n v="4210"/>
    <s v="CA-2014-145387"/>
    <x v="314"/>
    <d v="2014-11-02T00:00:00"/>
    <x v="0"/>
    <s v="AM-10705"/>
    <s v="Anne McFarland"/>
    <x v="0"/>
    <s v="United States"/>
    <x v="236"/>
    <x v="38"/>
    <n v="2920"/>
    <x v="2"/>
    <s v="FUR-TA-10003238"/>
    <x v="0"/>
    <x v="2"/>
    <s v="Chromcraft Bull-Nose Wood 48&quot; x 96&quot; Rectangular Conference Tables"/>
    <n v="386"/>
    <n v="1"/>
    <n v="0.3"/>
    <n v="-61"/>
    <x v="3"/>
    <s v="Oct"/>
  </r>
  <r>
    <n v="4218"/>
    <s v="CA-2017-149881"/>
    <x v="535"/>
    <d v="2017-04-03T00:00:00"/>
    <x v="2"/>
    <s v="NC-18535"/>
    <s v="Nick Crebassa"/>
    <x v="1"/>
    <s v="United States"/>
    <x v="28"/>
    <x v="2"/>
    <n v="94110"/>
    <x v="1"/>
    <s v="FUR-BO-10003894"/>
    <x v="0"/>
    <x v="0"/>
    <s v="Safco Value Mate Steel Bookcase, Baked Enamel Finish on Steel, Black"/>
    <n v="483"/>
    <n v="8"/>
    <n v="0.15"/>
    <n v="85"/>
    <x v="3"/>
    <s v="Apr"/>
  </r>
  <r>
    <n v="4224"/>
    <s v="CA-2017-134565"/>
    <x v="343"/>
    <d v="2017-06-13T00:00:00"/>
    <x v="0"/>
    <s v="TB-21400"/>
    <s v="Tom Boeckenhauer"/>
    <x v="0"/>
    <s v="United States"/>
    <x v="15"/>
    <x v="13"/>
    <n v="98103"/>
    <x v="1"/>
    <s v="FUR-BO-10001519"/>
    <x v="0"/>
    <x v="0"/>
    <s v="O'Sullivan 3-Shelf Heavy-Duty Bookcases"/>
    <n v="174"/>
    <n v="3"/>
    <n v="0"/>
    <n v="42"/>
    <x v="3"/>
    <s v="Jun"/>
  </r>
  <r>
    <n v="4226"/>
    <s v="US-2014-102631"/>
    <x v="536"/>
    <d v="2014-12-17T00:00:00"/>
    <x v="1"/>
    <s v="EB-13840"/>
    <s v="Ellis Ballard"/>
    <x v="1"/>
    <s v="United States"/>
    <x v="9"/>
    <x v="8"/>
    <n v="60623"/>
    <x v="3"/>
    <s v="FUR-FU-10003930"/>
    <x v="0"/>
    <x v="3"/>
    <s v="Howard Miller 12-3/4 Diameter Accuwave DS  Wall Clock"/>
    <n v="94"/>
    <n v="3"/>
    <n v="0.6"/>
    <n v="-42"/>
    <x v="4"/>
    <s v="Dec"/>
  </r>
  <r>
    <n v="4228"/>
    <s v="CA-2015-154970"/>
    <x v="537"/>
    <d v="2015-01-10T00:00:00"/>
    <x v="1"/>
    <s v="SR-20740"/>
    <s v="Steven Roelle"/>
    <x v="2"/>
    <s v="United States"/>
    <x v="15"/>
    <x v="13"/>
    <n v="98103"/>
    <x v="1"/>
    <s v="FUR-CH-10003396"/>
    <x v="0"/>
    <x v="1"/>
    <s v="Global Deluxe Steno Chair"/>
    <n v="62"/>
    <n v="1"/>
    <n v="0.2"/>
    <n v="-7"/>
    <x v="2"/>
    <s v="Jan"/>
  </r>
  <r>
    <n v="4230"/>
    <s v="CA-2017-100223"/>
    <x v="538"/>
    <d v="2017-07-10T00:00:00"/>
    <x v="1"/>
    <s v="LS-16945"/>
    <s v="Linda Southworth"/>
    <x v="1"/>
    <s v="United States"/>
    <x v="144"/>
    <x v="5"/>
    <n v="75220"/>
    <x v="3"/>
    <s v="FUR-FU-10003601"/>
    <x v="0"/>
    <x v="3"/>
    <s v="Deflect-o RollaMat Studded, Beveled Mat for Medium Pile Carpeting"/>
    <n v="332"/>
    <n v="9"/>
    <n v="0.6"/>
    <n v="-349"/>
    <x v="2"/>
    <s v="Jul"/>
  </r>
  <r>
    <n v="4247"/>
    <s v="CA-2017-117702"/>
    <x v="156"/>
    <d v="2017-12-04T00:00:00"/>
    <x v="1"/>
    <s v="LS-16975"/>
    <s v="Lindsay Shagiari"/>
    <x v="2"/>
    <s v="United States"/>
    <x v="237"/>
    <x v="32"/>
    <n v="21215"/>
    <x v="2"/>
    <s v="FUR-FU-10000576"/>
    <x v="0"/>
    <x v="3"/>
    <s v="Luxo Professional Fluorescent Magnifier Lamp with Clamp-Mount Base"/>
    <n v="1049"/>
    <n v="5"/>
    <n v="0"/>
    <n v="273"/>
    <x v="6"/>
    <s v="Nov"/>
  </r>
  <r>
    <n v="4248"/>
    <s v="CA-2017-117702"/>
    <x v="156"/>
    <d v="2017-12-04T00:00:00"/>
    <x v="1"/>
    <s v="LS-16975"/>
    <s v="Lindsay Shagiari"/>
    <x v="2"/>
    <s v="United States"/>
    <x v="237"/>
    <x v="32"/>
    <n v="21215"/>
    <x v="2"/>
    <s v="FUR-FU-10004270"/>
    <x v="0"/>
    <x v="3"/>
    <s v="Eldon Image Series Desk Accessories, Burgundy"/>
    <n v="21"/>
    <n v="5"/>
    <n v="0"/>
    <n v="8"/>
    <x v="6"/>
    <s v="Nov"/>
  </r>
  <r>
    <n v="4250"/>
    <s v="CA-2016-157336"/>
    <x v="193"/>
    <d v="2016-12-05T00:00:00"/>
    <x v="0"/>
    <s v="SJ-20500"/>
    <s v="Shirley Jackson"/>
    <x v="0"/>
    <s v="United States"/>
    <x v="130"/>
    <x v="19"/>
    <n v="6824"/>
    <x v="2"/>
    <s v="FUR-CH-10004997"/>
    <x v="0"/>
    <x v="1"/>
    <s v="Hon Every-Day Series Multi-Task Chairs"/>
    <n v="752"/>
    <n v="4"/>
    <n v="0"/>
    <n v="150"/>
    <x v="4"/>
    <s v="Dec"/>
  </r>
  <r>
    <n v="4251"/>
    <s v="CA-2014-168130"/>
    <x v="539"/>
    <d v="2014-09-19T00:00:00"/>
    <x v="3"/>
    <s v="BS-11365"/>
    <s v="Bill Shonely"/>
    <x v="1"/>
    <s v="United States"/>
    <x v="13"/>
    <x v="7"/>
    <n v="10011"/>
    <x v="2"/>
    <s v="FUR-CH-10000988"/>
    <x v="0"/>
    <x v="1"/>
    <s v="Hon Olson Stacker Stools"/>
    <n v="887"/>
    <n v="7"/>
    <n v="0.1"/>
    <n v="177"/>
    <x v="7"/>
    <s v="Sep"/>
  </r>
  <r>
    <n v="4257"/>
    <s v="CA-2017-163160"/>
    <x v="540"/>
    <d v="2017-10-16T00:00:00"/>
    <x v="2"/>
    <s v="TS-21610"/>
    <s v="Troy Staebel"/>
    <x v="0"/>
    <s v="United States"/>
    <x v="234"/>
    <x v="8"/>
    <n v="61032"/>
    <x v="3"/>
    <s v="FUR-FU-10001424"/>
    <x v="0"/>
    <x v="3"/>
    <s v="Dax Clear Box Frame"/>
    <n v="10"/>
    <n v="3"/>
    <n v="0.6"/>
    <n v="-7"/>
    <x v="0"/>
    <s v="Oct"/>
  </r>
  <r>
    <n v="4259"/>
    <s v="CA-2016-124793"/>
    <x v="269"/>
    <d v="2016-03-16T00:00:00"/>
    <x v="2"/>
    <s v="MM-18280"/>
    <s v="Muhammed MacIntyre"/>
    <x v="1"/>
    <s v="United States"/>
    <x v="15"/>
    <x v="13"/>
    <n v="98103"/>
    <x v="1"/>
    <s v="FUR-CH-10002880"/>
    <x v="0"/>
    <x v="1"/>
    <s v="Global High-Back Leather Tilter, Burgundy"/>
    <n v="197"/>
    <n v="2"/>
    <n v="0.2"/>
    <n v="-22"/>
    <x v="3"/>
    <s v="Mar"/>
  </r>
  <r>
    <n v="4265"/>
    <s v="US-2016-131611"/>
    <x v="541"/>
    <d v="2016-11-09T00:00:00"/>
    <x v="1"/>
    <s v="EP-13915"/>
    <s v="Emily Phan"/>
    <x v="0"/>
    <s v="United States"/>
    <x v="6"/>
    <x v="5"/>
    <n v="77036"/>
    <x v="3"/>
    <s v="FUR-TA-10002774"/>
    <x v="0"/>
    <x v="2"/>
    <s v="Laminate Occasional Tables"/>
    <n v="863"/>
    <n v="8"/>
    <n v="0.3"/>
    <n v="-160"/>
    <x v="4"/>
    <s v="Nov"/>
  </r>
  <r>
    <n v="4267"/>
    <s v="US-2016-131611"/>
    <x v="541"/>
    <d v="2016-11-09T00:00:00"/>
    <x v="1"/>
    <s v="EP-13915"/>
    <s v="Emily Phan"/>
    <x v="0"/>
    <s v="United States"/>
    <x v="6"/>
    <x v="5"/>
    <n v="77036"/>
    <x v="3"/>
    <s v="FUR-BO-10000780"/>
    <x v="0"/>
    <x v="0"/>
    <s v="O'Sullivan Plantations 2-Door Library in Landvery Oak"/>
    <n v="957"/>
    <n v="7"/>
    <n v="0.32"/>
    <n v="-225"/>
    <x v="4"/>
    <s v="Nov"/>
  </r>
  <r>
    <n v="4270"/>
    <s v="US-2017-124821"/>
    <x v="542"/>
    <d v="2017-06-29T00:00:00"/>
    <x v="0"/>
    <s v="AM-10705"/>
    <s v="Anne McFarland"/>
    <x v="0"/>
    <s v="United States"/>
    <x v="15"/>
    <x v="13"/>
    <n v="98115"/>
    <x v="1"/>
    <s v="FUR-TA-10000688"/>
    <x v="0"/>
    <x v="2"/>
    <s v="Chromcraft Bull-Nose Wood Round Conference Table Top, Wood Base"/>
    <n v="871"/>
    <n v="4"/>
    <n v="0"/>
    <n v="148"/>
    <x v="4"/>
    <s v="Jun"/>
  </r>
  <r>
    <n v="4271"/>
    <s v="CA-2015-166975"/>
    <x v="543"/>
    <d v="2015-11-30T00:00:00"/>
    <x v="1"/>
    <s v="SH-20635"/>
    <s v="Stefanie Holloman"/>
    <x v="1"/>
    <s v="United States"/>
    <x v="38"/>
    <x v="9"/>
    <n v="38301"/>
    <x v="0"/>
    <s v="FUR-FU-10003930"/>
    <x v="0"/>
    <x v="3"/>
    <s v="Howard Miller 12-3/4 Diameter Accuwave DS  Wall Clock"/>
    <n v="692"/>
    <n v="11"/>
    <n v="0.2"/>
    <n v="190"/>
    <x v="4"/>
    <s v="Nov"/>
  </r>
  <r>
    <n v="4272"/>
    <s v="CA-2016-123806"/>
    <x v="243"/>
    <d v="2016-11-27T00:00:00"/>
    <x v="0"/>
    <s v="LA-16780"/>
    <s v="Laura Armstrong"/>
    <x v="1"/>
    <s v="United States"/>
    <x v="237"/>
    <x v="32"/>
    <n v="21215"/>
    <x v="2"/>
    <s v="FUR-FU-10000965"/>
    <x v="0"/>
    <x v="3"/>
    <s v="Howard Miller 11-1/2&quot; Diameter Ridgewood Wall Clock"/>
    <n v="208"/>
    <n v="4"/>
    <n v="0"/>
    <n v="85"/>
    <x v="0"/>
    <s v="Nov"/>
  </r>
  <r>
    <n v="4279"/>
    <s v="US-2016-107440"/>
    <x v="544"/>
    <d v="2016-04-20T00:00:00"/>
    <x v="1"/>
    <s v="BS-11365"/>
    <s v="Bill Shonely"/>
    <x v="1"/>
    <s v="United States"/>
    <x v="174"/>
    <x v="18"/>
    <n v="8701"/>
    <x v="2"/>
    <s v="FUR-FU-10000550"/>
    <x v="0"/>
    <x v="3"/>
    <s v="Stacking Trays by OIC"/>
    <n v="10"/>
    <n v="2"/>
    <n v="0"/>
    <n v="3"/>
    <x v="4"/>
    <s v="Apr"/>
  </r>
  <r>
    <n v="4282"/>
    <s v="CA-2014-166989"/>
    <x v="545"/>
    <d v="2014-11-18T00:00:00"/>
    <x v="1"/>
    <s v="RM-19675"/>
    <s v="Robert Marley"/>
    <x v="2"/>
    <s v="United States"/>
    <x v="13"/>
    <x v="7"/>
    <n v="10011"/>
    <x v="2"/>
    <s v="FUR-CH-10001797"/>
    <x v="0"/>
    <x v="1"/>
    <s v="Safco Chair Connectors, 6/Carton"/>
    <n v="69"/>
    <n v="2"/>
    <n v="0.1"/>
    <n v="15"/>
    <x v="4"/>
    <s v="Nov"/>
  </r>
  <r>
    <n v="4285"/>
    <s v="CA-2015-105690"/>
    <x v="32"/>
    <d v="2015-11-26T00:00:00"/>
    <x v="0"/>
    <s v="CA-11965"/>
    <s v="Carol Adams"/>
    <x v="1"/>
    <s v="United States"/>
    <x v="238"/>
    <x v="5"/>
    <n v="77642"/>
    <x v="3"/>
    <s v="FUR-BO-10003965"/>
    <x v="0"/>
    <x v="0"/>
    <s v="O'Sullivan Manor Hill 2-Door Library in Brianna Oak"/>
    <n v="246"/>
    <n v="2"/>
    <n v="0.32"/>
    <n v="-76"/>
    <x v="2"/>
    <s v="Nov"/>
  </r>
  <r>
    <n v="4292"/>
    <s v="CA-2017-102407"/>
    <x v="13"/>
    <d v="2017-12-13T00:00:00"/>
    <x v="0"/>
    <s v="AT-10435"/>
    <s v="Alyssa Tate"/>
    <x v="2"/>
    <s v="United States"/>
    <x v="2"/>
    <x v="2"/>
    <n v="90004"/>
    <x v="1"/>
    <s v="FUR-TA-10003748"/>
    <x v="0"/>
    <x v="2"/>
    <s v="Bevis 36 x 72 Conference Tables"/>
    <n v="896"/>
    <n v="9"/>
    <n v="0.2"/>
    <n v="22"/>
    <x v="4"/>
    <s v="Dec"/>
  </r>
  <r>
    <n v="4295"/>
    <s v="CA-2017-101581"/>
    <x v="546"/>
    <d v="2017-10-27T00:00:00"/>
    <x v="1"/>
    <s v="DW-13195"/>
    <s v="David Wiener"/>
    <x v="1"/>
    <s v="United States"/>
    <x v="125"/>
    <x v="36"/>
    <n v="97756"/>
    <x v="1"/>
    <s v="FUR-TA-10002607"/>
    <x v="0"/>
    <x v="2"/>
    <s v="KI Conference Tables"/>
    <n v="177"/>
    <n v="5"/>
    <n v="0.5"/>
    <n v="-121"/>
    <x v="2"/>
    <s v="Oct"/>
  </r>
  <r>
    <n v="4296"/>
    <s v="CA-2017-169124"/>
    <x v="209"/>
    <d v="2017-07-10T00:00:00"/>
    <x v="1"/>
    <s v="MB-17305"/>
    <s v="Maria Bertelson"/>
    <x v="0"/>
    <s v="United States"/>
    <x v="239"/>
    <x v="2"/>
    <n v="95610"/>
    <x v="1"/>
    <s v="FUR-FU-10001215"/>
    <x v="0"/>
    <x v="3"/>
    <s v="Howard Miller 11-1/2&quot; Diameter Brentwood Wall Clock"/>
    <n v="129"/>
    <n v="3"/>
    <n v="0"/>
    <n v="54"/>
    <x v="1"/>
    <s v="Jul"/>
  </r>
  <r>
    <n v="4301"/>
    <s v="CA-2017-129021"/>
    <x v="547"/>
    <d v="2017-08-26T00:00:00"/>
    <x v="0"/>
    <s v="PO-18850"/>
    <s v="Patrick O'Brill"/>
    <x v="0"/>
    <s v="United States"/>
    <x v="199"/>
    <x v="1"/>
    <n v="32303"/>
    <x v="0"/>
    <s v="FUR-FU-10001852"/>
    <x v="0"/>
    <x v="3"/>
    <s v="Eldon Regeneration Recycled Desk Accessories, Smoke"/>
    <n v="3"/>
    <n v="2"/>
    <n v="0.2"/>
    <n v="0"/>
    <x v="0"/>
    <s v="Aug"/>
  </r>
  <r>
    <n v="4305"/>
    <s v="CA-2014-162278"/>
    <x v="548"/>
    <d v="2014-10-30T00:00:00"/>
    <x v="0"/>
    <s v="AH-10585"/>
    <s v="Angele Hood"/>
    <x v="0"/>
    <s v="United States"/>
    <x v="15"/>
    <x v="13"/>
    <n v="98105"/>
    <x v="1"/>
    <s v="FUR-FU-10000448"/>
    <x v="0"/>
    <x v="3"/>
    <s v="Tenex Chairmats For Use With Carpeted Floors"/>
    <n v="64"/>
    <n v="4"/>
    <n v="0"/>
    <n v="3"/>
    <x v="4"/>
    <s v="Oct"/>
  </r>
  <r>
    <n v="4310"/>
    <s v="CA-2014-125829"/>
    <x v="53"/>
    <d v="2014-11-11T00:00:00"/>
    <x v="1"/>
    <s v="WB-21850"/>
    <s v="William Brown"/>
    <x v="0"/>
    <s v="United States"/>
    <x v="2"/>
    <x v="2"/>
    <n v="90045"/>
    <x v="1"/>
    <s v="FUR-TA-10002041"/>
    <x v="0"/>
    <x v="2"/>
    <s v="Bevis Round Conference Table Top, X-Base"/>
    <n v="574"/>
    <n v="4"/>
    <n v="0.2"/>
    <n v="-65"/>
    <x v="1"/>
    <s v="Nov"/>
  </r>
  <r>
    <n v="4319"/>
    <s v="US-2017-136189"/>
    <x v="549"/>
    <d v="2017-12-11T00:00:00"/>
    <x v="1"/>
    <s v="DC-13285"/>
    <s v="Debra Catini"/>
    <x v="0"/>
    <s v="United States"/>
    <x v="52"/>
    <x v="25"/>
    <n v="23223"/>
    <x v="0"/>
    <s v="FUR-FU-10000175"/>
    <x v="0"/>
    <x v="3"/>
    <s v="DAX Wood Document Frame."/>
    <n v="82"/>
    <n v="6"/>
    <n v="0"/>
    <n v="26"/>
    <x v="4"/>
    <s v="Dec"/>
  </r>
  <r>
    <n v="4337"/>
    <s v="CA-2015-154795"/>
    <x v="274"/>
    <d v="2015-12-24T00:00:00"/>
    <x v="1"/>
    <s v="GZ-14470"/>
    <s v="Gary Zandusky"/>
    <x v="0"/>
    <s v="United States"/>
    <x v="240"/>
    <x v="22"/>
    <n v="86442"/>
    <x v="1"/>
    <s v="FUR-FU-10002088"/>
    <x v="0"/>
    <x v="3"/>
    <s v="Nu-Dell Float Frame 11 x 14 1/2"/>
    <n v="14"/>
    <n v="2"/>
    <n v="0.2"/>
    <n v="4"/>
    <x v="4"/>
    <s v="Dec"/>
  </r>
  <r>
    <n v="4347"/>
    <s v="CA-2016-120355"/>
    <x v="126"/>
    <d v="2016-09-25T00:00:00"/>
    <x v="1"/>
    <s v="MM-17260"/>
    <s v="Magdelene Morse"/>
    <x v="0"/>
    <s v="United States"/>
    <x v="241"/>
    <x v="7"/>
    <n v="10801"/>
    <x v="2"/>
    <s v="FUR-CH-10001394"/>
    <x v="0"/>
    <x v="1"/>
    <s v="Global Leather Executive Chair"/>
    <n v="632"/>
    <n v="2"/>
    <n v="0.1"/>
    <n v="140"/>
    <x v="1"/>
    <s v="Sep"/>
  </r>
  <r>
    <n v="4348"/>
    <s v="CA-2016-120355"/>
    <x v="126"/>
    <d v="2016-09-25T00:00:00"/>
    <x v="1"/>
    <s v="MM-17260"/>
    <s v="Magdelene Morse"/>
    <x v="0"/>
    <s v="United States"/>
    <x v="241"/>
    <x v="7"/>
    <n v="10801"/>
    <x v="2"/>
    <s v="FUR-FU-10004053"/>
    <x v="0"/>
    <x v="3"/>
    <s v="DAX Two-Tone Silver Metal Document Frame"/>
    <n v="61"/>
    <n v="3"/>
    <n v="0"/>
    <n v="26"/>
    <x v="1"/>
    <s v="Sep"/>
  </r>
  <r>
    <n v="4359"/>
    <s v="CA-2017-162565"/>
    <x v="246"/>
    <d v="2017-12-11T00:00:00"/>
    <x v="3"/>
    <s v="RR-19315"/>
    <s v="Ralph Ritter"/>
    <x v="0"/>
    <s v="United States"/>
    <x v="14"/>
    <x v="8"/>
    <n v="60505"/>
    <x v="3"/>
    <s v="FUR-FU-10004306"/>
    <x v="0"/>
    <x v="3"/>
    <s v="Electrix Halogen Magnifier Lamp"/>
    <n v="78"/>
    <n v="1"/>
    <n v="0.6"/>
    <n v="-66"/>
    <x v="7"/>
    <s v="Dec"/>
  </r>
  <r>
    <n v="4360"/>
    <s v="CA-2017-162565"/>
    <x v="246"/>
    <d v="2017-12-11T00:00:00"/>
    <x v="3"/>
    <s v="RR-19315"/>
    <s v="Ralph Ritter"/>
    <x v="0"/>
    <s v="United States"/>
    <x v="14"/>
    <x v="8"/>
    <n v="60505"/>
    <x v="3"/>
    <s v="FUR-CH-10003973"/>
    <x v="0"/>
    <x v="1"/>
    <s v="GuestStacker Chair with Chrome Finish Legs"/>
    <n v="520"/>
    <n v="2"/>
    <n v="0.3"/>
    <n v="-15"/>
    <x v="7"/>
    <s v="Dec"/>
  </r>
  <r>
    <n v="4376"/>
    <s v="CA-2014-166954"/>
    <x v="550"/>
    <d v="2014-04-30T00:00:00"/>
    <x v="1"/>
    <s v="BT-11305"/>
    <s v="Beth Thompson"/>
    <x v="2"/>
    <s v="United States"/>
    <x v="242"/>
    <x v="2"/>
    <n v="91776"/>
    <x v="1"/>
    <s v="FUR-FU-10003708"/>
    <x v="0"/>
    <x v="3"/>
    <s v="Tenex Traditional Chairmats for Medium Pile Carpet, Standard Lip, 36&quot; x 48&quot;"/>
    <n v="303"/>
    <n v="5"/>
    <n v="0"/>
    <n v="64"/>
    <x v="2"/>
    <s v="Apr"/>
  </r>
  <r>
    <n v="4378"/>
    <s v="CA-2014-166954"/>
    <x v="550"/>
    <d v="2014-04-30T00:00:00"/>
    <x v="1"/>
    <s v="BT-11305"/>
    <s v="Beth Thompson"/>
    <x v="2"/>
    <s v="United States"/>
    <x v="242"/>
    <x v="2"/>
    <n v="91776"/>
    <x v="1"/>
    <s v="FUR-CH-10003973"/>
    <x v="0"/>
    <x v="1"/>
    <s v="GuestStacker Chair with Chrome Finish Legs"/>
    <n v="1487"/>
    <n v="5"/>
    <n v="0.2"/>
    <n v="149"/>
    <x v="2"/>
    <s v="Apr"/>
  </r>
  <r>
    <n v="4382"/>
    <s v="CA-2015-152891"/>
    <x v="551"/>
    <d v="2015-10-30T00:00:00"/>
    <x v="1"/>
    <s v="TB-21625"/>
    <s v="Trudy Brown"/>
    <x v="0"/>
    <s v="United States"/>
    <x v="28"/>
    <x v="2"/>
    <n v="94110"/>
    <x v="1"/>
    <s v="FUR-TA-10001857"/>
    <x v="0"/>
    <x v="2"/>
    <s v="Balt Solid Wood Rectangular Table"/>
    <n v="253"/>
    <n v="3"/>
    <n v="0.2"/>
    <n v="-32"/>
    <x v="2"/>
    <s v="Oct"/>
  </r>
  <r>
    <n v="4384"/>
    <s v="US-2015-122784"/>
    <x v="552"/>
    <d v="2015-07-27T00:00:00"/>
    <x v="1"/>
    <s v="RA-19915"/>
    <s v="Russell Applegate"/>
    <x v="0"/>
    <s v="United States"/>
    <x v="185"/>
    <x v="8"/>
    <n v="60035"/>
    <x v="3"/>
    <s v="FUR-BO-10004690"/>
    <x v="0"/>
    <x v="0"/>
    <s v="O'Sullivan Cherrywood Estates Traditional Barrister Bookcase"/>
    <n v="385"/>
    <n v="4"/>
    <n v="0.3"/>
    <n v="-126"/>
    <x v="1"/>
    <s v="Jul"/>
  </r>
  <r>
    <n v="4386"/>
    <s v="US-2015-122784"/>
    <x v="552"/>
    <d v="2015-07-27T00:00:00"/>
    <x v="1"/>
    <s v="RA-19915"/>
    <s v="Russell Applegate"/>
    <x v="0"/>
    <s v="United States"/>
    <x v="185"/>
    <x v="8"/>
    <n v="60035"/>
    <x v="3"/>
    <s v="FUR-BO-10002545"/>
    <x v="0"/>
    <x v="0"/>
    <s v="Atlantic Metals Mobile 3-Shelf Bookcases, Custom Colors"/>
    <n v="913"/>
    <n v="5"/>
    <n v="0.3"/>
    <n v="-52"/>
    <x v="1"/>
    <s v="Jul"/>
  </r>
  <r>
    <n v="4390"/>
    <s v="CA-2017-111556"/>
    <x v="93"/>
    <d v="2017-11-22T00:00:00"/>
    <x v="2"/>
    <s v="CD-11920"/>
    <s v="Carlos Daly"/>
    <x v="0"/>
    <s v="United States"/>
    <x v="13"/>
    <x v="7"/>
    <n v="10035"/>
    <x v="2"/>
    <s v="FUR-BO-10003159"/>
    <x v="0"/>
    <x v="0"/>
    <s v="Sauder Camden County Collection Libraries, Planked Cherry Finish"/>
    <n v="184"/>
    <n v="2"/>
    <n v="0.2"/>
    <n v="-25"/>
    <x v="3"/>
    <s v="Nov"/>
  </r>
  <r>
    <n v="4398"/>
    <s v="US-2014-138758"/>
    <x v="553"/>
    <d v="2014-07-11T00:00:00"/>
    <x v="1"/>
    <s v="JL-15835"/>
    <s v="John Lee"/>
    <x v="0"/>
    <s v="United States"/>
    <x v="3"/>
    <x v="3"/>
    <n v="19120"/>
    <x v="2"/>
    <s v="FUR-CH-10002880"/>
    <x v="0"/>
    <x v="1"/>
    <s v="Global High-Back Leather Tilter, Burgundy"/>
    <n v="172"/>
    <n v="2"/>
    <n v="0.3"/>
    <n v="-47"/>
    <x v="4"/>
    <s v="Jul"/>
  </r>
  <r>
    <n v="4399"/>
    <s v="US-2014-138758"/>
    <x v="553"/>
    <d v="2014-07-11T00:00:00"/>
    <x v="1"/>
    <s v="JL-15835"/>
    <s v="John Lee"/>
    <x v="0"/>
    <s v="United States"/>
    <x v="3"/>
    <x v="3"/>
    <n v="19120"/>
    <x v="2"/>
    <s v="FUR-FU-10003039"/>
    <x v="0"/>
    <x v="3"/>
    <s v="Howard Miller 11-1/2&quot; Diameter Grantwood Wall Clock"/>
    <n v="69"/>
    <n v="2"/>
    <n v="0.2"/>
    <n v="12"/>
    <x v="4"/>
    <s v="Jul"/>
  </r>
  <r>
    <n v="4402"/>
    <s v="CA-2016-131737"/>
    <x v="554"/>
    <d v="2016-03-17T00:00:00"/>
    <x v="3"/>
    <s v="GZ-14470"/>
    <s v="Gary Zandusky"/>
    <x v="0"/>
    <s v="United States"/>
    <x v="11"/>
    <x v="32"/>
    <n v="21044"/>
    <x v="2"/>
    <s v="FUR-FU-10004306"/>
    <x v="0"/>
    <x v="3"/>
    <s v="Electrix Halogen Magnifier Lamp"/>
    <n v="972"/>
    <n v="5"/>
    <n v="0"/>
    <n v="253"/>
    <x v="7"/>
    <s v="Mar"/>
  </r>
  <r>
    <n v="4419"/>
    <s v="CA-2014-160157"/>
    <x v="191"/>
    <d v="2014-12-27T00:00:00"/>
    <x v="1"/>
    <s v="MH-17455"/>
    <s v="Mark Hamilton"/>
    <x v="0"/>
    <s v="United States"/>
    <x v="243"/>
    <x v="15"/>
    <n v="45011"/>
    <x v="2"/>
    <s v="FUR-FU-10003773"/>
    <x v="0"/>
    <x v="3"/>
    <s v="Eldon Cleatmat Plus Chair Mats for High Pile Carpets"/>
    <n v="191"/>
    <n v="3"/>
    <n v="0.2"/>
    <n v="-21"/>
    <x v="1"/>
    <s v="Dec"/>
  </r>
  <r>
    <n v="4424"/>
    <s v="CA-2017-159464"/>
    <x v="514"/>
    <d v="2017-05-19T00:00:00"/>
    <x v="2"/>
    <s v="TB-21355"/>
    <s v="Todd Boyes"/>
    <x v="1"/>
    <s v="United States"/>
    <x v="244"/>
    <x v="24"/>
    <n v="30328"/>
    <x v="0"/>
    <s v="FUR-BO-10003546"/>
    <x v="0"/>
    <x v="0"/>
    <s v="Hon 4-Shelf Metal Bookcases"/>
    <n v="303"/>
    <n v="3"/>
    <n v="0"/>
    <n v="76"/>
    <x v="5"/>
    <s v="May"/>
  </r>
  <r>
    <n v="4429"/>
    <s v="CA-2017-119452"/>
    <x v="555"/>
    <d v="2017-03-27T00:00:00"/>
    <x v="1"/>
    <s v="CL-12565"/>
    <s v="Clay Ludtke"/>
    <x v="0"/>
    <s v="United States"/>
    <x v="169"/>
    <x v="37"/>
    <n v="74133"/>
    <x v="3"/>
    <s v="FUR-CH-10004495"/>
    <x v="0"/>
    <x v="1"/>
    <s v="Global Leather and Oak Executive Chair, Black"/>
    <n v="1806"/>
    <n v="6"/>
    <n v="0"/>
    <n v="524"/>
    <x v="6"/>
    <s v="Mar"/>
  </r>
  <r>
    <n v="4433"/>
    <s v="CA-2016-168893"/>
    <x v="361"/>
    <d v="2016-11-08T00:00:00"/>
    <x v="0"/>
    <s v="AP-10915"/>
    <s v="Arthur Prichep"/>
    <x v="0"/>
    <s v="United States"/>
    <x v="0"/>
    <x v="0"/>
    <n v="42420"/>
    <x v="0"/>
    <s v="FUR-FU-10002885"/>
    <x v="0"/>
    <x v="3"/>
    <s v="Magna Visual Magnetic Picture Hangers"/>
    <n v="24"/>
    <n v="5"/>
    <n v="0"/>
    <n v="9"/>
    <x v="2"/>
    <s v="Nov"/>
  </r>
  <r>
    <n v="4435"/>
    <s v="CA-2016-168893"/>
    <x v="361"/>
    <d v="2016-11-08T00:00:00"/>
    <x v="0"/>
    <s v="AP-10915"/>
    <s v="Arthur Prichep"/>
    <x v="0"/>
    <s v="United States"/>
    <x v="0"/>
    <x v="0"/>
    <n v="42420"/>
    <x v="0"/>
    <s v="FUR-TA-10003392"/>
    <x v="0"/>
    <x v="2"/>
    <s v="Global Adaptabilities Conference Tables"/>
    <n v="843"/>
    <n v="3"/>
    <n v="0"/>
    <n v="160"/>
    <x v="2"/>
    <s v="Nov"/>
  </r>
  <r>
    <n v="4449"/>
    <s v="CA-2015-121965"/>
    <x v="556"/>
    <d v="2015-06-23T00:00:00"/>
    <x v="1"/>
    <s v="LH-17155"/>
    <s v="Logan Haushalter"/>
    <x v="0"/>
    <s v="United States"/>
    <x v="2"/>
    <x v="2"/>
    <n v="90032"/>
    <x v="1"/>
    <s v="FUR-FU-10000732"/>
    <x v="0"/>
    <x v="3"/>
    <s v="Eldon 200 Class Desk Accessories"/>
    <n v="13"/>
    <n v="2"/>
    <n v="0"/>
    <n v="4"/>
    <x v="4"/>
    <s v="Jun"/>
  </r>
  <r>
    <n v="4452"/>
    <s v="CA-2016-147137"/>
    <x v="557"/>
    <d v="2016-07-06T00:00:00"/>
    <x v="2"/>
    <s v="AA-10645"/>
    <s v="Anna Andreadi"/>
    <x v="0"/>
    <s v="United States"/>
    <x v="28"/>
    <x v="2"/>
    <n v="94109"/>
    <x v="1"/>
    <s v="FUR-FU-10000221"/>
    <x v="0"/>
    <x v="3"/>
    <s v="Master Caster Door Stop, Brown"/>
    <n v="25"/>
    <n v="5"/>
    <n v="0"/>
    <n v="9"/>
    <x v="3"/>
    <s v="Jul"/>
  </r>
  <r>
    <n v="4454"/>
    <s v="CA-2016-147137"/>
    <x v="557"/>
    <d v="2016-07-06T00:00:00"/>
    <x v="2"/>
    <s v="AA-10645"/>
    <s v="Anna Andreadi"/>
    <x v="0"/>
    <s v="United States"/>
    <x v="28"/>
    <x v="2"/>
    <n v="94109"/>
    <x v="1"/>
    <s v="FUR-BO-10001811"/>
    <x v="0"/>
    <x v="0"/>
    <s v="Atlantic Metals Mobile 5-Shelf Bookcases, Custom Colors"/>
    <n v="1279"/>
    <n v="5"/>
    <n v="0.15"/>
    <n v="226"/>
    <x v="3"/>
    <s v="Jul"/>
  </r>
  <r>
    <n v="4456"/>
    <s v="US-2015-146745"/>
    <x v="558"/>
    <d v="2015-09-08T00:00:00"/>
    <x v="1"/>
    <s v="AS-10630"/>
    <s v="Ann Steele"/>
    <x v="2"/>
    <s v="United States"/>
    <x v="28"/>
    <x v="2"/>
    <n v="94110"/>
    <x v="1"/>
    <s v="FUR-CH-10002372"/>
    <x v="0"/>
    <x v="1"/>
    <s v="Office Star - Ergonomically Designed Knee Chair"/>
    <n v="130"/>
    <n v="2"/>
    <n v="0.2"/>
    <n v="-13"/>
    <x v="2"/>
    <s v="Sep"/>
  </r>
  <r>
    <n v="4460"/>
    <s v="US-2017-125717"/>
    <x v="559"/>
    <d v="2017-10-01T00:00:00"/>
    <x v="2"/>
    <s v="DS-13030"/>
    <s v="Darrin Sayre"/>
    <x v="2"/>
    <s v="United States"/>
    <x v="14"/>
    <x v="12"/>
    <n v="80013"/>
    <x v="1"/>
    <s v="FUR-FU-10001979"/>
    <x v="0"/>
    <x v="3"/>
    <s v="Dana Halogen Swing-Arm Architect Lamp"/>
    <n v="33"/>
    <n v="1"/>
    <n v="0.2"/>
    <n v="3"/>
    <x v="0"/>
    <s v="Sep"/>
  </r>
  <r>
    <n v="4469"/>
    <s v="CA-2017-168641"/>
    <x v="241"/>
    <d v="2017-12-01T00:00:00"/>
    <x v="1"/>
    <s v="KA-16525"/>
    <s v="Kelly Andreada"/>
    <x v="0"/>
    <s v="United States"/>
    <x v="13"/>
    <x v="7"/>
    <n v="10035"/>
    <x v="2"/>
    <s v="FUR-BO-10000780"/>
    <x v="0"/>
    <x v="0"/>
    <s v="O'Sullivan Plantations 2-Door Library in Landvery Oak"/>
    <n v="322"/>
    <n v="2"/>
    <n v="0.2"/>
    <n v="-16"/>
    <x v="1"/>
    <s v="Nov"/>
  </r>
  <r>
    <n v="4471"/>
    <s v="CA-2017-156895"/>
    <x v="258"/>
    <d v="2017-05-12T00:00:00"/>
    <x v="1"/>
    <s v="DJ-13510"/>
    <s v="Don Jones"/>
    <x v="1"/>
    <s v="United States"/>
    <x v="3"/>
    <x v="3"/>
    <n v="19140"/>
    <x v="2"/>
    <s v="FUR-CH-10003535"/>
    <x v="0"/>
    <x v="1"/>
    <s v="Global Armless Task Chair, Royal Blue"/>
    <n v="128"/>
    <n v="3"/>
    <n v="0.3"/>
    <n v="-24"/>
    <x v="4"/>
    <s v="May"/>
  </r>
  <r>
    <n v="4472"/>
    <s v="CA-2017-121300"/>
    <x v="560"/>
    <d v="2017-09-29T00:00:00"/>
    <x v="3"/>
    <s v="MG-17680"/>
    <s v="Maureen Gastineau"/>
    <x v="2"/>
    <s v="United States"/>
    <x v="245"/>
    <x v="15"/>
    <n v="44060"/>
    <x v="2"/>
    <s v="FUR-CH-10003774"/>
    <x v="0"/>
    <x v="1"/>
    <s v="Global Wood Trimmed Manager's Task Chair, Khaki"/>
    <n v="64"/>
    <n v="1"/>
    <n v="0.3"/>
    <n v="-15"/>
    <x v="7"/>
    <s v="Sep"/>
  </r>
  <r>
    <n v="4474"/>
    <s v="CA-2017-121300"/>
    <x v="560"/>
    <d v="2017-09-29T00:00:00"/>
    <x v="3"/>
    <s v="MG-17680"/>
    <s v="Maureen Gastineau"/>
    <x v="2"/>
    <s v="United States"/>
    <x v="245"/>
    <x v="15"/>
    <n v="44060"/>
    <x v="2"/>
    <s v="FUR-TA-10004442"/>
    <x v="0"/>
    <x v="2"/>
    <s v="Riverside Furniture Stanwyck Manor Table Series"/>
    <n v="344"/>
    <n v="2"/>
    <n v="0.4"/>
    <n v="-189"/>
    <x v="7"/>
    <s v="Sep"/>
  </r>
  <r>
    <n v="4476"/>
    <s v="CA-2017-121300"/>
    <x v="560"/>
    <d v="2017-09-29T00:00:00"/>
    <x v="3"/>
    <s v="MG-17680"/>
    <s v="Maureen Gastineau"/>
    <x v="2"/>
    <s v="United States"/>
    <x v="245"/>
    <x v="15"/>
    <n v="44060"/>
    <x v="2"/>
    <s v="FUR-FU-10004586"/>
    <x v="0"/>
    <x v="3"/>
    <s v="G.E. Longer-Life Indoor Recessed Floodlight Bulbs"/>
    <n v="21"/>
    <n v="4"/>
    <n v="0.2"/>
    <n v="7"/>
    <x v="7"/>
    <s v="Sep"/>
  </r>
  <r>
    <n v="4479"/>
    <s v="CA-2017-130211"/>
    <x v="546"/>
    <d v="2017-10-22T00:00:00"/>
    <x v="3"/>
    <s v="BD-11620"/>
    <s v="Brian DeCherney"/>
    <x v="0"/>
    <s v="United States"/>
    <x v="246"/>
    <x v="37"/>
    <n v="73505"/>
    <x v="3"/>
    <s v="FUR-TA-10003748"/>
    <x v="0"/>
    <x v="2"/>
    <s v="Bevis 36 x 72 Conference Tables"/>
    <n v="249"/>
    <n v="2"/>
    <n v="0"/>
    <n v="55"/>
    <x v="7"/>
    <s v="Oct"/>
  </r>
  <r>
    <n v="4491"/>
    <s v="CA-2017-105921"/>
    <x v="561"/>
    <d v="2017-08-21T00:00:00"/>
    <x v="1"/>
    <s v="JM-15250"/>
    <s v="Janet Martin"/>
    <x v="0"/>
    <s v="United States"/>
    <x v="2"/>
    <x v="2"/>
    <n v="90032"/>
    <x v="1"/>
    <s v="FUR-TA-10001095"/>
    <x v="0"/>
    <x v="2"/>
    <s v="Chromcraft Round Conference Tables"/>
    <n v="418"/>
    <n v="3"/>
    <n v="0.2"/>
    <n v="5"/>
    <x v="1"/>
    <s v="Aug"/>
  </r>
  <r>
    <n v="4493"/>
    <s v="CA-2014-150798"/>
    <x v="280"/>
    <d v="2014-12-03T00:00:00"/>
    <x v="0"/>
    <s v="JK-15730"/>
    <s v="Joe Kamberova"/>
    <x v="0"/>
    <s v="United States"/>
    <x v="29"/>
    <x v="15"/>
    <n v="43229"/>
    <x v="2"/>
    <s v="FUR-FU-10000221"/>
    <x v="0"/>
    <x v="3"/>
    <s v="Master Caster Door Stop, Brown"/>
    <n v="8"/>
    <n v="2"/>
    <n v="0.2"/>
    <n v="1"/>
    <x v="3"/>
    <s v="Dec"/>
  </r>
  <r>
    <n v="4495"/>
    <s v="CA-2014-150798"/>
    <x v="280"/>
    <d v="2014-12-03T00:00:00"/>
    <x v="0"/>
    <s v="JK-15730"/>
    <s v="Joe Kamberova"/>
    <x v="0"/>
    <s v="United States"/>
    <x v="29"/>
    <x v="15"/>
    <n v="43229"/>
    <x v="2"/>
    <s v="FUR-CH-10000015"/>
    <x v="0"/>
    <x v="1"/>
    <s v="Hon Multipurpose Stacking Arm Chairs"/>
    <n v="910"/>
    <n v="6"/>
    <n v="0.3"/>
    <n v="-52"/>
    <x v="3"/>
    <s v="Dec"/>
  </r>
  <r>
    <n v="4496"/>
    <s v="CA-2017-112753"/>
    <x v="562"/>
    <d v="2017-06-23T00:00:00"/>
    <x v="1"/>
    <s v="CC-12670"/>
    <s v="Craig Carreira"/>
    <x v="0"/>
    <s v="United States"/>
    <x v="2"/>
    <x v="2"/>
    <n v="90032"/>
    <x v="1"/>
    <s v="FUR-BO-10004015"/>
    <x v="0"/>
    <x v="0"/>
    <s v="Bush Andora Bookcase, Maple/Graphite Gray Finish"/>
    <n v="918"/>
    <n v="9"/>
    <n v="0.15"/>
    <n v="76"/>
    <x v="2"/>
    <s v="Jun"/>
  </r>
  <r>
    <n v="4509"/>
    <s v="US-2014-138247"/>
    <x v="109"/>
    <d v="2014-12-29T00:00:00"/>
    <x v="1"/>
    <s v="BF-11170"/>
    <s v="Ben Ferrer"/>
    <x v="2"/>
    <s v="United States"/>
    <x v="2"/>
    <x v="2"/>
    <n v="90045"/>
    <x v="1"/>
    <s v="FUR-FU-10002554"/>
    <x v="0"/>
    <x v="3"/>
    <s v="Westinghouse Floor Lamp with Metal Mesh Shade, Black"/>
    <n v="24"/>
    <n v="1"/>
    <n v="0"/>
    <n v="6"/>
    <x v="2"/>
    <s v="Dec"/>
  </r>
  <r>
    <n v="4510"/>
    <s v="CA-2017-167003"/>
    <x v="563"/>
    <d v="2017-05-29T00:00:00"/>
    <x v="1"/>
    <s v="VS-21820"/>
    <s v="Vivek Sundaresam"/>
    <x v="0"/>
    <s v="United States"/>
    <x v="2"/>
    <x v="2"/>
    <n v="90036"/>
    <x v="1"/>
    <s v="FUR-TA-10001520"/>
    <x v="0"/>
    <x v="2"/>
    <s v="Lesro Sheffield Collection Coffee Table, End Table, Center Table, Corner Table"/>
    <n v="171"/>
    <n v="3"/>
    <n v="0.2"/>
    <n v="-6"/>
    <x v="6"/>
    <s v="May"/>
  </r>
  <r>
    <n v="4511"/>
    <s v="CA-2016-119935"/>
    <x v="480"/>
    <d v="2016-11-14T00:00:00"/>
    <x v="1"/>
    <s v="KM-16225"/>
    <s v="Kalyca Meade"/>
    <x v="1"/>
    <s v="United States"/>
    <x v="76"/>
    <x v="23"/>
    <n v="65807"/>
    <x v="3"/>
    <s v="FUR-FU-10001085"/>
    <x v="0"/>
    <x v="3"/>
    <s v="3M Polarizing Light Filter Sleeves"/>
    <n v="37"/>
    <n v="2"/>
    <n v="0"/>
    <n v="17"/>
    <x v="4"/>
    <s v="Nov"/>
  </r>
  <r>
    <n v="4515"/>
    <s v="CA-2016-120873"/>
    <x v="78"/>
    <d v="2016-11-01T00:00:00"/>
    <x v="0"/>
    <s v="BW-11200"/>
    <s v="Ben Wallace"/>
    <x v="0"/>
    <s v="United States"/>
    <x v="247"/>
    <x v="25"/>
    <n v="23666"/>
    <x v="0"/>
    <s v="FUR-CH-10000847"/>
    <x v="0"/>
    <x v="1"/>
    <s v="Global Executive Mid-Back Manager's Chair"/>
    <n v="291"/>
    <n v="1"/>
    <n v="0"/>
    <n v="76"/>
    <x v="2"/>
    <s v="Oct"/>
  </r>
  <r>
    <n v="4522"/>
    <s v="CA-2014-109491"/>
    <x v="564"/>
    <d v="2014-02-26T00:00:00"/>
    <x v="1"/>
    <s v="LC-16930"/>
    <s v="Linda Cazamias"/>
    <x v="1"/>
    <s v="United States"/>
    <x v="52"/>
    <x v="6"/>
    <n v="47374"/>
    <x v="3"/>
    <s v="FUR-FU-10000221"/>
    <x v="0"/>
    <x v="3"/>
    <s v="Master Caster Door Stop, Brown"/>
    <n v="20"/>
    <n v="4"/>
    <n v="0"/>
    <n v="7"/>
    <x v="6"/>
    <s v="Feb"/>
  </r>
  <r>
    <n v="4525"/>
    <s v="CA-2014-107454"/>
    <x v="565"/>
    <d v="2014-11-06T00:00:00"/>
    <x v="1"/>
    <s v="RD-19720"/>
    <s v="Roger Demir"/>
    <x v="0"/>
    <s v="United States"/>
    <x v="13"/>
    <x v="7"/>
    <n v="10024"/>
    <x v="2"/>
    <s v="FUR-FU-10004018"/>
    <x v="0"/>
    <x v="3"/>
    <s v="Tensor Computer Mounted Lamp"/>
    <n v="89"/>
    <n v="6"/>
    <n v="0"/>
    <n v="24"/>
    <x v="4"/>
    <s v="Nov"/>
  </r>
  <r>
    <n v="4528"/>
    <s v="US-2017-105046"/>
    <x v="357"/>
    <d v="2017-07-23T00:00:00"/>
    <x v="1"/>
    <s v="BE-11335"/>
    <s v="Bill Eplett"/>
    <x v="2"/>
    <s v="United States"/>
    <x v="248"/>
    <x v="7"/>
    <n v="13440"/>
    <x v="2"/>
    <s v="FUR-FU-10004848"/>
    <x v="0"/>
    <x v="3"/>
    <s v="DAX Solid Wood Frames"/>
    <n v="39"/>
    <n v="4"/>
    <n v="0"/>
    <n v="14"/>
    <x v="6"/>
    <s v="Jul"/>
  </r>
  <r>
    <n v="4531"/>
    <s v="CA-2016-118759"/>
    <x v="566"/>
    <d v="2016-11-17T00:00:00"/>
    <x v="2"/>
    <s v="MB-17305"/>
    <s v="Maria Bertelson"/>
    <x v="0"/>
    <s v="United States"/>
    <x v="13"/>
    <x v="7"/>
    <n v="10009"/>
    <x v="2"/>
    <s v="FUR-CH-10002335"/>
    <x v="0"/>
    <x v="1"/>
    <s v="Hon GuestStacker Chair"/>
    <n v="408"/>
    <n v="2"/>
    <n v="0.1"/>
    <n v="73"/>
    <x v="0"/>
    <s v="Nov"/>
  </r>
  <r>
    <n v="4533"/>
    <s v="CA-2014-140403"/>
    <x v="567"/>
    <d v="2014-10-10T00:00:00"/>
    <x v="3"/>
    <s v="TN-21040"/>
    <s v="Tanja Norvell"/>
    <x v="2"/>
    <s v="United States"/>
    <x v="249"/>
    <x v="2"/>
    <n v="95336"/>
    <x v="1"/>
    <s v="FUR-CH-10002774"/>
    <x v="0"/>
    <x v="1"/>
    <s v="Global Deluxe Stacking Chair, Gray"/>
    <n v="122"/>
    <n v="3"/>
    <n v="0.2"/>
    <n v="14"/>
    <x v="7"/>
    <s v="Oct"/>
  </r>
  <r>
    <n v="4536"/>
    <s v="CA-2017-138464"/>
    <x v="220"/>
    <d v="2017-07-12T00:00:00"/>
    <x v="1"/>
    <s v="VF-21715"/>
    <s v="Vicky Freymann"/>
    <x v="2"/>
    <s v="United States"/>
    <x v="15"/>
    <x v="13"/>
    <n v="98115"/>
    <x v="1"/>
    <s v="FUR-FU-10003142"/>
    <x v="0"/>
    <x v="3"/>
    <s v="Master Big Foot Doorstop, Beige"/>
    <n v="16"/>
    <n v="3"/>
    <n v="0"/>
    <n v="5"/>
    <x v="4"/>
    <s v="Jul"/>
  </r>
  <r>
    <n v="4541"/>
    <s v="CA-2015-104129"/>
    <x v="568"/>
    <d v="2015-03-02T00:00:00"/>
    <x v="1"/>
    <s v="ES-14080"/>
    <s v="Erin Smith"/>
    <x v="1"/>
    <s v="United States"/>
    <x v="134"/>
    <x v="38"/>
    <n v="2908"/>
    <x v="2"/>
    <s v="FUR-TA-10004152"/>
    <x v="0"/>
    <x v="2"/>
    <s v="Barricks 18&quot; x 48&quot; Non-Folding Utility Table with Bottom Storage Shelf"/>
    <n v="494"/>
    <n v="7"/>
    <n v="0.3"/>
    <n v="-28"/>
    <x v="0"/>
    <s v="Feb"/>
  </r>
  <r>
    <n v="4544"/>
    <s v="CA-2015-126557"/>
    <x v="569"/>
    <d v="2015-07-17T00:00:00"/>
    <x v="0"/>
    <s v="RL-19615"/>
    <s v="Rob Lucas"/>
    <x v="0"/>
    <s v="United States"/>
    <x v="9"/>
    <x v="8"/>
    <n v="60610"/>
    <x v="3"/>
    <s v="FUR-CH-10004477"/>
    <x v="0"/>
    <x v="1"/>
    <s v="Global Push Button Manager's Chair, Indigo"/>
    <n v="384"/>
    <n v="9"/>
    <n v="0.3"/>
    <n v="-5"/>
    <x v="2"/>
    <s v="Jul"/>
  </r>
  <r>
    <n v="4549"/>
    <s v="CA-2015-126557"/>
    <x v="569"/>
    <d v="2015-07-17T00:00:00"/>
    <x v="0"/>
    <s v="RL-19615"/>
    <s v="Rob Lucas"/>
    <x v="0"/>
    <s v="United States"/>
    <x v="9"/>
    <x v="8"/>
    <n v="60610"/>
    <x v="3"/>
    <s v="FUR-FU-10001861"/>
    <x v="0"/>
    <x v="3"/>
    <s v="Floodlight Indoor Halogen Bulbs, 1 Bulb per Pack, 60 Watts"/>
    <n v="8"/>
    <n v="1"/>
    <n v="0.6"/>
    <n v="-2"/>
    <x v="2"/>
    <s v="Jul"/>
  </r>
  <r>
    <n v="4552"/>
    <s v="US-2014-165862"/>
    <x v="570"/>
    <d v="2014-07-17T00:00:00"/>
    <x v="1"/>
    <s v="GK-14620"/>
    <s v="Grace Kelly"/>
    <x v="1"/>
    <s v="United States"/>
    <x v="2"/>
    <x v="2"/>
    <n v="90049"/>
    <x v="1"/>
    <s v="FUR-TA-10002855"/>
    <x v="0"/>
    <x v="2"/>
    <s v="Bevis Round Conference Table Top &amp; Single Column Base"/>
    <n v="351"/>
    <n v="3"/>
    <n v="0.2"/>
    <n v="4"/>
    <x v="4"/>
    <s v="Jul"/>
  </r>
  <r>
    <n v="4553"/>
    <s v="US-2014-106334"/>
    <x v="421"/>
    <d v="2015-01-02T00:00:00"/>
    <x v="1"/>
    <s v="JF-15490"/>
    <s v="Jeremy Farry"/>
    <x v="0"/>
    <s v="United States"/>
    <x v="28"/>
    <x v="2"/>
    <n v="94122"/>
    <x v="1"/>
    <s v="FUR-CH-10004886"/>
    <x v="0"/>
    <x v="1"/>
    <s v="Bevis Steel Folding Chairs"/>
    <n v="230"/>
    <n v="3"/>
    <n v="0.2"/>
    <n v="23"/>
    <x v="6"/>
    <s v="Dec"/>
  </r>
  <r>
    <n v="4560"/>
    <s v="CA-2014-110219"/>
    <x v="571"/>
    <d v="2014-05-08T00:00:00"/>
    <x v="2"/>
    <s v="EB-13870"/>
    <s v="Emily Burns"/>
    <x v="0"/>
    <s v="United States"/>
    <x v="21"/>
    <x v="5"/>
    <n v="78207"/>
    <x v="3"/>
    <s v="FUR-CH-10001146"/>
    <x v="0"/>
    <x v="1"/>
    <s v="Global Value Mid-Back Manager's Chair, Gray"/>
    <n v="128"/>
    <n v="3"/>
    <n v="0.3"/>
    <n v="-9"/>
    <x v="0"/>
    <s v="May"/>
  </r>
  <r>
    <n v="4563"/>
    <s v="CA-2015-118871"/>
    <x v="463"/>
    <d v="2015-12-09T00:00:00"/>
    <x v="0"/>
    <s v="HM-14860"/>
    <s v="Harry Marie"/>
    <x v="1"/>
    <s v="United States"/>
    <x v="2"/>
    <x v="2"/>
    <n v="90049"/>
    <x v="1"/>
    <s v="FUR-FU-10002111"/>
    <x v="0"/>
    <x v="3"/>
    <s v="Master Caster Door Stop, Large Brown"/>
    <n v="36"/>
    <n v="5"/>
    <n v="0"/>
    <n v="14"/>
    <x v="2"/>
    <s v="Dec"/>
  </r>
  <r>
    <n v="4564"/>
    <s v="CA-2017-129490"/>
    <x v="572"/>
    <d v="2017-09-30T00:00:00"/>
    <x v="1"/>
    <s v="SJ-20125"/>
    <s v="Sanjit Jacobs"/>
    <x v="2"/>
    <s v="United States"/>
    <x v="232"/>
    <x v="1"/>
    <n v="33023"/>
    <x v="0"/>
    <s v="FUR-CH-10003298"/>
    <x v="0"/>
    <x v="1"/>
    <s v="Office Star - Contemporary Task Swivel chair with Loop Arms, Charcoal"/>
    <n v="419"/>
    <n v="4"/>
    <n v="0.2"/>
    <n v="-58"/>
    <x v="4"/>
    <s v="Sep"/>
  </r>
  <r>
    <n v="4570"/>
    <s v="CA-2014-169460"/>
    <x v="573"/>
    <d v="2014-04-21T00:00:00"/>
    <x v="0"/>
    <s v="NF-18595"/>
    <s v="Nicole Fjeld"/>
    <x v="2"/>
    <s v="United States"/>
    <x v="124"/>
    <x v="2"/>
    <n v="95123"/>
    <x v="1"/>
    <s v="FUR-FU-10004017"/>
    <x v="0"/>
    <x v="3"/>
    <s v="Executive Impressions 13&quot; Chairman Wall Clock"/>
    <n v="76"/>
    <n v="3"/>
    <n v="0"/>
    <n v="27"/>
    <x v="3"/>
    <s v="Apr"/>
  </r>
  <r>
    <n v="4575"/>
    <s v="CA-2016-139395"/>
    <x v="574"/>
    <d v="2016-12-18T00:00:00"/>
    <x v="1"/>
    <s v="MG-17650"/>
    <s v="Matthew Grinstein"/>
    <x v="2"/>
    <s v="United States"/>
    <x v="38"/>
    <x v="17"/>
    <n v="49201"/>
    <x v="3"/>
    <s v="FUR-FU-10003724"/>
    <x v="0"/>
    <x v="3"/>
    <s v="Westinghouse Clip-On Gooseneck Lamps"/>
    <n v="33"/>
    <n v="4"/>
    <n v="0"/>
    <n v="9"/>
    <x v="6"/>
    <s v="Dec"/>
  </r>
  <r>
    <n v="4582"/>
    <s v="CA-2016-120250"/>
    <x v="107"/>
    <d v="2016-09-22T00:00:00"/>
    <x v="2"/>
    <s v="AP-10720"/>
    <s v="Anne Pryor"/>
    <x v="2"/>
    <s v="United States"/>
    <x v="3"/>
    <x v="3"/>
    <n v="19140"/>
    <x v="2"/>
    <s v="FUR-FU-10003424"/>
    <x v="0"/>
    <x v="3"/>
    <s v="Nu-Dell Oak Frame"/>
    <n v="26"/>
    <n v="3"/>
    <n v="0.2"/>
    <n v="4"/>
    <x v="0"/>
    <s v="Sep"/>
  </r>
  <r>
    <n v="4589"/>
    <s v="US-2017-163790"/>
    <x v="575"/>
    <d v="2017-11-04T00:00:00"/>
    <x v="0"/>
    <s v="NL-18310"/>
    <s v="Nancy Lomonaco"/>
    <x v="2"/>
    <s v="United States"/>
    <x v="250"/>
    <x v="2"/>
    <n v="94526"/>
    <x v="1"/>
    <s v="FUR-FU-10002508"/>
    <x v="0"/>
    <x v="3"/>
    <s v="Document Clip Frames"/>
    <n v="25"/>
    <n v="3"/>
    <n v="0"/>
    <n v="11"/>
    <x v="3"/>
    <s v="Nov"/>
  </r>
  <r>
    <n v="4593"/>
    <s v="CA-2016-129868"/>
    <x v="576"/>
    <d v="2016-12-31T00:00:00"/>
    <x v="1"/>
    <s v="MC-18130"/>
    <s v="Mike Caudle"/>
    <x v="1"/>
    <s v="United States"/>
    <x v="2"/>
    <x v="2"/>
    <n v="90004"/>
    <x v="1"/>
    <s v="FUR-CH-10003535"/>
    <x v="0"/>
    <x v="1"/>
    <s v="Global Armless Task Chair, Royal Blue"/>
    <n v="146"/>
    <n v="3"/>
    <n v="0.2"/>
    <n v="-5"/>
    <x v="2"/>
    <s v="Dec"/>
  </r>
  <r>
    <n v="4595"/>
    <s v="CA-2016-129868"/>
    <x v="576"/>
    <d v="2016-12-31T00:00:00"/>
    <x v="1"/>
    <s v="MC-18130"/>
    <s v="Mike Caudle"/>
    <x v="1"/>
    <s v="United States"/>
    <x v="2"/>
    <x v="2"/>
    <n v="90004"/>
    <x v="1"/>
    <s v="FUR-TA-10003473"/>
    <x v="0"/>
    <x v="2"/>
    <s v="Bretford Rectangular Conference Table Tops"/>
    <n v="903"/>
    <n v="3"/>
    <n v="0.2"/>
    <n v="34"/>
    <x v="2"/>
    <s v="Dec"/>
  </r>
  <r>
    <n v="4600"/>
    <s v="CA-2015-146948"/>
    <x v="370"/>
    <d v="2015-07-20T00:00:00"/>
    <x v="1"/>
    <s v="MG-17890"/>
    <s v="Michael Granlund"/>
    <x v="2"/>
    <s v="United States"/>
    <x v="237"/>
    <x v="32"/>
    <n v="21215"/>
    <x v="2"/>
    <s v="FUR-CH-10004853"/>
    <x v="0"/>
    <x v="1"/>
    <s v="Global Manager's Adjustable Task Chair, Storm"/>
    <n v="151"/>
    <n v="1"/>
    <n v="0"/>
    <n v="44"/>
    <x v="4"/>
    <s v="Jul"/>
  </r>
  <r>
    <n v="4611"/>
    <s v="US-2017-141852"/>
    <x v="17"/>
    <d v="2017-11-14T00:00:00"/>
    <x v="1"/>
    <s v="JE-15745"/>
    <s v="Joel Eaton"/>
    <x v="0"/>
    <s v="United States"/>
    <x v="64"/>
    <x v="2"/>
    <n v="92054"/>
    <x v="1"/>
    <s v="FUR-FU-10000023"/>
    <x v="0"/>
    <x v="3"/>
    <s v="Eldon Wave Desk Accessories"/>
    <n v="47"/>
    <n v="8"/>
    <n v="0"/>
    <n v="21"/>
    <x v="2"/>
    <s v="Nov"/>
  </r>
  <r>
    <n v="4619"/>
    <s v="CA-2015-117800"/>
    <x v="231"/>
    <d v="2015-09-26T00:00:00"/>
    <x v="1"/>
    <s v="TH-21550"/>
    <s v="Tracy Hopkins"/>
    <x v="2"/>
    <s v="United States"/>
    <x v="114"/>
    <x v="20"/>
    <n v="2149"/>
    <x v="2"/>
    <s v="FUR-CH-10000785"/>
    <x v="0"/>
    <x v="1"/>
    <s v="Global Ergonomic Managers Chair"/>
    <n v="543"/>
    <n v="3"/>
    <n v="0"/>
    <n v="141"/>
    <x v="2"/>
    <s v="Sep"/>
  </r>
  <r>
    <n v="4626"/>
    <s v="CA-2017-147228"/>
    <x v="198"/>
    <d v="2017-09-14T00:00:00"/>
    <x v="1"/>
    <s v="SO-20335"/>
    <s v="Sean O'Donnell"/>
    <x v="0"/>
    <s v="United States"/>
    <x v="11"/>
    <x v="9"/>
    <n v="38401"/>
    <x v="0"/>
    <s v="FUR-FU-10000023"/>
    <x v="0"/>
    <x v="3"/>
    <s v="Eldon Wave Desk Accessories"/>
    <n v="14"/>
    <n v="3"/>
    <n v="0.2"/>
    <n v="4"/>
    <x v="2"/>
    <s v="Sep"/>
  </r>
  <r>
    <n v="4631"/>
    <s v="US-2015-126235"/>
    <x v="233"/>
    <d v="2015-10-15T00:00:00"/>
    <x v="3"/>
    <s v="GA-14725"/>
    <s v="Guy Armstrong"/>
    <x v="0"/>
    <s v="United States"/>
    <x v="189"/>
    <x v="17"/>
    <n v="48858"/>
    <x v="3"/>
    <s v="FUR-FU-10000719"/>
    <x v="0"/>
    <x v="3"/>
    <s v="DAX Cubicle Frames, 8-1/2 x 11"/>
    <n v="17"/>
    <n v="2"/>
    <n v="0"/>
    <n v="6"/>
    <x v="7"/>
    <s v="Oct"/>
  </r>
  <r>
    <n v="4633"/>
    <s v="CA-2017-168396"/>
    <x v="309"/>
    <d v="2017-08-08T00:00:00"/>
    <x v="0"/>
    <s v="BD-11725"/>
    <s v="Bruce Degenhardt"/>
    <x v="0"/>
    <s v="United States"/>
    <x v="28"/>
    <x v="2"/>
    <n v="94122"/>
    <x v="1"/>
    <s v="FUR-FU-10000723"/>
    <x v="0"/>
    <x v="3"/>
    <s v="Deflect-o EconoMat Studded, No Bevel Mat for Low Pile Carpeting"/>
    <n v="124"/>
    <n v="3"/>
    <n v="0"/>
    <n v="11"/>
    <x v="2"/>
    <s v="Aug"/>
  </r>
  <r>
    <n v="4634"/>
    <s v="CA-2015-130456"/>
    <x v="130"/>
    <d v="2015-08-26T00:00:00"/>
    <x v="1"/>
    <s v="DS-13180"/>
    <s v="David Smith"/>
    <x v="1"/>
    <s v="United States"/>
    <x v="28"/>
    <x v="2"/>
    <n v="94122"/>
    <x v="1"/>
    <s v="FUR-BO-10003893"/>
    <x v="0"/>
    <x v="0"/>
    <s v="Sauder Camden County Collection Library"/>
    <n v="586"/>
    <n v="6"/>
    <n v="0.15"/>
    <n v="34"/>
    <x v="2"/>
    <s v="Aug"/>
  </r>
  <r>
    <n v="4643"/>
    <s v="CA-2017-130141"/>
    <x v="546"/>
    <d v="2017-10-24T00:00:00"/>
    <x v="0"/>
    <s v="HA-14905"/>
    <s v="Helen Abelman"/>
    <x v="0"/>
    <s v="United States"/>
    <x v="200"/>
    <x v="12"/>
    <n v="80525"/>
    <x v="1"/>
    <s v="FUR-CH-10000749"/>
    <x v="0"/>
    <x v="1"/>
    <s v="Office Star - Ergonomic Mid Back Chair with 2-Way Adjustable Arms"/>
    <n v="579"/>
    <n v="4"/>
    <n v="0.2"/>
    <n v="-29"/>
    <x v="3"/>
    <s v="Oct"/>
  </r>
  <r>
    <n v="4646"/>
    <s v="CA-2016-143910"/>
    <x v="577"/>
    <d v="2016-08-16T00:00:00"/>
    <x v="1"/>
    <s v="BC-11125"/>
    <s v="Becky Castell"/>
    <x v="2"/>
    <s v="United States"/>
    <x v="13"/>
    <x v="7"/>
    <n v="10011"/>
    <x v="2"/>
    <s v="FUR-CH-10000225"/>
    <x v="0"/>
    <x v="1"/>
    <s v="Global Geo Office Task Chair, Gray"/>
    <n v="146"/>
    <n v="2"/>
    <n v="0.1"/>
    <n v="-8"/>
    <x v="4"/>
    <s v="Aug"/>
  </r>
  <r>
    <n v="4648"/>
    <s v="CA-2016-139556"/>
    <x v="578"/>
    <d v="2016-05-01T00:00:00"/>
    <x v="1"/>
    <s v="DB-13360"/>
    <s v="Dennis Bolton"/>
    <x v="2"/>
    <s v="United States"/>
    <x v="13"/>
    <x v="7"/>
    <n v="10009"/>
    <x v="2"/>
    <s v="FUR-CH-10004983"/>
    <x v="0"/>
    <x v="1"/>
    <s v="Office Star - Mid Back Dual function Ergonomic High Back Chair with 2-Way Adjustable Arms"/>
    <n v="435"/>
    <n v="3"/>
    <n v="0.1"/>
    <n v="63"/>
    <x v="2"/>
    <s v="Apr"/>
  </r>
  <r>
    <n v="4662"/>
    <s v="CA-2015-112130"/>
    <x v="496"/>
    <d v="2015-05-07T00:00:00"/>
    <x v="1"/>
    <s v="SV-20785"/>
    <s v="Stewart Visinsky"/>
    <x v="0"/>
    <s v="United States"/>
    <x v="3"/>
    <x v="3"/>
    <n v="19140"/>
    <x v="2"/>
    <s v="FUR-CH-10002965"/>
    <x v="0"/>
    <x v="1"/>
    <s v="Global Leather Highback Executive Chair with Pneumatic Height Adjustment, Black"/>
    <n v="844"/>
    <n v="6"/>
    <n v="0.3"/>
    <n v="-36"/>
    <x v="4"/>
    <s v="May"/>
  </r>
  <r>
    <n v="4667"/>
    <s v="CA-2016-116547"/>
    <x v="579"/>
    <d v="2016-01-17T00:00:00"/>
    <x v="1"/>
    <s v="KB-16585"/>
    <s v="Ken Black"/>
    <x v="1"/>
    <s v="United States"/>
    <x v="15"/>
    <x v="13"/>
    <n v="98115"/>
    <x v="1"/>
    <s v="FUR-FU-10000076"/>
    <x v="0"/>
    <x v="3"/>
    <s v="24-Hour Round Wall Clock"/>
    <n v="80"/>
    <n v="4"/>
    <n v="0"/>
    <n v="34"/>
    <x v="1"/>
    <s v="Jan"/>
  </r>
  <r>
    <n v="4670"/>
    <s v="US-2017-133200"/>
    <x v="580"/>
    <d v="2017-05-11T00:00:00"/>
    <x v="1"/>
    <s v="DB-13555"/>
    <s v="Dorothy Badders"/>
    <x v="1"/>
    <s v="United States"/>
    <x v="50"/>
    <x v="5"/>
    <n v="76106"/>
    <x v="3"/>
    <s v="FUR-BO-10001601"/>
    <x v="0"/>
    <x v="0"/>
    <s v="Sauder Mission Library with Doors, Fruitwood Finish"/>
    <n v="623"/>
    <n v="7"/>
    <n v="0.32"/>
    <n v="-119"/>
    <x v="2"/>
    <s v="May"/>
  </r>
  <r>
    <n v="4675"/>
    <s v="CA-2016-133550"/>
    <x v="581"/>
    <d v="2016-08-06T00:00:00"/>
    <x v="1"/>
    <s v="KL-16645"/>
    <s v="Ken Lonsdale"/>
    <x v="0"/>
    <s v="United States"/>
    <x v="25"/>
    <x v="17"/>
    <n v="48205"/>
    <x v="3"/>
    <s v="FUR-FU-10002918"/>
    <x v="0"/>
    <x v="3"/>
    <s v="Eldon ClusterMat Chair Mat with Cordless Antistatic Protection"/>
    <n v="273"/>
    <n v="3"/>
    <n v="0"/>
    <n v="30"/>
    <x v="6"/>
    <s v="Jul"/>
  </r>
  <r>
    <n v="4676"/>
    <s v="CA-2017-139416"/>
    <x v="582"/>
    <d v="2017-03-29T00:00:00"/>
    <x v="0"/>
    <s v="AG-10270"/>
    <s v="Alejandro Grove"/>
    <x v="0"/>
    <s v="United States"/>
    <x v="3"/>
    <x v="3"/>
    <n v="19120"/>
    <x v="2"/>
    <s v="FUR-FU-10003832"/>
    <x v="0"/>
    <x v="3"/>
    <s v="Eldon Expressions Punched Metal &amp; Wood Desk Accessories, Black &amp; Cherry"/>
    <n v="15"/>
    <n v="2"/>
    <n v="0.2"/>
    <n v="2"/>
    <x v="3"/>
    <s v="Mar"/>
  </r>
  <r>
    <n v="4684"/>
    <s v="CA-2016-159912"/>
    <x v="583"/>
    <d v="2016-09-03T00:00:00"/>
    <x v="1"/>
    <s v="GB-14530"/>
    <s v="George Bell"/>
    <x v="1"/>
    <s v="United States"/>
    <x v="3"/>
    <x v="3"/>
    <n v="19120"/>
    <x v="2"/>
    <s v="FUR-TA-10004152"/>
    <x v="0"/>
    <x v="2"/>
    <s v="Barricks 18&quot; x 48&quot; Non-Folding Utility Table with Bottom Storage Shelf"/>
    <n v="242"/>
    <n v="4"/>
    <n v="0.4"/>
    <n v="-56"/>
    <x v="2"/>
    <s v="Aug"/>
  </r>
  <r>
    <n v="4685"/>
    <s v="CA-2016-159912"/>
    <x v="583"/>
    <d v="2016-09-03T00:00:00"/>
    <x v="1"/>
    <s v="GB-14530"/>
    <s v="George Bell"/>
    <x v="1"/>
    <s v="United States"/>
    <x v="3"/>
    <x v="3"/>
    <n v="19120"/>
    <x v="2"/>
    <s v="FUR-BO-10002853"/>
    <x v="0"/>
    <x v="0"/>
    <s v="O'Sullivan 5-Shelf Heavy-Duty Bookcases"/>
    <n v="164"/>
    <n v="4"/>
    <n v="0.5"/>
    <n v="-82"/>
    <x v="2"/>
    <s v="Aug"/>
  </r>
  <r>
    <n v="4690"/>
    <s v="CA-2014-138681"/>
    <x v="191"/>
    <d v="2014-12-22T00:00:00"/>
    <x v="2"/>
    <s v="CT-11995"/>
    <s v="Carol Triggs"/>
    <x v="0"/>
    <s v="United States"/>
    <x v="104"/>
    <x v="22"/>
    <n v="85705"/>
    <x v="1"/>
    <s v="FUR-FU-10001876"/>
    <x v="0"/>
    <x v="3"/>
    <s v="Computer Room Manger, 14&quot;"/>
    <n v="52"/>
    <n v="2"/>
    <n v="0.2"/>
    <n v="10"/>
    <x v="3"/>
    <s v="Dec"/>
  </r>
  <r>
    <n v="4692"/>
    <s v="CA-2014-138681"/>
    <x v="191"/>
    <d v="2014-12-22T00:00:00"/>
    <x v="2"/>
    <s v="CT-11995"/>
    <s v="Carol Triggs"/>
    <x v="0"/>
    <s v="United States"/>
    <x v="104"/>
    <x v="22"/>
    <n v="85705"/>
    <x v="1"/>
    <s v="FUR-CH-10004860"/>
    <x v="0"/>
    <x v="1"/>
    <s v="Global Low Back Tilter Chair"/>
    <n v="242"/>
    <n v="3"/>
    <n v="0.2"/>
    <n v="-42"/>
    <x v="3"/>
    <s v="Dec"/>
  </r>
  <r>
    <n v="4696"/>
    <s v="US-2015-138121"/>
    <x v="584"/>
    <d v="2015-12-17T00:00:00"/>
    <x v="3"/>
    <s v="JL-15835"/>
    <s v="John Lee"/>
    <x v="0"/>
    <s v="United States"/>
    <x v="25"/>
    <x v="17"/>
    <n v="48205"/>
    <x v="3"/>
    <s v="FUR-CH-10003846"/>
    <x v="0"/>
    <x v="1"/>
    <s v="Hon Valutask Swivel Chairs"/>
    <n v="303"/>
    <n v="3"/>
    <n v="0"/>
    <n v="48"/>
    <x v="7"/>
    <s v="Dec"/>
  </r>
  <r>
    <n v="4697"/>
    <s v="US-2015-138121"/>
    <x v="584"/>
    <d v="2015-12-17T00:00:00"/>
    <x v="3"/>
    <s v="JL-15835"/>
    <s v="John Lee"/>
    <x v="0"/>
    <s v="United States"/>
    <x v="25"/>
    <x v="17"/>
    <n v="48205"/>
    <x v="3"/>
    <s v="FUR-CH-10004875"/>
    <x v="0"/>
    <x v="1"/>
    <s v="Harbour Creations 67200 Series Stacking Chairs"/>
    <n v="142"/>
    <n v="2"/>
    <n v="0"/>
    <n v="38"/>
    <x v="7"/>
    <s v="Dec"/>
  </r>
  <r>
    <n v="4698"/>
    <s v="US-2015-138121"/>
    <x v="584"/>
    <d v="2015-12-17T00:00:00"/>
    <x v="3"/>
    <s v="JL-15835"/>
    <s v="John Lee"/>
    <x v="0"/>
    <s v="United States"/>
    <x v="25"/>
    <x v="17"/>
    <n v="48205"/>
    <x v="3"/>
    <s v="FUR-CH-10003817"/>
    <x v="0"/>
    <x v="1"/>
    <s v="Global Value Steno Chair, Gray"/>
    <n v="547"/>
    <n v="9"/>
    <n v="0"/>
    <n v="137"/>
    <x v="7"/>
    <s v="Dec"/>
  </r>
  <r>
    <n v="4699"/>
    <s v="US-2015-138121"/>
    <x v="584"/>
    <d v="2015-12-17T00:00:00"/>
    <x v="3"/>
    <s v="JL-15835"/>
    <s v="John Lee"/>
    <x v="0"/>
    <s v="United States"/>
    <x v="25"/>
    <x v="17"/>
    <n v="48205"/>
    <x v="3"/>
    <s v="FUR-FU-10002116"/>
    <x v="0"/>
    <x v="3"/>
    <s v="Tenex Carpeted, Granite-Look or Clear Contemporary Contour Shape Chair Mats"/>
    <n v="212"/>
    <n v="3"/>
    <n v="0"/>
    <n v="15"/>
    <x v="7"/>
    <s v="Dec"/>
  </r>
  <r>
    <n v="4703"/>
    <s v="CA-2017-140298"/>
    <x v="585"/>
    <d v="2017-05-17T00:00:00"/>
    <x v="1"/>
    <s v="JK-16120"/>
    <s v="Julie Kriz"/>
    <x v="2"/>
    <s v="United States"/>
    <x v="198"/>
    <x v="5"/>
    <n v="78745"/>
    <x v="3"/>
    <s v="FUR-FU-10001967"/>
    <x v="0"/>
    <x v="3"/>
    <s v="Telescoping Adjustable Floor Lamp"/>
    <n v="8"/>
    <n v="1"/>
    <n v="0.6"/>
    <n v="-7"/>
    <x v="6"/>
    <s v="May"/>
  </r>
  <r>
    <n v="4707"/>
    <s v="CA-2016-158435"/>
    <x v="586"/>
    <d v="2016-05-18T00:00:00"/>
    <x v="2"/>
    <s v="AG-10900"/>
    <s v="Arthur Gainer"/>
    <x v="0"/>
    <s v="United States"/>
    <x v="251"/>
    <x v="19"/>
    <n v="6708"/>
    <x v="2"/>
    <s v="FUR-FU-10003975"/>
    <x v="0"/>
    <x v="3"/>
    <s v="Eldon Advantage Chair Mats for Low to Medium Pile Carpets"/>
    <n v="173"/>
    <n v="4"/>
    <n v="0"/>
    <n v="17"/>
    <x v="5"/>
    <s v="May"/>
  </r>
  <r>
    <n v="4714"/>
    <s v="CA-2014-108273"/>
    <x v="439"/>
    <d v="2014-12-21T00:00:00"/>
    <x v="1"/>
    <s v="EJ-13720"/>
    <s v="Ed Jacobs"/>
    <x v="0"/>
    <s v="United States"/>
    <x v="156"/>
    <x v="5"/>
    <n v="77340"/>
    <x v="3"/>
    <s v="FUR-FU-10002116"/>
    <x v="0"/>
    <x v="3"/>
    <s v="Tenex Carpeted, Granite-Look or Clear Contemporary Contour Shape Chair Mats"/>
    <n v="57"/>
    <n v="2"/>
    <n v="0.6"/>
    <n v="-75"/>
    <x v="2"/>
    <s v="Dec"/>
  </r>
  <r>
    <n v="4717"/>
    <s v="CA-2017-143126"/>
    <x v="587"/>
    <d v="2017-12-07T00:00:00"/>
    <x v="0"/>
    <s v="CM-12655"/>
    <s v="Corinna Mitchell"/>
    <x v="2"/>
    <s v="United States"/>
    <x v="15"/>
    <x v="13"/>
    <n v="98115"/>
    <x v="1"/>
    <s v="FUR-TA-10002958"/>
    <x v="0"/>
    <x v="2"/>
    <s v="Bevis Oval Conference Table, Walnut"/>
    <n v="522"/>
    <n v="2"/>
    <n v="0"/>
    <n v="89"/>
    <x v="4"/>
    <s v="Dec"/>
  </r>
  <r>
    <n v="4722"/>
    <s v="CA-2014-106229"/>
    <x v="588"/>
    <d v="2014-06-11T00:00:00"/>
    <x v="0"/>
    <s v="NR-18550"/>
    <s v="Nick Radford"/>
    <x v="0"/>
    <s v="United States"/>
    <x v="14"/>
    <x v="8"/>
    <n v="60505"/>
    <x v="3"/>
    <s v="FUR-TA-10002041"/>
    <x v="0"/>
    <x v="2"/>
    <s v="Bevis Round Conference Table Top, X-Base"/>
    <n v="269"/>
    <n v="3"/>
    <n v="0.5"/>
    <n v="-210"/>
    <x v="4"/>
    <s v="Jun"/>
  </r>
  <r>
    <n v="4728"/>
    <s v="CA-2014-119151"/>
    <x v="306"/>
    <d v="2014-11-29T00:00:00"/>
    <x v="0"/>
    <s v="MP-18175"/>
    <s v="Mike Pelletier"/>
    <x v="2"/>
    <s v="United States"/>
    <x v="13"/>
    <x v="7"/>
    <n v="10009"/>
    <x v="2"/>
    <s v="FUR-BO-10003159"/>
    <x v="0"/>
    <x v="0"/>
    <s v="Sauder Camden County Collection Libraries, Planked Cherry Finish"/>
    <n v="276"/>
    <n v="3"/>
    <n v="0.2"/>
    <n v="-38"/>
    <x v="4"/>
    <s v="Nov"/>
  </r>
  <r>
    <n v="4734"/>
    <s v="US-2015-103996"/>
    <x v="165"/>
    <d v="2015-03-31T00:00:00"/>
    <x v="0"/>
    <s v="RB-19435"/>
    <s v="Richard Bierner"/>
    <x v="0"/>
    <s v="United States"/>
    <x v="53"/>
    <x v="2"/>
    <n v="92105"/>
    <x v="1"/>
    <s v="FUR-FU-10004586"/>
    <x v="0"/>
    <x v="3"/>
    <s v="G.E. Longer-Life Indoor Recessed Floodlight Bulbs"/>
    <n v="20"/>
    <n v="3"/>
    <n v="0"/>
    <n v="10"/>
    <x v="3"/>
    <s v="Mar"/>
  </r>
  <r>
    <n v="4735"/>
    <s v="CA-2016-120530"/>
    <x v="589"/>
    <d v="2016-04-12T00:00:00"/>
    <x v="1"/>
    <s v="Dl-13600"/>
    <s v="Dorris liebe"/>
    <x v="1"/>
    <s v="United States"/>
    <x v="13"/>
    <x v="7"/>
    <n v="10035"/>
    <x v="2"/>
    <s v="FUR-CH-10000454"/>
    <x v="0"/>
    <x v="1"/>
    <s v="Hon Deluxe Fabric Upholstered Stacking Chairs, Rounded Back"/>
    <n v="659"/>
    <n v="3"/>
    <n v="0.1"/>
    <n v="146"/>
    <x v="2"/>
    <s v="Apr"/>
  </r>
  <r>
    <n v="4740"/>
    <s v="CA-2015-105725"/>
    <x v="590"/>
    <d v="2015-02-24T00:00:00"/>
    <x v="1"/>
    <s v="GT-14755"/>
    <s v="Guy Thornton"/>
    <x v="0"/>
    <s v="United States"/>
    <x v="62"/>
    <x v="2"/>
    <n v="90805"/>
    <x v="1"/>
    <s v="FUR-TA-10001676"/>
    <x v="0"/>
    <x v="2"/>
    <s v="Hon 61000 Series Interactive Training Tables"/>
    <n v="36"/>
    <n v="1"/>
    <n v="0.2"/>
    <n v="-1"/>
    <x v="6"/>
    <s v="Feb"/>
  </r>
  <r>
    <n v="4749"/>
    <s v="CA-2016-120005"/>
    <x v="492"/>
    <d v="2016-03-03T00:00:00"/>
    <x v="3"/>
    <s v="TS-21160"/>
    <s v="Theresa Swint"/>
    <x v="1"/>
    <s v="United States"/>
    <x v="28"/>
    <x v="2"/>
    <n v="94110"/>
    <x v="1"/>
    <s v="FUR-FU-10000672"/>
    <x v="0"/>
    <x v="3"/>
    <s v="Executive Impressions 10&quot; Spectator Wall Clock"/>
    <n v="35"/>
    <n v="3"/>
    <n v="0"/>
    <n v="12"/>
    <x v="7"/>
    <s v="Mar"/>
  </r>
  <r>
    <n v="4753"/>
    <s v="CA-2017-103499"/>
    <x v="93"/>
    <d v="2017-11-24T00:00:00"/>
    <x v="1"/>
    <s v="ES-14020"/>
    <s v="Erica Smith"/>
    <x v="0"/>
    <s v="United States"/>
    <x v="38"/>
    <x v="9"/>
    <n v="38301"/>
    <x v="0"/>
    <s v="FUR-CH-10001482"/>
    <x v="0"/>
    <x v="1"/>
    <s v="Office Star - Mesh Screen back chair with Vinyl seat"/>
    <n v="210"/>
    <n v="2"/>
    <n v="0.2"/>
    <n v="-24"/>
    <x v="4"/>
    <s v="Nov"/>
  </r>
  <r>
    <n v="4773"/>
    <s v="CA-2017-119746"/>
    <x v="68"/>
    <d v="2017-11-27T00:00:00"/>
    <x v="1"/>
    <s v="CM-12385"/>
    <s v="Christopher Martinez"/>
    <x v="0"/>
    <s v="United States"/>
    <x v="9"/>
    <x v="8"/>
    <n v="60610"/>
    <x v="3"/>
    <s v="FUR-FU-10004909"/>
    <x v="0"/>
    <x v="3"/>
    <s v="Contemporary Wood/Metal Frame"/>
    <n v="6"/>
    <n v="1"/>
    <n v="0.6"/>
    <n v="-4"/>
    <x v="4"/>
    <s v="Nov"/>
  </r>
  <r>
    <n v="4780"/>
    <s v="CA-2014-150301"/>
    <x v="591"/>
    <d v="2014-07-10T00:00:00"/>
    <x v="2"/>
    <s v="MH-18025"/>
    <s v="Michelle Huthwaite"/>
    <x v="0"/>
    <s v="United States"/>
    <x v="252"/>
    <x v="7"/>
    <n v="14215"/>
    <x v="2"/>
    <s v="FUR-CH-10002647"/>
    <x v="0"/>
    <x v="1"/>
    <s v="Situations Contoured Folding Chairs, 4/Set"/>
    <n v="64"/>
    <n v="1"/>
    <n v="0.1"/>
    <n v="11"/>
    <x v="3"/>
    <s v="Jul"/>
  </r>
  <r>
    <n v="4781"/>
    <s v="CA-2014-159310"/>
    <x v="592"/>
    <d v="2014-11-12T00:00:00"/>
    <x v="1"/>
    <s v="SC-20725"/>
    <s v="Steven Cartwright"/>
    <x v="0"/>
    <s v="United States"/>
    <x v="6"/>
    <x v="5"/>
    <n v="77070"/>
    <x v="3"/>
    <s v="FUR-CH-10002758"/>
    <x v="0"/>
    <x v="1"/>
    <s v="Hon Deluxe Fabric Upholstered Stacking Chairs, Squared Back"/>
    <n v="683"/>
    <n v="4"/>
    <n v="0.3"/>
    <n v="0"/>
    <x v="2"/>
    <s v="Nov"/>
  </r>
  <r>
    <n v="4786"/>
    <s v="CA-2015-104346"/>
    <x v="593"/>
    <d v="2015-12-16T00:00:00"/>
    <x v="1"/>
    <s v="IM-15070"/>
    <s v="Irene Maddox"/>
    <x v="0"/>
    <s v="United States"/>
    <x v="30"/>
    <x v="12"/>
    <n v="80906"/>
    <x v="1"/>
    <s v="FUR-BO-10003450"/>
    <x v="0"/>
    <x v="0"/>
    <s v="Bush Westfield Collection Bookcases, Dark Cherry Finish"/>
    <n v="70"/>
    <n v="4"/>
    <n v="0.7"/>
    <n v="-144"/>
    <x v="2"/>
    <s v="Dec"/>
  </r>
  <r>
    <n v="4789"/>
    <s v="CA-2015-104346"/>
    <x v="593"/>
    <d v="2015-12-16T00:00:00"/>
    <x v="1"/>
    <s v="IM-15070"/>
    <s v="Irene Maddox"/>
    <x v="0"/>
    <s v="United States"/>
    <x v="30"/>
    <x v="12"/>
    <n v="80906"/>
    <x v="1"/>
    <s v="FUR-FU-10002456"/>
    <x v="0"/>
    <x v="3"/>
    <s v="Master Caster Door Stop, Large Neon Orange"/>
    <n v="52"/>
    <n v="9"/>
    <n v="0.2"/>
    <n v="15"/>
    <x v="2"/>
    <s v="Dec"/>
  </r>
  <r>
    <n v="4790"/>
    <s v="CA-2015-104346"/>
    <x v="593"/>
    <d v="2015-12-16T00:00:00"/>
    <x v="1"/>
    <s v="IM-15070"/>
    <s v="Irene Maddox"/>
    <x v="0"/>
    <s v="United States"/>
    <x v="30"/>
    <x v="12"/>
    <n v="80906"/>
    <x v="1"/>
    <s v="FUR-FU-10001473"/>
    <x v="0"/>
    <x v="3"/>
    <s v="DAX Wood Document Frame"/>
    <n v="55"/>
    <n v="5"/>
    <n v="0.2"/>
    <n v="11"/>
    <x v="2"/>
    <s v="Dec"/>
  </r>
  <r>
    <n v="4791"/>
    <s v="CA-2015-104346"/>
    <x v="593"/>
    <d v="2015-12-16T00:00:00"/>
    <x v="1"/>
    <s v="IM-15070"/>
    <s v="Irene Maddox"/>
    <x v="0"/>
    <s v="United States"/>
    <x v="30"/>
    <x v="12"/>
    <n v="80906"/>
    <x v="1"/>
    <s v="FUR-TA-10000849"/>
    <x v="0"/>
    <x v="2"/>
    <s v="Bevis Rectangular Conference Tables"/>
    <n v="365"/>
    <n v="5"/>
    <n v="0.5"/>
    <n v="-248"/>
    <x v="2"/>
    <s v="Dec"/>
  </r>
  <r>
    <n v="4795"/>
    <s v="CA-2015-144722"/>
    <x v="253"/>
    <d v="2015-03-23T00:00:00"/>
    <x v="1"/>
    <s v="MF-18250"/>
    <s v="Monica Federle"/>
    <x v="1"/>
    <s v="United States"/>
    <x v="2"/>
    <x v="2"/>
    <n v="90036"/>
    <x v="1"/>
    <s v="FUR-FU-10001215"/>
    <x v="0"/>
    <x v="3"/>
    <s v="Howard Miller 11-1/2&quot; Diameter Brentwood Wall Clock"/>
    <n v="43"/>
    <n v="1"/>
    <n v="0"/>
    <n v="18"/>
    <x v="1"/>
    <s v="Mar"/>
  </r>
  <r>
    <n v="4799"/>
    <s v="US-2016-148901"/>
    <x v="326"/>
    <d v="2016-05-19T00:00:00"/>
    <x v="1"/>
    <s v="MK-17905"/>
    <s v="Michael Kennedy"/>
    <x v="1"/>
    <s v="United States"/>
    <x v="51"/>
    <x v="1"/>
    <n v="32216"/>
    <x v="0"/>
    <s v="FUR-FU-10002396"/>
    <x v="0"/>
    <x v="3"/>
    <s v="DAX Copper Panel Document Frame, 5 x 7 Size"/>
    <n v="30"/>
    <n v="3"/>
    <n v="0.2"/>
    <n v="8"/>
    <x v="2"/>
    <s v="May"/>
  </r>
  <r>
    <n v="4805"/>
    <s v="CA-2017-136364"/>
    <x v="594"/>
    <d v="2017-07-17T00:00:00"/>
    <x v="0"/>
    <s v="MH-17455"/>
    <s v="Mark Hamilton"/>
    <x v="0"/>
    <s v="United States"/>
    <x v="3"/>
    <x v="3"/>
    <n v="19140"/>
    <x v="2"/>
    <s v="FUR-FU-10002501"/>
    <x v="0"/>
    <x v="3"/>
    <s v="Nu-Dell Executive Frame"/>
    <n v="91"/>
    <n v="9"/>
    <n v="0.2"/>
    <n v="19"/>
    <x v="4"/>
    <s v="Jul"/>
  </r>
  <r>
    <n v="4812"/>
    <s v="CA-2016-121370"/>
    <x v="566"/>
    <d v="2016-11-19T00:00:00"/>
    <x v="0"/>
    <s v="EB-14110"/>
    <s v="Eugene Barchas"/>
    <x v="0"/>
    <s v="United States"/>
    <x v="3"/>
    <x v="3"/>
    <n v="19134"/>
    <x v="2"/>
    <s v="FUR-CH-10000785"/>
    <x v="0"/>
    <x v="1"/>
    <s v="Global Ergonomic Managers Chair"/>
    <n v="380"/>
    <n v="3"/>
    <n v="0.3"/>
    <n v="-22"/>
    <x v="2"/>
    <s v="Nov"/>
  </r>
  <r>
    <n v="4814"/>
    <s v="CA-2016-121370"/>
    <x v="566"/>
    <d v="2016-11-19T00:00:00"/>
    <x v="0"/>
    <s v="EB-14110"/>
    <s v="Eugene Barchas"/>
    <x v="0"/>
    <s v="United States"/>
    <x v="3"/>
    <x v="3"/>
    <n v="19134"/>
    <x v="2"/>
    <s v="FUR-FU-10002813"/>
    <x v="0"/>
    <x v="3"/>
    <s v="DAX Contemporary Wood Frame with Silver Metal Mat, Desktop, 11 x 14 Size"/>
    <n v="49"/>
    <n v="3"/>
    <n v="0.2"/>
    <n v="10"/>
    <x v="2"/>
    <s v="Nov"/>
  </r>
  <r>
    <n v="4825"/>
    <s v="CA-2016-140018"/>
    <x v="431"/>
    <d v="2016-11-26T00:00:00"/>
    <x v="1"/>
    <s v="CK-12205"/>
    <s v="Chloris Kastensmidt"/>
    <x v="0"/>
    <s v="United States"/>
    <x v="29"/>
    <x v="15"/>
    <n v="43229"/>
    <x v="2"/>
    <s v="FUR-CH-10003817"/>
    <x v="0"/>
    <x v="1"/>
    <s v="Global Value Steno Chair, Gray"/>
    <n v="128"/>
    <n v="3"/>
    <n v="0.3"/>
    <n v="-9"/>
    <x v="2"/>
    <s v="Nov"/>
  </r>
  <r>
    <n v="4826"/>
    <s v="CA-2016-140018"/>
    <x v="431"/>
    <d v="2016-11-26T00:00:00"/>
    <x v="1"/>
    <s v="CK-12205"/>
    <s v="Chloris Kastensmidt"/>
    <x v="0"/>
    <s v="United States"/>
    <x v="29"/>
    <x v="15"/>
    <n v="43229"/>
    <x v="2"/>
    <s v="FUR-FU-10001876"/>
    <x v="0"/>
    <x v="3"/>
    <s v="Computer Room Manger, 14&quot;"/>
    <n v="78"/>
    <n v="3"/>
    <n v="0.2"/>
    <n v="16"/>
    <x v="2"/>
    <s v="Nov"/>
  </r>
  <r>
    <n v="4841"/>
    <s v="CA-2017-154123"/>
    <x v="93"/>
    <d v="2017-11-25T00:00:00"/>
    <x v="1"/>
    <s v="SC-20050"/>
    <s v="Sample Company A"/>
    <x v="2"/>
    <s v="United States"/>
    <x v="0"/>
    <x v="0"/>
    <n v="42420"/>
    <x v="0"/>
    <s v="FUR-FU-10000629"/>
    <x v="0"/>
    <x v="3"/>
    <s v="9-3/4 Diameter Round Wall Clock"/>
    <n v="28"/>
    <n v="2"/>
    <n v="0"/>
    <n v="12"/>
    <x v="2"/>
    <s v="Nov"/>
  </r>
  <r>
    <n v="4851"/>
    <s v="CA-2014-107818"/>
    <x v="30"/>
    <d v="2014-09-14T00:00:00"/>
    <x v="1"/>
    <s v="MC-17275"/>
    <s v="Marc Crier"/>
    <x v="0"/>
    <s v="United States"/>
    <x v="253"/>
    <x v="13"/>
    <n v="99301"/>
    <x v="1"/>
    <s v="FUR-CH-10000454"/>
    <x v="0"/>
    <x v="1"/>
    <s v="Hon Deluxe Fabric Upholstered Stacking Chairs, Rounded Back"/>
    <n v="976"/>
    <n v="5"/>
    <n v="0.2"/>
    <n v="122"/>
    <x v="6"/>
    <s v="Sep"/>
  </r>
  <r>
    <n v="4854"/>
    <s v="CA-2014-113320"/>
    <x v="202"/>
    <d v="2014-12-15T00:00:00"/>
    <x v="0"/>
    <s v="LH-17155"/>
    <s v="Logan Haushalter"/>
    <x v="0"/>
    <s v="United States"/>
    <x v="121"/>
    <x v="2"/>
    <n v="94601"/>
    <x v="1"/>
    <s v="FUR-FU-10004270"/>
    <x v="0"/>
    <x v="3"/>
    <s v="Eldon Image Series Desk Accessories, Burgundy"/>
    <n v="13"/>
    <n v="3"/>
    <n v="0"/>
    <n v="5"/>
    <x v="0"/>
    <s v="Dec"/>
  </r>
  <r>
    <n v="4856"/>
    <s v="CA-2014-113320"/>
    <x v="202"/>
    <d v="2014-12-15T00:00:00"/>
    <x v="0"/>
    <s v="LH-17155"/>
    <s v="Logan Haushalter"/>
    <x v="0"/>
    <s v="United States"/>
    <x v="121"/>
    <x v="2"/>
    <n v="94601"/>
    <x v="1"/>
    <s v="FUR-FU-10001706"/>
    <x v="0"/>
    <x v="3"/>
    <s v="Longer-Life Soft White Bulbs"/>
    <n v="9"/>
    <n v="3"/>
    <n v="0"/>
    <n v="4"/>
    <x v="0"/>
    <s v="Dec"/>
  </r>
  <r>
    <n v="4858"/>
    <s v="CA-2015-137526"/>
    <x v="595"/>
    <d v="2015-01-17T00:00:00"/>
    <x v="1"/>
    <s v="PB-19150"/>
    <s v="Philip Brown"/>
    <x v="0"/>
    <s v="United States"/>
    <x v="2"/>
    <x v="2"/>
    <n v="90004"/>
    <x v="1"/>
    <s v="FUR-FU-10001861"/>
    <x v="0"/>
    <x v="3"/>
    <s v="Floodlight Indoor Halogen Bulbs, 1 Bulb per Pack, 60 Watts"/>
    <n v="78"/>
    <n v="4"/>
    <n v="0"/>
    <n v="38"/>
    <x v="4"/>
    <s v="Jan"/>
  </r>
  <r>
    <n v="4859"/>
    <s v="CA-2015-137526"/>
    <x v="595"/>
    <d v="2015-01-17T00:00:00"/>
    <x v="1"/>
    <s v="PB-19150"/>
    <s v="Philip Brown"/>
    <x v="0"/>
    <s v="United States"/>
    <x v="2"/>
    <x v="2"/>
    <n v="90004"/>
    <x v="1"/>
    <s v="FUR-FU-10004845"/>
    <x v="0"/>
    <x v="3"/>
    <s v="Deflect-o EconoMat Nonstudded, No Bevel Mat"/>
    <n v="465"/>
    <n v="9"/>
    <n v="0"/>
    <n v="93"/>
    <x v="4"/>
    <s v="Jan"/>
  </r>
  <r>
    <n v="4866"/>
    <s v="CA-2017-122490"/>
    <x v="596"/>
    <d v="2017-11-18T00:00:00"/>
    <x v="1"/>
    <s v="TT-21070"/>
    <s v="Ted Trevino"/>
    <x v="0"/>
    <s v="United States"/>
    <x v="15"/>
    <x v="13"/>
    <n v="98103"/>
    <x v="1"/>
    <s v="FUR-CH-10001215"/>
    <x v="0"/>
    <x v="1"/>
    <s v="Global Troy Executive Leather Low-Back Tilter"/>
    <n v="2405"/>
    <n v="6"/>
    <n v="0.2"/>
    <n v="150"/>
    <x v="2"/>
    <s v="Nov"/>
  </r>
  <r>
    <n v="4881"/>
    <s v="CA-2017-143567"/>
    <x v="575"/>
    <d v="2017-11-05T00:00:00"/>
    <x v="0"/>
    <s v="TB-21175"/>
    <s v="Thomas Boland"/>
    <x v="1"/>
    <s v="United States"/>
    <x v="0"/>
    <x v="0"/>
    <n v="42420"/>
    <x v="0"/>
    <s v="FUR-CH-10000454"/>
    <x v="0"/>
    <x v="1"/>
    <s v="Hon Deluxe Fabric Upholstered Stacking Chairs, Rounded Back"/>
    <n v="976"/>
    <n v="4"/>
    <n v="0"/>
    <n v="293"/>
    <x v="0"/>
    <s v="Nov"/>
  </r>
  <r>
    <n v="4887"/>
    <s v="CA-2016-163167"/>
    <x v="597"/>
    <d v="2016-12-01T00:00:00"/>
    <x v="0"/>
    <s v="RF-19345"/>
    <s v="Randy Ferguson"/>
    <x v="1"/>
    <s v="United States"/>
    <x v="254"/>
    <x v="24"/>
    <n v="30062"/>
    <x v="0"/>
    <s v="FUR-CH-10004477"/>
    <x v="0"/>
    <x v="1"/>
    <s v="Global Push Button Manager's Chair, Indigo"/>
    <n v="183"/>
    <n v="3"/>
    <n v="0"/>
    <n v="53"/>
    <x v="0"/>
    <s v="Nov"/>
  </r>
  <r>
    <n v="4898"/>
    <s v="US-2014-122021"/>
    <x v="384"/>
    <d v="2014-10-17T00:00:00"/>
    <x v="2"/>
    <s v="AC-10660"/>
    <s v="Anna Chung"/>
    <x v="0"/>
    <s v="United States"/>
    <x v="255"/>
    <x v="15"/>
    <n v="44134"/>
    <x v="2"/>
    <s v="FUR-CH-10003761"/>
    <x v="0"/>
    <x v="1"/>
    <s v="Global Italian Leather Office Chair"/>
    <n v="183"/>
    <n v="2"/>
    <n v="0.3"/>
    <n v="-8"/>
    <x v="3"/>
    <s v="Oct"/>
  </r>
  <r>
    <n v="4905"/>
    <s v="US-2014-161613"/>
    <x v="280"/>
    <d v="2014-12-03T00:00:00"/>
    <x v="0"/>
    <s v="MC-17605"/>
    <s v="Matt Connell"/>
    <x v="1"/>
    <s v="United States"/>
    <x v="6"/>
    <x v="5"/>
    <n v="77070"/>
    <x v="3"/>
    <s v="FUR-CH-10003746"/>
    <x v="0"/>
    <x v="1"/>
    <s v="Hon 4070 Series Pagoda Round Back Stacking Chairs"/>
    <n v="674"/>
    <n v="3"/>
    <n v="0.3"/>
    <n v="-19"/>
    <x v="3"/>
    <s v="Dec"/>
  </r>
  <r>
    <n v="4918"/>
    <s v="CA-2017-163125"/>
    <x v="224"/>
    <d v="2017-10-11T00:00:00"/>
    <x v="0"/>
    <s v="MB-17305"/>
    <s v="Maria Bertelson"/>
    <x v="0"/>
    <s v="United States"/>
    <x v="256"/>
    <x v="5"/>
    <n v="77573"/>
    <x v="3"/>
    <s v="FUR-CH-10001802"/>
    <x v="0"/>
    <x v="1"/>
    <s v="Hon Every-Day Chair Series Swivel Task Chairs"/>
    <n v="254"/>
    <n v="3"/>
    <n v="0.3"/>
    <n v="-33"/>
    <x v="3"/>
    <s v="Oct"/>
  </r>
  <r>
    <n v="4919"/>
    <s v="CA-2016-160304"/>
    <x v="598"/>
    <d v="2016-01-07T00:00:00"/>
    <x v="1"/>
    <s v="BM-11575"/>
    <s v="Brendan Murry"/>
    <x v="1"/>
    <s v="United States"/>
    <x v="257"/>
    <x v="32"/>
    <n v="20877"/>
    <x v="2"/>
    <s v="FUR-BO-10004709"/>
    <x v="0"/>
    <x v="0"/>
    <s v="Bush Westfield Collection Bookcases, Medium Cherry Finish"/>
    <n v="174"/>
    <n v="3"/>
    <n v="0"/>
    <n v="38"/>
    <x v="2"/>
    <s v="Jan"/>
  </r>
  <r>
    <n v="4927"/>
    <s v="CA-2017-117653"/>
    <x v="66"/>
    <d v="2017-10-23T00:00:00"/>
    <x v="1"/>
    <s v="MO-17500"/>
    <s v="Mary O'Rourke"/>
    <x v="0"/>
    <s v="United States"/>
    <x v="9"/>
    <x v="8"/>
    <n v="60623"/>
    <x v="3"/>
    <s v="FUR-TA-10003008"/>
    <x v="0"/>
    <x v="2"/>
    <s v="Lesro Round Back Collection Coffee Table, End Table"/>
    <n v="91"/>
    <n v="1"/>
    <n v="0.5"/>
    <n v="-68"/>
    <x v="4"/>
    <s v="Oct"/>
  </r>
  <r>
    <n v="4929"/>
    <s v="CA-2017-143245"/>
    <x v="451"/>
    <d v="2017-12-06T00:00:00"/>
    <x v="1"/>
    <s v="AD-10180"/>
    <s v="Alan Dominguez"/>
    <x v="2"/>
    <s v="United States"/>
    <x v="130"/>
    <x v="19"/>
    <n v="6824"/>
    <x v="2"/>
    <s v="FUR-CH-10000155"/>
    <x v="0"/>
    <x v="1"/>
    <s v="Global Comet Stacking Armless Chair"/>
    <n v="897"/>
    <n v="3"/>
    <n v="0"/>
    <n v="251"/>
    <x v="2"/>
    <s v="Dec"/>
  </r>
  <r>
    <n v="4939"/>
    <s v="CA-2014-157147"/>
    <x v="424"/>
    <d v="2014-01-18T00:00:00"/>
    <x v="1"/>
    <s v="BD-11605"/>
    <s v="Brian Dahlen"/>
    <x v="0"/>
    <s v="United States"/>
    <x v="28"/>
    <x v="2"/>
    <n v="94109"/>
    <x v="1"/>
    <s v="FUR-BO-10003034"/>
    <x v="0"/>
    <x v="0"/>
    <s v="O'Sullivan Elevations Bookcase, Cherry Finish"/>
    <n v="334"/>
    <n v="3"/>
    <n v="0.15"/>
    <n v="4"/>
    <x v="2"/>
    <s v="Jan"/>
  </r>
  <r>
    <n v="4941"/>
    <s v="CA-2015-156482"/>
    <x v="599"/>
    <d v="2015-02-13T00:00:00"/>
    <x v="1"/>
    <s v="IL-15100"/>
    <s v="Ivan Liston"/>
    <x v="0"/>
    <s v="United States"/>
    <x v="16"/>
    <x v="14"/>
    <n v="19805"/>
    <x v="2"/>
    <s v="FUR-CH-10001708"/>
    <x v="0"/>
    <x v="1"/>
    <s v="Office Star - Contemporary Swivel Chair with Padded Adjustable Arms and Flex Back"/>
    <n v="1269"/>
    <n v="9"/>
    <n v="0"/>
    <n v="266"/>
    <x v="1"/>
    <s v="Feb"/>
  </r>
  <r>
    <n v="4942"/>
    <s v="CA-2015-156482"/>
    <x v="599"/>
    <d v="2015-02-13T00:00:00"/>
    <x v="1"/>
    <s v="IL-15100"/>
    <s v="Ivan Liston"/>
    <x v="0"/>
    <s v="United States"/>
    <x v="16"/>
    <x v="14"/>
    <n v="19805"/>
    <x v="2"/>
    <s v="FUR-BO-10002598"/>
    <x v="0"/>
    <x v="0"/>
    <s v="Hon Metal Bookcases, Putty"/>
    <n v="284"/>
    <n v="4"/>
    <n v="0"/>
    <n v="82"/>
    <x v="1"/>
    <s v="Feb"/>
  </r>
  <r>
    <n v="4950"/>
    <s v="CA-2017-107125"/>
    <x v="152"/>
    <d v="2017-12-02T00:00:00"/>
    <x v="1"/>
    <s v="BD-11320"/>
    <s v="Bill Donatelli"/>
    <x v="0"/>
    <s v="United States"/>
    <x v="2"/>
    <x v="2"/>
    <n v="90045"/>
    <x v="1"/>
    <s v="FUR-FU-10000732"/>
    <x v="0"/>
    <x v="3"/>
    <s v="Eldon 200 Class Desk Accessories"/>
    <n v="19"/>
    <n v="3"/>
    <n v="0"/>
    <n v="6"/>
    <x v="2"/>
    <s v="Nov"/>
  </r>
  <r>
    <n v="4957"/>
    <s v="CA-2014-160262"/>
    <x v="2"/>
    <d v="2014-06-13T00:00:00"/>
    <x v="0"/>
    <s v="TS-21205"/>
    <s v="Thomas Seio"/>
    <x v="1"/>
    <s v="United States"/>
    <x v="111"/>
    <x v="34"/>
    <n v="89031"/>
    <x v="1"/>
    <s v="FUR-FU-10002685"/>
    <x v="0"/>
    <x v="3"/>
    <s v="Executive Impressions 13-1/2&quot; Indoor/Outdoor Wall Clock"/>
    <n v="37"/>
    <n v="2"/>
    <n v="0"/>
    <n v="14"/>
    <x v="4"/>
    <s v="Jun"/>
  </r>
  <r>
    <n v="4962"/>
    <s v="CA-2014-156587"/>
    <x v="600"/>
    <d v="2014-03-08T00:00:00"/>
    <x v="2"/>
    <s v="AB-10015"/>
    <s v="Aaron Bergman"/>
    <x v="0"/>
    <s v="United States"/>
    <x v="15"/>
    <x v="13"/>
    <n v="98103"/>
    <x v="1"/>
    <s v="FUR-CH-10004477"/>
    <x v="0"/>
    <x v="1"/>
    <s v="Global Push Button Manager's Chair, Indigo"/>
    <n v="49"/>
    <n v="1"/>
    <n v="0.2"/>
    <n v="5"/>
    <x v="5"/>
    <s v="Mar"/>
  </r>
  <r>
    <n v="4970"/>
    <s v="CA-2015-122406"/>
    <x v="601"/>
    <d v="2015-08-05T00:00:00"/>
    <x v="0"/>
    <s v="BE-11455"/>
    <s v="Brad Eason"/>
    <x v="2"/>
    <s v="United States"/>
    <x v="134"/>
    <x v="38"/>
    <n v="2908"/>
    <x v="2"/>
    <s v="FUR-CH-10001973"/>
    <x v="0"/>
    <x v="1"/>
    <s v="Office Star Flex Back Scooter Chair with White Frame"/>
    <n v="111"/>
    <n v="1"/>
    <n v="0"/>
    <n v="16"/>
    <x v="0"/>
    <s v="Aug"/>
  </r>
  <r>
    <n v="4971"/>
    <s v="US-2016-153815"/>
    <x v="24"/>
    <d v="2016-11-09T00:00:00"/>
    <x v="2"/>
    <s v="KL-16555"/>
    <s v="Kelly Lampkin"/>
    <x v="1"/>
    <s v="United States"/>
    <x v="51"/>
    <x v="1"/>
    <n v="32216"/>
    <x v="0"/>
    <s v="FUR-CH-10000513"/>
    <x v="0"/>
    <x v="1"/>
    <s v="High-Back Leather Manager's Chair"/>
    <n v="208"/>
    <n v="2"/>
    <n v="0.2"/>
    <n v="-29"/>
    <x v="0"/>
    <s v="Nov"/>
  </r>
  <r>
    <n v="4973"/>
    <s v="US-2016-153815"/>
    <x v="24"/>
    <d v="2016-11-09T00:00:00"/>
    <x v="2"/>
    <s v="KL-16555"/>
    <s v="Kelly Lampkin"/>
    <x v="1"/>
    <s v="United States"/>
    <x v="51"/>
    <x v="1"/>
    <n v="32216"/>
    <x v="0"/>
    <s v="FUR-FU-10004090"/>
    <x v="0"/>
    <x v="3"/>
    <s v="Executive Impressions 14&quot; Contract Wall Clock"/>
    <n v="36"/>
    <n v="2"/>
    <n v="0.2"/>
    <n v="6"/>
    <x v="0"/>
    <s v="Nov"/>
  </r>
  <r>
    <n v="4988"/>
    <s v="CA-2016-149279"/>
    <x v="602"/>
    <d v="2016-04-28T00:00:00"/>
    <x v="1"/>
    <s v="CL-12700"/>
    <s v="Craig Leslie"/>
    <x v="2"/>
    <s v="United States"/>
    <x v="30"/>
    <x v="12"/>
    <n v="80906"/>
    <x v="1"/>
    <s v="FUR-CH-10004287"/>
    <x v="0"/>
    <x v="1"/>
    <s v="SAFCO Arco Folding Chair"/>
    <n v="1326"/>
    <n v="6"/>
    <n v="0.2"/>
    <n v="149"/>
    <x v="4"/>
    <s v="Apr"/>
  </r>
  <r>
    <n v="4995"/>
    <s v="CA-2015-153038"/>
    <x v="603"/>
    <d v="2015-12-25T00:00:00"/>
    <x v="1"/>
    <s v="RB-19645"/>
    <s v="Robert Barroso"/>
    <x v="1"/>
    <s v="United States"/>
    <x v="10"/>
    <x v="9"/>
    <n v="38109"/>
    <x v="0"/>
    <s v="FUR-FU-10000221"/>
    <x v="0"/>
    <x v="3"/>
    <s v="Master Caster Door Stop, Brown"/>
    <n v="20"/>
    <n v="5"/>
    <n v="0.2"/>
    <n v="4"/>
    <x v="1"/>
    <s v="Dec"/>
  </r>
  <r>
    <n v="5012"/>
    <s v="US-2017-139647"/>
    <x v="585"/>
    <d v="2017-05-13T00:00:00"/>
    <x v="2"/>
    <s v="TS-21370"/>
    <s v="Todd Sumrall"/>
    <x v="1"/>
    <s v="United States"/>
    <x v="43"/>
    <x v="22"/>
    <n v="85023"/>
    <x v="1"/>
    <s v="FUR-BO-10004467"/>
    <x v="0"/>
    <x v="0"/>
    <s v="Bestar Classic Bookcase"/>
    <n v="210"/>
    <n v="7"/>
    <n v="0.7"/>
    <n v="-357"/>
    <x v="3"/>
    <s v="May"/>
  </r>
  <r>
    <n v="5016"/>
    <s v="CA-2014-153850"/>
    <x v="168"/>
    <d v="2014-11-29T00:00:00"/>
    <x v="1"/>
    <s v="TH-21100"/>
    <s v="Thea Hendricks"/>
    <x v="0"/>
    <s v="United States"/>
    <x v="219"/>
    <x v="15"/>
    <n v="43615"/>
    <x v="2"/>
    <s v="FUR-FU-10002960"/>
    <x v="0"/>
    <x v="3"/>
    <s v="Eldon 200 Class Desk Accessories, Burgundy"/>
    <n v="35"/>
    <n v="7"/>
    <n v="0.2"/>
    <n v="10"/>
    <x v="2"/>
    <s v="Nov"/>
  </r>
  <r>
    <n v="5018"/>
    <s v="CA-2014-127558"/>
    <x v="604"/>
    <d v="2014-11-18T00:00:00"/>
    <x v="2"/>
    <s v="SS-20410"/>
    <s v="Shahid Shariari"/>
    <x v="0"/>
    <s v="United States"/>
    <x v="2"/>
    <x v="2"/>
    <n v="90008"/>
    <x v="1"/>
    <s v="FUR-FU-10002505"/>
    <x v="0"/>
    <x v="3"/>
    <s v="Eldon 100 Class Desk Accessories"/>
    <n v="10"/>
    <n v="3"/>
    <n v="0"/>
    <n v="3"/>
    <x v="0"/>
    <s v="Nov"/>
  </r>
  <r>
    <n v="5024"/>
    <s v="CA-2016-133795"/>
    <x v="105"/>
    <d v="2016-12-24T00:00:00"/>
    <x v="1"/>
    <s v="JE-15475"/>
    <s v="Jeremy Ellison"/>
    <x v="0"/>
    <s v="United States"/>
    <x v="53"/>
    <x v="2"/>
    <n v="92037"/>
    <x v="1"/>
    <s v="FUR-FU-10003731"/>
    <x v="0"/>
    <x v="3"/>
    <s v="Eldon Expressions Wood and Plastic Desk Accessories, Oak"/>
    <n v="40"/>
    <n v="4"/>
    <n v="0"/>
    <n v="11"/>
    <x v="6"/>
    <s v="Dec"/>
  </r>
  <r>
    <n v="5028"/>
    <s v="US-2017-130953"/>
    <x v="605"/>
    <d v="2017-08-03T00:00:00"/>
    <x v="1"/>
    <s v="RF-19735"/>
    <s v="Roland Fjeld"/>
    <x v="0"/>
    <s v="United States"/>
    <x v="258"/>
    <x v="37"/>
    <n v="73120"/>
    <x v="3"/>
    <s v="FUR-CH-10004626"/>
    <x v="0"/>
    <x v="1"/>
    <s v="Office Star Flex Back Scooter Chair with Aluminum Finish Frame"/>
    <n v="303"/>
    <n v="3"/>
    <n v="0"/>
    <n v="73"/>
    <x v="2"/>
    <s v="Jul"/>
  </r>
  <r>
    <n v="5033"/>
    <s v="CA-2016-155166"/>
    <x v="576"/>
    <d v="2017-01-02T00:00:00"/>
    <x v="1"/>
    <s v="BB-11545"/>
    <s v="Brenda Bowman"/>
    <x v="1"/>
    <s v="United States"/>
    <x v="109"/>
    <x v="18"/>
    <n v="8360"/>
    <x v="2"/>
    <s v="FUR-CH-10003968"/>
    <x v="0"/>
    <x v="1"/>
    <s v="Novimex Turbo Task Chair"/>
    <n v="213"/>
    <n v="3"/>
    <n v="0"/>
    <n v="26"/>
    <x v="1"/>
    <s v="Dec"/>
  </r>
  <r>
    <n v="5035"/>
    <s v="CA-2015-103954"/>
    <x v="38"/>
    <d v="2015-08-13T00:00:00"/>
    <x v="0"/>
    <s v="HR-14770"/>
    <s v="Hallie Redmond"/>
    <x v="2"/>
    <s v="United States"/>
    <x v="79"/>
    <x v="16"/>
    <n v="53209"/>
    <x v="3"/>
    <s v="FUR-BO-10004690"/>
    <x v="0"/>
    <x v="0"/>
    <s v="O'Sullivan Cherrywood Estates Traditional Barrister Bookcase"/>
    <n v="687"/>
    <n v="5"/>
    <n v="0"/>
    <n v="48"/>
    <x v="4"/>
    <s v="Aug"/>
  </r>
  <r>
    <n v="5036"/>
    <s v="CA-2014-169803"/>
    <x v="226"/>
    <d v="2014-04-12T00:00:00"/>
    <x v="1"/>
    <s v="SC-20260"/>
    <s v="Scott Cohen"/>
    <x v="1"/>
    <s v="United States"/>
    <x v="15"/>
    <x v="13"/>
    <n v="98115"/>
    <x v="1"/>
    <s v="FUR-TA-10000688"/>
    <x v="0"/>
    <x v="2"/>
    <s v="Chromcraft Bull-Nose Wood Round Conference Table Top, Wood Base"/>
    <n v="654"/>
    <n v="3"/>
    <n v="0"/>
    <n v="111"/>
    <x v="6"/>
    <s v="Apr"/>
  </r>
  <r>
    <n v="5039"/>
    <s v="CA-2015-136469"/>
    <x v="312"/>
    <d v="2015-07-12T00:00:00"/>
    <x v="2"/>
    <s v="TS-21370"/>
    <s v="Todd Sumrall"/>
    <x v="1"/>
    <s v="United States"/>
    <x v="16"/>
    <x v="14"/>
    <n v="19805"/>
    <x v="2"/>
    <s v="FUR-TA-10001520"/>
    <x v="0"/>
    <x v="2"/>
    <s v="Lesro Sheffield Collection Coffee Table, End Table, Center Table, Corner Table"/>
    <n v="200"/>
    <n v="4"/>
    <n v="0.3"/>
    <n v="-37"/>
    <x v="5"/>
    <s v="Jul"/>
  </r>
  <r>
    <n v="5044"/>
    <s v="CA-2016-158694"/>
    <x v="480"/>
    <d v="2016-11-13T00:00:00"/>
    <x v="0"/>
    <s v="AI-10855"/>
    <s v="Arianne Irving"/>
    <x v="0"/>
    <s v="United States"/>
    <x v="2"/>
    <x v="2"/>
    <n v="90036"/>
    <x v="1"/>
    <s v="FUR-FU-10000965"/>
    <x v="0"/>
    <x v="3"/>
    <s v="Howard Miller 11-1/2&quot; Diameter Ridgewood Wall Clock"/>
    <n v="467"/>
    <n v="9"/>
    <n v="0"/>
    <n v="192"/>
    <x v="0"/>
    <s v="Nov"/>
  </r>
  <r>
    <n v="5056"/>
    <s v="CA-2015-141243"/>
    <x v="606"/>
    <d v="2015-01-08T00:00:00"/>
    <x v="0"/>
    <s v="AH-10465"/>
    <s v="Amy Hunt"/>
    <x v="0"/>
    <s v="United States"/>
    <x v="144"/>
    <x v="5"/>
    <n v="75217"/>
    <x v="3"/>
    <s v="FUR-BO-10003272"/>
    <x v="0"/>
    <x v="0"/>
    <s v="O'Sullivan Living Dimensions 5-Shelf Bookcases"/>
    <n v="1352"/>
    <n v="9"/>
    <n v="0.32"/>
    <n v="-438"/>
    <x v="2"/>
    <s v="Jan"/>
  </r>
  <r>
    <n v="5064"/>
    <s v="CA-2015-136798"/>
    <x v="190"/>
    <d v="2015-05-12T00:00:00"/>
    <x v="1"/>
    <s v="DL-12925"/>
    <s v="Daniel Lacy"/>
    <x v="0"/>
    <s v="United States"/>
    <x v="12"/>
    <x v="11"/>
    <n v="55407"/>
    <x v="3"/>
    <s v="FUR-FU-10000723"/>
    <x v="0"/>
    <x v="3"/>
    <s v="Deflect-o EconoMat Studded, No Bevel Mat for Low Pile Carpeting"/>
    <n v="124"/>
    <n v="3"/>
    <n v="0"/>
    <n v="11"/>
    <x v="4"/>
    <s v="May"/>
  </r>
  <r>
    <n v="5067"/>
    <s v="CA-2017-142090"/>
    <x v="147"/>
    <d v="2017-12-07T00:00:00"/>
    <x v="1"/>
    <s v="SC-20380"/>
    <s v="Shahid Collister"/>
    <x v="0"/>
    <s v="United States"/>
    <x v="259"/>
    <x v="30"/>
    <n v="27217"/>
    <x v="0"/>
    <s v="FUR-TA-10001889"/>
    <x v="0"/>
    <x v="2"/>
    <s v="Bush Advantage Collection Racetrack Conference Table"/>
    <n v="1782"/>
    <n v="7"/>
    <n v="0.4"/>
    <n v="-653"/>
    <x v="1"/>
    <s v="Nov"/>
  </r>
  <r>
    <n v="5072"/>
    <s v="CA-2014-124478"/>
    <x v="98"/>
    <d v="2014-08-12T00:00:00"/>
    <x v="1"/>
    <s v="MA-17560"/>
    <s v="Matt Abelman"/>
    <x v="2"/>
    <s v="United States"/>
    <x v="65"/>
    <x v="17"/>
    <n v="48183"/>
    <x v="3"/>
    <s v="FUR-FU-10002088"/>
    <x v="0"/>
    <x v="3"/>
    <s v="Nu-Dell Float Frame 11 x 14 1/2"/>
    <n v="54"/>
    <n v="6"/>
    <n v="0"/>
    <n v="23"/>
    <x v="4"/>
    <s v="Aug"/>
  </r>
  <r>
    <n v="5076"/>
    <s v="CA-2014-134572"/>
    <x v="607"/>
    <d v="2014-04-22T00:00:00"/>
    <x v="0"/>
    <s v="SV-20365"/>
    <s v="Seth Vernon"/>
    <x v="0"/>
    <s v="United States"/>
    <x v="6"/>
    <x v="5"/>
    <n v="77070"/>
    <x v="3"/>
    <s v="FUR-TA-10001705"/>
    <x v="0"/>
    <x v="2"/>
    <s v="Bush Advantage Collection Round Conference Table"/>
    <n v="744"/>
    <n v="5"/>
    <n v="0.3"/>
    <n v="-96"/>
    <x v="3"/>
    <s v="Apr"/>
  </r>
  <r>
    <n v="5078"/>
    <s v="CA-2014-134572"/>
    <x v="607"/>
    <d v="2014-04-22T00:00:00"/>
    <x v="0"/>
    <s v="SV-20365"/>
    <s v="Seth Vernon"/>
    <x v="0"/>
    <s v="United States"/>
    <x v="6"/>
    <x v="5"/>
    <n v="77070"/>
    <x v="3"/>
    <s v="FUR-TA-10004442"/>
    <x v="0"/>
    <x v="2"/>
    <s v="Riverside Furniture Stanwyck Manor Table Series"/>
    <n v="402"/>
    <n v="2"/>
    <n v="0.3"/>
    <n v="-132"/>
    <x v="3"/>
    <s v="Apr"/>
  </r>
  <r>
    <n v="5080"/>
    <s v="US-2017-133312"/>
    <x v="608"/>
    <d v="2017-11-29T00:00:00"/>
    <x v="1"/>
    <s v="BD-11500"/>
    <s v="Bradley Drucker"/>
    <x v="0"/>
    <s v="United States"/>
    <x v="28"/>
    <x v="2"/>
    <n v="94122"/>
    <x v="1"/>
    <s v="FUR-BO-10002213"/>
    <x v="0"/>
    <x v="0"/>
    <s v="Sauder Forest Hills Library, Woodland Oak Finish"/>
    <n v="359"/>
    <n v="3"/>
    <n v="0.15"/>
    <n v="-30"/>
    <x v="4"/>
    <s v="Nov"/>
  </r>
  <r>
    <n v="5095"/>
    <s v="US-2014-140452"/>
    <x v="387"/>
    <d v="2014-12-10T00:00:00"/>
    <x v="1"/>
    <s v="BK-11260"/>
    <s v="Berenike Kampe"/>
    <x v="0"/>
    <s v="United States"/>
    <x v="9"/>
    <x v="8"/>
    <n v="60610"/>
    <x v="3"/>
    <s v="FUR-TA-10004086"/>
    <x v="0"/>
    <x v="2"/>
    <s v="KI Adjustable-Height Table"/>
    <n v="215"/>
    <n v="5"/>
    <n v="0.5"/>
    <n v="-120"/>
    <x v="4"/>
    <s v="Dec"/>
  </r>
  <r>
    <n v="5097"/>
    <s v="US-2014-140452"/>
    <x v="387"/>
    <d v="2014-12-10T00:00:00"/>
    <x v="1"/>
    <s v="BK-11260"/>
    <s v="Berenike Kampe"/>
    <x v="0"/>
    <s v="United States"/>
    <x v="9"/>
    <x v="8"/>
    <n v="60610"/>
    <x v="3"/>
    <s v="FUR-FU-10002088"/>
    <x v="0"/>
    <x v="3"/>
    <s v="Nu-Dell Float Frame 11 x 14 1/2"/>
    <n v="11"/>
    <n v="3"/>
    <n v="0.6"/>
    <n v="-5"/>
    <x v="4"/>
    <s v="Dec"/>
  </r>
  <r>
    <n v="5106"/>
    <s v="CA-2014-116568"/>
    <x v="609"/>
    <d v="2014-12-20T00:00:00"/>
    <x v="1"/>
    <s v="BM-11785"/>
    <s v="Bryan Mills"/>
    <x v="0"/>
    <s v="United States"/>
    <x v="260"/>
    <x v="1"/>
    <n v="32725"/>
    <x v="0"/>
    <s v="FUR-CH-10002439"/>
    <x v="0"/>
    <x v="1"/>
    <s v="Iceberg Nesting Folding Chair, 19w x 6d x 43h"/>
    <n v="186"/>
    <n v="4"/>
    <n v="0.2"/>
    <n v="14"/>
    <x v="6"/>
    <s v="Dec"/>
  </r>
  <r>
    <n v="5113"/>
    <s v="CA-2015-153073"/>
    <x v="18"/>
    <d v="2015-11-13T00:00:00"/>
    <x v="3"/>
    <s v="HA-14905"/>
    <s v="Helen Abelman"/>
    <x v="0"/>
    <s v="United States"/>
    <x v="9"/>
    <x v="8"/>
    <n v="60610"/>
    <x v="3"/>
    <s v="FUR-FU-10001025"/>
    <x v="0"/>
    <x v="3"/>
    <s v="Eldon Imˆge Series Desk Accessories, Clear"/>
    <n v="17"/>
    <n v="9"/>
    <n v="0.6"/>
    <n v="-7"/>
    <x v="7"/>
    <s v="Nov"/>
  </r>
  <r>
    <n v="5125"/>
    <s v="CA-2014-160766"/>
    <x v="94"/>
    <d v="2014-09-14T00:00:00"/>
    <x v="3"/>
    <s v="DM-13015"/>
    <s v="Darrin Martin"/>
    <x v="0"/>
    <s v="United States"/>
    <x v="13"/>
    <x v="7"/>
    <n v="10009"/>
    <x v="2"/>
    <s v="FUR-TA-10001039"/>
    <x v="0"/>
    <x v="2"/>
    <s v="KI Adjustable-Height Table"/>
    <n v="464"/>
    <n v="9"/>
    <n v="0.4"/>
    <n v="-108"/>
    <x v="7"/>
    <s v="Sep"/>
  </r>
  <r>
    <n v="5132"/>
    <s v="CA-2017-146626"/>
    <x v="297"/>
    <d v="2018-01-05T00:00:00"/>
    <x v="1"/>
    <s v="BP-11185"/>
    <s v="Ben Peterman"/>
    <x v="1"/>
    <s v="United States"/>
    <x v="261"/>
    <x v="2"/>
    <n v="92804"/>
    <x v="1"/>
    <s v="FUR-FU-10002501"/>
    <x v="0"/>
    <x v="3"/>
    <s v="Nu-Dell Executive Frame"/>
    <n v="101"/>
    <n v="8"/>
    <n v="0"/>
    <n v="37"/>
    <x v="1"/>
    <s v="Dec"/>
  </r>
  <r>
    <n v="5138"/>
    <s v="CA-2016-128972"/>
    <x v="282"/>
    <d v="2016-11-17T00:00:00"/>
    <x v="1"/>
    <s v="TS-21430"/>
    <s v="Tom Stivers"/>
    <x v="1"/>
    <s v="United States"/>
    <x v="258"/>
    <x v="37"/>
    <n v="73120"/>
    <x v="3"/>
    <s v="FUR-FU-10003096"/>
    <x v="0"/>
    <x v="3"/>
    <s v="Master Giant Foot Doorstop, Safety Yellow"/>
    <n v="30"/>
    <n v="4"/>
    <n v="0"/>
    <n v="13"/>
    <x v="4"/>
    <s v="Nov"/>
  </r>
  <r>
    <n v="5142"/>
    <s v="CA-2016-111213"/>
    <x v="610"/>
    <d v="2016-04-05T00:00:00"/>
    <x v="1"/>
    <s v="FP-14320"/>
    <s v="Frank Preis"/>
    <x v="0"/>
    <s v="United States"/>
    <x v="13"/>
    <x v="7"/>
    <n v="10009"/>
    <x v="2"/>
    <s v="FUR-CH-10000454"/>
    <x v="0"/>
    <x v="1"/>
    <s v="Hon Deluxe Fabric Upholstered Stacking Chairs, Rounded Back"/>
    <n v="1317"/>
    <n v="6"/>
    <n v="0.1"/>
    <n v="293"/>
    <x v="4"/>
    <s v="Apr"/>
  </r>
  <r>
    <n v="5145"/>
    <s v="CA-2017-161333"/>
    <x v="611"/>
    <d v="2017-02-07T00:00:00"/>
    <x v="1"/>
    <s v="JL-15835"/>
    <s v="John Lee"/>
    <x v="0"/>
    <s v="United States"/>
    <x v="2"/>
    <x v="2"/>
    <n v="90045"/>
    <x v="1"/>
    <s v="FUR-FU-10003039"/>
    <x v="0"/>
    <x v="3"/>
    <s v="Howard Miller 11-1/2&quot; Diameter Grantwood Wall Clock"/>
    <n v="86"/>
    <n v="2"/>
    <n v="0"/>
    <n v="29"/>
    <x v="2"/>
    <s v="Feb"/>
  </r>
  <r>
    <n v="5148"/>
    <s v="CA-2017-128734"/>
    <x v="455"/>
    <d v="2017-12-31T00:00:00"/>
    <x v="1"/>
    <s v="JL-15175"/>
    <s v="James Lanier"/>
    <x v="2"/>
    <s v="United States"/>
    <x v="262"/>
    <x v="22"/>
    <n v="85224"/>
    <x v="1"/>
    <s v="FUR-FU-10001731"/>
    <x v="0"/>
    <x v="3"/>
    <s v="Acrylic Self-Standing Desk Frames"/>
    <n v="9"/>
    <n v="4"/>
    <n v="0.2"/>
    <n v="2"/>
    <x v="1"/>
    <s v="Dec"/>
  </r>
  <r>
    <n v="5149"/>
    <s v="CA-2017-128734"/>
    <x v="455"/>
    <d v="2017-12-31T00:00:00"/>
    <x v="1"/>
    <s v="JL-15175"/>
    <s v="James Lanier"/>
    <x v="2"/>
    <s v="United States"/>
    <x v="262"/>
    <x v="22"/>
    <n v="85224"/>
    <x v="1"/>
    <s v="FUR-CH-10001394"/>
    <x v="0"/>
    <x v="1"/>
    <s v="Global Leather Executive Chair"/>
    <n v="842"/>
    <n v="3"/>
    <n v="0.2"/>
    <n v="105"/>
    <x v="1"/>
    <s v="Dec"/>
  </r>
  <r>
    <n v="5156"/>
    <s v="US-2015-124219"/>
    <x v="612"/>
    <d v="2015-08-08T00:00:00"/>
    <x v="2"/>
    <s v="KW-16570"/>
    <s v="Kelly Williams"/>
    <x v="0"/>
    <s v="United States"/>
    <x v="263"/>
    <x v="23"/>
    <n v="63122"/>
    <x v="3"/>
    <s v="FUR-FU-10000305"/>
    <x v="0"/>
    <x v="3"/>
    <s v="Tenex V2T-RE Standard Weight Series Chair Mat, 45&quot; x 53&quot;, Lip 25&quot; x 12&quot;"/>
    <n v="213"/>
    <n v="3"/>
    <n v="0"/>
    <n v="34"/>
    <x v="5"/>
    <s v="Aug"/>
  </r>
  <r>
    <n v="5158"/>
    <s v="CA-2017-163006"/>
    <x v="254"/>
    <d v="2017-07-04T00:00:00"/>
    <x v="0"/>
    <s v="GH-14410"/>
    <s v="Gary Hansen"/>
    <x v="2"/>
    <s v="United States"/>
    <x v="9"/>
    <x v="8"/>
    <n v="60653"/>
    <x v="3"/>
    <s v="FUR-CH-10000229"/>
    <x v="0"/>
    <x v="1"/>
    <s v="Global Enterprise Series Seating High-Back Swivel/Tilt Chairs"/>
    <n v="569"/>
    <n v="3"/>
    <n v="0.3"/>
    <n v="-179"/>
    <x v="4"/>
    <s v="Jun"/>
  </r>
  <r>
    <n v="5159"/>
    <s v="CA-2017-163006"/>
    <x v="254"/>
    <d v="2017-07-04T00:00:00"/>
    <x v="0"/>
    <s v="GH-14410"/>
    <s v="Gary Hansen"/>
    <x v="2"/>
    <s v="United States"/>
    <x v="9"/>
    <x v="8"/>
    <n v="60653"/>
    <x v="3"/>
    <s v="FUR-FU-10003799"/>
    <x v="0"/>
    <x v="3"/>
    <s v="Seth Thomas 13 1/2&quot; Wall Clock"/>
    <n v="14"/>
    <n v="2"/>
    <n v="0.6"/>
    <n v="-10"/>
    <x v="4"/>
    <s v="Jun"/>
  </r>
  <r>
    <n v="5162"/>
    <s v="CA-2014-111192"/>
    <x v="613"/>
    <d v="2014-08-05T00:00:00"/>
    <x v="1"/>
    <s v="TS-21430"/>
    <s v="Tom Stivers"/>
    <x v="1"/>
    <s v="United States"/>
    <x v="15"/>
    <x v="13"/>
    <n v="98103"/>
    <x v="1"/>
    <s v="FUR-BO-10002916"/>
    <x v="0"/>
    <x v="0"/>
    <s v="Rush Hierlooms Collection 1&quot; Thick Stackable Bookcases"/>
    <n v="1368"/>
    <n v="8"/>
    <n v="0"/>
    <n v="260"/>
    <x v="6"/>
    <s v="Jul"/>
  </r>
  <r>
    <n v="5163"/>
    <s v="CA-2016-115378"/>
    <x v="515"/>
    <d v="2016-11-23T00:00:00"/>
    <x v="0"/>
    <s v="AJ-10945"/>
    <s v="Ashley Jarboe"/>
    <x v="0"/>
    <s v="United States"/>
    <x v="264"/>
    <x v="17"/>
    <n v="48180"/>
    <x v="3"/>
    <s v="FUR-CH-10000863"/>
    <x v="0"/>
    <x v="1"/>
    <s v="Novimex Swivel Fabric Task Chair"/>
    <n v="302"/>
    <n v="2"/>
    <n v="0"/>
    <n v="33"/>
    <x v="2"/>
    <s v="Nov"/>
  </r>
  <r>
    <n v="5164"/>
    <s v="CA-2015-161627"/>
    <x v="171"/>
    <d v="2015-07-11T00:00:00"/>
    <x v="1"/>
    <s v="SJ-20215"/>
    <s v="Sarah Jordon"/>
    <x v="0"/>
    <s v="United States"/>
    <x v="102"/>
    <x v="2"/>
    <n v="91104"/>
    <x v="1"/>
    <s v="FUR-CH-10003968"/>
    <x v="0"/>
    <x v="1"/>
    <s v="Novimex Turbo Task Chair"/>
    <n v="170"/>
    <n v="3"/>
    <n v="0.2"/>
    <n v="-17"/>
    <x v="2"/>
    <s v="Jul"/>
  </r>
  <r>
    <n v="5168"/>
    <s v="CA-2014-121006"/>
    <x v="448"/>
    <d v="2014-11-16T00:00:00"/>
    <x v="1"/>
    <s v="SC-20020"/>
    <s v="Sam Craven"/>
    <x v="0"/>
    <s v="United States"/>
    <x v="265"/>
    <x v="17"/>
    <n v="48640"/>
    <x v="3"/>
    <s v="FUR-CH-10004997"/>
    <x v="0"/>
    <x v="1"/>
    <s v="Hon Every-Day Series Multi-Task Chairs"/>
    <n v="564"/>
    <n v="3"/>
    <n v="0"/>
    <n v="113"/>
    <x v="6"/>
    <s v="Nov"/>
  </r>
  <r>
    <n v="5171"/>
    <s v="CA-2016-122903"/>
    <x v="614"/>
    <d v="2016-05-29T00:00:00"/>
    <x v="0"/>
    <s v="LA-16780"/>
    <s v="Laura Armstrong"/>
    <x v="1"/>
    <s v="United States"/>
    <x v="25"/>
    <x v="17"/>
    <n v="48205"/>
    <x v="3"/>
    <s v="FUR-CH-10002024"/>
    <x v="0"/>
    <x v="1"/>
    <s v="HON 5400 Series Task Chairs for Big and Tall"/>
    <n v="3505"/>
    <n v="5"/>
    <n v="0"/>
    <n v="701"/>
    <x v="3"/>
    <s v="May"/>
  </r>
  <r>
    <n v="5176"/>
    <s v="CA-2017-106432"/>
    <x v="66"/>
    <d v="2017-10-24T00:00:00"/>
    <x v="1"/>
    <s v="CA-12265"/>
    <s v="Christina Anderson"/>
    <x v="0"/>
    <s v="United States"/>
    <x v="266"/>
    <x v="5"/>
    <n v="76706"/>
    <x v="3"/>
    <s v="FUR-BO-10004360"/>
    <x v="0"/>
    <x v="0"/>
    <s v="Rush Hierlooms Collection Rich Wood Bookcases"/>
    <n v="328"/>
    <n v="3"/>
    <n v="0.32"/>
    <n v="-92"/>
    <x v="2"/>
    <s v="Oct"/>
  </r>
  <r>
    <n v="5179"/>
    <s v="US-2015-120502"/>
    <x v="315"/>
    <d v="2015-04-19T00:00:00"/>
    <x v="1"/>
    <s v="BT-11395"/>
    <s v="Bill Tyler"/>
    <x v="1"/>
    <s v="United States"/>
    <x v="2"/>
    <x v="2"/>
    <n v="90036"/>
    <x v="1"/>
    <s v="FUR-FU-10004973"/>
    <x v="0"/>
    <x v="3"/>
    <s v="Flat Face Poster Frame"/>
    <n v="38"/>
    <n v="2"/>
    <n v="0"/>
    <n v="16"/>
    <x v="6"/>
    <s v="Apr"/>
  </r>
  <r>
    <n v="5189"/>
    <s v="CA-2015-115567"/>
    <x v="615"/>
    <d v="2015-09-18T00:00:00"/>
    <x v="1"/>
    <s v="ZC-21910"/>
    <s v="Zuschuss Carroll"/>
    <x v="0"/>
    <s v="United States"/>
    <x v="29"/>
    <x v="6"/>
    <n v="47201"/>
    <x v="3"/>
    <s v="FUR-CH-10000015"/>
    <x v="0"/>
    <x v="1"/>
    <s v="Hon Multipurpose Stacking Arm Chairs"/>
    <n v="1516"/>
    <n v="7"/>
    <n v="0"/>
    <n v="394"/>
    <x v="2"/>
    <s v="Sep"/>
  </r>
  <r>
    <n v="5193"/>
    <s v="CA-2014-101560"/>
    <x v="616"/>
    <d v="2014-12-01T00:00:00"/>
    <x v="0"/>
    <s v="CS-12250"/>
    <s v="Chris Selesnick"/>
    <x v="1"/>
    <s v="United States"/>
    <x v="11"/>
    <x v="10"/>
    <n v="29203"/>
    <x v="0"/>
    <s v="FUR-FU-10003773"/>
    <x v="0"/>
    <x v="3"/>
    <s v="Eldon Cleatmat Plus Chair Mats for High Pile Carpets"/>
    <n v="398"/>
    <n v="5"/>
    <n v="0"/>
    <n v="44"/>
    <x v="0"/>
    <s v="Nov"/>
  </r>
  <r>
    <n v="5203"/>
    <s v="CA-2015-142454"/>
    <x v="617"/>
    <d v="2015-08-19T00:00:00"/>
    <x v="1"/>
    <s v="RE-19450"/>
    <s v="Richard Eichhorn"/>
    <x v="0"/>
    <s v="United States"/>
    <x v="121"/>
    <x v="2"/>
    <n v="94601"/>
    <x v="1"/>
    <s v="FUR-FU-10004018"/>
    <x v="0"/>
    <x v="3"/>
    <s v="Tensor Computer Mounted Lamp"/>
    <n v="104"/>
    <n v="7"/>
    <n v="0"/>
    <n v="28"/>
    <x v="4"/>
    <s v="Aug"/>
  </r>
  <r>
    <n v="5220"/>
    <s v="CA-2017-145653"/>
    <x v="449"/>
    <d v="2017-09-01T00:00:00"/>
    <x v="3"/>
    <s v="CA-12775"/>
    <s v="Cynthia Arntzen"/>
    <x v="0"/>
    <s v="United States"/>
    <x v="25"/>
    <x v="17"/>
    <n v="48205"/>
    <x v="3"/>
    <s v="FUR-CH-10004875"/>
    <x v="0"/>
    <x v="1"/>
    <s v="Harbour Creations 67200 Series Stacking Chairs"/>
    <n v="498"/>
    <n v="7"/>
    <n v="0"/>
    <n v="135"/>
    <x v="7"/>
    <s v="Sep"/>
  </r>
  <r>
    <n v="5221"/>
    <s v="CA-2014-140487"/>
    <x v="618"/>
    <d v="2014-06-20T00:00:00"/>
    <x v="1"/>
    <s v="SR-20425"/>
    <s v="Sharelle Roach"/>
    <x v="2"/>
    <s v="United States"/>
    <x v="25"/>
    <x v="17"/>
    <n v="48234"/>
    <x v="3"/>
    <s v="FUR-BO-10000711"/>
    <x v="0"/>
    <x v="0"/>
    <s v="Hon Metal Bookcases, Gray"/>
    <n v="213"/>
    <n v="3"/>
    <n v="0"/>
    <n v="57"/>
    <x v="6"/>
    <s v="Jun"/>
  </r>
  <r>
    <n v="5228"/>
    <s v="CA-2016-119865"/>
    <x v="619"/>
    <d v="2016-06-26T00:00:00"/>
    <x v="1"/>
    <s v="AS-10090"/>
    <s v="Adam Shillingsburg"/>
    <x v="0"/>
    <s v="United States"/>
    <x v="13"/>
    <x v="7"/>
    <n v="10011"/>
    <x v="2"/>
    <s v="FUR-BO-10003272"/>
    <x v="0"/>
    <x v="0"/>
    <s v="O'Sullivan Living Dimensions 5-Shelf Bookcases"/>
    <n v="354"/>
    <n v="2"/>
    <n v="0.2"/>
    <n v="-44"/>
    <x v="2"/>
    <s v="Jun"/>
  </r>
  <r>
    <n v="5231"/>
    <s v="CA-2017-124436"/>
    <x v="620"/>
    <d v="2017-03-22T00:00:00"/>
    <x v="0"/>
    <s v="SA-20830"/>
    <s v="Sue Ann Reed"/>
    <x v="0"/>
    <s v="United States"/>
    <x v="99"/>
    <x v="2"/>
    <n v="93727"/>
    <x v="1"/>
    <s v="FUR-TA-10001095"/>
    <x v="0"/>
    <x v="2"/>
    <s v="Chromcraft Round Conference Tables"/>
    <n v="697"/>
    <n v="5"/>
    <n v="0.2"/>
    <n v="9"/>
    <x v="0"/>
    <s v="Mar"/>
  </r>
  <r>
    <n v="5232"/>
    <s v="CA-2017-124436"/>
    <x v="620"/>
    <d v="2017-03-22T00:00:00"/>
    <x v="0"/>
    <s v="SA-20830"/>
    <s v="Sue Ann Reed"/>
    <x v="0"/>
    <s v="United States"/>
    <x v="99"/>
    <x v="2"/>
    <n v="93727"/>
    <x v="1"/>
    <s v="FUR-FU-10001185"/>
    <x v="0"/>
    <x v="3"/>
    <s v="Advantus Employee of the Month Certificate Frame, 11 x 13-1/2"/>
    <n v="31"/>
    <n v="1"/>
    <n v="0"/>
    <n v="13"/>
    <x v="0"/>
    <s v="Mar"/>
  </r>
  <r>
    <n v="5234"/>
    <s v="CA-2014-115084"/>
    <x v="305"/>
    <d v="2014-10-22T00:00:00"/>
    <x v="1"/>
    <s v="LS-17200"/>
    <s v="Luke Schmidt"/>
    <x v="1"/>
    <s v="United States"/>
    <x v="267"/>
    <x v="31"/>
    <n v="71854"/>
    <x v="0"/>
    <s v="FUR-CH-10004626"/>
    <x v="0"/>
    <x v="1"/>
    <s v="Office Star Flex Back Scooter Chair with Aluminum Finish Frame"/>
    <n v="605"/>
    <n v="6"/>
    <n v="0"/>
    <n v="145"/>
    <x v="4"/>
    <s v="Oct"/>
  </r>
  <r>
    <n v="5235"/>
    <s v="CA-2017-131037"/>
    <x v="621"/>
    <d v="2017-08-23T00:00:00"/>
    <x v="2"/>
    <s v="TM-21490"/>
    <s v="Tony Molinari"/>
    <x v="0"/>
    <s v="United States"/>
    <x v="28"/>
    <x v="2"/>
    <n v="94110"/>
    <x v="1"/>
    <s v="FUR-TA-10001768"/>
    <x v="0"/>
    <x v="2"/>
    <s v="Hon Racetrack Conference Tables"/>
    <n v="210"/>
    <n v="1"/>
    <n v="0.2"/>
    <n v="3"/>
    <x v="5"/>
    <s v="Aug"/>
  </r>
  <r>
    <n v="5237"/>
    <s v="CA-2014-166744"/>
    <x v="23"/>
    <d v="2014-09-24T00:00:00"/>
    <x v="1"/>
    <s v="DN-13690"/>
    <s v="Duane Noonan"/>
    <x v="0"/>
    <s v="United States"/>
    <x v="11"/>
    <x v="32"/>
    <n v="21044"/>
    <x v="2"/>
    <s v="FUR-FU-10004952"/>
    <x v="0"/>
    <x v="3"/>
    <s v="C-Line Cubicle Keepers Polyproplyene Holder w/Velcro Back, 8-1/2x11, 25/Bx"/>
    <n v="164"/>
    <n v="3"/>
    <n v="0"/>
    <n v="51"/>
    <x v="4"/>
    <s v="Sep"/>
  </r>
  <r>
    <n v="5238"/>
    <s v="CA-2014-166744"/>
    <x v="23"/>
    <d v="2014-09-24T00:00:00"/>
    <x v="1"/>
    <s v="DN-13690"/>
    <s v="Duane Noonan"/>
    <x v="0"/>
    <s v="United States"/>
    <x v="11"/>
    <x v="32"/>
    <n v="21044"/>
    <x v="2"/>
    <s v="FUR-BO-10001337"/>
    <x v="0"/>
    <x v="0"/>
    <s v="O'Sullivan Living Dimensions 2-Shelf Bookcases"/>
    <n v="363"/>
    <n v="3"/>
    <n v="0"/>
    <n v="36"/>
    <x v="4"/>
    <s v="Sep"/>
  </r>
  <r>
    <n v="5245"/>
    <s v="CA-2016-156265"/>
    <x v="622"/>
    <d v="2016-08-04T00:00:00"/>
    <x v="0"/>
    <s v="BF-11020"/>
    <s v="Barry Franzšsisch"/>
    <x v="1"/>
    <s v="United States"/>
    <x v="2"/>
    <x v="2"/>
    <n v="90032"/>
    <x v="1"/>
    <s v="FUR-TA-10001691"/>
    <x v="0"/>
    <x v="2"/>
    <s v="Barricks Non-Folding Utility Table with Steel Legs, Laminate Tops"/>
    <n v="136"/>
    <n v="2"/>
    <n v="0.2"/>
    <n v="15"/>
    <x v="3"/>
    <s v="Aug"/>
  </r>
  <r>
    <n v="5255"/>
    <s v="CA-2015-125185"/>
    <x v="298"/>
    <d v="2015-03-07T00:00:00"/>
    <x v="0"/>
    <s v="AH-10195"/>
    <s v="Alan Haines"/>
    <x v="1"/>
    <s v="United States"/>
    <x v="268"/>
    <x v="3"/>
    <n v="18018"/>
    <x v="2"/>
    <s v="FUR-CH-10002647"/>
    <x v="0"/>
    <x v="1"/>
    <s v="Situations Contoured Folding Chairs, 4/Set"/>
    <n v="99"/>
    <n v="2"/>
    <n v="0.3"/>
    <n v="-7"/>
    <x v="3"/>
    <s v="Mar"/>
  </r>
  <r>
    <n v="5256"/>
    <s v="CA-2015-125185"/>
    <x v="298"/>
    <d v="2015-03-07T00:00:00"/>
    <x v="0"/>
    <s v="AH-10195"/>
    <s v="Alan Haines"/>
    <x v="1"/>
    <s v="United States"/>
    <x v="268"/>
    <x v="3"/>
    <n v="18018"/>
    <x v="2"/>
    <s v="FUR-FU-10003247"/>
    <x v="0"/>
    <x v="3"/>
    <s v="36X48 HARDFLOOR CHAIRMAT"/>
    <n v="34"/>
    <n v="2"/>
    <n v="0.2"/>
    <n v="-5"/>
    <x v="3"/>
    <s v="Mar"/>
  </r>
  <r>
    <n v="5263"/>
    <s v="CA-2014-105165"/>
    <x v="266"/>
    <d v="2014-09-10T00:00:00"/>
    <x v="2"/>
    <s v="SZ-20035"/>
    <s v="Sam Zeldin"/>
    <x v="2"/>
    <s v="United States"/>
    <x v="6"/>
    <x v="5"/>
    <n v="77036"/>
    <x v="3"/>
    <s v="FUR-TA-10004154"/>
    <x v="0"/>
    <x v="2"/>
    <s v="Riverside Furniture Oval Coffee Table, Oval End Table, End Table with Drawer"/>
    <n v="201"/>
    <n v="1"/>
    <n v="0.3"/>
    <n v="-23"/>
    <x v="0"/>
    <s v="Sep"/>
  </r>
  <r>
    <n v="5270"/>
    <s v="CA-2017-144484"/>
    <x v="91"/>
    <d v="2017-09-11T00:00:00"/>
    <x v="3"/>
    <s v="CB-12025"/>
    <s v="Cassandra Brandow"/>
    <x v="0"/>
    <s v="United States"/>
    <x v="28"/>
    <x v="2"/>
    <n v="94110"/>
    <x v="1"/>
    <s v="FUR-FU-10000260"/>
    <x v="0"/>
    <x v="3"/>
    <s v="6&quot; Cubicle Wall Clock, Black"/>
    <n v="32"/>
    <n v="4"/>
    <n v="0"/>
    <n v="12"/>
    <x v="7"/>
    <s v="Sep"/>
  </r>
  <r>
    <n v="5272"/>
    <s v="CA-2017-125913"/>
    <x v="623"/>
    <d v="2017-01-16T00:00:00"/>
    <x v="3"/>
    <s v="JO-15145"/>
    <s v="Jack O'Briant"/>
    <x v="1"/>
    <s v="United States"/>
    <x v="2"/>
    <x v="2"/>
    <n v="90008"/>
    <x v="1"/>
    <s v="FUR-FU-10001487"/>
    <x v="0"/>
    <x v="3"/>
    <s v="Eldon Expressions Wood and Plastic Desk Accessories, Cherry Wood"/>
    <n v="28"/>
    <n v="4"/>
    <n v="0"/>
    <n v="8"/>
    <x v="7"/>
    <s v="Jan"/>
  </r>
  <r>
    <n v="5273"/>
    <s v="CA-2017-125913"/>
    <x v="623"/>
    <d v="2017-01-16T00:00:00"/>
    <x v="3"/>
    <s v="JO-15145"/>
    <s v="Jack O'Briant"/>
    <x v="1"/>
    <s v="United States"/>
    <x v="2"/>
    <x v="2"/>
    <n v="90008"/>
    <x v="1"/>
    <s v="FUR-TA-10001520"/>
    <x v="0"/>
    <x v="2"/>
    <s v="Lesro Sheffield Collection Coffee Table, End Table, Center Table, Corner Table"/>
    <n v="400"/>
    <n v="7"/>
    <n v="0.2"/>
    <n v="-15"/>
    <x v="7"/>
    <s v="Jan"/>
  </r>
  <r>
    <n v="5275"/>
    <s v="CA-2015-162887"/>
    <x v="86"/>
    <d v="2015-11-09T00:00:00"/>
    <x v="0"/>
    <s v="SV-20785"/>
    <s v="Stewart Visinsky"/>
    <x v="0"/>
    <s v="United States"/>
    <x v="259"/>
    <x v="43"/>
    <n v="5408"/>
    <x v="2"/>
    <s v="FUR-CH-10000595"/>
    <x v="0"/>
    <x v="1"/>
    <s v="Safco Contoured Stacking Chairs"/>
    <n v="715"/>
    <n v="3"/>
    <n v="0"/>
    <n v="179"/>
    <x v="3"/>
    <s v="Nov"/>
  </r>
  <r>
    <n v="5278"/>
    <s v="CA-2014-113859"/>
    <x v="624"/>
    <d v="2014-09-17T00:00:00"/>
    <x v="1"/>
    <s v="BC-11125"/>
    <s v="Becky Castell"/>
    <x v="2"/>
    <s v="United States"/>
    <x v="221"/>
    <x v="5"/>
    <n v="79762"/>
    <x v="3"/>
    <s v="FUR-CH-10004698"/>
    <x v="0"/>
    <x v="1"/>
    <s v="Padded Folding Chairs, Black, 4/Carton"/>
    <n v="340"/>
    <n v="6"/>
    <n v="0.3"/>
    <n v="-10"/>
    <x v="4"/>
    <s v="Sep"/>
  </r>
  <r>
    <n v="5282"/>
    <s v="CA-2015-105158"/>
    <x v="278"/>
    <d v="2015-09-10T00:00:00"/>
    <x v="1"/>
    <s v="SP-20860"/>
    <s v="Sung Pak"/>
    <x v="1"/>
    <s v="United States"/>
    <x v="77"/>
    <x v="11"/>
    <n v="55901"/>
    <x v="3"/>
    <s v="FUR-FU-10001706"/>
    <x v="0"/>
    <x v="3"/>
    <s v="Longer-Life Soft White Bulbs"/>
    <n v="6"/>
    <n v="2"/>
    <n v="0"/>
    <n v="3"/>
    <x v="2"/>
    <s v="Sep"/>
  </r>
  <r>
    <n v="5288"/>
    <s v="CA-2017-105991"/>
    <x v="625"/>
    <d v="2017-05-06T00:00:00"/>
    <x v="2"/>
    <s v="LH-17020"/>
    <s v="Lisa Hazard"/>
    <x v="0"/>
    <s v="United States"/>
    <x v="74"/>
    <x v="12"/>
    <n v="80027"/>
    <x v="1"/>
    <s v="FUR-BO-10004467"/>
    <x v="0"/>
    <x v="0"/>
    <s v="Bestar Classic Bookcase"/>
    <n v="90"/>
    <n v="3"/>
    <n v="0.7"/>
    <n v="-153"/>
    <x v="5"/>
    <s v="May"/>
  </r>
  <r>
    <n v="5291"/>
    <s v="CA-2014-146283"/>
    <x v="30"/>
    <d v="2014-09-15T00:00:00"/>
    <x v="1"/>
    <s v="KT-16465"/>
    <s v="Kean Takahito"/>
    <x v="0"/>
    <s v="United States"/>
    <x v="6"/>
    <x v="5"/>
    <n v="77036"/>
    <x v="3"/>
    <s v="FUR-CH-10004287"/>
    <x v="0"/>
    <x v="1"/>
    <s v="SAFCO Arco Folding Chair"/>
    <n v="967"/>
    <n v="5"/>
    <n v="0.3"/>
    <n v="-14"/>
    <x v="1"/>
    <s v="Sep"/>
  </r>
  <r>
    <n v="5294"/>
    <s v="CA-2015-111073"/>
    <x v="626"/>
    <d v="2015-12-30T00:00:00"/>
    <x v="1"/>
    <s v="MC-18100"/>
    <s v="Mick Crebagga"/>
    <x v="0"/>
    <s v="United States"/>
    <x v="23"/>
    <x v="15"/>
    <n v="44256"/>
    <x v="2"/>
    <s v="FUR-TA-10004086"/>
    <x v="0"/>
    <x v="2"/>
    <s v="KI Adjustable-Height Table"/>
    <n v="52"/>
    <n v="1"/>
    <n v="0.4"/>
    <n v="-15"/>
    <x v="4"/>
    <s v="Dec"/>
  </r>
  <r>
    <n v="5297"/>
    <s v="CA-2017-108791"/>
    <x v="534"/>
    <d v="2017-07-31T00:00:00"/>
    <x v="1"/>
    <s v="TM-21490"/>
    <s v="Tony Molinari"/>
    <x v="0"/>
    <s v="United States"/>
    <x v="90"/>
    <x v="7"/>
    <n v="10701"/>
    <x v="2"/>
    <s v="FUR-FU-10004018"/>
    <x v="0"/>
    <x v="3"/>
    <s v="Tensor Computer Mounted Lamp"/>
    <n v="15"/>
    <n v="1"/>
    <n v="0"/>
    <n v="4"/>
    <x v="4"/>
    <s v="Jul"/>
  </r>
  <r>
    <n v="5301"/>
    <s v="CA-2016-113831"/>
    <x v="82"/>
    <d v="2016-06-03T00:00:00"/>
    <x v="1"/>
    <s v="AH-10690"/>
    <s v="Anna HŠberlin"/>
    <x v="1"/>
    <s v="United States"/>
    <x v="76"/>
    <x v="25"/>
    <n v="22153"/>
    <x v="0"/>
    <s v="FUR-TA-10002645"/>
    <x v="0"/>
    <x v="2"/>
    <s v="Hon Rectangular Conference Tables"/>
    <n v="2276"/>
    <n v="10"/>
    <n v="0"/>
    <n v="387"/>
    <x v="4"/>
    <s v="May"/>
  </r>
  <r>
    <n v="5304"/>
    <s v="US-2014-139500"/>
    <x v="627"/>
    <d v="2014-11-20T00:00:00"/>
    <x v="1"/>
    <s v="AB-10165"/>
    <s v="Alan Barnes"/>
    <x v="0"/>
    <s v="United States"/>
    <x v="42"/>
    <x v="8"/>
    <n v="62521"/>
    <x v="3"/>
    <s v="FUR-CH-10002017"/>
    <x v="0"/>
    <x v="1"/>
    <s v="SAFCO Optional Arm Kit for Workspace Cribbage Stacking Chair"/>
    <n v="37"/>
    <n v="2"/>
    <n v="0.3"/>
    <n v="-1"/>
    <x v="4"/>
    <s v="Nov"/>
  </r>
  <r>
    <n v="5305"/>
    <s v="US-2014-166310"/>
    <x v="628"/>
    <d v="2014-09-23T00:00:00"/>
    <x v="2"/>
    <s v="JS-15940"/>
    <s v="Joni Sundaresam"/>
    <x v="2"/>
    <s v="United States"/>
    <x v="269"/>
    <x v="5"/>
    <n v="75043"/>
    <x v="3"/>
    <s v="FUR-FU-10001546"/>
    <x v="0"/>
    <x v="3"/>
    <s v="Dana Swing-Arm Lamps"/>
    <n v="9"/>
    <n v="2"/>
    <n v="0.6"/>
    <n v="-7"/>
    <x v="3"/>
    <s v="Sep"/>
  </r>
  <r>
    <n v="5306"/>
    <s v="US-2016-168410"/>
    <x v="629"/>
    <d v="2016-02-26T00:00:00"/>
    <x v="1"/>
    <s v="BV-11245"/>
    <s v="Benjamin Venier"/>
    <x v="1"/>
    <s v="United States"/>
    <x v="64"/>
    <x v="7"/>
    <n v="11572"/>
    <x v="2"/>
    <s v="FUR-FU-10000629"/>
    <x v="0"/>
    <x v="3"/>
    <s v="9-3/4 Diameter Round Wall Clock"/>
    <n v="69"/>
    <n v="5"/>
    <n v="0"/>
    <n v="29"/>
    <x v="2"/>
    <s v="Feb"/>
  </r>
  <r>
    <n v="5309"/>
    <s v="CA-2017-131254"/>
    <x v="49"/>
    <d v="2017-11-21T00:00:00"/>
    <x v="2"/>
    <s v="NC-18415"/>
    <s v="Nathan Cano"/>
    <x v="0"/>
    <s v="United States"/>
    <x v="6"/>
    <x v="5"/>
    <n v="77095"/>
    <x v="3"/>
    <s v="FUR-CH-10003774"/>
    <x v="0"/>
    <x v="1"/>
    <s v="Global Wood Trimmed Manager's Task Chair, Khaki"/>
    <n v="191"/>
    <n v="3"/>
    <n v="0.3"/>
    <n v="-46"/>
    <x v="3"/>
    <s v="Nov"/>
  </r>
  <r>
    <n v="5314"/>
    <s v="CA-2017-137876"/>
    <x v="393"/>
    <d v="2017-05-05T00:00:00"/>
    <x v="1"/>
    <s v="DJ-13510"/>
    <s v="Don Jones"/>
    <x v="1"/>
    <s v="United States"/>
    <x v="28"/>
    <x v="2"/>
    <n v="94110"/>
    <x v="1"/>
    <s v="FUR-FU-10000222"/>
    <x v="0"/>
    <x v="3"/>
    <s v="Seth Thomas 16&quot; Steel Case Clock"/>
    <n v="65"/>
    <n v="2"/>
    <n v="0"/>
    <n v="21"/>
    <x v="2"/>
    <s v="Apr"/>
  </r>
  <r>
    <n v="5316"/>
    <s v="CA-2016-154060"/>
    <x v="630"/>
    <d v="2016-05-08T00:00:00"/>
    <x v="1"/>
    <s v="DL-12865"/>
    <s v="Dan Lawera"/>
    <x v="0"/>
    <s v="United States"/>
    <x v="224"/>
    <x v="30"/>
    <n v="27405"/>
    <x v="0"/>
    <s v="FUR-CH-10002304"/>
    <x v="0"/>
    <x v="1"/>
    <s v="Global Stack Chair without Arms, Black"/>
    <n v="187"/>
    <n v="9"/>
    <n v="0.2"/>
    <n v="12"/>
    <x v="6"/>
    <s v="May"/>
  </r>
  <r>
    <n v="5317"/>
    <s v="US-2017-162558"/>
    <x v="125"/>
    <d v="2017-10-05T00:00:00"/>
    <x v="2"/>
    <s v="Dp-13240"/>
    <s v="Dean percer"/>
    <x v="2"/>
    <s v="United States"/>
    <x v="270"/>
    <x v="9"/>
    <n v="37918"/>
    <x v="0"/>
    <s v="FUR-FU-10002364"/>
    <x v="0"/>
    <x v="3"/>
    <s v="Eldon Expressions Wood Desk Accessories, Oak"/>
    <n v="12"/>
    <n v="2"/>
    <n v="0.2"/>
    <n v="1"/>
    <x v="0"/>
    <s v="Oct"/>
  </r>
  <r>
    <n v="5318"/>
    <s v="US-2017-162558"/>
    <x v="125"/>
    <d v="2017-10-05T00:00:00"/>
    <x v="2"/>
    <s v="Dp-13240"/>
    <s v="Dean percer"/>
    <x v="2"/>
    <s v="United States"/>
    <x v="270"/>
    <x v="9"/>
    <n v="37918"/>
    <x v="0"/>
    <s v="FUR-FU-10004864"/>
    <x v="0"/>
    <x v="3"/>
    <s v="Eldon 500 Class Desk Accessories"/>
    <n v="10"/>
    <n v="1"/>
    <n v="0.2"/>
    <n v="2"/>
    <x v="0"/>
    <s v="Oct"/>
  </r>
  <r>
    <n v="5321"/>
    <s v="US-2017-162558"/>
    <x v="125"/>
    <d v="2017-10-05T00:00:00"/>
    <x v="2"/>
    <s v="Dp-13240"/>
    <s v="Dean percer"/>
    <x v="2"/>
    <s v="United States"/>
    <x v="270"/>
    <x v="9"/>
    <n v="37918"/>
    <x v="0"/>
    <s v="FUR-TA-10000198"/>
    <x v="0"/>
    <x v="2"/>
    <s v="Chromcraft Bull-Nose Wood Oval Conference Tables &amp; Bases"/>
    <n v="2314"/>
    <n v="7"/>
    <n v="0.4"/>
    <n v="-1003"/>
    <x v="0"/>
    <s v="Oct"/>
  </r>
  <r>
    <n v="5323"/>
    <s v="US-2017-162558"/>
    <x v="125"/>
    <d v="2017-10-05T00:00:00"/>
    <x v="2"/>
    <s v="Dp-13240"/>
    <s v="Dean percer"/>
    <x v="2"/>
    <s v="United States"/>
    <x v="270"/>
    <x v="9"/>
    <n v="37918"/>
    <x v="0"/>
    <s v="FUR-FU-10003691"/>
    <x v="0"/>
    <x v="3"/>
    <s v="Eldon Image Series Desk Accessories, Ebony"/>
    <n v="20"/>
    <n v="2"/>
    <n v="0.2"/>
    <n v="6"/>
    <x v="0"/>
    <s v="Oct"/>
  </r>
  <r>
    <n v="5326"/>
    <s v="CA-2015-119508"/>
    <x v="463"/>
    <d v="2015-12-09T00:00:00"/>
    <x v="1"/>
    <s v="TZ-21580"/>
    <s v="Tracy Zic"/>
    <x v="0"/>
    <s v="United States"/>
    <x v="174"/>
    <x v="2"/>
    <n v="90712"/>
    <x v="1"/>
    <s v="FUR-FU-10004270"/>
    <x v="0"/>
    <x v="3"/>
    <s v="Eldon Image Series Desk Accessories, Burgundy"/>
    <n v="25"/>
    <n v="6"/>
    <n v="0"/>
    <n v="9"/>
    <x v="2"/>
    <s v="Dec"/>
  </r>
  <r>
    <n v="5331"/>
    <s v="CA-2016-123120"/>
    <x v="631"/>
    <d v="2016-09-08T00:00:00"/>
    <x v="1"/>
    <s v="CV-12295"/>
    <s v="Christina VanderZanden"/>
    <x v="0"/>
    <s v="United States"/>
    <x v="13"/>
    <x v="7"/>
    <n v="10011"/>
    <x v="2"/>
    <s v="FUR-FU-10004748"/>
    <x v="0"/>
    <x v="3"/>
    <s v="Howard Miller 16&quot; Diameter Gallery Wall Clock"/>
    <n v="64"/>
    <n v="1"/>
    <n v="0"/>
    <n v="25"/>
    <x v="4"/>
    <s v="Sep"/>
  </r>
  <r>
    <n v="5334"/>
    <s v="CA-2014-103331"/>
    <x v="632"/>
    <d v="2014-09-01T00:00:00"/>
    <x v="1"/>
    <s v="KB-16315"/>
    <s v="Karl Braun"/>
    <x v="0"/>
    <s v="United States"/>
    <x v="19"/>
    <x v="14"/>
    <n v="19711"/>
    <x v="2"/>
    <s v="FUR-FU-10001731"/>
    <x v="0"/>
    <x v="3"/>
    <s v="Acrylic Self-Standing Desk Frames"/>
    <n v="11"/>
    <n v="4"/>
    <n v="0"/>
    <n v="4"/>
    <x v="6"/>
    <s v="Aug"/>
  </r>
  <r>
    <n v="5355"/>
    <s v="CA-2014-113768"/>
    <x v="633"/>
    <d v="2014-05-19T00:00:00"/>
    <x v="1"/>
    <s v="AH-10030"/>
    <s v="Aaron Hawkins"/>
    <x v="1"/>
    <s v="United States"/>
    <x v="2"/>
    <x v="2"/>
    <n v="90004"/>
    <x v="1"/>
    <s v="FUR-CH-10002439"/>
    <x v="0"/>
    <x v="1"/>
    <s v="Iceberg Nesting Folding Chair, 19w x 6d x 43h"/>
    <n v="279"/>
    <n v="6"/>
    <n v="0.2"/>
    <n v="21"/>
    <x v="6"/>
    <s v="May"/>
  </r>
  <r>
    <n v="5361"/>
    <s v="US-2017-126060"/>
    <x v="438"/>
    <d v="2017-04-18T00:00:00"/>
    <x v="1"/>
    <s v="DW-13585"/>
    <s v="Dorothy Wardle"/>
    <x v="1"/>
    <s v="United States"/>
    <x v="160"/>
    <x v="30"/>
    <n v="28314"/>
    <x v="0"/>
    <s v="FUR-BO-10003433"/>
    <x v="0"/>
    <x v="0"/>
    <s v="Sauder Cornerstone Collection Library"/>
    <n v="198"/>
    <n v="8"/>
    <n v="0.2"/>
    <n v="-32"/>
    <x v="4"/>
    <s v="Apr"/>
  </r>
  <r>
    <n v="5363"/>
    <s v="CA-2016-122017"/>
    <x v="353"/>
    <d v="2017-01-02T00:00:00"/>
    <x v="1"/>
    <s v="CD-11920"/>
    <s v="Carlos Daly"/>
    <x v="0"/>
    <s v="United States"/>
    <x v="271"/>
    <x v="44"/>
    <n v="67212"/>
    <x v="3"/>
    <s v="FUR-FU-10000672"/>
    <x v="0"/>
    <x v="3"/>
    <s v="Executive Impressions 10&quot; Spectator Wall Clock"/>
    <n v="71"/>
    <n v="6"/>
    <n v="0"/>
    <n v="24"/>
    <x v="4"/>
    <s v="Dec"/>
  </r>
  <r>
    <n v="5371"/>
    <s v="US-2017-136721"/>
    <x v="403"/>
    <d v="2017-04-12T00:00:00"/>
    <x v="1"/>
    <s v="NH-18610"/>
    <s v="Nicole Hansen"/>
    <x v="1"/>
    <s v="United States"/>
    <x v="272"/>
    <x v="17"/>
    <n v="48237"/>
    <x v="3"/>
    <s v="FUR-FU-10004665"/>
    <x v="0"/>
    <x v="3"/>
    <s v="3M Polarizing Task Lamp with Clamp Arm, Light Gray"/>
    <n v="274"/>
    <n v="2"/>
    <n v="0"/>
    <n v="71"/>
    <x v="4"/>
    <s v="Apr"/>
  </r>
  <r>
    <n v="5372"/>
    <s v="US-2017-136721"/>
    <x v="403"/>
    <d v="2017-04-12T00:00:00"/>
    <x v="1"/>
    <s v="NH-18610"/>
    <s v="Nicole Hansen"/>
    <x v="1"/>
    <s v="United States"/>
    <x v="272"/>
    <x v="17"/>
    <n v="48237"/>
    <x v="3"/>
    <s v="FUR-FU-10004188"/>
    <x v="0"/>
    <x v="3"/>
    <s v="Luxo Professional Combination Clamp-On Lamps"/>
    <n v="307"/>
    <n v="3"/>
    <n v="0"/>
    <n v="80"/>
    <x v="4"/>
    <s v="Apr"/>
  </r>
  <r>
    <n v="5374"/>
    <s v="CA-2015-118738"/>
    <x v="634"/>
    <d v="2015-10-30T00:00:00"/>
    <x v="1"/>
    <s v="AG-10495"/>
    <s v="Andrew Gjertsen"/>
    <x v="1"/>
    <s v="United States"/>
    <x v="6"/>
    <x v="5"/>
    <n v="77041"/>
    <x v="3"/>
    <s v="FUR-TA-10002607"/>
    <x v="0"/>
    <x v="2"/>
    <s v="KI Conference Tables"/>
    <n v="347"/>
    <n v="7"/>
    <n v="0.3"/>
    <n v="-69"/>
    <x v="6"/>
    <s v="Oct"/>
  </r>
  <r>
    <n v="5395"/>
    <s v="US-2014-123183"/>
    <x v="635"/>
    <d v="2014-11-25T00:00:00"/>
    <x v="1"/>
    <s v="GR-14560"/>
    <s v="Georgia Rosenberg"/>
    <x v="1"/>
    <s v="United States"/>
    <x v="16"/>
    <x v="14"/>
    <n v="19805"/>
    <x v="2"/>
    <s v="FUR-BO-10000362"/>
    <x v="0"/>
    <x v="0"/>
    <s v="Sauder Inglewood Library Bookcases"/>
    <n v="1026"/>
    <n v="6"/>
    <n v="0"/>
    <n v="236"/>
    <x v="6"/>
    <s v="Nov"/>
  </r>
  <r>
    <n v="5397"/>
    <s v="US-2016-147340"/>
    <x v="211"/>
    <d v="2016-09-24T00:00:00"/>
    <x v="3"/>
    <s v="EB-13750"/>
    <s v="Edward Becker"/>
    <x v="1"/>
    <s v="United States"/>
    <x v="28"/>
    <x v="2"/>
    <n v="94110"/>
    <x v="1"/>
    <s v="FUR-FU-10002501"/>
    <x v="0"/>
    <x v="3"/>
    <s v="Nu-Dell Executive Frame"/>
    <n v="63"/>
    <n v="5"/>
    <n v="0"/>
    <n v="23"/>
    <x v="7"/>
    <s v="Sep"/>
  </r>
  <r>
    <n v="5400"/>
    <s v="CA-2016-117681"/>
    <x v="636"/>
    <d v="2016-04-14T00:00:00"/>
    <x v="1"/>
    <s v="HF-14995"/>
    <s v="Herbert Flentye"/>
    <x v="0"/>
    <s v="United States"/>
    <x v="2"/>
    <x v="2"/>
    <n v="90004"/>
    <x v="1"/>
    <s v="FUR-BO-10001798"/>
    <x v="0"/>
    <x v="0"/>
    <s v="Bush Somerset Collection Bookcase"/>
    <n v="557"/>
    <n v="5"/>
    <n v="0.15"/>
    <n v="7"/>
    <x v="2"/>
    <s v="Apr"/>
  </r>
  <r>
    <n v="5427"/>
    <s v="CA-2016-153598"/>
    <x v="122"/>
    <d v="2016-12-06T00:00:00"/>
    <x v="2"/>
    <s v="NM-18520"/>
    <s v="Neoma Murray"/>
    <x v="0"/>
    <s v="United States"/>
    <x v="2"/>
    <x v="2"/>
    <n v="90045"/>
    <x v="1"/>
    <s v="FUR-FU-10001085"/>
    <x v="0"/>
    <x v="3"/>
    <s v="3M Polarizing Light Filter Sleeves"/>
    <n v="112"/>
    <n v="6"/>
    <n v="0"/>
    <n v="51"/>
    <x v="0"/>
    <s v="Dec"/>
  </r>
  <r>
    <n v="5428"/>
    <s v="US-2016-108497"/>
    <x v="184"/>
    <d v="2016-06-14T00:00:00"/>
    <x v="3"/>
    <s v="MH-17290"/>
    <s v="Marc Harrigan"/>
    <x v="2"/>
    <s v="United States"/>
    <x v="2"/>
    <x v="2"/>
    <n v="90036"/>
    <x v="1"/>
    <s v="FUR-BO-10004218"/>
    <x v="0"/>
    <x v="0"/>
    <s v="Bush Heritage Pine Collection 5-Shelf Bookcase, Albany Pine Finish, *Special Order"/>
    <n v="599"/>
    <n v="5"/>
    <n v="0.15"/>
    <n v="35"/>
    <x v="7"/>
    <s v="Jun"/>
  </r>
  <r>
    <n v="5430"/>
    <s v="CA-2014-136861"/>
    <x v="637"/>
    <d v="2014-09-07T00:00:00"/>
    <x v="2"/>
    <s v="PR-18880"/>
    <s v="Patrick Ryan"/>
    <x v="0"/>
    <s v="United States"/>
    <x v="66"/>
    <x v="1"/>
    <n v="33710"/>
    <x v="0"/>
    <s v="FUR-FU-10001967"/>
    <x v="0"/>
    <x v="3"/>
    <s v="Telescoping Adjustable Floor Lamp"/>
    <n v="32"/>
    <n v="2"/>
    <n v="0.2"/>
    <n v="2"/>
    <x v="3"/>
    <s v="Sep"/>
  </r>
  <r>
    <n v="5437"/>
    <s v="CA-2014-103317"/>
    <x v="638"/>
    <d v="2014-07-08T00:00:00"/>
    <x v="2"/>
    <s v="DM-13525"/>
    <s v="Don Miller"/>
    <x v="1"/>
    <s v="United States"/>
    <x v="273"/>
    <x v="1"/>
    <n v="32137"/>
    <x v="0"/>
    <s v="FUR-FU-10001591"/>
    <x v="0"/>
    <x v="3"/>
    <s v="Advantus Panel Wall Certificate Holder - 8.5x11"/>
    <n v="20"/>
    <n v="2"/>
    <n v="0.2"/>
    <n v="5"/>
    <x v="0"/>
    <s v="Jul"/>
  </r>
  <r>
    <n v="5439"/>
    <s v="CA-2014-103317"/>
    <x v="638"/>
    <d v="2014-07-08T00:00:00"/>
    <x v="2"/>
    <s v="DM-13525"/>
    <s v="Don Miller"/>
    <x v="1"/>
    <s v="United States"/>
    <x v="273"/>
    <x v="1"/>
    <n v="32137"/>
    <x v="0"/>
    <s v="FUR-FU-10003192"/>
    <x v="0"/>
    <x v="3"/>
    <s v="Luxo Adjustable Task Clamp Lamp"/>
    <n v="213"/>
    <n v="3"/>
    <n v="0.2"/>
    <n v="16"/>
    <x v="0"/>
    <s v="Jul"/>
  </r>
  <r>
    <n v="5452"/>
    <s v="US-2014-119081"/>
    <x v="639"/>
    <d v="2014-09-19T00:00:00"/>
    <x v="1"/>
    <s v="TA-21385"/>
    <s v="Tom Ashbrook"/>
    <x v="2"/>
    <s v="United States"/>
    <x v="274"/>
    <x v="44"/>
    <n v="66062"/>
    <x v="3"/>
    <s v="FUR-FU-10003464"/>
    <x v="0"/>
    <x v="3"/>
    <s v="Seth Thomas 8 1/2&quot; Cubicle Clock"/>
    <n v="41"/>
    <n v="2"/>
    <n v="0"/>
    <n v="13"/>
    <x v="1"/>
    <s v="Sep"/>
  </r>
  <r>
    <n v="5458"/>
    <s v="CA-2017-130631"/>
    <x v="297"/>
    <d v="2018-01-02T00:00:00"/>
    <x v="1"/>
    <s v="BS-11755"/>
    <s v="Bruce Stewart"/>
    <x v="0"/>
    <s v="United States"/>
    <x v="71"/>
    <x v="13"/>
    <n v="98026"/>
    <x v="1"/>
    <s v="FUR-FU-10004093"/>
    <x v="0"/>
    <x v="3"/>
    <s v="Hand-Finished Solid Wood Document Frame"/>
    <n v="68"/>
    <n v="2"/>
    <n v="0"/>
    <n v="21"/>
    <x v="4"/>
    <s v="Dec"/>
  </r>
  <r>
    <n v="5460"/>
    <s v="CA-2017-116680"/>
    <x v="362"/>
    <d v="2017-09-06T00:00:00"/>
    <x v="0"/>
    <s v="PK-19075"/>
    <s v="Pete Kriz"/>
    <x v="0"/>
    <s v="United States"/>
    <x v="28"/>
    <x v="2"/>
    <n v="94122"/>
    <x v="1"/>
    <s v="FUR-TA-10001771"/>
    <x v="0"/>
    <x v="2"/>
    <s v="Bush Cubix Conference Tables, Fully Assembled"/>
    <n v="1478"/>
    <n v="8"/>
    <n v="0.2"/>
    <n v="92"/>
    <x v="3"/>
    <s v="Sep"/>
  </r>
  <r>
    <n v="5462"/>
    <s v="CA-2017-101574"/>
    <x v="559"/>
    <d v="2017-10-04T00:00:00"/>
    <x v="1"/>
    <s v="BD-11725"/>
    <s v="Bruce Degenhardt"/>
    <x v="0"/>
    <s v="United States"/>
    <x v="2"/>
    <x v="2"/>
    <n v="90032"/>
    <x v="1"/>
    <s v="FUR-FU-10001706"/>
    <x v="0"/>
    <x v="3"/>
    <s v="Longer-Life Soft White Bulbs"/>
    <n v="9"/>
    <n v="3"/>
    <n v="0"/>
    <n v="4"/>
    <x v="6"/>
    <s v="Sep"/>
  </r>
  <r>
    <n v="5466"/>
    <s v="CA-2014-146591"/>
    <x v="640"/>
    <d v="2014-01-20T00:00:00"/>
    <x v="2"/>
    <s v="TS-21340"/>
    <s v="Toby Swindell"/>
    <x v="0"/>
    <s v="United States"/>
    <x v="163"/>
    <x v="22"/>
    <n v="85254"/>
    <x v="1"/>
    <s v="FUR-BO-10001972"/>
    <x v="0"/>
    <x v="0"/>
    <s v="O'Sullivan 4-Shelf Bookcase in Odessa Pine"/>
    <n v="181"/>
    <n v="5"/>
    <n v="0.7"/>
    <n v="-321"/>
    <x v="5"/>
    <s v="Jan"/>
  </r>
  <r>
    <n v="5468"/>
    <s v="CA-2016-122448"/>
    <x v="641"/>
    <d v="2016-06-14T00:00:00"/>
    <x v="1"/>
    <s v="DB-13210"/>
    <s v="Dean Braden"/>
    <x v="0"/>
    <s v="United States"/>
    <x v="28"/>
    <x v="2"/>
    <n v="94109"/>
    <x v="1"/>
    <s v="FUR-CH-10002774"/>
    <x v="0"/>
    <x v="1"/>
    <s v="Global Deluxe Stacking Chair, Gray"/>
    <n v="122"/>
    <n v="3"/>
    <n v="0.2"/>
    <n v="14"/>
    <x v="2"/>
    <s v="Jun"/>
  </r>
  <r>
    <n v="5469"/>
    <s v="CA-2014-132451"/>
    <x v="218"/>
    <d v="2014-09-27T00:00:00"/>
    <x v="2"/>
    <s v="KF-16285"/>
    <s v="Karen Ferguson"/>
    <x v="2"/>
    <s v="United States"/>
    <x v="53"/>
    <x v="2"/>
    <n v="92105"/>
    <x v="1"/>
    <s v="FUR-CH-10000454"/>
    <x v="0"/>
    <x v="1"/>
    <s v="Hon Deluxe Fabric Upholstered Stacking Chairs, Rounded Back"/>
    <n v="586"/>
    <n v="3"/>
    <n v="0.2"/>
    <n v="73"/>
    <x v="5"/>
    <s v="Sep"/>
  </r>
  <r>
    <n v="5472"/>
    <s v="CA-2017-116946"/>
    <x v="642"/>
    <d v="2017-12-23T00:00:00"/>
    <x v="1"/>
    <s v="TS-21505"/>
    <s v="Tony Sayre"/>
    <x v="0"/>
    <s v="United States"/>
    <x v="47"/>
    <x v="12"/>
    <n v="80134"/>
    <x v="1"/>
    <s v="FUR-FU-10000320"/>
    <x v="0"/>
    <x v="3"/>
    <s v="OIC Stacking Trays"/>
    <n v="13"/>
    <n v="5"/>
    <n v="0.2"/>
    <n v="4"/>
    <x v="4"/>
    <s v="Dec"/>
  </r>
  <r>
    <n v="5474"/>
    <s v="CA-2017-116946"/>
    <x v="642"/>
    <d v="2017-12-23T00:00:00"/>
    <x v="1"/>
    <s v="TS-21505"/>
    <s v="Tony Sayre"/>
    <x v="0"/>
    <s v="United States"/>
    <x v="47"/>
    <x v="12"/>
    <n v="80134"/>
    <x v="1"/>
    <s v="FUR-BO-10000468"/>
    <x v="0"/>
    <x v="0"/>
    <s v="O'Sullivan 2-Shelf Heavy-Duty Bookcases"/>
    <n v="102"/>
    <n v="7"/>
    <n v="0.7"/>
    <n v="-184"/>
    <x v="4"/>
    <s v="Dec"/>
  </r>
  <r>
    <n v="5485"/>
    <s v="CA-2017-148999"/>
    <x v="129"/>
    <d v="2017-02-04T00:00:00"/>
    <x v="1"/>
    <s v="EB-13870"/>
    <s v="Emily Burns"/>
    <x v="0"/>
    <s v="United States"/>
    <x v="89"/>
    <x v="1"/>
    <n v="33142"/>
    <x v="0"/>
    <s v="FUR-CH-10002044"/>
    <x v="0"/>
    <x v="1"/>
    <s v="Office Star - Contemporary Task Swivel chair with 2-way adjustable arms, Plum"/>
    <n v="419"/>
    <n v="4"/>
    <n v="0.2"/>
    <n v="-68"/>
    <x v="2"/>
    <s v="Jan"/>
  </r>
  <r>
    <n v="5491"/>
    <s v="CA-2017-134495"/>
    <x v="535"/>
    <d v="2017-04-04T00:00:00"/>
    <x v="0"/>
    <s v="BF-11020"/>
    <s v="Barry Franzšsisch"/>
    <x v="1"/>
    <s v="United States"/>
    <x v="51"/>
    <x v="1"/>
    <n v="32216"/>
    <x v="0"/>
    <s v="FUR-CH-10003774"/>
    <x v="0"/>
    <x v="1"/>
    <s v="Global Wood Trimmed Manager's Task Chair, Khaki"/>
    <n v="218"/>
    <n v="3"/>
    <n v="0.2"/>
    <n v="-19"/>
    <x v="0"/>
    <s v="Apr"/>
  </r>
  <r>
    <n v="5495"/>
    <s v="CA-2014-105249"/>
    <x v="616"/>
    <d v="2014-11-28T00:00:00"/>
    <x v="3"/>
    <s v="DH-13675"/>
    <s v="Duane Huffman"/>
    <x v="2"/>
    <s v="United States"/>
    <x v="28"/>
    <x v="2"/>
    <n v="94122"/>
    <x v="1"/>
    <s v="FUR-BO-10000330"/>
    <x v="0"/>
    <x v="0"/>
    <s v="Sauder Camden County Barrister Bookcase, Planked Cherry Finish"/>
    <n v="411"/>
    <n v="4"/>
    <n v="0.15"/>
    <n v="-5"/>
    <x v="7"/>
    <s v="Nov"/>
  </r>
  <r>
    <n v="5501"/>
    <s v="CA-2017-164378"/>
    <x v="316"/>
    <d v="2017-07-18T00:00:00"/>
    <x v="0"/>
    <s v="MM-18055"/>
    <s v="Michelle Moray"/>
    <x v="0"/>
    <s v="United States"/>
    <x v="13"/>
    <x v="7"/>
    <n v="10024"/>
    <x v="2"/>
    <s v="FUR-CH-10002084"/>
    <x v="0"/>
    <x v="1"/>
    <s v="Hon Mobius Operator's Chair"/>
    <n v="664"/>
    <n v="6"/>
    <n v="0.1"/>
    <n v="89"/>
    <x v="0"/>
    <s v="Jul"/>
  </r>
  <r>
    <n v="5503"/>
    <s v="CA-2017-127782"/>
    <x v="575"/>
    <d v="2017-11-06T00:00:00"/>
    <x v="1"/>
    <s v="TH-21115"/>
    <s v="Thea Hudgings"/>
    <x v="1"/>
    <s v="United States"/>
    <x v="3"/>
    <x v="3"/>
    <n v="19140"/>
    <x v="2"/>
    <s v="FUR-FU-10001847"/>
    <x v="0"/>
    <x v="3"/>
    <s v="Eldon Image Series Black Desk Accessories"/>
    <n v="3"/>
    <n v="1"/>
    <n v="0.2"/>
    <n v="1"/>
    <x v="4"/>
    <s v="Nov"/>
  </r>
  <r>
    <n v="5509"/>
    <s v="CA-2015-168529"/>
    <x v="643"/>
    <d v="2015-10-12T00:00:00"/>
    <x v="1"/>
    <s v="MB-17305"/>
    <s v="Maria Bertelson"/>
    <x v="0"/>
    <s v="United States"/>
    <x v="28"/>
    <x v="2"/>
    <n v="94122"/>
    <x v="1"/>
    <s v="FUR-FU-10001588"/>
    <x v="0"/>
    <x v="3"/>
    <s v="Deflect-o SuperTray Unbreakable Stackable Tray, Letter, Black"/>
    <n v="146"/>
    <n v="5"/>
    <n v="0"/>
    <n v="63"/>
    <x v="4"/>
    <s v="Oct"/>
  </r>
  <r>
    <n v="5518"/>
    <s v="CA-2017-117667"/>
    <x v="423"/>
    <d v="2017-12-09T00:00:00"/>
    <x v="1"/>
    <s v="MS-17980"/>
    <s v="Michael Stewart"/>
    <x v="1"/>
    <s v="United States"/>
    <x v="3"/>
    <x v="3"/>
    <n v="19134"/>
    <x v="2"/>
    <s v="FUR-CH-10004540"/>
    <x v="0"/>
    <x v="1"/>
    <s v="Global Chrome Stack Chair"/>
    <n v="240"/>
    <n v="10"/>
    <n v="0.3"/>
    <n v="-10"/>
    <x v="2"/>
    <s v="Dec"/>
  </r>
  <r>
    <n v="5519"/>
    <s v="CA-2017-117667"/>
    <x v="423"/>
    <d v="2017-12-09T00:00:00"/>
    <x v="1"/>
    <s v="MS-17980"/>
    <s v="Michael Stewart"/>
    <x v="1"/>
    <s v="United States"/>
    <x v="3"/>
    <x v="3"/>
    <n v="19134"/>
    <x v="2"/>
    <s v="FUR-FU-10004093"/>
    <x v="0"/>
    <x v="3"/>
    <s v="Hand-Finished Solid Wood Document Frame"/>
    <n v="55"/>
    <n v="2"/>
    <n v="0.2"/>
    <n v="7"/>
    <x v="2"/>
    <s v="Dec"/>
  </r>
  <r>
    <n v="5540"/>
    <s v="US-2017-150595"/>
    <x v="644"/>
    <d v="2017-05-26T00:00:00"/>
    <x v="1"/>
    <s v="LE-16810"/>
    <s v="Laurel Elliston"/>
    <x v="0"/>
    <s v="United States"/>
    <x v="9"/>
    <x v="8"/>
    <n v="60653"/>
    <x v="3"/>
    <s v="FUR-CH-10000513"/>
    <x v="0"/>
    <x v="1"/>
    <s v="High-Back Leather Manager's Chair"/>
    <n v="182"/>
    <n v="2"/>
    <n v="0.3"/>
    <n v="-55"/>
    <x v="4"/>
    <s v="May"/>
  </r>
  <r>
    <n v="5543"/>
    <s v="CA-2016-134936"/>
    <x v="645"/>
    <d v="2016-12-25T00:00:00"/>
    <x v="1"/>
    <s v="ES-14080"/>
    <s v="Erin Smith"/>
    <x v="1"/>
    <s v="United States"/>
    <x v="104"/>
    <x v="22"/>
    <n v="85705"/>
    <x v="1"/>
    <s v="FUR-TA-10001086"/>
    <x v="0"/>
    <x v="2"/>
    <s v="SAFCO PlanMaster Boards, 60w x 37-1/2d, White Melamine"/>
    <n v="456"/>
    <n v="6"/>
    <n v="0.5"/>
    <n v="-219"/>
    <x v="6"/>
    <s v="Dec"/>
  </r>
  <r>
    <n v="5547"/>
    <s v="CA-2017-151008"/>
    <x v="87"/>
    <d v="2017-09-08T00:00:00"/>
    <x v="2"/>
    <s v="JM-16195"/>
    <s v="Justin MacKendrick"/>
    <x v="0"/>
    <s v="United States"/>
    <x v="275"/>
    <x v="4"/>
    <n v="84020"/>
    <x v="1"/>
    <s v="FUR-FU-10002396"/>
    <x v="0"/>
    <x v="3"/>
    <s v="DAX Copper Panel Document Frame, 5 x 7 Size"/>
    <n v="25"/>
    <n v="2"/>
    <n v="0"/>
    <n v="11"/>
    <x v="5"/>
    <s v="Sep"/>
  </r>
  <r>
    <n v="5555"/>
    <s v="US-2014-159618"/>
    <x v="352"/>
    <d v="2014-11-16T00:00:00"/>
    <x v="1"/>
    <s v="DB-12970"/>
    <s v="Darren Budd"/>
    <x v="1"/>
    <s v="United States"/>
    <x v="6"/>
    <x v="5"/>
    <n v="77036"/>
    <x v="3"/>
    <s v="FUR-BO-10004467"/>
    <x v="0"/>
    <x v="0"/>
    <s v="Bestar Classic Bookcase"/>
    <n v="68"/>
    <n v="1"/>
    <n v="0.32"/>
    <n v="-13"/>
    <x v="4"/>
    <s v="Nov"/>
  </r>
  <r>
    <n v="5556"/>
    <s v="CA-2017-116113"/>
    <x v="125"/>
    <d v="2017-10-06T00:00:00"/>
    <x v="0"/>
    <s v="JW-15220"/>
    <s v="Jane Waco"/>
    <x v="1"/>
    <s v="United States"/>
    <x v="132"/>
    <x v="33"/>
    <n v="36116"/>
    <x v="0"/>
    <s v="FUR-FU-10002963"/>
    <x v="0"/>
    <x v="3"/>
    <s v="Master Caster Door Stop, Gray"/>
    <n v="10"/>
    <n v="2"/>
    <n v="0"/>
    <n v="3"/>
    <x v="4"/>
    <s v="Oct"/>
  </r>
  <r>
    <n v="5557"/>
    <s v="CA-2015-125066"/>
    <x v="646"/>
    <d v="2015-12-18T00:00:00"/>
    <x v="1"/>
    <s v="KD-16495"/>
    <s v="Keith Dawkins"/>
    <x v="1"/>
    <s v="United States"/>
    <x v="38"/>
    <x v="21"/>
    <n v="39212"/>
    <x v="0"/>
    <s v="FUR-FU-10003829"/>
    <x v="0"/>
    <x v="3"/>
    <s v="Stackable Trays"/>
    <n v="6"/>
    <n v="2"/>
    <n v="0"/>
    <n v="2"/>
    <x v="4"/>
    <s v="Dec"/>
  </r>
  <r>
    <n v="5568"/>
    <s v="CA-2017-157966"/>
    <x v="647"/>
    <d v="2017-03-13T00:00:00"/>
    <x v="3"/>
    <s v="SU-20665"/>
    <s v="Stephanie Ulpright"/>
    <x v="2"/>
    <s v="United States"/>
    <x v="9"/>
    <x v="8"/>
    <n v="60610"/>
    <x v="3"/>
    <s v="FUR-CH-10003606"/>
    <x v="0"/>
    <x v="1"/>
    <s v="SAFCO Folding Chair Trolley"/>
    <n v="90"/>
    <n v="1"/>
    <n v="0.3"/>
    <n v="-3"/>
    <x v="7"/>
    <s v="Mar"/>
  </r>
  <r>
    <n v="5577"/>
    <s v="CA-2016-136686"/>
    <x v="574"/>
    <d v="2016-12-16T00:00:00"/>
    <x v="1"/>
    <s v="RF-19840"/>
    <s v="Roy Franzšsisch"/>
    <x v="0"/>
    <s v="United States"/>
    <x v="102"/>
    <x v="2"/>
    <n v="91104"/>
    <x v="1"/>
    <s v="FUR-FU-10004864"/>
    <x v="0"/>
    <x v="3"/>
    <s v="Howard Miller 14-1/2&quot; Diameter Chrome Round Wall Clock"/>
    <n v="384"/>
    <n v="6"/>
    <n v="0"/>
    <n v="123"/>
    <x v="4"/>
    <s v="Dec"/>
  </r>
  <r>
    <n v="5580"/>
    <s v="CA-2017-137498"/>
    <x v="198"/>
    <d v="2017-09-14T00:00:00"/>
    <x v="0"/>
    <s v="LC-17050"/>
    <s v="Liz Carlisle"/>
    <x v="0"/>
    <s v="United States"/>
    <x v="2"/>
    <x v="2"/>
    <n v="90004"/>
    <x v="1"/>
    <s v="FUR-CH-10003833"/>
    <x v="0"/>
    <x v="1"/>
    <s v="Novimex Fabric Task Chair"/>
    <n v="244"/>
    <n v="5"/>
    <n v="0.2"/>
    <n v="-15"/>
    <x v="2"/>
    <s v="Sep"/>
  </r>
  <r>
    <n v="5582"/>
    <s v="CA-2017-163818"/>
    <x v="648"/>
    <d v="2017-10-08T00:00:00"/>
    <x v="1"/>
    <s v="PS-18970"/>
    <s v="Paul Stevenson"/>
    <x v="2"/>
    <s v="United States"/>
    <x v="218"/>
    <x v="32"/>
    <n v="20735"/>
    <x v="2"/>
    <s v="FUR-FU-10000076"/>
    <x v="0"/>
    <x v="3"/>
    <s v="24-Hour Round Wall Clock"/>
    <n v="20"/>
    <n v="1"/>
    <n v="0"/>
    <n v="9"/>
    <x v="4"/>
    <s v="Oct"/>
  </r>
  <r>
    <n v="5584"/>
    <s v="CA-2014-116673"/>
    <x v="256"/>
    <d v="2014-12-19T00:00:00"/>
    <x v="0"/>
    <s v="JO-15280"/>
    <s v="Jas O'Carroll"/>
    <x v="0"/>
    <s v="United States"/>
    <x v="53"/>
    <x v="2"/>
    <n v="92037"/>
    <x v="1"/>
    <s v="FUR-FU-10003829"/>
    <x v="0"/>
    <x v="3"/>
    <s v="Stackable Trays"/>
    <n v="6"/>
    <n v="2"/>
    <n v="0"/>
    <n v="2"/>
    <x v="4"/>
    <s v="Dec"/>
  </r>
  <r>
    <n v="5592"/>
    <s v="CA-2014-164742"/>
    <x v="137"/>
    <d v="2014-10-18T00:00:00"/>
    <x v="0"/>
    <s v="ML-17395"/>
    <s v="Marina Lichtenstein"/>
    <x v="1"/>
    <s v="United States"/>
    <x v="174"/>
    <x v="18"/>
    <n v="8701"/>
    <x v="2"/>
    <s v="FUR-CH-10002880"/>
    <x v="0"/>
    <x v="1"/>
    <s v="Global High-Back Leather Tilter, Burgundy"/>
    <n v="246"/>
    <n v="2"/>
    <n v="0"/>
    <n v="27"/>
    <x v="2"/>
    <s v="Oct"/>
  </r>
  <r>
    <n v="5606"/>
    <s v="CA-2016-134516"/>
    <x v="649"/>
    <d v="2016-09-25T00:00:00"/>
    <x v="1"/>
    <s v="FM-14215"/>
    <s v="Filia McAdams"/>
    <x v="1"/>
    <s v="United States"/>
    <x v="224"/>
    <x v="30"/>
    <n v="27405"/>
    <x v="0"/>
    <s v="FUR-FU-10001546"/>
    <x v="0"/>
    <x v="3"/>
    <s v="Dana Swing-Arm Lamps"/>
    <n v="17"/>
    <n v="2"/>
    <n v="0.2"/>
    <n v="1"/>
    <x v="2"/>
    <s v="Sep"/>
  </r>
  <r>
    <n v="5607"/>
    <s v="CA-2016-134516"/>
    <x v="649"/>
    <d v="2016-09-25T00:00:00"/>
    <x v="1"/>
    <s v="FM-14215"/>
    <s v="Filia McAdams"/>
    <x v="1"/>
    <s v="United States"/>
    <x v="224"/>
    <x v="30"/>
    <n v="27405"/>
    <x v="0"/>
    <s v="FUR-CH-10002880"/>
    <x v="0"/>
    <x v="1"/>
    <s v="Global High-Back Leather Tilter, Burgundy"/>
    <n v="98"/>
    <n v="1"/>
    <n v="0.2"/>
    <n v="-11"/>
    <x v="2"/>
    <s v="Sep"/>
  </r>
  <r>
    <n v="5618"/>
    <s v="CA-2017-125745"/>
    <x v="254"/>
    <d v="2017-07-04T00:00:00"/>
    <x v="1"/>
    <s v="DV-13045"/>
    <s v="Darrin Van Huff"/>
    <x v="1"/>
    <s v="United States"/>
    <x v="10"/>
    <x v="9"/>
    <n v="38109"/>
    <x v="0"/>
    <s v="FUR-FU-10001591"/>
    <x v="0"/>
    <x v="3"/>
    <s v="Advantus Panel Wall Certificate Holder - 8.5x11"/>
    <n v="20"/>
    <n v="2"/>
    <n v="0.2"/>
    <n v="5"/>
    <x v="4"/>
    <s v="Jun"/>
  </r>
  <r>
    <n v="5622"/>
    <s v="US-2016-124163"/>
    <x v="228"/>
    <d v="2016-09-30T00:00:00"/>
    <x v="1"/>
    <s v="SC-20695"/>
    <s v="Steve Chapman"/>
    <x v="1"/>
    <s v="United States"/>
    <x v="276"/>
    <x v="16"/>
    <n v="54601"/>
    <x v="3"/>
    <s v="FUR-CH-10004218"/>
    <x v="0"/>
    <x v="1"/>
    <s v="Global Fabric Manager's Chair, Dark Gray"/>
    <n v="202"/>
    <n v="2"/>
    <n v="0"/>
    <n v="50"/>
    <x v="2"/>
    <s v="Sep"/>
  </r>
  <r>
    <n v="5623"/>
    <s v="US-2016-124163"/>
    <x v="228"/>
    <d v="2016-09-30T00:00:00"/>
    <x v="1"/>
    <s v="SC-20695"/>
    <s v="Steve Chapman"/>
    <x v="1"/>
    <s v="United States"/>
    <x v="276"/>
    <x v="16"/>
    <n v="54601"/>
    <x v="3"/>
    <s v="FUR-FU-10000755"/>
    <x v="0"/>
    <x v="3"/>
    <s v="Eldon Expressions Mahogany Wood Desk Collection"/>
    <n v="69"/>
    <n v="11"/>
    <n v="0"/>
    <n v="17"/>
    <x v="2"/>
    <s v="Sep"/>
  </r>
  <r>
    <n v="5626"/>
    <s v="CA-2014-126683"/>
    <x v="189"/>
    <d v="2014-10-01T00:00:00"/>
    <x v="0"/>
    <s v="PP-18955"/>
    <s v="Paul Prost"/>
    <x v="2"/>
    <s v="United States"/>
    <x v="15"/>
    <x v="13"/>
    <n v="98115"/>
    <x v="1"/>
    <s v="FUR-FU-10001706"/>
    <x v="0"/>
    <x v="3"/>
    <s v="Longer-Life Soft White Bulbs"/>
    <n v="6"/>
    <n v="2"/>
    <n v="0"/>
    <n v="3"/>
    <x v="3"/>
    <s v="Sep"/>
  </r>
  <r>
    <n v="5627"/>
    <s v="CA-2014-126683"/>
    <x v="189"/>
    <d v="2014-10-01T00:00:00"/>
    <x v="0"/>
    <s v="PP-18955"/>
    <s v="Paul Prost"/>
    <x v="2"/>
    <s v="United States"/>
    <x v="15"/>
    <x v="13"/>
    <n v="98115"/>
    <x v="1"/>
    <s v="FUR-TA-10002958"/>
    <x v="0"/>
    <x v="2"/>
    <s v="Bevis Oval Conference Table, Walnut"/>
    <n v="2349"/>
    <n v="9"/>
    <n v="0"/>
    <n v="399"/>
    <x v="3"/>
    <s v="Sep"/>
  </r>
  <r>
    <n v="5629"/>
    <s v="CA-2017-148810"/>
    <x v="332"/>
    <d v="2017-07-01T00:00:00"/>
    <x v="1"/>
    <s v="DR-12880"/>
    <s v="Dan Reichenbach"/>
    <x v="1"/>
    <s v="United States"/>
    <x v="89"/>
    <x v="1"/>
    <n v="33180"/>
    <x v="0"/>
    <s v="FUR-CH-10001545"/>
    <x v="0"/>
    <x v="1"/>
    <s v="Hon Comfortask Task/Swivel Chairs"/>
    <n v="274"/>
    <n v="3"/>
    <n v="0.2"/>
    <n v="-14"/>
    <x v="2"/>
    <s v="Jun"/>
  </r>
  <r>
    <n v="5630"/>
    <s v="US-2016-146066"/>
    <x v="650"/>
    <d v="2016-08-23T00:00:00"/>
    <x v="0"/>
    <s v="RB-19465"/>
    <s v="Rick Bensley"/>
    <x v="2"/>
    <s v="United States"/>
    <x v="3"/>
    <x v="3"/>
    <n v="19143"/>
    <x v="2"/>
    <s v="FUR-TA-10002530"/>
    <x v="0"/>
    <x v="2"/>
    <s v="Iceberg OfficeWorks 42&quot; Round Tables"/>
    <n v="815"/>
    <n v="9"/>
    <n v="0.4"/>
    <n v="-340"/>
    <x v="3"/>
    <s v="Aug"/>
  </r>
  <r>
    <n v="5632"/>
    <s v="CA-2014-127614"/>
    <x v="651"/>
    <d v="2014-02-15T00:00:00"/>
    <x v="1"/>
    <s v="NF-18385"/>
    <s v="Natalie Fritzler"/>
    <x v="0"/>
    <s v="United States"/>
    <x v="180"/>
    <x v="25"/>
    <n v="23320"/>
    <x v="0"/>
    <s v="FUR-TA-10003715"/>
    <x v="0"/>
    <x v="2"/>
    <s v="Hon 2111 Invitation Series Corner Table"/>
    <n v="1256"/>
    <n v="6"/>
    <n v="0"/>
    <n v="75"/>
    <x v="4"/>
    <s v="Feb"/>
  </r>
  <r>
    <n v="5638"/>
    <s v="CA-2017-113208"/>
    <x v="292"/>
    <d v="2017-04-02T00:00:00"/>
    <x v="1"/>
    <s v="ML-18040"/>
    <s v="Michelle Lonsdale"/>
    <x v="1"/>
    <s v="United States"/>
    <x v="54"/>
    <x v="17"/>
    <n v="48126"/>
    <x v="3"/>
    <s v="FUR-FU-10004245"/>
    <x v="0"/>
    <x v="3"/>
    <s v="Career Cubicle Clock, 8 1/4&quot;, Black"/>
    <n v="61"/>
    <n v="3"/>
    <n v="0"/>
    <n v="23"/>
    <x v="1"/>
    <s v="Mar"/>
  </r>
  <r>
    <n v="5639"/>
    <s v="CA-2014-154893"/>
    <x v="652"/>
    <d v="2014-12-27T00:00:00"/>
    <x v="1"/>
    <s v="GM-14440"/>
    <s v="Gary McGarr"/>
    <x v="0"/>
    <s v="United States"/>
    <x v="53"/>
    <x v="2"/>
    <n v="92024"/>
    <x v="1"/>
    <s v="FUR-CH-10004287"/>
    <x v="0"/>
    <x v="1"/>
    <s v="SAFCO Arco Folding Chair"/>
    <n v="1326"/>
    <n v="6"/>
    <n v="0.2"/>
    <n v="149"/>
    <x v="6"/>
    <s v="Dec"/>
  </r>
  <r>
    <n v="5640"/>
    <s v="CA-2014-154893"/>
    <x v="652"/>
    <d v="2014-12-27T00:00:00"/>
    <x v="1"/>
    <s v="GM-14440"/>
    <s v="Gary McGarr"/>
    <x v="0"/>
    <s v="United States"/>
    <x v="53"/>
    <x v="2"/>
    <n v="92024"/>
    <x v="1"/>
    <s v="FUR-CH-10000595"/>
    <x v="0"/>
    <x v="1"/>
    <s v="Safco Contoured Stacking Chairs"/>
    <n v="572"/>
    <n v="3"/>
    <n v="0.2"/>
    <n v="36"/>
    <x v="6"/>
    <s v="Dec"/>
  </r>
  <r>
    <n v="5643"/>
    <s v="CA-2016-127985"/>
    <x v="610"/>
    <d v="2016-04-05T00:00:00"/>
    <x v="0"/>
    <s v="DB-12910"/>
    <s v="Daniel Byrd"/>
    <x v="2"/>
    <s v="United States"/>
    <x v="29"/>
    <x v="24"/>
    <n v="31907"/>
    <x v="0"/>
    <s v="FUR-FU-10003274"/>
    <x v="0"/>
    <x v="3"/>
    <s v="Regeneration Desk Collection"/>
    <n v="7"/>
    <n v="4"/>
    <n v="0"/>
    <n v="3"/>
    <x v="4"/>
    <s v="Apr"/>
  </r>
  <r>
    <n v="5646"/>
    <s v="CA-2017-127117"/>
    <x v="438"/>
    <d v="2017-04-19T00:00:00"/>
    <x v="1"/>
    <s v="HM-14860"/>
    <s v="Harry Marie"/>
    <x v="1"/>
    <s v="United States"/>
    <x v="277"/>
    <x v="18"/>
    <n v="7960"/>
    <x v="2"/>
    <s v="FUR-FU-10004018"/>
    <x v="0"/>
    <x v="3"/>
    <s v="Tensor Computer Mounted Lamp"/>
    <n v="74"/>
    <n v="5"/>
    <n v="0"/>
    <n v="20"/>
    <x v="2"/>
    <s v="Apr"/>
  </r>
  <r>
    <n v="5647"/>
    <s v="CA-2015-104241"/>
    <x v="653"/>
    <d v="2015-01-09T00:00:00"/>
    <x v="1"/>
    <s v="AG-10495"/>
    <s v="Andrew Gjertsen"/>
    <x v="1"/>
    <s v="United States"/>
    <x v="166"/>
    <x v="25"/>
    <n v="22304"/>
    <x v="0"/>
    <s v="FUR-FU-10001473"/>
    <x v="0"/>
    <x v="3"/>
    <s v="DAX Wood Document Frame"/>
    <n v="192"/>
    <n v="14"/>
    <n v="0"/>
    <n v="69"/>
    <x v="2"/>
    <s v="Jan"/>
  </r>
  <r>
    <n v="5652"/>
    <s v="CA-2017-142342"/>
    <x v="357"/>
    <d v="2017-07-19T00:00:00"/>
    <x v="0"/>
    <s v="AJ-10795"/>
    <s v="Anthony Johnson"/>
    <x v="1"/>
    <s v="United States"/>
    <x v="278"/>
    <x v="2"/>
    <n v="92307"/>
    <x v="1"/>
    <s v="FUR-BO-10002613"/>
    <x v="0"/>
    <x v="0"/>
    <s v="Atlantic Metals Mobile 4-Shelf Bookcases, Custom Colors"/>
    <n v="1194"/>
    <n v="5"/>
    <n v="0.15"/>
    <n v="211"/>
    <x v="3"/>
    <s v="Jul"/>
  </r>
  <r>
    <n v="5659"/>
    <s v="CA-2016-145261"/>
    <x v="105"/>
    <d v="2016-12-21T00:00:00"/>
    <x v="2"/>
    <s v="AH-10120"/>
    <s v="Adrian Hane"/>
    <x v="2"/>
    <s v="United States"/>
    <x v="279"/>
    <x v="36"/>
    <n v="97301"/>
    <x v="1"/>
    <s v="FUR-TA-10002530"/>
    <x v="0"/>
    <x v="2"/>
    <s v="Iceberg OfficeWorks 42&quot; Round Tables"/>
    <n v="377"/>
    <n v="5"/>
    <n v="0.5"/>
    <n v="-264"/>
    <x v="0"/>
    <s v="Dec"/>
  </r>
  <r>
    <n v="5662"/>
    <s v="CA-2016-108875"/>
    <x v="211"/>
    <d v="2016-10-01T00:00:00"/>
    <x v="1"/>
    <s v="CL-12700"/>
    <s v="Craig Leslie"/>
    <x v="2"/>
    <s v="United States"/>
    <x v="14"/>
    <x v="12"/>
    <n v="80013"/>
    <x v="1"/>
    <s v="FUR-FU-10002671"/>
    <x v="0"/>
    <x v="3"/>
    <s v="Electrix 20W Halogen Replacement Bulb for Zoom-In Desk Lamp"/>
    <n v="21"/>
    <n v="2"/>
    <n v="0.2"/>
    <n v="8"/>
    <x v="1"/>
    <s v="Sep"/>
  </r>
  <r>
    <n v="5671"/>
    <s v="CA-2015-141012"/>
    <x v="654"/>
    <d v="2015-06-11T00:00:00"/>
    <x v="0"/>
    <s v="TG-21640"/>
    <s v="Trudy Glocke"/>
    <x v="0"/>
    <s v="United States"/>
    <x v="280"/>
    <x v="42"/>
    <n v="83201"/>
    <x v="1"/>
    <s v="FUR-FU-10003192"/>
    <x v="0"/>
    <x v="3"/>
    <s v="Luxo Adjustable Task Clamp Lamp"/>
    <n v="355"/>
    <n v="4"/>
    <n v="0"/>
    <n v="92"/>
    <x v="3"/>
    <s v="Jun"/>
  </r>
  <r>
    <n v="5678"/>
    <s v="CA-2014-126802"/>
    <x v="527"/>
    <d v="2015-01-05T00:00:00"/>
    <x v="1"/>
    <s v="ZC-21910"/>
    <s v="Zuschuss Carroll"/>
    <x v="0"/>
    <s v="United States"/>
    <x v="9"/>
    <x v="8"/>
    <n v="60610"/>
    <x v="3"/>
    <s v="FUR-FU-10000193"/>
    <x v="0"/>
    <x v="3"/>
    <s v="Tenex Chairmats For Use with Hard Floors"/>
    <n v="39"/>
    <n v="3"/>
    <n v="0.6"/>
    <n v="-51"/>
    <x v="1"/>
    <s v="Dec"/>
  </r>
  <r>
    <n v="5688"/>
    <s v="CA-2014-131541"/>
    <x v="655"/>
    <d v="2014-07-28T00:00:00"/>
    <x v="3"/>
    <s v="CK-12205"/>
    <s v="Chloris Kastensmidt"/>
    <x v="0"/>
    <s v="United States"/>
    <x v="281"/>
    <x v="1"/>
    <n v="32712"/>
    <x v="0"/>
    <s v="FUR-FU-10003623"/>
    <x v="0"/>
    <x v="3"/>
    <s v="DataProducts Ampli Magnifier Task Lamp, Black,"/>
    <n v="130"/>
    <n v="6"/>
    <n v="0.2"/>
    <n v="13"/>
    <x v="7"/>
    <s v="Jul"/>
  </r>
  <r>
    <n v="5690"/>
    <s v="CA-2015-119550"/>
    <x v="626"/>
    <d v="2015-12-31T00:00:00"/>
    <x v="1"/>
    <s v="RB-19705"/>
    <s v="Roger Barcio"/>
    <x v="2"/>
    <s v="United States"/>
    <x v="6"/>
    <x v="5"/>
    <n v="77070"/>
    <x v="3"/>
    <s v="FUR-CH-10002044"/>
    <x v="0"/>
    <x v="1"/>
    <s v="Office Star - Contemporary Task Swivel chair with 2-way adjustable arms, Plum"/>
    <n v="275"/>
    <n v="3"/>
    <n v="0.3"/>
    <n v="-90"/>
    <x v="2"/>
    <s v="Dec"/>
  </r>
  <r>
    <n v="5695"/>
    <s v="US-2015-138093"/>
    <x v="479"/>
    <d v="2015-12-16T00:00:00"/>
    <x v="1"/>
    <s v="KM-16225"/>
    <s v="Kalyca Meade"/>
    <x v="1"/>
    <s v="United States"/>
    <x v="237"/>
    <x v="32"/>
    <n v="21215"/>
    <x v="2"/>
    <s v="FUR-CH-10000785"/>
    <x v="0"/>
    <x v="1"/>
    <s v="Global Ergonomic Managers Chair"/>
    <n v="543"/>
    <n v="3"/>
    <n v="0"/>
    <n v="141"/>
    <x v="6"/>
    <s v="Dec"/>
  </r>
  <r>
    <n v="5696"/>
    <s v="CA-2016-126165"/>
    <x v="399"/>
    <d v="2016-05-07T00:00:00"/>
    <x v="0"/>
    <s v="AH-10465"/>
    <s v="Amy Hunt"/>
    <x v="0"/>
    <s v="United States"/>
    <x v="28"/>
    <x v="2"/>
    <n v="94109"/>
    <x v="1"/>
    <s v="FUR-TA-10001676"/>
    <x v="0"/>
    <x v="2"/>
    <s v="Hon 61000 Series Interactive Training Tables"/>
    <n v="71"/>
    <n v="2"/>
    <n v="0.2"/>
    <n v="-2"/>
    <x v="3"/>
    <s v="May"/>
  </r>
  <r>
    <n v="5704"/>
    <s v="US-2014-123519"/>
    <x v="609"/>
    <d v="2014-12-21T00:00:00"/>
    <x v="1"/>
    <s v="SS-20875"/>
    <s v="Sung Shariari"/>
    <x v="0"/>
    <s v="United States"/>
    <x v="149"/>
    <x v="15"/>
    <n v="43302"/>
    <x v="2"/>
    <s v="FUR-TA-10002645"/>
    <x v="0"/>
    <x v="2"/>
    <s v="Hon Rectangular Conference Tables"/>
    <n v="137"/>
    <n v="1"/>
    <n v="0.4"/>
    <n v="-52"/>
    <x v="1"/>
    <s v="Dec"/>
  </r>
  <r>
    <n v="5708"/>
    <s v="US-2015-160857"/>
    <x v="190"/>
    <d v="2015-05-15T00:00:00"/>
    <x v="1"/>
    <s v="NW-18400"/>
    <s v="Natalie Webber"/>
    <x v="0"/>
    <s v="United States"/>
    <x v="13"/>
    <x v="7"/>
    <n v="10024"/>
    <x v="2"/>
    <s v="FUR-FU-10001095"/>
    <x v="0"/>
    <x v="3"/>
    <s v="DAX Black Cherry Wood-Tone Poster Frame"/>
    <n v="79"/>
    <n v="3"/>
    <n v="0"/>
    <n v="30"/>
    <x v="1"/>
    <s v="May"/>
  </r>
  <r>
    <n v="5710"/>
    <s v="US-2015-160857"/>
    <x v="190"/>
    <d v="2015-05-15T00:00:00"/>
    <x v="1"/>
    <s v="NW-18400"/>
    <s v="Natalie Webber"/>
    <x v="0"/>
    <s v="United States"/>
    <x v="13"/>
    <x v="7"/>
    <n v="10024"/>
    <x v="2"/>
    <s v="FUR-CH-10002647"/>
    <x v="0"/>
    <x v="1"/>
    <s v="Situations Contoured Folding Chairs, 4/Set"/>
    <n v="128"/>
    <n v="2"/>
    <n v="0.1"/>
    <n v="21"/>
    <x v="1"/>
    <s v="May"/>
  </r>
  <r>
    <n v="5731"/>
    <s v="CA-2017-117324"/>
    <x v="64"/>
    <d v="2017-12-13T00:00:00"/>
    <x v="1"/>
    <s v="JP-15520"/>
    <s v="Jeremy Pistek"/>
    <x v="0"/>
    <s v="United States"/>
    <x v="123"/>
    <x v="16"/>
    <n v="53711"/>
    <x v="3"/>
    <s v="FUR-BO-10003159"/>
    <x v="0"/>
    <x v="0"/>
    <s v="Sauder Camden County Collection Libraries, Planked Cherry Finish"/>
    <n v="460"/>
    <n v="4"/>
    <n v="0"/>
    <n v="41"/>
    <x v="2"/>
    <s v="Dec"/>
  </r>
  <r>
    <n v="5733"/>
    <s v="CA-2017-143574"/>
    <x v="656"/>
    <d v="2017-07-02T00:00:00"/>
    <x v="2"/>
    <s v="DR-12880"/>
    <s v="Dan Reichenbach"/>
    <x v="1"/>
    <s v="United States"/>
    <x v="282"/>
    <x v="19"/>
    <n v="6460"/>
    <x v="2"/>
    <s v="FUR-BO-10002598"/>
    <x v="0"/>
    <x v="0"/>
    <s v="Hon Metal Bookcases, Putty"/>
    <n v="639"/>
    <n v="9"/>
    <n v="0"/>
    <n v="185"/>
    <x v="0"/>
    <s v="Jun"/>
  </r>
  <r>
    <n v="5735"/>
    <s v="CA-2017-143574"/>
    <x v="656"/>
    <d v="2017-07-02T00:00:00"/>
    <x v="2"/>
    <s v="DR-12880"/>
    <s v="Dan Reichenbach"/>
    <x v="1"/>
    <s v="United States"/>
    <x v="282"/>
    <x v="19"/>
    <n v="6460"/>
    <x v="2"/>
    <s v="FUR-FU-10003976"/>
    <x v="0"/>
    <x v="3"/>
    <s v="DAX Executive Solid Wood Document Frame, Desktop or Hang, Mahogany, 5 x 7"/>
    <n v="25"/>
    <n v="2"/>
    <n v="0"/>
    <n v="9"/>
    <x v="0"/>
    <s v="Jun"/>
  </r>
  <r>
    <n v="5738"/>
    <s v="CA-2014-148614"/>
    <x v="187"/>
    <d v="2014-01-25T00:00:00"/>
    <x v="1"/>
    <s v="MV-17485"/>
    <s v="Mark Van Huff"/>
    <x v="0"/>
    <s v="United States"/>
    <x v="2"/>
    <x v="2"/>
    <n v="90049"/>
    <x v="1"/>
    <s v="FUR-FU-10003194"/>
    <x v="0"/>
    <x v="3"/>
    <s v="Eldon Expressions Desk Accessory, Wood Pencil Holder, Oak"/>
    <n v="19"/>
    <n v="2"/>
    <n v="0"/>
    <n v="6"/>
    <x v="2"/>
    <s v="Jan"/>
  </r>
  <r>
    <n v="5741"/>
    <s v="US-2017-147886"/>
    <x v="657"/>
    <d v="2017-03-31T00:00:00"/>
    <x v="2"/>
    <s v="DH-13075"/>
    <s v="Dave Hallsten"/>
    <x v="1"/>
    <s v="United States"/>
    <x v="130"/>
    <x v="2"/>
    <n v="94533"/>
    <x v="1"/>
    <s v="FUR-FU-10001095"/>
    <x v="0"/>
    <x v="3"/>
    <s v="DAX Black Cherry Wood-Tone Poster Frame"/>
    <n v="26"/>
    <n v="1"/>
    <n v="0"/>
    <n v="10"/>
    <x v="0"/>
    <s v="Mar"/>
  </r>
  <r>
    <n v="5746"/>
    <s v="US-2017-147886"/>
    <x v="657"/>
    <d v="2017-03-31T00:00:00"/>
    <x v="2"/>
    <s v="DH-13075"/>
    <s v="Dave Hallsten"/>
    <x v="1"/>
    <s v="United States"/>
    <x v="130"/>
    <x v="2"/>
    <n v="94533"/>
    <x v="1"/>
    <s v="FUR-FU-10003829"/>
    <x v="0"/>
    <x v="3"/>
    <s v="Stackable Trays"/>
    <n v="22"/>
    <n v="7"/>
    <n v="0"/>
    <n v="7"/>
    <x v="0"/>
    <s v="Mar"/>
  </r>
  <r>
    <n v="5751"/>
    <s v="CA-2014-145800"/>
    <x v="658"/>
    <d v="2014-06-05T00:00:00"/>
    <x v="1"/>
    <s v="SS-20410"/>
    <s v="Shahid Shariari"/>
    <x v="0"/>
    <s v="United States"/>
    <x v="283"/>
    <x v="8"/>
    <n v="60089"/>
    <x v="3"/>
    <s v="FUR-TA-10001539"/>
    <x v="0"/>
    <x v="2"/>
    <s v="Chromcraft Rectangular Conference Tables"/>
    <n v="355"/>
    <n v="3"/>
    <n v="0.5"/>
    <n v="-185"/>
    <x v="6"/>
    <s v="May"/>
  </r>
  <r>
    <n v="5754"/>
    <s v="CA-2016-118514"/>
    <x v="659"/>
    <d v="2016-02-10T00:00:00"/>
    <x v="1"/>
    <s v="LC-17050"/>
    <s v="Liz Carlisle"/>
    <x v="0"/>
    <s v="United States"/>
    <x v="52"/>
    <x v="0"/>
    <n v="40475"/>
    <x v="0"/>
    <s v="FUR-CH-10000015"/>
    <x v="0"/>
    <x v="1"/>
    <s v="Hon Multipurpose Stacking Arm Chairs"/>
    <n v="866"/>
    <n v="4"/>
    <n v="0"/>
    <n v="225"/>
    <x v="1"/>
    <s v="Feb"/>
  </r>
  <r>
    <n v="5758"/>
    <s v="CA-2015-119634"/>
    <x v="660"/>
    <d v="2015-08-16T00:00:00"/>
    <x v="1"/>
    <s v="BW-11065"/>
    <s v="Barry Weirich"/>
    <x v="0"/>
    <s v="United States"/>
    <x v="168"/>
    <x v="30"/>
    <n v="27604"/>
    <x v="0"/>
    <s v="FUR-FU-10004270"/>
    <x v="0"/>
    <x v="3"/>
    <s v="Executive Impressions 13&quot; Clairmont Wall Clock"/>
    <n v="46"/>
    <n v="3"/>
    <n v="0.2"/>
    <n v="12"/>
    <x v="2"/>
    <s v="Aug"/>
  </r>
  <r>
    <n v="5763"/>
    <s v="CA-2017-158169"/>
    <x v="661"/>
    <d v="2017-08-15T00:00:00"/>
    <x v="2"/>
    <s v="JM-16195"/>
    <s v="Justin MacKendrick"/>
    <x v="0"/>
    <s v="United States"/>
    <x v="284"/>
    <x v="2"/>
    <n v="92630"/>
    <x v="1"/>
    <s v="FUR-FU-10001473"/>
    <x v="0"/>
    <x v="3"/>
    <s v="DAX Wood Document Frame"/>
    <n v="55"/>
    <n v="4"/>
    <n v="0"/>
    <n v="20"/>
    <x v="0"/>
    <s v="Aug"/>
  </r>
  <r>
    <n v="5764"/>
    <s v="CA-2015-162047"/>
    <x v="240"/>
    <d v="2015-11-05T00:00:00"/>
    <x v="2"/>
    <s v="FH-14365"/>
    <s v="Fred Hopkins"/>
    <x v="1"/>
    <s v="United States"/>
    <x v="62"/>
    <x v="7"/>
    <n v="11561"/>
    <x v="2"/>
    <s v="FUR-CH-10004983"/>
    <x v="0"/>
    <x v="1"/>
    <s v="Office Star - Mid Back Dual function Ergonomic High Back Chair with 2-Way Adjustable Arms"/>
    <n v="1449"/>
    <n v="10"/>
    <n v="0.1"/>
    <n v="209"/>
    <x v="3"/>
    <s v="Nov"/>
  </r>
  <r>
    <n v="5771"/>
    <s v="CA-2015-103835"/>
    <x v="262"/>
    <d v="2015-09-28T00:00:00"/>
    <x v="1"/>
    <s v="SC-20440"/>
    <s v="Shaun Chance"/>
    <x v="1"/>
    <s v="United States"/>
    <x v="2"/>
    <x v="2"/>
    <n v="90032"/>
    <x v="1"/>
    <s v="FUR-FU-10000010"/>
    <x v="0"/>
    <x v="3"/>
    <s v="DAX Value U-Channel Document Frames, Easel Back"/>
    <n v="15"/>
    <n v="3"/>
    <n v="0"/>
    <n v="5"/>
    <x v="4"/>
    <s v="Sep"/>
  </r>
  <r>
    <n v="5775"/>
    <s v="CA-2016-142398"/>
    <x v="188"/>
    <d v="2016-04-16T00:00:00"/>
    <x v="1"/>
    <s v="BP-11290"/>
    <s v="Beth Paige"/>
    <x v="0"/>
    <s v="United States"/>
    <x v="2"/>
    <x v="2"/>
    <n v="90036"/>
    <x v="1"/>
    <s v="FUR-CH-10001545"/>
    <x v="0"/>
    <x v="1"/>
    <s v="Hon Comfortask Task/Swivel Chairs"/>
    <n v="638"/>
    <n v="7"/>
    <n v="0.2"/>
    <n v="-32"/>
    <x v="4"/>
    <s v="Apr"/>
  </r>
  <r>
    <n v="5780"/>
    <s v="CA-2014-105270"/>
    <x v="163"/>
    <d v="2014-11-18T00:00:00"/>
    <x v="1"/>
    <s v="AP-10915"/>
    <s v="Arthur Prichep"/>
    <x v="0"/>
    <s v="United States"/>
    <x v="2"/>
    <x v="2"/>
    <n v="90008"/>
    <x v="1"/>
    <s v="FUR-CH-10000988"/>
    <x v="0"/>
    <x v="1"/>
    <s v="Hon Olson Stacker Stools"/>
    <n v="113"/>
    <n v="1"/>
    <n v="0.2"/>
    <n v="11"/>
    <x v="1"/>
    <s v="Nov"/>
  </r>
  <r>
    <n v="5785"/>
    <s v="CA-2017-141117"/>
    <x v="125"/>
    <d v="2017-10-08T00:00:00"/>
    <x v="1"/>
    <s v="JK-16090"/>
    <s v="Juliana Krohn"/>
    <x v="0"/>
    <s v="United States"/>
    <x v="76"/>
    <x v="36"/>
    <n v="97477"/>
    <x v="1"/>
    <s v="FUR-BO-10001972"/>
    <x v="0"/>
    <x v="0"/>
    <s v="O'Sullivan 4-Shelf Bookcase in Odessa Pine"/>
    <n v="218"/>
    <n v="6"/>
    <n v="0.7"/>
    <n v="-385"/>
    <x v="6"/>
    <s v="Oct"/>
  </r>
  <r>
    <n v="5789"/>
    <s v="CA-2017-115070"/>
    <x v="662"/>
    <d v="2017-04-14T00:00:00"/>
    <x v="0"/>
    <s v="MG-18205"/>
    <s v="Mitch Gastineau"/>
    <x v="1"/>
    <s v="United States"/>
    <x v="51"/>
    <x v="1"/>
    <n v="32216"/>
    <x v="0"/>
    <s v="FUR-FU-10003829"/>
    <x v="0"/>
    <x v="3"/>
    <s v="Stackable Trays"/>
    <n v="12"/>
    <n v="5"/>
    <n v="0.2"/>
    <n v="2"/>
    <x v="4"/>
    <s v="Apr"/>
  </r>
  <r>
    <n v="5792"/>
    <s v="CA-2017-140186"/>
    <x v="560"/>
    <d v="2017-10-02T00:00:00"/>
    <x v="2"/>
    <s v="PG-18820"/>
    <s v="Patrick Gardner"/>
    <x v="0"/>
    <s v="United States"/>
    <x v="175"/>
    <x v="2"/>
    <n v="93309"/>
    <x v="1"/>
    <s v="FUR-CH-10002961"/>
    <x v="0"/>
    <x v="1"/>
    <s v="Leather Task Chair, Black"/>
    <n v="73"/>
    <n v="1"/>
    <n v="0.2"/>
    <n v="0"/>
    <x v="0"/>
    <s v="Sep"/>
  </r>
  <r>
    <n v="5794"/>
    <s v="CA-2017-140186"/>
    <x v="560"/>
    <d v="2017-10-02T00:00:00"/>
    <x v="2"/>
    <s v="PG-18820"/>
    <s v="Patrick Gardner"/>
    <x v="0"/>
    <s v="United States"/>
    <x v="175"/>
    <x v="2"/>
    <n v="93309"/>
    <x v="1"/>
    <s v="FUR-FU-10004848"/>
    <x v="0"/>
    <x v="3"/>
    <s v="Howard Miller 13-3/4&quot; Diameter Brushed Chrome Round Wall Clock"/>
    <n v="52"/>
    <n v="1"/>
    <n v="0"/>
    <n v="16"/>
    <x v="0"/>
    <s v="Sep"/>
  </r>
  <r>
    <n v="5797"/>
    <s v="CA-2014-124856"/>
    <x v="189"/>
    <d v="2014-10-03T00:00:00"/>
    <x v="0"/>
    <s v="LD-17005"/>
    <s v="Lisa DeCherney"/>
    <x v="0"/>
    <s v="United States"/>
    <x v="13"/>
    <x v="7"/>
    <n v="10011"/>
    <x v="2"/>
    <s v="FUR-FU-10000521"/>
    <x v="0"/>
    <x v="3"/>
    <s v="Seth Thomas 14&quot; Putty-Colored Wall Clock"/>
    <n v="117"/>
    <n v="4"/>
    <n v="0"/>
    <n v="36"/>
    <x v="4"/>
    <s v="Sep"/>
  </r>
  <r>
    <n v="5800"/>
    <s v="CA-2014-166716"/>
    <x v="663"/>
    <d v="2014-08-25T00:00:00"/>
    <x v="0"/>
    <s v="CR-12730"/>
    <s v="Craig Reiter"/>
    <x v="0"/>
    <s v="United States"/>
    <x v="9"/>
    <x v="8"/>
    <n v="60610"/>
    <x v="3"/>
    <s v="FUR-CH-10004495"/>
    <x v="0"/>
    <x v="1"/>
    <s v="Global Leather and Oak Executive Chair, Black"/>
    <n v="421"/>
    <n v="2"/>
    <n v="0.3"/>
    <n v="-6"/>
    <x v="2"/>
    <s v="Aug"/>
  </r>
  <r>
    <n v="5806"/>
    <s v="CA-2017-113873"/>
    <x v="596"/>
    <d v="2017-11-19T00:00:00"/>
    <x v="1"/>
    <s v="KE-16420"/>
    <s v="Katrina Edelman"/>
    <x v="1"/>
    <s v="United States"/>
    <x v="144"/>
    <x v="5"/>
    <n v="75220"/>
    <x v="3"/>
    <s v="FUR-BO-10003441"/>
    <x v="0"/>
    <x v="0"/>
    <s v="Bush Westfield Collection Bookcases, Fully Assembled"/>
    <n v="206"/>
    <n v="3"/>
    <n v="0.32"/>
    <n v="-27"/>
    <x v="6"/>
    <s v="Nov"/>
  </r>
  <r>
    <n v="5810"/>
    <s v="CA-2016-125017"/>
    <x v="664"/>
    <d v="2016-02-11T00:00:00"/>
    <x v="1"/>
    <s v="KB-16240"/>
    <s v="Karen Bern"/>
    <x v="1"/>
    <s v="United States"/>
    <x v="196"/>
    <x v="9"/>
    <n v="37421"/>
    <x v="0"/>
    <s v="FUR-FU-10000723"/>
    <x v="0"/>
    <x v="3"/>
    <s v="Deflect-o EconoMat Studded, No Bevel Mat for Low Pile Carpeting"/>
    <n v="132"/>
    <n v="4"/>
    <n v="0.2"/>
    <n v="-18"/>
    <x v="2"/>
    <s v="Feb"/>
  </r>
  <r>
    <n v="5812"/>
    <s v="US-2015-163279"/>
    <x v="665"/>
    <d v="2015-03-26T00:00:00"/>
    <x v="1"/>
    <s v="JD-16150"/>
    <s v="Justin Deggeller"/>
    <x v="1"/>
    <s v="United States"/>
    <x v="53"/>
    <x v="2"/>
    <n v="92037"/>
    <x v="1"/>
    <s v="FUR-FU-10000747"/>
    <x v="0"/>
    <x v="3"/>
    <s v="Tenex B1-RE Series Chair Mats for Low Pile Carpets"/>
    <n v="92"/>
    <n v="2"/>
    <n v="0"/>
    <n v="16"/>
    <x v="4"/>
    <s v="Mar"/>
  </r>
  <r>
    <n v="5823"/>
    <s v="CA-2017-117632"/>
    <x v="666"/>
    <d v="2017-05-18T00:00:00"/>
    <x v="1"/>
    <s v="CS-12175"/>
    <s v="Charles Sheldon"/>
    <x v="1"/>
    <s v="United States"/>
    <x v="28"/>
    <x v="2"/>
    <n v="94122"/>
    <x v="1"/>
    <s v="FUR-TA-10001520"/>
    <x v="0"/>
    <x v="2"/>
    <s v="Lesro Sheffield Collection Coffee Table, End Table, Center Table, Corner Table"/>
    <n v="285"/>
    <n v="5"/>
    <n v="0.2"/>
    <n v="-11"/>
    <x v="6"/>
    <s v="May"/>
  </r>
  <r>
    <n v="5827"/>
    <s v="CA-2017-161067"/>
    <x v="667"/>
    <d v="2017-09-06T00:00:00"/>
    <x v="0"/>
    <s v="KB-16405"/>
    <s v="Katrina Bavinger"/>
    <x v="2"/>
    <s v="United States"/>
    <x v="13"/>
    <x v="7"/>
    <n v="10035"/>
    <x v="2"/>
    <s v="FUR-CH-10004626"/>
    <x v="0"/>
    <x v="1"/>
    <s v="Office Star Flex Back Scooter Chair with Aluminum Finish Frame"/>
    <n v="91"/>
    <n v="1"/>
    <n v="0.1"/>
    <n v="14"/>
    <x v="0"/>
    <s v="Sep"/>
  </r>
  <r>
    <n v="5828"/>
    <s v="CA-2017-161067"/>
    <x v="667"/>
    <d v="2017-09-06T00:00:00"/>
    <x v="0"/>
    <s v="KB-16405"/>
    <s v="Katrina Bavinger"/>
    <x v="2"/>
    <s v="United States"/>
    <x v="13"/>
    <x v="7"/>
    <n v="10035"/>
    <x v="2"/>
    <s v="FUR-CH-10004860"/>
    <x v="0"/>
    <x v="1"/>
    <s v="Global Low Back Tilter Chair"/>
    <n v="182"/>
    <n v="2"/>
    <n v="0.1"/>
    <n v="-8"/>
    <x v="0"/>
    <s v="Sep"/>
  </r>
  <r>
    <n v="5830"/>
    <s v="CA-2016-122063"/>
    <x v="122"/>
    <d v="2016-12-07T00:00:00"/>
    <x v="1"/>
    <s v="MM-17920"/>
    <s v="Michael Moore"/>
    <x v="0"/>
    <s v="United States"/>
    <x v="52"/>
    <x v="6"/>
    <n v="47374"/>
    <x v="3"/>
    <s v="FUR-TA-10004575"/>
    <x v="0"/>
    <x v="2"/>
    <s v="Hon 5100 Series Wood Tables"/>
    <n v="582"/>
    <n v="2"/>
    <n v="0"/>
    <n v="105"/>
    <x v="4"/>
    <s v="Dec"/>
  </r>
  <r>
    <n v="5831"/>
    <s v="CA-2016-122063"/>
    <x v="122"/>
    <d v="2016-12-07T00:00:00"/>
    <x v="1"/>
    <s v="MM-17920"/>
    <s v="Michael Moore"/>
    <x v="0"/>
    <s v="United States"/>
    <x v="52"/>
    <x v="6"/>
    <n v="47374"/>
    <x v="3"/>
    <s v="FUR-CH-10004754"/>
    <x v="0"/>
    <x v="1"/>
    <s v="Global Stack Chair with Arms, Black"/>
    <n v="30"/>
    <n v="1"/>
    <n v="0"/>
    <n v="8"/>
    <x v="4"/>
    <s v="Dec"/>
  </r>
  <r>
    <n v="5834"/>
    <s v="CA-2016-142895"/>
    <x v="668"/>
    <d v="2016-07-26T00:00:00"/>
    <x v="1"/>
    <s v="BP-11290"/>
    <s v="Beth Paige"/>
    <x v="0"/>
    <s v="United States"/>
    <x v="41"/>
    <x v="30"/>
    <n v="28027"/>
    <x v="0"/>
    <s v="FUR-CH-10002961"/>
    <x v="0"/>
    <x v="1"/>
    <s v="Leather Task Chair, Black"/>
    <n v="364"/>
    <n v="5"/>
    <n v="0.2"/>
    <n v="0"/>
    <x v="2"/>
    <s v="Jul"/>
  </r>
  <r>
    <n v="5841"/>
    <s v="CA-2015-134992"/>
    <x v="159"/>
    <d v="2015-09-26T00:00:00"/>
    <x v="0"/>
    <s v="MG-17875"/>
    <s v="Michael Grace"/>
    <x v="2"/>
    <s v="United States"/>
    <x v="58"/>
    <x v="25"/>
    <n v="22204"/>
    <x v="0"/>
    <s v="FUR-FU-10002554"/>
    <x v="0"/>
    <x v="3"/>
    <s v="Westinghouse Floor Lamp with Metal Mesh Shade, Black"/>
    <n v="48"/>
    <n v="2"/>
    <n v="0"/>
    <n v="11"/>
    <x v="4"/>
    <s v="Sep"/>
  </r>
  <r>
    <n v="5844"/>
    <s v="CA-2015-126725"/>
    <x v="669"/>
    <d v="2015-11-21T00:00:00"/>
    <x v="1"/>
    <s v="BS-11665"/>
    <s v="Brian Stugart"/>
    <x v="0"/>
    <s v="United States"/>
    <x v="53"/>
    <x v="2"/>
    <n v="92105"/>
    <x v="1"/>
    <s v="FUR-FU-10002813"/>
    <x v="0"/>
    <x v="3"/>
    <s v="DAX Contemporary Wood Frame with Silver Metal Mat, Desktop, 11 x 14 Size"/>
    <n v="81"/>
    <n v="4"/>
    <n v="0"/>
    <n v="29"/>
    <x v="4"/>
    <s v="Nov"/>
  </r>
  <r>
    <n v="5847"/>
    <s v="CA-2015-126725"/>
    <x v="669"/>
    <d v="2015-11-21T00:00:00"/>
    <x v="1"/>
    <s v="BS-11665"/>
    <s v="Brian Stugart"/>
    <x v="0"/>
    <s v="United States"/>
    <x v="53"/>
    <x v="2"/>
    <n v="92105"/>
    <x v="1"/>
    <s v="FUR-CH-10001708"/>
    <x v="0"/>
    <x v="1"/>
    <s v="Office Star - Contemporary Swivel Chair with Padded Adjustable Arms and Flex Back"/>
    <n v="226"/>
    <n v="2"/>
    <n v="0.2"/>
    <n v="3"/>
    <x v="4"/>
    <s v="Nov"/>
  </r>
  <r>
    <n v="5848"/>
    <s v="CA-2015-126725"/>
    <x v="669"/>
    <d v="2015-11-21T00:00:00"/>
    <x v="1"/>
    <s v="BS-11665"/>
    <s v="Brian Stugart"/>
    <x v="0"/>
    <s v="United States"/>
    <x v="53"/>
    <x v="2"/>
    <n v="92105"/>
    <x v="1"/>
    <s v="FUR-FU-10001591"/>
    <x v="0"/>
    <x v="3"/>
    <s v="Advantus Panel Wall Certificate Holder - 8.5x11"/>
    <n v="37"/>
    <n v="3"/>
    <n v="0"/>
    <n v="15"/>
    <x v="4"/>
    <s v="Nov"/>
  </r>
  <r>
    <n v="5853"/>
    <s v="CA-2015-121783"/>
    <x v="670"/>
    <d v="2015-11-14T00:00:00"/>
    <x v="1"/>
    <s v="PO-19180"/>
    <s v="Philisse Overcash"/>
    <x v="2"/>
    <s v="United States"/>
    <x v="18"/>
    <x v="11"/>
    <n v="55113"/>
    <x v="3"/>
    <s v="FUR-FU-10004351"/>
    <x v="0"/>
    <x v="3"/>
    <s v="Staple-based wall hangings"/>
    <n v="29"/>
    <n v="3"/>
    <n v="0"/>
    <n v="13"/>
    <x v="4"/>
    <s v="Nov"/>
  </r>
  <r>
    <n v="5858"/>
    <s v="CA-2015-112214"/>
    <x v="671"/>
    <d v="2015-08-11T00:00:00"/>
    <x v="1"/>
    <s v="AH-10690"/>
    <s v="Anna HŠberlin"/>
    <x v="1"/>
    <s v="United States"/>
    <x v="144"/>
    <x v="5"/>
    <n v="75220"/>
    <x v="3"/>
    <s v="FUR-FU-10002364"/>
    <x v="0"/>
    <x v="3"/>
    <s v="Eldon Expressions Wood Desk Accessories, Oak"/>
    <n v="15"/>
    <n v="5"/>
    <n v="0.6"/>
    <n v="-11"/>
    <x v="6"/>
    <s v="Aug"/>
  </r>
  <r>
    <n v="5859"/>
    <s v="US-2017-153255"/>
    <x v="667"/>
    <d v="2017-09-07T00:00:00"/>
    <x v="0"/>
    <s v="JK-15730"/>
    <s v="Joe Kamberova"/>
    <x v="0"/>
    <s v="United States"/>
    <x v="41"/>
    <x v="2"/>
    <n v="94521"/>
    <x v="1"/>
    <s v="FUR-BO-10004218"/>
    <x v="0"/>
    <x v="0"/>
    <s v="Bush Heritage Pine Collection 5-Shelf Bookcase, Albany Pine Finish, *Special Order"/>
    <n v="240"/>
    <n v="2"/>
    <n v="0.15"/>
    <n v="14"/>
    <x v="4"/>
    <s v="Sep"/>
  </r>
  <r>
    <n v="5860"/>
    <s v="CA-2015-108119"/>
    <x v="341"/>
    <d v="2015-11-08T00:00:00"/>
    <x v="1"/>
    <s v="MS-17530"/>
    <s v="MaryBeth Skach"/>
    <x v="0"/>
    <s v="United States"/>
    <x v="285"/>
    <x v="31"/>
    <n v="72032"/>
    <x v="0"/>
    <s v="FUR-TA-10002530"/>
    <x v="0"/>
    <x v="2"/>
    <s v="Iceberg OfficeWorks 42&quot; Round Tables"/>
    <n v="302"/>
    <n v="2"/>
    <n v="0"/>
    <n v="45"/>
    <x v="1"/>
    <s v="Nov"/>
  </r>
  <r>
    <n v="5867"/>
    <s v="US-2014-117968"/>
    <x v="31"/>
    <d v="2014-08-07T00:00:00"/>
    <x v="0"/>
    <s v="RS-19420"/>
    <s v="Ricardo Sperren"/>
    <x v="1"/>
    <s v="United States"/>
    <x v="286"/>
    <x v="19"/>
    <n v="6450"/>
    <x v="2"/>
    <s v="FUR-CH-10002335"/>
    <x v="0"/>
    <x v="1"/>
    <s v="Hon GuestStacker Chair"/>
    <n v="1133"/>
    <n v="5"/>
    <n v="0"/>
    <n v="295"/>
    <x v="3"/>
    <s v="Aug"/>
  </r>
  <r>
    <n v="5870"/>
    <s v="CA-2016-152247"/>
    <x v="267"/>
    <d v="2016-11-12T00:00:00"/>
    <x v="1"/>
    <s v="MA-17995"/>
    <s v="Michelle Arnett"/>
    <x v="2"/>
    <s v="United States"/>
    <x v="287"/>
    <x v="45"/>
    <n v="82001"/>
    <x v="1"/>
    <s v="FUR-CH-10001215"/>
    <x v="0"/>
    <x v="1"/>
    <s v="Global Troy Executive Leather Low-Back Tilter"/>
    <n v="1603"/>
    <n v="4"/>
    <n v="0.2"/>
    <n v="100"/>
    <x v="2"/>
    <s v="Nov"/>
  </r>
  <r>
    <n v="5871"/>
    <s v="CA-2016-128223"/>
    <x v="184"/>
    <d v="2016-06-14T00:00:00"/>
    <x v="3"/>
    <s v="EB-13705"/>
    <s v="Ed Braxton"/>
    <x v="1"/>
    <s v="United States"/>
    <x v="261"/>
    <x v="2"/>
    <n v="92804"/>
    <x v="1"/>
    <s v="FUR-TA-10001771"/>
    <x v="0"/>
    <x v="2"/>
    <s v="Bush Cubix Conference Tables, Fully Assembled"/>
    <n v="1293"/>
    <n v="7"/>
    <n v="0.2"/>
    <n v="81"/>
    <x v="7"/>
    <s v="Jun"/>
  </r>
  <r>
    <n v="5872"/>
    <s v="CA-2016-154235"/>
    <x v="211"/>
    <d v="2016-09-28T00:00:00"/>
    <x v="1"/>
    <s v="RD-19900"/>
    <s v="Ruben Dartt"/>
    <x v="0"/>
    <s v="United States"/>
    <x v="17"/>
    <x v="6"/>
    <n v="47401"/>
    <x v="3"/>
    <s v="FUR-FU-10004006"/>
    <x v="0"/>
    <x v="3"/>
    <s v="Deflect-o DuraMat Lighweight, Studded, Beveled Mat for Low Pile Carpeting"/>
    <n v="128"/>
    <n v="3"/>
    <n v="0"/>
    <n v="22"/>
    <x v="4"/>
    <s v="Sep"/>
  </r>
  <r>
    <n v="5881"/>
    <s v="CA-2016-133935"/>
    <x v="126"/>
    <d v="2016-09-22T00:00:00"/>
    <x v="1"/>
    <s v="JW-15220"/>
    <s v="Jane Waco"/>
    <x v="1"/>
    <s v="United States"/>
    <x v="53"/>
    <x v="2"/>
    <n v="92105"/>
    <x v="1"/>
    <s v="FUR-CH-10001215"/>
    <x v="0"/>
    <x v="1"/>
    <s v="Global Troy Executive Leather Low-Back Tilter"/>
    <n v="802"/>
    <n v="2"/>
    <n v="0.2"/>
    <n v="50"/>
    <x v="4"/>
    <s v="Sep"/>
  </r>
  <r>
    <n v="5883"/>
    <s v="CA-2016-133935"/>
    <x v="126"/>
    <d v="2016-09-22T00:00:00"/>
    <x v="1"/>
    <s v="JW-15220"/>
    <s v="Jane Waco"/>
    <x v="1"/>
    <s v="United States"/>
    <x v="53"/>
    <x v="2"/>
    <n v="92105"/>
    <x v="1"/>
    <s v="FUR-CH-10002880"/>
    <x v="0"/>
    <x v="1"/>
    <s v="Global High-Back Leather Tilter, Burgundy"/>
    <n v="886"/>
    <n v="9"/>
    <n v="0.2"/>
    <n v="-100"/>
    <x v="4"/>
    <s v="Sep"/>
  </r>
  <r>
    <n v="5884"/>
    <s v="CA-2016-136301"/>
    <x v="345"/>
    <d v="2016-03-15T00:00:00"/>
    <x v="0"/>
    <s v="EH-13765"/>
    <s v="Edward Hooks"/>
    <x v="1"/>
    <s v="United States"/>
    <x v="28"/>
    <x v="2"/>
    <n v="94109"/>
    <x v="1"/>
    <s v="FUR-FU-10004712"/>
    <x v="0"/>
    <x v="3"/>
    <s v="Westinghouse Mesh Shade Clip-On Gooseneck Lamp, Black"/>
    <n v="28"/>
    <n v="2"/>
    <n v="0"/>
    <n v="7"/>
    <x v="3"/>
    <s v="Mar"/>
  </r>
  <r>
    <n v="5898"/>
    <s v="CA-2016-167682"/>
    <x v="672"/>
    <d v="2016-04-09T00:00:00"/>
    <x v="1"/>
    <s v="ZD-21925"/>
    <s v="Zuschuss Donatelli"/>
    <x v="0"/>
    <s v="United States"/>
    <x v="52"/>
    <x v="6"/>
    <n v="47374"/>
    <x v="3"/>
    <s v="FUR-FU-10003799"/>
    <x v="0"/>
    <x v="3"/>
    <s v="Seth Thomas 13 1/2&quot; Wall Clock"/>
    <n v="71"/>
    <n v="4"/>
    <n v="0"/>
    <n v="22"/>
    <x v="6"/>
    <s v="Apr"/>
  </r>
  <r>
    <n v="5902"/>
    <s v="CA-2016-159639"/>
    <x v="673"/>
    <d v="2016-12-02T00:00:00"/>
    <x v="1"/>
    <s v="PC-18745"/>
    <s v="Pamela Coakley"/>
    <x v="1"/>
    <s v="United States"/>
    <x v="162"/>
    <x v="18"/>
    <n v="7090"/>
    <x v="2"/>
    <s v="FUR-FU-10001889"/>
    <x v="0"/>
    <x v="3"/>
    <s v="Ultra Door Pull Handle"/>
    <n v="32"/>
    <n v="3"/>
    <n v="0"/>
    <n v="10"/>
    <x v="2"/>
    <s v="Nov"/>
  </r>
  <r>
    <n v="5910"/>
    <s v="US-2016-113985"/>
    <x v="674"/>
    <d v="2016-12-07T00:00:00"/>
    <x v="1"/>
    <s v="KD-16495"/>
    <s v="Keith Dawkins"/>
    <x v="1"/>
    <s v="United States"/>
    <x v="124"/>
    <x v="2"/>
    <n v="95123"/>
    <x v="1"/>
    <s v="FUR-FU-10003026"/>
    <x v="0"/>
    <x v="3"/>
    <s v="Eldon Regeneration Recycled Desk Accessories, Black"/>
    <n v="15"/>
    <n v="3"/>
    <n v="0"/>
    <n v="6"/>
    <x v="2"/>
    <s v="Dec"/>
  </r>
  <r>
    <n v="5916"/>
    <s v="US-2015-126977"/>
    <x v="5"/>
    <d v="2015-09-23T00:00:00"/>
    <x v="1"/>
    <s v="PF-19120"/>
    <s v="Peter Fuller"/>
    <x v="0"/>
    <s v="United States"/>
    <x v="13"/>
    <x v="7"/>
    <n v="10035"/>
    <x v="2"/>
    <s v="FUR-CH-10001973"/>
    <x v="0"/>
    <x v="1"/>
    <s v="Office Star Flex Back Scooter Chair with White Frame"/>
    <n v="200"/>
    <n v="2"/>
    <n v="0.1"/>
    <n v="9"/>
    <x v="6"/>
    <s v="Sep"/>
  </r>
  <r>
    <n v="5918"/>
    <s v="US-2015-126977"/>
    <x v="5"/>
    <d v="2015-09-23T00:00:00"/>
    <x v="1"/>
    <s v="PF-19120"/>
    <s v="Peter Fuller"/>
    <x v="0"/>
    <s v="United States"/>
    <x v="13"/>
    <x v="7"/>
    <n v="10035"/>
    <x v="2"/>
    <s v="FUR-BO-10004834"/>
    <x v="0"/>
    <x v="0"/>
    <s v="Riverside Palais Royal Lawyers Bookcase, Royale Cherry Finish"/>
    <n v="4229"/>
    <n v="6"/>
    <n v="0.2"/>
    <n v="159"/>
    <x v="6"/>
    <s v="Sep"/>
  </r>
  <r>
    <n v="5919"/>
    <s v="US-2015-126977"/>
    <x v="5"/>
    <d v="2015-09-23T00:00:00"/>
    <x v="1"/>
    <s v="PF-19120"/>
    <s v="Peter Fuller"/>
    <x v="0"/>
    <s v="United States"/>
    <x v="13"/>
    <x v="7"/>
    <n v="10035"/>
    <x v="2"/>
    <s v="FUR-BO-10002213"/>
    <x v="0"/>
    <x v="0"/>
    <s v="DMI Eclipse Executive Suite Bookcases"/>
    <n v="2004"/>
    <n v="5"/>
    <n v="0.2"/>
    <n v="-25"/>
    <x v="6"/>
    <s v="Sep"/>
  </r>
  <r>
    <n v="5924"/>
    <s v="CA-2016-130288"/>
    <x v="675"/>
    <d v="2016-11-30T00:00:00"/>
    <x v="0"/>
    <s v="DK-13225"/>
    <s v="Dean Katz"/>
    <x v="1"/>
    <s v="United States"/>
    <x v="13"/>
    <x v="7"/>
    <n v="10011"/>
    <x v="2"/>
    <s v="FUR-TA-10002958"/>
    <x v="0"/>
    <x v="2"/>
    <s v="Bevis Oval Conference Table, Walnut"/>
    <n v="313"/>
    <n v="2"/>
    <n v="0.4"/>
    <n v="-120"/>
    <x v="4"/>
    <s v="Nov"/>
  </r>
  <r>
    <n v="5927"/>
    <s v="US-2014-118997"/>
    <x v="676"/>
    <d v="2014-04-12T00:00:00"/>
    <x v="1"/>
    <s v="RA-19885"/>
    <s v="Ruben Ausman"/>
    <x v="1"/>
    <s v="United States"/>
    <x v="42"/>
    <x v="33"/>
    <n v="35601"/>
    <x v="0"/>
    <s v="FUR-TA-10001086"/>
    <x v="0"/>
    <x v="2"/>
    <s v="SAFCO PlanMaster Boards, 60w x 37-1/2d, White Melamine"/>
    <n v="1216"/>
    <n v="8"/>
    <n v="0"/>
    <n v="316"/>
    <x v="4"/>
    <s v="Apr"/>
  </r>
  <r>
    <n v="5929"/>
    <s v="CA-2014-114314"/>
    <x v="524"/>
    <d v="2014-10-15T00:00:00"/>
    <x v="1"/>
    <s v="DB-13555"/>
    <s v="Dorothy Badders"/>
    <x v="1"/>
    <s v="United States"/>
    <x v="160"/>
    <x v="31"/>
    <n v="72701"/>
    <x v="0"/>
    <s v="FUR-FU-10002107"/>
    <x v="0"/>
    <x v="3"/>
    <s v="Eldon Pizzaz Desk Accessories"/>
    <n v="9"/>
    <n v="4"/>
    <n v="0"/>
    <n v="4"/>
    <x v="4"/>
    <s v="Oct"/>
  </r>
  <r>
    <n v="5930"/>
    <s v="US-2017-169551"/>
    <x v="677"/>
    <d v="2017-07-09T00:00:00"/>
    <x v="2"/>
    <s v="RL-19615"/>
    <s v="Rob Lucas"/>
    <x v="0"/>
    <s v="United States"/>
    <x v="3"/>
    <x v="3"/>
    <n v="19120"/>
    <x v="2"/>
    <s v="FUR-BO-10001519"/>
    <x v="0"/>
    <x v="0"/>
    <s v="O'Sullivan 3-Shelf Heavy-Duty Bookcases"/>
    <n v="87"/>
    <n v="3"/>
    <n v="0.5"/>
    <n v="-45"/>
    <x v="3"/>
    <s v="Jul"/>
  </r>
  <r>
    <n v="5936"/>
    <s v="CA-2016-103107"/>
    <x v="557"/>
    <d v="2016-07-04T00:00:00"/>
    <x v="3"/>
    <s v="RB-19465"/>
    <s v="Rick Bensley"/>
    <x v="2"/>
    <s v="United States"/>
    <x v="15"/>
    <x v="13"/>
    <n v="98103"/>
    <x v="1"/>
    <s v="FUR-FU-10000221"/>
    <x v="0"/>
    <x v="3"/>
    <s v="Master Caster Door Stop, Brown"/>
    <n v="25"/>
    <n v="5"/>
    <n v="0"/>
    <n v="9"/>
    <x v="7"/>
    <s v="Jul"/>
  </r>
  <r>
    <n v="5944"/>
    <s v="CA-2014-104178"/>
    <x v="678"/>
    <d v="2014-08-29T00:00:00"/>
    <x v="1"/>
    <s v="JM-15265"/>
    <s v="Janet Molinari"/>
    <x v="1"/>
    <s v="United States"/>
    <x v="2"/>
    <x v="2"/>
    <n v="90036"/>
    <x v="1"/>
    <s v="FUR-FU-10000771"/>
    <x v="0"/>
    <x v="3"/>
    <s v="Eldon 200 Class Desk Accessories, Smoke"/>
    <n v="6"/>
    <n v="1"/>
    <n v="0"/>
    <n v="3"/>
    <x v="4"/>
    <s v="Aug"/>
  </r>
  <r>
    <n v="5955"/>
    <s v="CA-2014-155796"/>
    <x v="163"/>
    <d v="2014-11-15T00:00:00"/>
    <x v="0"/>
    <s v="TS-21430"/>
    <s v="Tom Stivers"/>
    <x v="1"/>
    <s v="United States"/>
    <x v="288"/>
    <x v="3"/>
    <n v="19601"/>
    <x v="2"/>
    <s v="FUR-FU-10000409"/>
    <x v="0"/>
    <x v="3"/>
    <s v="GE 4 Foot Flourescent Tube, 40 Watt"/>
    <n v="24"/>
    <n v="2"/>
    <n v="0.2"/>
    <n v="8"/>
    <x v="4"/>
    <s v="Nov"/>
  </r>
  <r>
    <n v="5956"/>
    <s v="CA-2014-155796"/>
    <x v="163"/>
    <d v="2014-11-15T00:00:00"/>
    <x v="0"/>
    <s v="TS-21430"/>
    <s v="Tom Stivers"/>
    <x v="1"/>
    <s v="United States"/>
    <x v="288"/>
    <x v="3"/>
    <n v="19601"/>
    <x v="2"/>
    <s v="FUR-BO-10002545"/>
    <x v="0"/>
    <x v="0"/>
    <s v="Atlantic Metals Mobile 3-Shelf Bookcases, Custom Colors"/>
    <n v="522"/>
    <n v="4"/>
    <n v="0.5"/>
    <n v="-251"/>
    <x v="4"/>
    <s v="Nov"/>
  </r>
  <r>
    <n v="5960"/>
    <s v="CA-2016-127138"/>
    <x v="679"/>
    <d v="2016-03-15T00:00:00"/>
    <x v="0"/>
    <s v="DK-13225"/>
    <s v="Dean Katz"/>
    <x v="1"/>
    <s v="United States"/>
    <x v="28"/>
    <x v="2"/>
    <n v="94109"/>
    <x v="1"/>
    <s v="FUR-CH-10003746"/>
    <x v="0"/>
    <x v="1"/>
    <s v="Hon 4070 Series Pagoda Round Back Stacking Chairs"/>
    <n v="770"/>
    <n v="3"/>
    <n v="0.2"/>
    <n v="77"/>
    <x v="0"/>
    <s v="Mar"/>
  </r>
  <r>
    <n v="5961"/>
    <s v="CA-2017-150602"/>
    <x v="436"/>
    <d v="2017-02-14T00:00:00"/>
    <x v="0"/>
    <s v="ML-17395"/>
    <s v="Marina Lichtenstein"/>
    <x v="1"/>
    <s v="United States"/>
    <x v="2"/>
    <x v="2"/>
    <n v="90045"/>
    <x v="1"/>
    <s v="FUR-FU-10003142"/>
    <x v="0"/>
    <x v="3"/>
    <s v="Master Big Foot Doorstop, Beige"/>
    <n v="21"/>
    <n v="4"/>
    <n v="0"/>
    <n v="7"/>
    <x v="2"/>
    <s v="Feb"/>
  </r>
  <r>
    <n v="5972"/>
    <s v="CA-2014-141726"/>
    <x v="435"/>
    <d v="2014-07-22T00:00:00"/>
    <x v="2"/>
    <s v="CC-12145"/>
    <s v="Charles Crestani"/>
    <x v="0"/>
    <s v="United States"/>
    <x v="53"/>
    <x v="2"/>
    <n v="92105"/>
    <x v="1"/>
    <s v="FUR-FU-10003577"/>
    <x v="0"/>
    <x v="3"/>
    <s v="Nu-Dell Leatherette Frames"/>
    <n v="43"/>
    <n v="3"/>
    <n v="0"/>
    <n v="15"/>
    <x v="3"/>
    <s v="Jul"/>
  </r>
  <r>
    <n v="5973"/>
    <s v="CA-2017-115105"/>
    <x v="335"/>
    <d v="2017-02-11T00:00:00"/>
    <x v="1"/>
    <s v="BD-11770"/>
    <s v="Bryan Davis"/>
    <x v="0"/>
    <s v="United States"/>
    <x v="13"/>
    <x v="7"/>
    <n v="10024"/>
    <x v="2"/>
    <s v="FUR-BO-10001811"/>
    <x v="0"/>
    <x v="0"/>
    <s v="Atlantic Metals Mobile 5-Shelf Bookcases, Custom Colors"/>
    <n v="241"/>
    <n v="1"/>
    <n v="0.2"/>
    <n v="30"/>
    <x v="2"/>
    <s v="Feb"/>
  </r>
  <r>
    <n v="5979"/>
    <s v="CA-2014-117765"/>
    <x v="266"/>
    <d v="2014-09-13T00:00:00"/>
    <x v="1"/>
    <s v="RB-19465"/>
    <s v="Rick Bensley"/>
    <x v="2"/>
    <s v="United States"/>
    <x v="169"/>
    <x v="37"/>
    <n v="74133"/>
    <x v="3"/>
    <s v="FUR-TA-10001039"/>
    <x v="0"/>
    <x v="2"/>
    <s v="KI Adjustable-Height Table"/>
    <n v="430"/>
    <n v="5"/>
    <n v="0"/>
    <n v="112"/>
    <x v="6"/>
    <s v="Sep"/>
  </r>
  <r>
    <n v="5981"/>
    <s v="CA-2014-117765"/>
    <x v="266"/>
    <d v="2014-09-13T00:00:00"/>
    <x v="1"/>
    <s v="RB-19465"/>
    <s v="Rick Bensley"/>
    <x v="2"/>
    <s v="United States"/>
    <x v="169"/>
    <x v="37"/>
    <n v="74133"/>
    <x v="3"/>
    <s v="FUR-CH-10004698"/>
    <x v="0"/>
    <x v="1"/>
    <s v="Padded Folding Chairs, Black, 4/Carton"/>
    <n v="162"/>
    <n v="2"/>
    <n v="0"/>
    <n v="45"/>
    <x v="6"/>
    <s v="Sep"/>
  </r>
  <r>
    <n v="5985"/>
    <s v="CA-2016-163776"/>
    <x v="680"/>
    <d v="2016-07-25T00:00:00"/>
    <x v="1"/>
    <s v="JS-16030"/>
    <s v="Joy Smith"/>
    <x v="0"/>
    <s v="United States"/>
    <x v="289"/>
    <x v="21"/>
    <n v="39401"/>
    <x v="0"/>
    <s v="FUR-FU-10001185"/>
    <x v="0"/>
    <x v="3"/>
    <s v="Advantus Employee of the Month Certificate Frame, 11 x 13-1/2"/>
    <n v="186"/>
    <n v="6"/>
    <n v="0"/>
    <n v="76"/>
    <x v="6"/>
    <s v="Jul"/>
  </r>
  <r>
    <n v="5990"/>
    <s v="CA-2016-163776"/>
    <x v="680"/>
    <d v="2016-07-25T00:00:00"/>
    <x v="1"/>
    <s v="JS-16030"/>
    <s v="Joy Smith"/>
    <x v="0"/>
    <s v="United States"/>
    <x v="289"/>
    <x v="21"/>
    <n v="39401"/>
    <x v="0"/>
    <s v="FUR-BO-10003546"/>
    <x v="0"/>
    <x v="0"/>
    <s v="Hon 4-Shelf Metal Bookcases"/>
    <n v="505"/>
    <n v="5"/>
    <n v="0"/>
    <n v="126"/>
    <x v="6"/>
    <s v="Jul"/>
  </r>
  <r>
    <n v="5993"/>
    <s v="US-2017-163300"/>
    <x v="102"/>
    <d v="2017-09-21T00:00:00"/>
    <x v="1"/>
    <s v="ES-14020"/>
    <s v="Erica Smith"/>
    <x v="0"/>
    <s v="United States"/>
    <x v="2"/>
    <x v="2"/>
    <n v="90049"/>
    <x v="1"/>
    <s v="FUR-CH-10003396"/>
    <x v="0"/>
    <x v="1"/>
    <s v="Global Deluxe Steno Chair"/>
    <n v="185"/>
    <n v="3"/>
    <n v="0.2"/>
    <n v="-21"/>
    <x v="6"/>
    <s v="Sep"/>
  </r>
  <r>
    <n v="5996"/>
    <s v="CA-2016-162187"/>
    <x v="106"/>
    <d v="2016-12-11T00:00:00"/>
    <x v="3"/>
    <s v="NS-18640"/>
    <s v="Noel Staavos"/>
    <x v="1"/>
    <s v="United States"/>
    <x v="29"/>
    <x v="15"/>
    <n v="43229"/>
    <x v="2"/>
    <s v="FUR-CH-10003298"/>
    <x v="0"/>
    <x v="1"/>
    <s v="Office Star - Contemporary Task Swivel chair with Loop Arms, Charcoal"/>
    <n v="458"/>
    <n v="5"/>
    <n v="0.3"/>
    <n v="-138"/>
    <x v="7"/>
    <s v="Dec"/>
  </r>
  <r>
    <n v="5998"/>
    <s v="CA-2016-162187"/>
    <x v="106"/>
    <d v="2016-12-11T00:00:00"/>
    <x v="3"/>
    <s v="NS-18640"/>
    <s v="Noel Staavos"/>
    <x v="1"/>
    <s v="United States"/>
    <x v="29"/>
    <x v="15"/>
    <n v="43229"/>
    <x v="2"/>
    <s v="FUR-TA-10003008"/>
    <x v="0"/>
    <x v="2"/>
    <s v="Lesro Round Back Collection Coffee Table, End Table"/>
    <n v="329"/>
    <n v="3"/>
    <n v="0.4"/>
    <n v="-148"/>
    <x v="7"/>
    <s v="Dec"/>
  </r>
  <r>
    <n v="5999"/>
    <s v="US-2014-112991"/>
    <x v="681"/>
    <d v="2014-12-14T00:00:00"/>
    <x v="1"/>
    <s v="SH-19975"/>
    <s v="Sally Hughsby"/>
    <x v="1"/>
    <s v="United States"/>
    <x v="290"/>
    <x v="42"/>
    <n v="83605"/>
    <x v="1"/>
    <s v="FUR-CH-10001708"/>
    <x v="0"/>
    <x v="1"/>
    <s v="Office Star - Contemporary Swivel Chair with Padded Adjustable Arms and Flex Back"/>
    <n v="338"/>
    <n v="3"/>
    <n v="0.2"/>
    <n v="4"/>
    <x v="4"/>
    <s v="Dec"/>
  </r>
  <r>
    <n v="6002"/>
    <s v="CA-2014-124079"/>
    <x v="536"/>
    <d v="2014-12-17T00:00:00"/>
    <x v="1"/>
    <s v="RF-19345"/>
    <s v="Randy Ferguson"/>
    <x v="1"/>
    <s v="United States"/>
    <x v="43"/>
    <x v="22"/>
    <n v="85023"/>
    <x v="1"/>
    <s v="FUR-FU-10002553"/>
    <x v="0"/>
    <x v="3"/>
    <s v="Electrix Incandescent Magnifying Lamp, Black"/>
    <n v="88"/>
    <n v="3"/>
    <n v="0.2"/>
    <n v="8"/>
    <x v="4"/>
    <s v="Dec"/>
  </r>
  <r>
    <n v="6005"/>
    <s v="CA-2017-107244"/>
    <x v="87"/>
    <d v="2017-09-11T00:00:00"/>
    <x v="1"/>
    <s v="AG-10390"/>
    <s v="Allen Goldenen"/>
    <x v="0"/>
    <s v="United States"/>
    <x v="2"/>
    <x v="2"/>
    <n v="90004"/>
    <x v="1"/>
    <s v="FUR-FU-10002597"/>
    <x v="0"/>
    <x v="3"/>
    <s v="C-Line Magnetic Cubicle Keepers, Clear Polypropylene"/>
    <n v="20"/>
    <n v="4"/>
    <n v="0"/>
    <n v="8"/>
    <x v="4"/>
    <s v="Sep"/>
  </r>
  <r>
    <n v="6006"/>
    <s v="CA-2015-100657"/>
    <x v="46"/>
    <d v="2015-11-07T00:00:00"/>
    <x v="1"/>
    <s v="SW-20245"/>
    <s v="Scot Wooten"/>
    <x v="0"/>
    <s v="United States"/>
    <x v="8"/>
    <x v="7"/>
    <n v="12180"/>
    <x v="2"/>
    <s v="FUR-CH-10003535"/>
    <x v="0"/>
    <x v="1"/>
    <s v="Global Armless Task Chair, Royal Blue"/>
    <n v="110"/>
    <n v="2"/>
    <n v="0.1"/>
    <n v="9"/>
    <x v="2"/>
    <s v="Nov"/>
  </r>
  <r>
    <n v="6008"/>
    <s v="CA-2017-129028"/>
    <x v="535"/>
    <d v="2017-04-03T00:00:00"/>
    <x v="2"/>
    <s v="GB-14530"/>
    <s v="George Bell"/>
    <x v="1"/>
    <s v="United States"/>
    <x v="73"/>
    <x v="10"/>
    <n v="29501"/>
    <x v="0"/>
    <s v="FUR-FU-10004006"/>
    <x v="0"/>
    <x v="3"/>
    <s v="Deflect-o DuraMat Lighweight, Studded, Beveled Mat for Low Pile Carpeting"/>
    <n v="128"/>
    <n v="3"/>
    <n v="0"/>
    <n v="22"/>
    <x v="3"/>
    <s v="Apr"/>
  </r>
  <r>
    <n v="6016"/>
    <s v="CA-2014-102652"/>
    <x v="226"/>
    <d v="2014-04-12T00:00:00"/>
    <x v="1"/>
    <s v="AY-10555"/>
    <s v="Andy Yotov"/>
    <x v="1"/>
    <s v="United States"/>
    <x v="2"/>
    <x v="2"/>
    <n v="90049"/>
    <x v="1"/>
    <s v="FUR-FU-10000747"/>
    <x v="0"/>
    <x v="3"/>
    <s v="Tenex B1-RE Series Chair Mats for Low Pile Carpets"/>
    <n v="92"/>
    <n v="2"/>
    <n v="0"/>
    <n v="16"/>
    <x v="6"/>
    <s v="Apr"/>
  </r>
  <r>
    <n v="6017"/>
    <s v="CA-2014-102652"/>
    <x v="226"/>
    <d v="2014-04-12T00:00:00"/>
    <x v="1"/>
    <s v="AY-10555"/>
    <s v="Andy Yotov"/>
    <x v="1"/>
    <s v="United States"/>
    <x v="2"/>
    <x v="2"/>
    <n v="90049"/>
    <x v="1"/>
    <s v="FUR-FU-10001918"/>
    <x v="0"/>
    <x v="3"/>
    <s v="C-Line Cubicle Keepers Polyproplyene Holder With Velcro Backings"/>
    <n v="33"/>
    <n v="7"/>
    <n v="0"/>
    <n v="13"/>
    <x v="6"/>
    <s v="Apr"/>
  </r>
  <r>
    <n v="6031"/>
    <s v="US-2017-152492"/>
    <x v="682"/>
    <d v="2017-07-06T00:00:00"/>
    <x v="3"/>
    <s v="AH-10585"/>
    <s v="Angele Hood"/>
    <x v="0"/>
    <s v="United States"/>
    <x v="89"/>
    <x v="1"/>
    <n v="33142"/>
    <x v="0"/>
    <s v="FUR-CH-10000155"/>
    <x v="0"/>
    <x v="1"/>
    <s v="Global Comet Stacking Armless Chair"/>
    <n v="239"/>
    <n v="1"/>
    <n v="0.2"/>
    <n v="24"/>
    <x v="7"/>
    <s v="Jul"/>
  </r>
  <r>
    <n v="6032"/>
    <s v="CA-2016-101168"/>
    <x v="683"/>
    <d v="2017-01-01T00:00:00"/>
    <x v="1"/>
    <s v="SS-20140"/>
    <s v="Saphhira Shifley"/>
    <x v="1"/>
    <s v="United States"/>
    <x v="291"/>
    <x v="28"/>
    <n v="3060"/>
    <x v="2"/>
    <s v="FUR-FU-10003142"/>
    <x v="0"/>
    <x v="3"/>
    <s v="Master Big Foot Doorstop, Beige"/>
    <n v="21"/>
    <n v="4"/>
    <n v="0"/>
    <n v="7"/>
    <x v="1"/>
    <s v="Dec"/>
  </r>
  <r>
    <n v="6034"/>
    <s v="CA-2015-130253"/>
    <x v="646"/>
    <d v="2015-12-18T00:00:00"/>
    <x v="1"/>
    <s v="PP-18955"/>
    <s v="Paul Prost"/>
    <x v="2"/>
    <s v="United States"/>
    <x v="2"/>
    <x v="2"/>
    <n v="90036"/>
    <x v="1"/>
    <s v="FUR-FU-10002963"/>
    <x v="0"/>
    <x v="3"/>
    <s v="Master Caster Door Stop, Gray"/>
    <n v="15"/>
    <n v="3"/>
    <n v="0"/>
    <n v="5"/>
    <x v="4"/>
    <s v="Dec"/>
  </r>
  <r>
    <n v="6037"/>
    <s v="CA-2016-131205"/>
    <x v="631"/>
    <d v="2016-09-08T00:00:00"/>
    <x v="1"/>
    <s v="AA-10645"/>
    <s v="Anna Andreadi"/>
    <x v="0"/>
    <s v="United States"/>
    <x v="292"/>
    <x v="0"/>
    <n v="40324"/>
    <x v="0"/>
    <s v="FUR-FU-10003347"/>
    <x v="0"/>
    <x v="3"/>
    <s v="Coloredge Poster Frame"/>
    <n v="43"/>
    <n v="3"/>
    <n v="0"/>
    <n v="17"/>
    <x v="4"/>
    <s v="Sep"/>
  </r>
  <r>
    <n v="6043"/>
    <s v="CA-2016-117912"/>
    <x v="684"/>
    <d v="2016-02-08T00:00:00"/>
    <x v="1"/>
    <s v="TB-21520"/>
    <s v="Tracy Blumstein"/>
    <x v="0"/>
    <s v="United States"/>
    <x v="293"/>
    <x v="22"/>
    <n v="85635"/>
    <x v="1"/>
    <s v="FUR-FU-10002088"/>
    <x v="0"/>
    <x v="3"/>
    <s v="Nu-Dell Float Frame 11 x 14 1/2"/>
    <n v="14"/>
    <n v="2"/>
    <n v="0.2"/>
    <n v="4"/>
    <x v="4"/>
    <s v="Feb"/>
  </r>
  <r>
    <n v="6044"/>
    <s v="CA-2017-145702"/>
    <x v="405"/>
    <d v="2017-05-24T00:00:00"/>
    <x v="0"/>
    <s v="AH-10075"/>
    <s v="Adam Hart"/>
    <x v="1"/>
    <s v="United States"/>
    <x v="270"/>
    <x v="9"/>
    <n v="37918"/>
    <x v="0"/>
    <s v="FUR-CH-10001482"/>
    <x v="0"/>
    <x v="1"/>
    <s v="Office Star - Mesh Screen back chair with Vinyl seat"/>
    <n v="314"/>
    <n v="3"/>
    <n v="0.2"/>
    <n v="-35"/>
    <x v="2"/>
    <s v="May"/>
  </r>
  <r>
    <n v="6046"/>
    <s v="CA-2015-113215"/>
    <x v="558"/>
    <d v="2015-09-08T00:00:00"/>
    <x v="1"/>
    <s v="CP-12085"/>
    <s v="Cathy Prescott"/>
    <x v="1"/>
    <s v="United States"/>
    <x v="104"/>
    <x v="22"/>
    <n v="85705"/>
    <x v="1"/>
    <s v="FUR-FU-10002937"/>
    <x v="0"/>
    <x v="3"/>
    <s v="GE 48&quot; Fluorescent Tube, Cool White Energy Saver, 34 Watts, 30/Box"/>
    <n v="238"/>
    <n v="3"/>
    <n v="0.2"/>
    <n v="89"/>
    <x v="2"/>
    <s v="Sep"/>
  </r>
  <r>
    <n v="6047"/>
    <s v="CA-2016-154662"/>
    <x v="641"/>
    <d v="2016-06-16T00:00:00"/>
    <x v="1"/>
    <s v="BF-11215"/>
    <s v="Benjamin Farhat"/>
    <x v="2"/>
    <s v="United States"/>
    <x v="12"/>
    <x v="11"/>
    <n v="55407"/>
    <x v="3"/>
    <s v="FUR-TA-10001771"/>
    <x v="0"/>
    <x v="2"/>
    <s v="Bush Cubix Conference Tables, Fully Assembled"/>
    <n v="693"/>
    <n v="3"/>
    <n v="0"/>
    <n v="173"/>
    <x v="1"/>
    <s v="Jun"/>
  </r>
  <r>
    <n v="6054"/>
    <s v="CA-2016-124016"/>
    <x v="348"/>
    <d v="2016-09-26T00:00:00"/>
    <x v="0"/>
    <s v="JS-15940"/>
    <s v="Joni Sundaresam"/>
    <x v="2"/>
    <s v="United States"/>
    <x v="68"/>
    <x v="15"/>
    <n v="43130"/>
    <x v="2"/>
    <s v="FUR-FU-10004963"/>
    <x v="0"/>
    <x v="3"/>
    <s v="Eldon 400 Class Desk Accessories, Black Carbon"/>
    <n v="28"/>
    <n v="4"/>
    <n v="0.2"/>
    <n v="8"/>
    <x v="0"/>
    <s v="Sep"/>
  </r>
  <r>
    <n v="6068"/>
    <s v="CA-2017-166695"/>
    <x v="685"/>
    <d v="2017-05-24T00:00:00"/>
    <x v="1"/>
    <s v="CC-12430"/>
    <s v="Chuck Clark"/>
    <x v="2"/>
    <s v="United States"/>
    <x v="174"/>
    <x v="2"/>
    <n v="90712"/>
    <x v="1"/>
    <s v="FUR-CH-10000225"/>
    <x v="0"/>
    <x v="1"/>
    <s v="Global Geo Office Task Chair, Gray"/>
    <n v="518"/>
    <n v="8"/>
    <n v="0.2"/>
    <n v="-97"/>
    <x v="4"/>
    <s v="May"/>
  </r>
  <r>
    <n v="6069"/>
    <s v="CA-2017-166695"/>
    <x v="685"/>
    <d v="2017-05-24T00:00:00"/>
    <x v="1"/>
    <s v="CC-12430"/>
    <s v="Chuck Clark"/>
    <x v="2"/>
    <s v="United States"/>
    <x v="174"/>
    <x v="2"/>
    <n v="90712"/>
    <x v="1"/>
    <s v="FUR-FU-10002191"/>
    <x v="0"/>
    <x v="3"/>
    <s v="G.E. Halogen Desk Lamp Bulbs"/>
    <n v="7"/>
    <n v="1"/>
    <n v="0"/>
    <n v="3"/>
    <x v="4"/>
    <s v="May"/>
  </r>
  <r>
    <n v="6080"/>
    <s v="CA-2016-151561"/>
    <x v="686"/>
    <d v="2016-09-07T00:00:00"/>
    <x v="1"/>
    <s v="PG-18820"/>
    <s v="Patrick Gardner"/>
    <x v="0"/>
    <s v="United States"/>
    <x v="13"/>
    <x v="7"/>
    <n v="10011"/>
    <x v="2"/>
    <s v="FUR-FU-10004864"/>
    <x v="0"/>
    <x v="3"/>
    <s v="Howard Miller 14-1/2&quot; Diameter Chrome Round Wall Clock"/>
    <n v="192"/>
    <n v="3"/>
    <n v="0"/>
    <n v="61"/>
    <x v="6"/>
    <s v="Sep"/>
  </r>
  <r>
    <n v="6082"/>
    <s v="US-2014-165589"/>
    <x v="687"/>
    <d v="2014-02-18T00:00:00"/>
    <x v="3"/>
    <s v="TB-21595"/>
    <s v="Troy Blackwell"/>
    <x v="0"/>
    <s v="United States"/>
    <x v="294"/>
    <x v="5"/>
    <n v="79424"/>
    <x v="3"/>
    <s v="FUR-FU-10002396"/>
    <x v="0"/>
    <x v="3"/>
    <s v="DAX Copper Panel Document Frame, 5 x 7 Size"/>
    <n v="25"/>
    <n v="5"/>
    <n v="0.6"/>
    <n v="-11"/>
    <x v="7"/>
    <s v="Feb"/>
  </r>
  <r>
    <n v="6088"/>
    <s v="CA-2015-114048"/>
    <x v="646"/>
    <d v="2015-12-18T00:00:00"/>
    <x v="1"/>
    <s v="EH-13945"/>
    <s v="Eric Hoffmann"/>
    <x v="0"/>
    <s v="United States"/>
    <x v="46"/>
    <x v="2"/>
    <n v="92627"/>
    <x v="1"/>
    <s v="FUR-FU-10004351"/>
    <x v="0"/>
    <x v="3"/>
    <s v="Staple-based wall hangings"/>
    <n v="29"/>
    <n v="3"/>
    <n v="0"/>
    <n v="13"/>
    <x v="4"/>
    <s v="Dec"/>
  </r>
  <r>
    <n v="6091"/>
    <s v="CA-2017-100111"/>
    <x v="688"/>
    <d v="2017-09-26T00:00:00"/>
    <x v="1"/>
    <s v="SV-20365"/>
    <s v="Seth Vernon"/>
    <x v="0"/>
    <s v="United States"/>
    <x v="13"/>
    <x v="7"/>
    <n v="10035"/>
    <x v="2"/>
    <s v="FUR-CH-10003846"/>
    <x v="0"/>
    <x v="1"/>
    <s v="Hon Valutask Swivel Chairs"/>
    <n v="273"/>
    <n v="3"/>
    <n v="0.1"/>
    <n v="18"/>
    <x v="6"/>
    <s v="Sep"/>
  </r>
  <r>
    <n v="6097"/>
    <s v="CA-2017-100111"/>
    <x v="688"/>
    <d v="2017-09-26T00:00:00"/>
    <x v="1"/>
    <s v="SV-20365"/>
    <s v="Seth Vernon"/>
    <x v="0"/>
    <s v="United States"/>
    <x v="13"/>
    <x v="7"/>
    <n v="10035"/>
    <x v="2"/>
    <s v="FUR-CH-10003061"/>
    <x v="0"/>
    <x v="1"/>
    <s v="Global Leather Task Chair, Black"/>
    <n v="81"/>
    <n v="1"/>
    <n v="0.1"/>
    <n v="8"/>
    <x v="6"/>
    <s v="Sep"/>
  </r>
  <r>
    <n v="6100"/>
    <s v="CA-2017-100111"/>
    <x v="688"/>
    <d v="2017-09-26T00:00:00"/>
    <x v="1"/>
    <s v="SV-20365"/>
    <s v="Seth Vernon"/>
    <x v="0"/>
    <s v="United States"/>
    <x v="13"/>
    <x v="7"/>
    <n v="10035"/>
    <x v="2"/>
    <s v="FUR-CH-10004086"/>
    <x v="0"/>
    <x v="1"/>
    <s v="Hon 4070 Series Pagoda Armless Upholstered Stacking Chairs"/>
    <n v="2888"/>
    <n v="11"/>
    <n v="0.1"/>
    <n v="610"/>
    <x v="6"/>
    <s v="Sep"/>
  </r>
  <r>
    <n v="6102"/>
    <s v="CA-2017-100111"/>
    <x v="688"/>
    <d v="2017-09-26T00:00:00"/>
    <x v="1"/>
    <s v="SV-20365"/>
    <s v="Seth Vernon"/>
    <x v="0"/>
    <s v="United States"/>
    <x v="13"/>
    <x v="7"/>
    <n v="10035"/>
    <x v="2"/>
    <s v="FUR-CH-10001215"/>
    <x v="0"/>
    <x v="1"/>
    <s v="Global Troy Executive Leather Low-Back Tilter"/>
    <n v="2254"/>
    <n v="5"/>
    <n v="0.1"/>
    <n v="376"/>
    <x v="6"/>
    <s v="Sep"/>
  </r>
  <r>
    <n v="6105"/>
    <s v="US-2017-132381"/>
    <x v="621"/>
    <d v="2017-08-24T00:00:00"/>
    <x v="2"/>
    <s v="Dp-13240"/>
    <s v="Dean percer"/>
    <x v="2"/>
    <s v="United States"/>
    <x v="3"/>
    <x v="3"/>
    <n v="19143"/>
    <x v="2"/>
    <s v="FUR-TA-10002356"/>
    <x v="0"/>
    <x v="2"/>
    <s v="Bevis Boat-Shaped Conference Table"/>
    <n v="315"/>
    <n v="2"/>
    <n v="0.4"/>
    <n v="-84"/>
    <x v="3"/>
    <s v="Aug"/>
  </r>
  <r>
    <n v="6111"/>
    <s v="CA-2016-124590"/>
    <x v="689"/>
    <d v="2016-11-16T00:00:00"/>
    <x v="1"/>
    <s v="SP-20920"/>
    <s v="Susan Pistek"/>
    <x v="0"/>
    <s v="United States"/>
    <x v="255"/>
    <x v="15"/>
    <n v="44134"/>
    <x v="2"/>
    <s v="FUR-CH-10004495"/>
    <x v="0"/>
    <x v="1"/>
    <s v="Global Leather and Oak Executive Chair, Black"/>
    <n v="1475"/>
    <n v="7"/>
    <n v="0.3"/>
    <n v="-21"/>
    <x v="4"/>
    <s v="Nov"/>
  </r>
  <r>
    <n v="6114"/>
    <s v="CA-2016-124590"/>
    <x v="689"/>
    <d v="2016-11-16T00:00:00"/>
    <x v="1"/>
    <s v="SP-20920"/>
    <s v="Susan Pistek"/>
    <x v="0"/>
    <s v="United States"/>
    <x v="255"/>
    <x v="15"/>
    <n v="44134"/>
    <x v="2"/>
    <s v="FUR-CH-10000454"/>
    <x v="0"/>
    <x v="1"/>
    <s v="Hon Deluxe Fabric Upholstered Stacking Chairs, Rounded Back"/>
    <n v="1537"/>
    <n v="9"/>
    <n v="0.3"/>
    <n v="0"/>
    <x v="4"/>
    <s v="Nov"/>
  </r>
  <r>
    <n v="6115"/>
    <s v="CA-2016-124590"/>
    <x v="689"/>
    <d v="2016-11-16T00:00:00"/>
    <x v="1"/>
    <s v="SP-20920"/>
    <s v="Susan Pistek"/>
    <x v="0"/>
    <s v="United States"/>
    <x v="255"/>
    <x v="15"/>
    <n v="44134"/>
    <x v="2"/>
    <s v="FUR-CH-10003746"/>
    <x v="0"/>
    <x v="1"/>
    <s v="Hon 4070 Series Pagoda Round Back Stacking Chairs"/>
    <n v="449"/>
    <n v="2"/>
    <n v="0.3"/>
    <n v="-13"/>
    <x v="4"/>
    <s v="Nov"/>
  </r>
  <r>
    <n v="6121"/>
    <s v="CA-2017-143378"/>
    <x v="690"/>
    <d v="2017-09-25T00:00:00"/>
    <x v="1"/>
    <s v="JR-16210"/>
    <s v="Justin Ritter"/>
    <x v="1"/>
    <s v="United States"/>
    <x v="76"/>
    <x v="36"/>
    <n v="97477"/>
    <x v="1"/>
    <s v="FUR-FU-10004864"/>
    <x v="0"/>
    <x v="3"/>
    <s v="Howard Miller 14-1/2&quot; Diameter Chrome Round Wall Clock"/>
    <n v="409"/>
    <n v="8"/>
    <n v="0.2"/>
    <n v="61"/>
    <x v="6"/>
    <s v="Sep"/>
  </r>
  <r>
    <n v="6122"/>
    <s v="CA-2017-143378"/>
    <x v="690"/>
    <d v="2017-09-25T00:00:00"/>
    <x v="1"/>
    <s v="JR-16210"/>
    <s v="Justin Ritter"/>
    <x v="1"/>
    <s v="United States"/>
    <x v="76"/>
    <x v="36"/>
    <n v="97477"/>
    <x v="1"/>
    <s v="FUR-BO-10001972"/>
    <x v="0"/>
    <x v="0"/>
    <s v="O'Sullivan 4-Shelf Bookcase in Odessa Pine"/>
    <n v="73"/>
    <n v="2"/>
    <n v="0.7"/>
    <n v="-128"/>
    <x v="6"/>
    <s v="Sep"/>
  </r>
  <r>
    <n v="6128"/>
    <s v="CA-2016-124100"/>
    <x v="691"/>
    <d v="2016-04-06T00:00:00"/>
    <x v="1"/>
    <s v="EH-13990"/>
    <s v="Erica Hackney"/>
    <x v="0"/>
    <s v="United States"/>
    <x v="13"/>
    <x v="7"/>
    <n v="10009"/>
    <x v="2"/>
    <s v="FUR-CH-10003817"/>
    <x v="0"/>
    <x v="1"/>
    <s v="Global Value Steno Chair, Gray"/>
    <n v="328"/>
    <n v="6"/>
    <n v="0.1"/>
    <n v="55"/>
    <x v="6"/>
    <s v="Mar"/>
  </r>
  <r>
    <n v="6132"/>
    <s v="CA-2014-163447"/>
    <x v="421"/>
    <d v="2014-12-31T00:00:00"/>
    <x v="1"/>
    <s v="TB-21190"/>
    <s v="Thomas Brumley"/>
    <x v="2"/>
    <s v="United States"/>
    <x v="13"/>
    <x v="7"/>
    <n v="10011"/>
    <x v="2"/>
    <s v="FUR-CH-10004477"/>
    <x v="0"/>
    <x v="1"/>
    <s v="Global Push Button Manager's Chair, Indigo"/>
    <n v="767"/>
    <n v="14"/>
    <n v="0.1"/>
    <n v="162"/>
    <x v="4"/>
    <s v="Dec"/>
  </r>
  <r>
    <n v="6134"/>
    <s v="CA-2016-148096"/>
    <x v="692"/>
    <d v="2016-08-19T00:00:00"/>
    <x v="2"/>
    <s v="AO-10810"/>
    <s v="Anthony O'Donnell"/>
    <x v="1"/>
    <s v="United States"/>
    <x v="2"/>
    <x v="2"/>
    <n v="90045"/>
    <x v="1"/>
    <s v="FUR-TA-10004152"/>
    <x v="0"/>
    <x v="2"/>
    <s v="Barricks 18&quot; x 48&quot; Non-Folding Utility Table with Bottom Storage Shelf"/>
    <n v="161"/>
    <n v="2"/>
    <n v="0.2"/>
    <n v="12"/>
    <x v="0"/>
    <s v="Aug"/>
  </r>
  <r>
    <n v="6139"/>
    <s v="CA-2014-131247"/>
    <x v="693"/>
    <d v="2014-04-04T00:00:00"/>
    <x v="1"/>
    <s v="GA-14725"/>
    <s v="Guy Armstrong"/>
    <x v="0"/>
    <s v="United States"/>
    <x v="28"/>
    <x v="2"/>
    <n v="94110"/>
    <x v="1"/>
    <s v="FUR-BO-10001337"/>
    <x v="0"/>
    <x v="0"/>
    <s v="O'Sullivan Living Dimensions 2-Shelf Bookcases"/>
    <n v="206"/>
    <n v="2"/>
    <n v="0.15"/>
    <n v="-12"/>
    <x v="2"/>
    <s v="Mar"/>
  </r>
  <r>
    <n v="6150"/>
    <s v="CA-2017-101322"/>
    <x v="158"/>
    <d v="2017-12-31T00:00:00"/>
    <x v="2"/>
    <s v="JG-15310"/>
    <s v="Jason Gross"/>
    <x v="1"/>
    <s v="United States"/>
    <x v="62"/>
    <x v="2"/>
    <n v="90805"/>
    <x v="1"/>
    <s v="FUR-CH-10003968"/>
    <x v="0"/>
    <x v="1"/>
    <s v="Novimex Turbo Task Chair"/>
    <n v="341"/>
    <n v="6"/>
    <n v="0.2"/>
    <n v="-34"/>
    <x v="0"/>
    <s v="Dec"/>
  </r>
  <r>
    <n v="6151"/>
    <s v="US-2016-106600"/>
    <x v="57"/>
    <d v="2016-04-11T00:00:00"/>
    <x v="2"/>
    <s v="RM-19375"/>
    <s v="Raymond Messe"/>
    <x v="0"/>
    <s v="United States"/>
    <x v="29"/>
    <x v="24"/>
    <n v="31907"/>
    <x v="0"/>
    <s v="FUR-BO-10001608"/>
    <x v="0"/>
    <x v="0"/>
    <s v="Hon Metal Bookcases, Black"/>
    <n v="355"/>
    <n v="5"/>
    <n v="0"/>
    <n v="89"/>
    <x v="0"/>
    <s v="Apr"/>
  </r>
  <r>
    <n v="6152"/>
    <s v="CA-2014-111871"/>
    <x v="385"/>
    <d v="2014-03-21T00:00:00"/>
    <x v="0"/>
    <s v="EK-13795"/>
    <s v="Eileen Kiefer"/>
    <x v="2"/>
    <s v="United States"/>
    <x v="28"/>
    <x v="2"/>
    <n v="94110"/>
    <x v="1"/>
    <s v="FUR-BO-10004218"/>
    <x v="0"/>
    <x v="0"/>
    <s v="Bush Heritage Pine Collection 5-Shelf Bookcase, Albany Pine Finish, *Special Order"/>
    <n v="1198"/>
    <n v="10"/>
    <n v="0.15"/>
    <n v="70"/>
    <x v="0"/>
    <s v="Mar"/>
  </r>
  <r>
    <n v="6154"/>
    <s v="CA-2017-151484"/>
    <x v="333"/>
    <d v="2017-04-23T00:00:00"/>
    <x v="2"/>
    <s v="CV-12805"/>
    <s v="Cynthia Voltz"/>
    <x v="1"/>
    <s v="United States"/>
    <x v="3"/>
    <x v="3"/>
    <n v="19120"/>
    <x v="2"/>
    <s v="FUR-FU-10001876"/>
    <x v="0"/>
    <x v="3"/>
    <s v="Computer Room Manger, 14&quot;"/>
    <n v="52"/>
    <n v="2"/>
    <n v="0.2"/>
    <n v="10"/>
    <x v="0"/>
    <s v="Apr"/>
  </r>
  <r>
    <n v="6157"/>
    <s v="CA-2017-151484"/>
    <x v="333"/>
    <d v="2017-04-23T00:00:00"/>
    <x v="2"/>
    <s v="CV-12805"/>
    <s v="Cynthia Voltz"/>
    <x v="1"/>
    <s v="United States"/>
    <x v="3"/>
    <x v="3"/>
    <n v="19120"/>
    <x v="2"/>
    <s v="FUR-FU-10004671"/>
    <x v="0"/>
    <x v="3"/>
    <s v="Executive Impressions 12&quot; Wall Clock"/>
    <n v="42"/>
    <n v="3"/>
    <n v="0.2"/>
    <n v="10"/>
    <x v="0"/>
    <s v="Apr"/>
  </r>
  <r>
    <n v="6165"/>
    <s v="CA-2014-103989"/>
    <x v="694"/>
    <d v="2014-03-21T00:00:00"/>
    <x v="2"/>
    <s v="MC-17605"/>
    <s v="Matt Connell"/>
    <x v="1"/>
    <s v="United States"/>
    <x v="49"/>
    <x v="1"/>
    <n v="33801"/>
    <x v="0"/>
    <s v="FUR-FU-10003981"/>
    <x v="0"/>
    <x v="3"/>
    <s v="Eldon Wave Desk Accessories"/>
    <n v="5"/>
    <n v="3"/>
    <n v="0.2"/>
    <n v="1"/>
    <x v="3"/>
    <s v="Mar"/>
  </r>
  <r>
    <n v="6166"/>
    <s v="CA-2014-103989"/>
    <x v="694"/>
    <d v="2014-03-21T00:00:00"/>
    <x v="2"/>
    <s v="MC-17605"/>
    <s v="Matt Connell"/>
    <x v="1"/>
    <s v="United States"/>
    <x v="49"/>
    <x v="1"/>
    <n v="33801"/>
    <x v="0"/>
    <s v="FUR-FU-10002508"/>
    <x v="0"/>
    <x v="3"/>
    <s v="Document Clip Frames"/>
    <n v="20"/>
    <n v="3"/>
    <n v="0.2"/>
    <n v="6"/>
    <x v="3"/>
    <s v="Mar"/>
  </r>
  <r>
    <n v="6176"/>
    <s v="CA-2015-158421"/>
    <x v="231"/>
    <d v="2015-09-26T00:00:00"/>
    <x v="1"/>
    <s v="GB-14575"/>
    <s v="Giulietta Baptist"/>
    <x v="0"/>
    <s v="United States"/>
    <x v="11"/>
    <x v="10"/>
    <n v="29203"/>
    <x v="0"/>
    <s v="FUR-CH-10000309"/>
    <x v="0"/>
    <x v="1"/>
    <s v="Global Comet Stacking Arm Chair"/>
    <n v="1690"/>
    <n v="4"/>
    <n v="0"/>
    <n v="423"/>
    <x v="2"/>
    <s v="Sep"/>
  </r>
  <r>
    <n v="6185"/>
    <s v="CA-2016-143609"/>
    <x v="106"/>
    <d v="2016-12-13T00:00:00"/>
    <x v="2"/>
    <s v="DB-13270"/>
    <s v="Deborah Brumfield"/>
    <x v="2"/>
    <s v="United States"/>
    <x v="295"/>
    <x v="36"/>
    <n v="97206"/>
    <x v="1"/>
    <s v="FUR-CH-10004218"/>
    <x v="0"/>
    <x v="1"/>
    <s v="Global Fabric Manager's Chair, Dark Gray"/>
    <n v="404"/>
    <n v="5"/>
    <n v="0.2"/>
    <n v="25"/>
    <x v="3"/>
    <s v="Dec"/>
  </r>
  <r>
    <n v="6191"/>
    <s v="CA-2016-157259"/>
    <x v="695"/>
    <d v="2016-12-28T00:00:00"/>
    <x v="1"/>
    <s v="JM-15535"/>
    <s v="Jessica Myrick"/>
    <x v="0"/>
    <s v="United States"/>
    <x v="13"/>
    <x v="7"/>
    <n v="10035"/>
    <x v="2"/>
    <s v="FUR-FU-10003192"/>
    <x v="0"/>
    <x v="3"/>
    <s v="Luxo Adjustable Task Clamp Lamp"/>
    <n v="800"/>
    <n v="9"/>
    <n v="0"/>
    <n v="208"/>
    <x v="4"/>
    <s v="Dec"/>
  </r>
  <r>
    <n v="6203"/>
    <s v="CA-2016-118332"/>
    <x v="696"/>
    <d v="2016-12-23T00:00:00"/>
    <x v="1"/>
    <s v="PK-19075"/>
    <s v="Pete Kriz"/>
    <x v="0"/>
    <s v="United States"/>
    <x v="278"/>
    <x v="2"/>
    <n v="92307"/>
    <x v="1"/>
    <s v="FUR-CH-10001708"/>
    <x v="0"/>
    <x v="1"/>
    <s v="Office Star - Contemporary Swivel Chair with Padded Adjustable Arms and Flex Back"/>
    <n v="564"/>
    <n v="5"/>
    <n v="0.2"/>
    <n v="7"/>
    <x v="1"/>
    <s v="Dec"/>
  </r>
  <r>
    <n v="6205"/>
    <s v="CA-2017-145660"/>
    <x v="451"/>
    <d v="2017-12-03T00:00:00"/>
    <x v="2"/>
    <s v="MG-17650"/>
    <s v="Matthew Grinstein"/>
    <x v="2"/>
    <s v="United States"/>
    <x v="149"/>
    <x v="15"/>
    <n v="43302"/>
    <x v="2"/>
    <s v="FUR-FU-10002885"/>
    <x v="0"/>
    <x v="3"/>
    <s v="Magna Visual Magnetic Picture Hangers"/>
    <n v="8"/>
    <n v="2"/>
    <n v="0.2"/>
    <n v="2"/>
    <x v="3"/>
    <s v="Dec"/>
  </r>
  <r>
    <n v="6208"/>
    <s v="CA-2016-133697"/>
    <x v="697"/>
    <d v="2016-10-24T00:00:00"/>
    <x v="0"/>
    <s v="CM-12445"/>
    <s v="Chuck Magee"/>
    <x v="0"/>
    <s v="United States"/>
    <x v="6"/>
    <x v="5"/>
    <n v="77095"/>
    <x v="3"/>
    <s v="FUR-CH-10002372"/>
    <x v="0"/>
    <x v="1"/>
    <s v="Office Star - Ergonomically Designed Knee Chair"/>
    <n v="57"/>
    <n v="1"/>
    <n v="0.3"/>
    <n v="-15"/>
    <x v="4"/>
    <s v="Oct"/>
  </r>
  <r>
    <n v="6212"/>
    <s v="CA-2017-119809"/>
    <x v="100"/>
    <d v="2017-08-25T00:00:00"/>
    <x v="1"/>
    <s v="YS-21880"/>
    <s v="Yana Sorensen"/>
    <x v="1"/>
    <s v="United States"/>
    <x v="15"/>
    <x v="13"/>
    <n v="98103"/>
    <x v="1"/>
    <s v="FUR-FU-10001475"/>
    <x v="0"/>
    <x v="3"/>
    <s v="Contract Clock, 14&quot;, Brown"/>
    <n v="66"/>
    <n v="3"/>
    <n v="0"/>
    <n v="22"/>
    <x v="1"/>
    <s v="Aug"/>
  </r>
  <r>
    <n v="6216"/>
    <s v="CA-2015-161711"/>
    <x v="44"/>
    <d v="2015-12-03T00:00:00"/>
    <x v="1"/>
    <s v="MC-17425"/>
    <s v="Mark Cousins"/>
    <x v="1"/>
    <s v="United States"/>
    <x v="13"/>
    <x v="7"/>
    <n v="10035"/>
    <x v="2"/>
    <s v="FUR-FU-10000087"/>
    <x v="0"/>
    <x v="3"/>
    <s v="Executive Impressions 14&quot; Two-Color Numerals Wall Clock"/>
    <n v="68"/>
    <n v="3"/>
    <n v="0"/>
    <n v="28"/>
    <x v="2"/>
    <s v="Nov"/>
  </r>
  <r>
    <n v="6223"/>
    <s v="CA-2017-140627"/>
    <x v="340"/>
    <d v="2017-12-27T00:00:00"/>
    <x v="1"/>
    <s v="DK-12985"/>
    <s v="Darren Koutras"/>
    <x v="0"/>
    <s v="United States"/>
    <x v="296"/>
    <x v="9"/>
    <n v="37075"/>
    <x v="0"/>
    <s v="FUR-FU-10000087"/>
    <x v="0"/>
    <x v="3"/>
    <s v="Executive Impressions 14&quot; Two-Color Numerals Wall Clock"/>
    <n v="73"/>
    <n v="4"/>
    <n v="0.2"/>
    <n v="19"/>
    <x v="4"/>
    <s v="Dec"/>
  </r>
  <r>
    <n v="6226"/>
    <s v="CA-2015-133445"/>
    <x v="698"/>
    <d v="2015-10-09T00:00:00"/>
    <x v="1"/>
    <s v="JF-15490"/>
    <s v="Jeremy Farry"/>
    <x v="0"/>
    <s v="United States"/>
    <x v="295"/>
    <x v="36"/>
    <n v="97206"/>
    <x v="1"/>
    <s v="FUR-BO-10003660"/>
    <x v="0"/>
    <x v="0"/>
    <s v="Bush Cubix Collection Bookcases, Fully Assembled"/>
    <n v="66"/>
    <n v="1"/>
    <n v="0.7"/>
    <n v="-104"/>
    <x v="4"/>
    <s v="Oct"/>
  </r>
  <r>
    <n v="6227"/>
    <s v="CA-2015-133445"/>
    <x v="698"/>
    <d v="2015-10-09T00:00:00"/>
    <x v="1"/>
    <s v="JF-15490"/>
    <s v="Jeremy Farry"/>
    <x v="0"/>
    <s v="United States"/>
    <x v="295"/>
    <x v="36"/>
    <n v="97206"/>
    <x v="1"/>
    <s v="FUR-CH-10000422"/>
    <x v="0"/>
    <x v="1"/>
    <s v="Global Highback Leather Tilter in Burgundy"/>
    <n v="291"/>
    <n v="4"/>
    <n v="0.2"/>
    <n v="-15"/>
    <x v="4"/>
    <s v="Oct"/>
  </r>
  <r>
    <n v="6232"/>
    <s v="US-2017-142188"/>
    <x v="91"/>
    <d v="2017-09-11T00:00:00"/>
    <x v="3"/>
    <s v="JF-15415"/>
    <s v="Jennifer Ferguson"/>
    <x v="0"/>
    <s v="United States"/>
    <x v="15"/>
    <x v="13"/>
    <n v="98105"/>
    <x v="1"/>
    <s v="FUR-CH-10003199"/>
    <x v="0"/>
    <x v="1"/>
    <s v="Office Star - Contemporary Task Swivel Chair"/>
    <n v="178"/>
    <n v="2"/>
    <n v="0.2"/>
    <n v="9"/>
    <x v="7"/>
    <s v="Sep"/>
  </r>
  <r>
    <n v="6239"/>
    <s v="CA-2015-134075"/>
    <x v="132"/>
    <d v="2015-12-16T00:00:00"/>
    <x v="1"/>
    <s v="HA-14905"/>
    <s v="Helen Abelman"/>
    <x v="0"/>
    <s v="United States"/>
    <x v="124"/>
    <x v="2"/>
    <n v="95123"/>
    <x v="1"/>
    <s v="FUR-FU-10004597"/>
    <x v="0"/>
    <x v="3"/>
    <s v="Eldon Cleatmat Chair Mats for Medium Pile Carpets"/>
    <n v="166"/>
    <n v="3"/>
    <n v="0"/>
    <n v="22"/>
    <x v="4"/>
    <s v="Dec"/>
  </r>
  <r>
    <n v="6242"/>
    <s v="CA-2017-141572"/>
    <x v="15"/>
    <d v="2017-05-31T00:00:00"/>
    <x v="0"/>
    <s v="LO-17170"/>
    <s v="Lori Olson"/>
    <x v="1"/>
    <s v="United States"/>
    <x v="41"/>
    <x v="28"/>
    <n v="3301"/>
    <x v="2"/>
    <s v="FUR-FU-10001185"/>
    <x v="0"/>
    <x v="3"/>
    <s v="Advantus Employee of the Month Certificate Frame, 11 x 13-1/2"/>
    <n v="247"/>
    <n v="8"/>
    <n v="0"/>
    <n v="101"/>
    <x v="0"/>
    <s v="May"/>
  </r>
  <r>
    <n v="6246"/>
    <s v="CA-2015-112305"/>
    <x v="141"/>
    <d v="2015-11-25T00:00:00"/>
    <x v="1"/>
    <s v="KB-16405"/>
    <s v="Katrina Bavinger"/>
    <x v="2"/>
    <s v="United States"/>
    <x v="15"/>
    <x v="13"/>
    <n v="98105"/>
    <x v="1"/>
    <s v="FUR-FU-10002364"/>
    <x v="0"/>
    <x v="3"/>
    <s v="Eldon Expressions Wood Desk Accessories, Oak"/>
    <n v="22"/>
    <n v="3"/>
    <n v="0"/>
    <n v="6"/>
    <x v="2"/>
    <s v="Nov"/>
  </r>
  <r>
    <n v="6249"/>
    <s v="CA-2017-121580"/>
    <x v="464"/>
    <d v="2017-06-04T00:00:00"/>
    <x v="1"/>
    <s v="ML-17410"/>
    <s v="Maris LaWare"/>
    <x v="0"/>
    <s v="United States"/>
    <x v="29"/>
    <x v="6"/>
    <n v="47201"/>
    <x v="3"/>
    <s v="FUR-FU-10003981"/>
    <x v="0"/>
    <x v="3"/>
    <s v="Eldon Wave Desk Accessories"/>
    <n v="6"/>
    <n v="3"/>
    <n v="0"/>
    <n v="3"/>
    <x v="6"/>
    <s v="May"/>
  </r>
  <r>
    <n v="6255"/>
    <s v="CA-2015-151624"/>
    <x v="699"/>
    <d v="2015-09-14T00:00:00"/>
    <x v="1"/>
    <s v="VW-21775"/>
    <s v="Victoria Wilson"/>
    <x v="1"/>
    <s v="United States"/>
    <x v="132"/>
    <x v="33"/>
    <n v="36116"/>
    <x v="0"/>
    <s v="FUR-FU-10001731"/>
    <x v="0"/>
    <x v="3"/>
    <s v="Acrylic Self-Standing Desk Frames"/>
    <n v="21"/>
    <n v="8"/>
    <n v="0"/>
    <n v="8"/>
    <x v="6"/>
    <s v="Sep"/>
  </r>
  <r>
    <n v="6271"/>
    <s v="CA-2017-102379"/>
    <x v="308"/>
    <d v="2017-12-06T00:00:00"/>
    <x v="1"/>
    <s v="BB-11545"/>
    <s v="Brenda Bowman"/>
    <x v="1"/>
    <s v="United States"/>
    <x v="121"/>
    <x v="2"/>
    <n v="94601"/>
    <x v="1"/>
    <s v="FUR-CH-10004983"/>
    <x v="0"/>
    <x v="1"/>
    <s v="Office Star - Mid Back Dual function Ergonomic High Back Chair with 2-Way Adjustable Arms"/>
    <n v="1159"/>
    <n v="9"/>
    <n v="0.2"/>
    <n v="43"/>
    <x v="4"/>
    <s v="Dec"/>
  </r>
  <r>
    <n v="6274"/>
    <s v="US-2016-139087"/>
    <x v="700"/>
    <d v="2016-07-22T00:00:00"/>
    <x v="0"/>
    <s v="DK-13375"/>
    <s v="Dennis Kane"/>
    <x v="0"/>
    <s v="United States"/>
    <x v="15"/>
    <x v="13"/>
    <n v="98105"/>
    <x v="1"/>
    <s v="FUR-FU-10001847"/>
    <x v="0"/>
    <x v="3"/>
    <s v="Eldon Image Series Black Desk Accessories"/>
    <n v="12"/>
    <n v="3"/>
    <n v="0"/>
    <n v="4"/>
    <x v="2"/>
    <s v="Jul"/>
  </r>
  <r>
    <n v="6276"/>
    <s v="US-2016-139087"/>
    <x v="700"/>
    <d v="2016-07-22T00:00:00"/>
    <x v="0"/>
    <s v="DK-13375"/>
    <s v="Dennis Kane"/>
    <x v="0"/>
    <s v="United States"/>
    <x v="15"/>
    <x v="13"/>
    <n v="98105"/>
    <x v="1"/>
    <s v="FUR-FU-10004164"/>
    <x v="0"/>
    <x v="3"/>
    <s v="Eldon 300 Class Desk Accessories, Black"/>
    <n v="25"/>
    <n v="5"/>
    <n v="0"/>
    <n v="11"/>
    <x v="2"/>
    <s v="Jul"/>
  </r>
  <r>
    <n v="6282"/>
    <s v="CA-2015-116484"/>
    <x v="141"/>
    <d v="2015-11-26T00:00:00"/>
    <x v="1"/>
    <s v="JK-15205"/>
    <s v="Jamie Kunitz"/>
    <x v="0"/>
    <s v="United States"/>
    <x v="149"/>
    <x v="15"/>
    <n v="43302"/>
    <x v="2"/>
    <s v="FUR-FU-10002874"/>
    <x v="0"/>
    <x v="3"/>
    <s v="Ultra Commercial Grade Dual Valve Door Closer"/>
    <n v="64"/>
    <n v="2"/>
    <n v="0.2"/>
    <n v="10"/>
    <x v="6"/>
    <s v="Nov"/>
  </r>
  <r>
    <n v="6285"/>
    <s v="CA-2016-100944"/>
    <x v="211"/>
    <d v="2016-09-28T00:00:00"/>
    <x v="1"/>
    <s v="EH-13765"/>
    <s v="Edward Hooks"/>
    <x v="1"/>
    <s v="United States"/>
    <x v="2"/>
    <x v="2"/>
    <n v="90049"/>
    <x v="1"/>
    <s v="FUR-CH-10000988"/>
    <x v="0"/>
    <x v="1"/>
    <s v="Hon Olson Stacker Stools"/>
    <n v="563"/>
    <n v="5"/>
    <n v="0.2"/>
    <n v="56"/>
    <x v="4"/>
    <s v="Sep"/>
  </r>
  <r>
    <n v="6286"/>
    <s v="CA-2016-125080"/>
    <x v="59"/>
    <d v="2016-10-26T00:00:00"/>
    <x v="1"/>
    <s v="VW-21775"/>
    <s v="Victoria Wilson"/>
    <x v="1"/>
    <s v="United States"/>
    <x v="174"/>
    <x v="15"/>
    <n v="44107"/>
    <x v="2"/>
    <s v="FUR-TA-10003238"/>
    <x v="0"/>
    <x v="2"/>
    <s v="Chromcraft Bull-Nose Wood 48&quot; x 96&quot; Rectangular Conference Tables"/>
    <n v="661"/>
    <n v="2"/>
    <n v="0.4"/>
    <n v="-231"/>
    <x v="2"/>
    <s v="Oct"/>
  </r>
  <r>
    <n v="6288"/>
    <s v="CA-2014-100090"/>
    <x v="591"/>
    <d v="2014-07-12T00:00:00"/>
    <x v="1"/>
    <s v="EB-13705"/>
    <s v="Ed Braxton"/>
    <x v="1"/>
    <s v="United States"/>
    <x v="28"/>
    <x v="2"/>
    <n v="94122"/>
    <x v="1"/>
    <s v="FUR-TA-10003715"/>
    <x v="0"/>
    <x v="2"/>
    <s v="Hon 2111 Invitation Series Corner Table"/>
    <n v="502"/>
    <n v="3"/>
    <n v="0.2"/>
    <n v="-88"/>
    <x v="4"/>
    <s v="Jul"/>
  </r>
  <r>
    <n v="6290"/>
    <s v="US-2015-139675"/>
    <x v="310"/>
    <d v="2015-03-18T00:00:00"/>
    <x v="0"/>
    <s v="NF-18595"/>
    <s v="Nicole Fjeld"/>
    <x v="2"/>
    <s v="United States"/>
    <x v="297"/>
    <x v="2"/>
    <n v="95928"/>
    <x v="1"/>
    <s v="FUR-CH-10004063"/>
    <x v="0"/>
    <x v="1"/>
    <s v="Global Deluxe High-Back Manager's Chair"/>
    <n v="915"/>
    <n v="4"/>
    <n v="0.2"/>
    <n v="103"/>
    <x v="2"/>
    <s v="Mar"/>
  </r>
  <r>
    <n v="6291"/>
    <s v="US-2015-139675"/>
    <x v="310"/>
    <d v="2015-03-18T00:00:00"/>
    <x v="0"/>
    <s v="NF-18595"/>
    <s v="Nicole Fjeld"/>
    <x v="2"/>
    <s v="United States"/>
    <x v="297"/>
    <x v="2"/>
    <n v="95928"/>
    <x v="1"/>
    <s v="FUR-FU-10001979"/>
    <x v="0"/>
    <x v="3"/>
    <s v="Dana Halogen Swing-Arm Architect Lamp"/>
    <n v="328"/>
    <n v="8"/>
    <n v="0"/>
    <n v="92"/>
    <x v="2"/>
    <s v="Mar"/>
  </r>
  <r>
    <n v="6292"/>
    <s v="CA-2017-143756"/>
    <x v="308"/>
    <d v="2017-12-05T00:00:00"/>
    <x v="2"/>
    <s v="ME-17725"/>
    <s v="Max Engle"/>
    <x v="0"/>
    <s v="United States"/>
    <x v="279"/>
    <x v="25"/>
    <n v="24153"/>
    <x v="0"/>
    <s v="FUR-CH-10001854"/>
    <x v="0"/>
    <x v="1"/>
    <s v="Office Star - Professional Matrix Back Chair with 2-to-1 Synchro Tilt and Mesh Fabric Seat"/>
    <n v="702"/>
    <n v="2"/>
    <n v="0"/>
    <n v="168"/>
    <x v="0"/>
    <s v="Dec"/>
  </r>
  <r>
    <n v="6300"/>
    <s v="CA-2017-107314"/>
    <x v="147"/>
    <d v="2017-12-03T00:00:00"/>
    <x v="2"/>
    <s v="MZ-17335"/>
    <s v="Maria Zettner"/>
    <x v="2"/>
    <s v="United States"/>
    <x v="28"/>
    <x v="2"/>
    <n v="94109"/>
    <x v="1"/>
    <s v="FUR-FU-10003489"/>
    <x v="0"/>
    <x v="3"/>
    <s v="Contemporary Borderless Frame"/>
    <n v="26"/>
    <n v="3"/>
    <n v="0"/>
    <n v="10"/>
    <x v="0"/>
    <s v="Nov"/>
  </r>
  <r>
    <n v="6307"/>
    <s v="CA-2016-163328"/>
    <x v="114"/>
    <d v="2016-11-06T00:00:00"/>
    <x v="0"/>
    <s v="TP-21565"/>
    <s v="Tracy Poddar"/>
    <x v="1"/>
    <s v="United States"/>
    <x v="298"/>
    <x v="36"/>
    <n v="97405"/>
    <x v="1"/>
    <s v="FUR-CH-10003298"/>
    <x v="0"/>
    <x v="1"/>
    <s v="Office Star - Contemporary Task Swivel chair with Loop Arms, Charcoal"/>
    <n v="105"/>
    <n v="1"/>
    <n v="0.2"/>
    <n v="-14"/>
    <x v="3"/>
    <s v="Nov"/>
  </r>
  <r>
    <n v="6309"/>
    <s v="CA-2016-163328"/>
    <x v="114"/>
    <d v="2016-11-06T00:00:00"/>
    <x v="0"/>
    <s v="TP-21565"/>
    <s v="Tracy Poddar"/>
    <x v="1"/>
    <s v="United States"/>
    <x v="298"/>
    <x v="36"/>
    <n v="97405"/>
    <x v="1"/>
    <s v="FUR-CH-10000229"/>
    <x v="0"/>
    <x v="1"/>
    <s v="Global Enterprise Series Seating High-Back Swivel/Tilt Chairs"/>
    <n v="650"/>
    <n v="3"/>
    <n v="0.2"/>
    <n v="-98"/>
    <x v="3"/>
    <s v="Nov"/>
  </r>
  <r>
    <n v="6312"/>
    <s v="CA-2014-112837"/>
    <x v="701"/>
    <d v="2014-09-16T00:00:00"/>
    <x v="1"/>
    <s v="LW-17125"/>
    <s v="Liz Willingham"/>
    <x v="0"/>
    <s v="United States"/>
    <x v="299"/>
    <x v="2"/>
    <n v="93030"/>
    <x v="1"/>
    <s v="FUR-FU-10004006"/>
    <x v="0"/>
    <x v="3"/>
    <s v="Deflect-o DuraMat Lighweight, Studded, Beveled Mat for Low Pile Carpeting"/>
    <n v="128"/>
    <n v="3"/>
    <n v="0"/>
    <n v="22"/>
    <x v="2"/>
    <s v="Sep"/>
  </r>
  <r>
    <n v="6328"/>
    <s v="CA-2014-167927"/>
    <x v="187"/>
    <d v="2014-01-26T00:00:00"/>
    <x v="1"/>
    <s v="XP-21865"/>
    <s v="Xylona Preis"/>
    <x v="0"/>
    <s v="United States"/>
    <x v="300"/>
    <x v="17"/>
    <n v="48185"/>
    <x v="3"/>
    <s v="FUR-FU-10002918"/>
    <x v="0"/>
    <x v="3"/>
    <s v="Eldon ClusterMat Chair Mat with Cordless Antistatic Protection"/>
    <n v="273"/>
    <n v="3"/>
    <n v="0"/>
    <n v="30"/>
    <x v="6"/>
    <s v="Jan"/>
  </r>
  <r>
    <n v="6333"/>
    <s v="CA-2014-167927"/>
    <x v="187"/>
    <d v="2014-01-26T00:00:00"/>
    <x v="1"/>
    <s v="XP-21865"/>
    <s v="Xylona Preis"/>
    <x v="0"/>
    <s v="United States"/>
    <x v="300"/>
    <x v="17"/>
    <n v="48185"/>
    <x v="3"/>
    <s v="FUR-FU-10002268"/>
    <x v="0"/>
    <x v="3"/>
    <s v="Ultra Door Push Plate"/>
    <n v="15"/>
    <n v="3"/>
    <n v="0"/>
    <n v="5"/>
    <x v="6"/>
    <s v="Jan"/>
  </r>
  <r>
    <n v="6337"/>
    <s v="CA-2016-165995"/>
    <x v="55"/>
    <d v="2016-09-06T00:00:00"/>
    <x v="1"/>
    <s v="BG-11740"/>
    <s v="Bruce Geld"/>
    <x v="0"/>
    <s v="United States"/>
    <x v="2"/>
    <x v="2"/>
    <n v="90008"/>
    <x v="1"/>
    <s v="FUR-FU-10000672"/>
    <x v="0"/>
    <x v="3"/>
    <s v="Executive Impressions 10&quot; Spectator Wall Clock"/>
    <n v="47"/>
    <n v="4"/>
    <n v="0"/>
    <n v="16"/>
    <x v="1"/>
    <s v="Aug"/>
  </r>
  <r>
    <n v="6340"/>
    <s v="CA-2017-143112"/>
    <x v="702"/>
    <d v="2017-10-09T00:00:00"/>
    <x v="1"/>
    <s v="TS-21370"/>
    <s v="Todd Sumrall"/>
    <x v="1"/>
    <s v="United States"/>
    <x v="13"/>
    <x v="7"/>
    <n v="10035"/>
    <x v="2"/>
    <s v="FUR-CH-10002880"/>
    <x v="0"/>
    <x v="1"/>
    <s v="Global High-Back Leather Tilter, Burgundy"/>
    <n v="221"/>
    <n v="2"/>
    <n v="0.1"/>
    <n v="2"/>
    <x v="4"/>
    <s v="Oct"/>
  </r>
  <r>
    <n v="6351"/>
    <s v="CA-2017-161557"/>
    <x v="667"/>
    <d v="2017-09-08T00:00:00"/>
    <x v="1"/>
    <s v="AG-10900"/>
    <s v="Arthur Gainer"/>
    <x v="0"/>
    <s v="United States"/>
    <x v="144"/>
    <x v="5"/>
    <n v="75217"/>
    <x v="3"/>
    <s v="FUR-FU-10004622"/>
    <x v="0"/>
    <x v="3"/>
    <s v="Eldon Advantage Foldable Chair Mats for Low Pile Carpets"/>
    <n v="108"/>
    <n v="5"/>
    <n v="0.6"/>
    <n v="-106"/>
    <x v="2"/>
    <s v="Sep"/>
  </r>
  <r>
    <n v="6370"/>
    <s v="CA-2016-103919"/>
    <x v="162"/>
    <d v="2016-10-07T00:00:00"/>
    <x v="1"/>
    <s v="TP-21565"/>
    <s v="Tracy Poddar"/>
    <x v="1"/>
    <s v="United States"/>
    <x v="141"/>
    <x v="5"/>
    <n v="75051"/>
    <x v="3"/>
    <s v="FUR-FU-10001756"/>
    <x v="0"/>
    <x v="3"/>
    <s v="Eldon Expressions Desk Accessory, Wood Photo Frame, Mahogany"/>
    <n v="38"/>
    <n v="5"/>
    <n v="0.6"/>
    <n v="-30"/>
    <x v="4"/>
    <s v="Oct"/>
  </r>
  <r>
    <n v="6371"/>
    <s v="CA-2016-113425"/>
    <x v="431"/>
    <d v="2016-11-21T00:00:00"/>
    <x v="3"/>
    <s v="JK-16120"/>
    <s v="Julie Kriz"/>
    <x v="2"/>
    <s v="United States"/>
    <x v="13"/>
    <x v="7"/>
    <n v="10009"/>
    <x v="2"/>
    <s v="FUR-BO-10002598"/>
    <x v="0"/>
    <x v="0"/>
    <s v="Hon Metal Bookcases, Putty"/>
    <n v="114"/>
    <n v="2"/>
    <n v="0.2"/>
    <n v="13"/>
    <x v="7"/>
    <s v="Nov"/>
  </r>
  <r>
    <n v="6372"/>
    <s v="CA-2017-143035"/>
    <x v="433"/>
    <d v="2017-10-05T00:00:00"/>
    <x v="0"/>
    <s v="CC-12430"/>
    <s v="Chuck Clark"/>
    <x v="2"/>
    <s v="United States"/>
    <x v="13"/>
    <x v="7"/>
    <n v="10009"/>
    <x v="2"/>
    <s v="FUR-FU-10001934"/>
    <x v="0"/>
    <x v="3"/>
    <s v="Magnifier Swing Arm Lamp"/>
    <n v="84"/>
    <n v="4"/>
    <n v="0"/>
    <n v="22"/>
    <x v="3"/>
    <s v="Oct"/>
  </r>
  <r>
    <n v="6375"/>
    <s v="CA-2014-107811"/>
    <x v="149"/>
    <d v="2014-05-03T00:00:00"/>
    <x v="1"/>
    <s v="LA-16780"/>
    <s v="Laura Armstrong"/>
    <x v="1"/>
    <s v="United States"/>
    <x v="10"/>
    <x v="9"/>
    <n v="38109"/>
    <x v="0"/>
    <s v="FUR-CH-10001394"/>
    <x v="0"/>
    <x v="1"/>
    <s v="Global Leather Executive Chair"/>
    <n v="562"/>
    <n v="2"/>
    <n v="0.2"/>
    <n v="70"/>
    <x v="4"/>
    <s v="Apr"/>
  </r>
  <r>
    <n v="6378"/>
    <s v="US-2016-116442"/>
    <x v="120"/>
    <d v="2016-12-22T00:00:00"/>
    <x v="1"/>
    <s v="BP-11230"/>
    <s v="Benjamin Patterson"/>
    <x v="0"/>
    <s v="United States"/>
    <x v="2"/>
    <x v="2"/>
    <n v="90004"/>
    <x v="1"/>
    <s v="FUR-FU-10002364"/>
    <x v="0"/>
    <x v="3"/>
    <s v="Eldon Expressions Wood Desk Accessories, Oak"/>
    <n v="15"/>
    <n v="2"/>
    <n v="0"/>
    <n v="4"/>
    <x v="1"/>
    <s v="Dec"/>
  </r>
  <r>
    <n v="6382"/>
    <s v="CA-2016-127236"/>
    <x v="477"/>
    <d v="2016-04-02T00:00:00"/>
    <x v="1"/>
    <s v="TB-21595"/>
    <s v="Troy Blackwell"/>
    <x v="0"/>
    <s v="United States"/>
    <x v="76"/>
    <x v="15"/>
    <n v="45503"/>
    <x v="2"/>
    <s v="FUR-BO-10004015"/>
    <x v="0"/>
    <x v="0"/>
    <s v="Bush Andora Bookcase, Maple/Graphite Gray Finish"/>
    <n v="300"/>
    <n v="5"/>
    <n v="0.5"/>
    <n v="-168"/>
    <x v="4"/>
    <s v="Mar"/>
  </r>
  <r>
    <n v="6395"/>
    <s v="CA-2016-129126"/>
    <x v="469"/>
    <d v="2016-12-19T00:00:00"/>
    <x v="1"/>
    <s v="PK-19075"/>
    <s v="Pete Kriz"/>
    <x v="0"/>
    <s v="United States"/>
    <x v="13"/>
    <x v="7"/>
    <n v="10011"/>
    <x v="2"/>
    <s v="FUR-FU-10002937"/>
    <x v="0"/>
    <x v="3"/>
    <s v="GE 48&quot; Fluorescent Tube, Cool White Energy Saver, 34 Watts, 30/Box"/>
    <n v="397"/>
    <n v="4"/>
    <n v="0"/>
    <n v="198"/>
    <x v="2"/>
    <s v="Dec"/>
  </r>
  <r>
    <n v="6402"/>
    <s v="CA-2017-125472"/>
    <x v="703"/>
    <d v="2017-05-31T00:00:00"/>
    <x v="2"/>
    <s v="BD-11725"/>
    <s v="Bruce Degenhardt"/>
    <x v="0"/>
    <s v="United States"/>
    <x v="120"/>
    <x v="35"/>
    <n v="70506"/>
    <x v="0"/>
    <s v="FUR-BO-10000330"/>
    <x v="0"/>
    <x v="0"/>
    <s v="Sauder Camden County Barrister Bookcase, Planked Cherry Finish"/>
    <n v="242"/>
    <n v="2"/>
    <n v="0"/>
    <n v="34"/>
    <x v="5"/>
    <s v="May"/>
  </r>
  <r>
    <n v="6404"/>
    <s v="CA-2017-125472"/>
    <x v="703"/>
    <d v="2017-05-31T00:00:00"/>
    <x v="2"/>
    <s v="BD-11725"/>
    <s v="Bruce Degenhardt"/>
    <x v="0"/>
    <s v="United States"/>
    <x v="120"/>
    <x v="35"/>
    <n v="70506"/>
    <x v="0"/>
    <s v="FUR-FU-10001731"/>
    <x v="0"/>
    <x v="3"/>
    <s v="Acrylic Self-Standing Desk Frames"/>
    <n v="8"/>
    <n v="3"/>
    <n v="0"/>
    <n v="3"/>
    <x v="5"/>
    <s v="May"/>
  </r>
  <r>
    <n v="6406"/>
    <s v="CA-2017-154074"/>
    <x v="704"/>
    <d v="2017-09-02T00:00:00"/>
    <x v="0"/>
    <s v="BW-11110"/>
    <s v="Bart Watters"/>
    <x v="1"/>
    <s v="United States"/>
    <x v="129"/>
    <x v="13"/>
    <n v="99207"/>
    <x v="1"/>
    <s v="FUR-CH-10002331"/>
    <x v="0"/>
    <x v="1"/>
    <s v="Hon 4700 Series Mobuis Mid-Back Task Chairs with Adjustable Arms"/>
    <n v="570"/>
    <n v="2"/>
    <n v="0.2"/>
    <n v="7"/>
    <x v="3"/>
    <s v="Aug"/>
  </r>
  <r>
    <n v="6408"/>
    <s v="CA-2017-161774"/>
    <x v="138"/>
    <d v="2017-05-15T00:00:00"/>
    <x v="2"/>
    <s v="GT-14710"/>
    <s v="Greg Tran"/>
    <x v="0"/>
    <s v="United States"/>
    <x v="6"/>
    <x v="5"/>
    <n v="77041"/>
    <x v="3"/>
    <s v="FUR-CH-10003981"/>
    <x v="0"/>
    <x v="1"/>
    <s v="Global Commerce Series Low-Back Swivel/Tilt Chairs"/>
    <n v="899"/>
    <n v="5"/>
    <n v="0.3"/>
    <n v="-13"/>
    <x v="5"/>
    <s v="May"/>
  </r>
  <r>
    <n v="6420"/>
    <s v="CA-2016-140130"/>
    <x v="359"/>
    <d v="2016-11-05T00:00:00"/>
    <x v="1"/>
    <s v="HW-14935"/>
    <s v="Helen Wasserman"/>
    <x v="1"/>
    <s v="United States"/>
    <x v="169"/>
    <x v="37"/>
    <n v="74133"/>
    <x v="3"/>
    <s v="FUR-CH-10002084"/>
    <x v="0"/>
    <x v="1"/>
    <s v="Hon Mobius Operator's Chair"/>
    <n v="369"/>
    <n v="3"/>
    <n v="0"/>
    <n v="81"/>
    <x v="2"/>
    <s v="Oct"/>
  </r>
  <r>
    <n v="6424"/>
    <s v="CA-2015-149650"/>
    <x v="634"/>
    <d v="2015-10-27T00:00:00"/>
    <x v="2"/>
    <s v="RD-19660"/>
    <s v="Robert Dilbeck"/>
    <x v="2"/>
    <s v="United States"/>
    <x v="121"/>
    <x v="2"/>
    <n v="94601"/>
    <x v="1"/>
    <s v="FUR-CH-10003956"/>
    <x v="0"/>
    <x v="1"/>
    <s v="Novimex High-Tech Fabric Mesh Task Chair"/>
    <n v="454"/>
    <n v="8"/>
    <n v="0.2"/>
    <n v="-74"/>
    <x v="0"/>
    <s v="Oct"/>
  </r>
  <r>
    <n v="6431"/>
    <s v="CA-2014-165764"/>
    <x v="705"/>
    <d v="2014-11-07T00:00:00"/>
    <x v="1"/>
    <s v="SH-20395"/>
    <s v="Shahid Hopkins"/>
    <x v="0"/>
    <s v="United States"/>
    <x v="51"/>
    <x v="30"/>
    <n v="28540"/>
    <x v="0"/>
    <s v="FUR-TA-10001768"/>
    <x v="0"/>
    <x v="2"/>
    <s v="Hon Racetrack Conference Tables"/>
    <n v="945"/>
    <n v="6"/>
    <n v="0.4"/>
    <n v="-299"/>
    <x v="4"/>
    <s v="Nov"/>
  </r>
  <r>
    <n v="6433"/>
    <s v="CA-2014-165764"/>
    <x v="705"/>
    <d v="2014-11-07T00:00:00"/>
    <x v="1"/>
    <s v="SH-20395"/>
    <s v="Shahid Hopkins"/>
    <x v="0"/>
    <s v="United States"/>
    <x v="51"/>
    <x v="30"/>
    <n v="28540"/>
    <x v="0"/>
    <s v="FUR-FU-10001468"/>
    <x v="0"/>
    <x v="3"/>
    <s v="Tenex Antistatic Computer Chair Mats"/>
    <n v="410"/>
    <n v="3"/>
    <n v="0.2"/>
    <n v="-51"/>
    <x v="4"/>
    <s v="Nov"/>
  </r>
  <r>
    <n v="6436"/>
    <s v="US-2017-116897"/>
    <x v="706"/>
    <d v="2017-05-29T00:00:00"/>
    <x v="2"/>
    <s v="JG-15160"/>
    <s v="James Galang"/>
    <x v="0"/>
    <s v="United States"/>
    <x v="280"/>
    <x v="42"/>
    <n v="83201"/>
    <x v="1"/>
    <s v="FUR-FU-10004963"/>
    <x v="0"/>
    <x v="3"/>
    <s v="Eldon 400 Class Desk Accessories, Black Carbon"/>
    <n v="35"/>
    <n v="4"/>
    <n v="0"/>
    <n v="15"/>
    <x v="3"/>
    <s v="May"/>
  </r>
  <r>
    <n v="6439"/>
    <s v="US-2017-113992"/>
    <x v="417"/>
    <d v="2017-12-19T00:00:00"/>
    <x v="1"/>
    <s v="LC-16885"/>
    <s v="Lena Creighton"/>
    <x v="0"/>
    <s v="United States"/>
    <x v="215"/>
    <x v="5"/>
    <n v="75023"/>
    <x v="3"/>
    <s v="FUR-TA-10000577"/>
    <x v="0"/>
    <x v="2"/>
    <s v="Bretford CR4500 Series Slim Rectangular Table"/>
    <n v="975"/>
    <n v="4"/>
    <n v="0.3"/>
    <n v="-97"/>
    <x v="2"/>
    <s v="Dec"/>
  </r>
  <r>
    <n v="6440"/>
    <s v="CA-2014-166891"/>
    <x v="707"/>
    <d v="2014-10-06T00:00:00"/>
    <x v="2"/>
    <s v="CC-12220"/>
    <s v="Chris Cortes"/>
    <x v="0"/>
    <s v="United States"/>
    <x v="13"/>
    <x v="7"/>
    <n v="10024"/>
    <x v="2"/>
    <s v="FUR-CH-10003298"/>
    <x v="0"/>
    <x v="1"/>
    <s v="Office Star - Contemporary Task Swivel chair with Loop Arms, Charcoal"/>
    <n v="589"/>
    <n v="5"/>
    <n v="0.1"/>
    <n v="-7"/>
    <x v="3"/>
    <s v="Oct"/>
  </r>
  <r>
    <n v="6445"/>
    <s v="CA-2016-101161"/>
    <x v="25"/>
    <d v="2016-10-20T00:00:00"/>
    <x v="1"/>
    <s v="BW-11110"/>
    <s v="Bart Watters"/>
    <x v="1"/>
    <s v="United States"/>
    <x v="13"/>
    <x v="7"/>
    <n v="10024"/>
    <x v="2"/>
    <s v="FUR-FU-10003535"/>
    <x v="0"/>
    <x v="3"/>
    <s v="Howard Miller Distant Time Traveler Alarm Clock"/>
    <n v="82"/>
    <n v="3"/>
    <n v="0"/>
    <n v="34"/>
    <x v="1"/>
    <s v="Oct"/>
  </r>
  <r>
    <n v="6447"/>
    <s v="US-2017-119816"/>
    <x v="708"/>
    <d v="2017-03-06T00:00:00"/>
    <x v="0"/>
    <s v="TT-21460"/>
    <s v="Tonja Turnell"/>
    <x v="2"/>
    <s v="United States"/>
    <x v="6"/>
    <x v="5"/>
    <n v="77095"/>
    <x v="3"/>
    <s v="FUR-FU-10004848"/>
    <x v="0"/>
    <x v="3"/>
    <s v="Howard Miller 13-3/4&quot; Diameter Brushed Chrome Round Wall Clock"/>
    <n v="104"/>
    <n v="5"/>
    <n v="0.6"/>
    <n v="-78"/>
    <x v="3"/>
    <s v="Mar"/>
  </r>
  <r>
    <n v="6456"/>
    <s v="CA-2017-161102"/>
    <x v="709"/>
    <d v="2017-08-03T00:00:00"/>
    <x v="2"/>
    <s v="EC-14050"/>
    <s v="Erin Creighton"/>
    <x v="0"/>
    <s v="United States"/>
    <x v="28"/>
    <x v="2"/>
    <n v="94110"/>
    <x v="1"/>
    <s v="FUR-FU-10003142"/>
    <x v="0"/>
    <x v="3"/>
    <s v="Master Big Foot Doorstop, Beige"/>
    <n v="37"/>
    <n v="7"/>
    <n v="0"/>
    <n v="11"/>
    <x v="0"/>
    <s v="Jul"/>
  </r>
  <r>
    <n v="6463"/>
    <s v="US-2017-133361"/>
    <x v="138"/>
    <d v="2017-05-17T00:00:00"/>
    <x v="2"/>
    <s v="AJ-10780"/>
    <s v="Anthony Jacobs"/>
    <x v="1"/>
    <s v="United States"/>
    <x v="237"/>
    <x v="32"/>
    <n v="21215"/>
    <x v="2"/>
    <s v="FUR-CH-10003298"/>
    <x v="0"/>
    <x v="1"/>
    <s v="Office Star - Contemporary Task Swivel chair with Loop Arms, Charcoal"/>
    <n v="262"/>
    <n v="2"/>
    <n v="0"/>
    <n v="24"/>
    <x v="0"/>
    <s v="May"/>
  </r>
  <r>
    <n v="6465"/>
    <s v="US-2016-155404"/>
    <x v="710"/>
    <d v="2016-09-28T00:00:00"/>
    <x v="1"/>
    <s v="AS-10630"/>
    <s v="Ann Steele"/>
    <x v="2"/>
    <s v="United States"/>
    <x v="74"/>
    <x v="0"/>
    <n v="40214"/>
    <x v="0"/>
    <s v="FUR-FU-10004586"/>
    <x v="0"/>
    <x v="3"/>
    <s v="G.E. Longer-Life Indoor Recessed Floodlight Bulbs"/>
    <n v="13"/>
    <n v="2"/>
    <n v="0"/>
    <n v="6"/>
    <x v="6"/>
    <s v="Sep"/>
  </r>
  <r>
    <n v="6470"/>
    <s v="CA-2016-163804"/>
    <x v="674"/>
    <d v="2016-12-08T00:00:00"/>
    <x v="1"/>
    <s v="DB-13270"/>
    <s v="Deborah Brumfield"/>
    <x v="2"/>
    <s v="United States"/>
    <x v="134"/>
    <x v="38"/>
    <n v="2908"/>
    <x v="2"/>
    <s v="FUR-FU-10004864"/>
    <x v="0"/>
    <x v="3"/>
    <s v="Eldon 500 Class Desk Accessories"/>
    <n v="72"/>
    <n v="6"/>
    <n v="0"/>
    <n v="24"/>
    <x v="6"/>
    <s v="Dec"/>
  </r>
  <r>
    <n v="6475"/>
    <s v="CA-2014-149524"/>
    <x v="711"/>
    <d v="2014-01-15T00:00:00"/>
    <x v="2"/>
    <s v="BS-11590"/>
    <s v="Brendan Sweed"/>
    <x v="1"/>
    <s v="United States"/>
    <x v="3"/>
    <x v="3"/>
    <n v="19140"/>
    <x v="2"/>
    <s v="FUR-BO-10003433"/>
    <x v="0"/>
    <x v="0"/>
    <s v="Sauder Cornerstone Collection Library"/>
    <n v="62"/>
    <n v="4"/>
    <n v="0.5"/>
    <n v="-53"/>
    <x v="5"/>
    <s v="Jan"/>
  </r>
  <r>
    <n v="6482"/>
    <s v="CA-2017-140872"/>
    <x v="35"/>
    <d v="2017-06-10T00:00:00"/>
    <x v="1"/>
    <s v="NR-18550"/>
    <s v="Nick Radford"/>
    <x v="0"/>
    <s v="United States"/>
    <x v="36"/>
    <x v="1"/>
    <n v="33024"/>
    <x v="0"/>
    <s v="FUR-BO-10002824"/>
    <x v="0"/>
    <x v="0"/>
    <s v="Bush Mission Pointe Library"/>
    <n v="242"/>
    <n v="2"/>
    <n v="0.2"/>
    <n v="0"/>
    <x v="1"/>
    <s v="Jun"/>
  </r>
  <r>
    <n v="6484"/>
    <s v="CA-2017-113908"/>
    <x v="35"/>
    <d v="2017-06-09T00:00:00"/>
    <x v="1"/>
    <s v="KN-16390"/>
    <s v="Katherine Nockton"/>
    <x v="1"/>
    <s v="United States"/>
    <x v="13"/>
    <x v="7"/>
    <n v="10011"/>
    <x v="2"/>
    <s v="FUR-TA-10001932"/>
    <x v="0"/>
    <x v="2"/>
    <s v="Chromcraft 48&quot; x 96&quot; Racetrack Double Pedestal Table"/>
    <n v="385"/>
    <n v="2"/>
    <n v="0.4"/>
    <n v="-115"/>
    <x v="6"/>
    <s v="Jun"/>
  </r>
  <r>
    <n v="6491"/>
    <s v="CA-2014-149594"/>
    <x v="712"/>
    <d v="2014-09-19T00:00:00"/>
    <x v="1"/>
    <s v="MF-18250"/>
    <s v="Monica Federle"/>
    <x v="1"/>
    <s v="United States"/>
    <x v="3"/>
    <x v="3"/>
    <n v="19120"/>
    <x v="2"/>
    <s v="FUR-FU-10000222"/>
    <x v="0"/>
    <x v="3"/>
    <s v="Seth Thomas 16&quot; Steel Case Clock"/>
    <n v="104"/>
    <n v="4"/>
    <n v="0.2"/>
    <n v="17"/>
    <x v="4"/>
    <s v="Sep"/>
  </r>
  <r>
    <n v="6492"/>
    <s v="CA-2016-113845"/>
    <x v="47"/>
    <d v="2016-11-25T00:00:00"/>
    <x v="1"/>
    <s v="FA-14230"/>
    <s v="Frank Atkinson"/>
    <x v="1"/>
    <s v="United States"/>
    <x v="301"/>
    <x v="1"/>
    <n v="32839"/>
    <x v="0"/>
    <s v="FUR-BO-10004695"/>
    <x v="0"/>
    <x v="0"/>
    <s v="O'Sullivan 2-Door Barrister Bookcase in Odessa Pine"/>
    <n v="290"/>
    <n v="2"/>
    <n v="0.2"/>
    <n v="11"/>
    <x v="2"/>
    <s v="Nov"/>
  </r>
  <r>
    <n v="6498"/>
    <s v="CA-2015-103135"/>
    <x v="713"/>
    <d v="2015-07-28T00:00:00"/>
    <x v="1"/>
    <s v="SS-20515"/>
    <s v="Shirley Schmidt"/>
    <x v="2"/>
    <s v="United States"/>
    <x v="74"/>
    <x v="0"/>
    <n v="40214"/>
    <x v="0"/>
    <s v="FUR-FU-10001487"/>
    <x v="0"/>
    <x v="3"/>
    <s v="Eldon Expressions Wood and Plastic Desk Accessories, Cherry Wood"/>
    <n v="21"/>
    <n v="3"/>
    <n v="0"/>
    <n v="6"/>
    <x v="4"/>
    <s v="Jul"/>
  </r>
  <r>
    <n v="6508"/>
    <s v="US-2016-128909"/>
    <x v="714"/>
    <d v="2016-10-11T00:00:00"/>
    <x v="0"/>
    <s v="SP-20545"/>
    <s v="Sibella Parks"/>
    <x v="1"/>
    <s v="United States"/>
    <x v="3"/>
    <x v="3"/>
    <n v="19143"/>
    <x v="2"/>
    <s v="FUR-FU-10004071"/>
    <x v="0"/>
    <x v="3"/>
    <s v="Luxo Professional Magnifying Clamp-On Fluorescent Lamps"/>
    <n v="333"/>
    <n v="4"/>
    <n v="0.2"/>
    <n v="-25"/>
    <x v="3"/>
    <s v="Oct"/>
  </r>
  <r>
    <n v="6516"/>
    <s v="US-2017-116652"/>
    <x v="102"/>
    <d v="2017-09-19T00:00:00"/>
    <x v="1"/>
    <s v="RD-19480"/>
    <s v="Rick Duston"/>
    <x v="0"/>
    <s v="United States"/>
    <x v="28"/>
    <x v="2"/>
    <n v="94122"/>
    <x v="1"/>
    <s v="FUR-CH-10002961"/>
    <x v="0"/>
    <x v="1"/>
    <s v="Leather Task Chair, Black"/>
    <n v="218"/>
    <n v="3"/>
    <n v="0.2"/>
    <n v="0"/>
    <x v="4"/>
    <s v="Sep"/>
  </r>
  <r>
    <n v="6517"/>
    <s v="US-2017-116652"/>
    <x v="102"/>
    <d v="2017-09-19T00:00:00"/>
    <x v="1"/>
    <s v="RD-19480"/>
    <s v="Rick Duston"/>
    <x v="0"/>
    <s v="United States"/>
    <x v="28"/>
    <x v="2"/>
    <n v="94122"/>
    <x v="1"/>
    <s v="FUR-FU-10001488"/>
    <x v="0"/>
    <x v="3"/>
    <s v="Tenex 46&quot; x 60&quot; Computer Anti-Static Chairmat, Rectangular Shaped"/>
    <n v="530"/>
    <n v="5"/>
    <n v="0"/>
    <n v="106"/>
    <x v="4"/>
    <s v="Sep"/>
  </r>
  <r>
    <n v="6522"/>
    <s v="CA-2017-138289"/>
    <x v="623"/>
    <d v="2017-01-18T00:00:00"/>
    <x v="0"/>
    <s v="AR-10540"/>
    <s v="Andy Reiter"/>
    <x v="0"/>
    <s v="United States"/>
    <x v="38"/>
    <x v="17"/>
    <n v="49201"/>
    <x v="3"/>
    <s v="FUR-CH-10004626"/>
    <x v="0"/>
    <x v="1"/>
    <s v="Office Star Flex Back Scooter Chair with Aluminum Finish Frame"/>
    <n v="303"/>
    <n v="3"/>
    <n v="0"/>
    <n v="73"/>
    <x v="3"/>
    <s v="Jan"/>
  </r>
  <r>
    <n v="6536"/>
    <s v="CA-2014-128209"/>
    <x v="317"/>
    <d v="2014-11-22T00:00:00"/>
    <x v="1"/>
    <s v="GT-14710"/>
    <s v="Greg Tran"/>
    <x v="0"/>
    <s v="United States"/>
    <x v="252"/>
    <x v="7"/>
    <n v="14215"/>
    <x v="2"/>
    <s v="FUR-BO-10002213"/>
    <x v="0"/>
    <x v="0"/>
    <s v="DMI Eclipse Executive Suite Bookcases"/>
    <n v="4008"/>
    <n v="10"/>
    <n v="0.2"/>
    <n v="-50"/>
    <x v="2"/>
    <s v="Nov"/>
  </r>
  <r>
    <n v="6537"/>
    <s v="CA-2014-169684"/>
    <x v="715"/>
    <d v="2014-10-23T00:00:00"/>
    <x v="2"/>
    <s v="FH-14365"/>
    <s v="Fred Hopkins"/>
    <x v="1"/>
    <s v="United States"/>
    <x v="270"/>
    <x v="9"/>
    <n v="37918"/>
    <x v="0"/>
    <s v="FUR-TA-10003008"/>
    <x v="0"/>
    <x v="2"/>
    <s v="Lesro Round Back Collection Coffee Table, End Table"/>
    <n v="329"/>
    <n v="3"/>
    <n v="0.4"/>
    <n v="-148"/>
    <x v="0"/>
    <s v="Oct"/>
  </r>
  <r>
    <n v="6540"/>
    <s v="CA-2015-109862"/>
    <x v="551"/>
    <d v="2015-10-30T00:00:00"/>
    <x v="1"/>
    <s v="HK-14890"/>
    <s v="Heather Kirkland"/>
    <x v="1"/>
    <s v="United States"/>
    <x v="19"/>
    <x v="14"/>
    <n v="19711"/>
    <x v="2"/>
    <s v="FUR-CH-10002439"/>
    <x v="0"/>
    <x v="1"/>
    <s v="Iceberg Nesting Folding Chair, 19w x 6d x 43h"/>
    <n v="291"/>
    <n v="5"/>
    <n v="0"/>
    <n v="76"/>
    <x v="2"/>
    <s v="Oct"/>
  </r>
  <r>
    <n v="6542"/>
    <s v="US-2017-107888"/>
    <x v="716"/>
    <d v="2017-11-19T00:00:00"/>
    <x v="2"/>
    <s v="CC-12220"/>
    <s v="Chris Cortes"/>
    <x v="0"/>
    <s v="United States"/>
    <x v="15"/>
    <x v="13"/>
    <n v="98103"/>
    <x v="1"/>
    <s v="FUR-FU-10003394"/>
    <x v="0"/>
    <x v="3"/>
    <s v="Tenex &quot;The Solids&quot; Textured Chair Mats"/>
    <n v="140"/>
    <n v="2"/>
    <n v="0"/>
    <n v="24"/>
    <x v="0"/>
    <s v="Nov"/>
  </r>
  <r>
    <n v="6548"/>
    <s v="CA-2014-113880"/>
    <x v="29"/>
    <d v="2014-03-05T00:00:00"/>
    <x v="1"/>
    <s v="VF-21715"/>
    <s v="Vicky Freymann"/>
    <x v="2"/>
    <s v="United States"/>
    <x v="302"/>
    <x v="8"/>
    <n v="60126"/>
    <x v="3"/>
    <s v="FUR-CH-10000863"/>
    <x v="0"/>
    <x v="1"/>
    <s v="Novimex Swivel Fabric Task Chair"/>
    <n v="634"/>
    <n v="6"/>
    <n v="0.3"/>
    <n v="-172"/>
    <x v="4"/>
    <s v="Mar"/>
  </r>
  <r>
    <n v="6550"/>
    <s v="US-2015-164966"/>
    <x v="45"/>
    <d v="2015-08-01T00:00:00"/>
    <x v="2"/>
    <s v="GH-14410"/>
    <s v="Gary Hansen"/>
    <x v="2"/>
    <s v="United States"/>
    <x v="27"/>
    <x v="11"/>
    <n v="55044"/>
    <x v="3"/>
    <s v="FUR-CH-10002304"/>
    <x v="0"/>
    <x v="1"/>
    <s v="Global Stack Chair without Arms, Black"/>
    <n v="156"/>
    <n v="6"/>
    <n v="0"/>
    <n v="39"/>
    <x v="3"/>
    <s v="Jul"/>
  </r>
  <r>
    <n v="6551"/>
    <s v="CA-2015-126739"/>
    <x v="341"/>
    <d v="2015-11-03T00:00:00"/>
    <x v="0"/>
    <s v="JH-16180"/>
    <s v="Justin Hirsh"/>
    <x v="0"/>
    <s v="United States"/>
    <x v="13"/>
    <x v="7"/>
    <n v="10035"/>
    <x v="2"/>
    <s v="FUR-CH-10000422"/>
    <x v="0"/>
    <x v="1"/>
    <s v="Global Highback Leather Tilter in Burgundy"/>
    <n v="328"/>
    <n v="4"/>
    <n v="0.1"/>
    <n v="22"/>
    <x v="3"/>
    <s v="Nov"/>
  </r>
  <r>
    <n v="6559"/>
    <s v="CA-2015-166947"/>
    <x v="717"/>
    <d v="2015-06-10T00:00:00"/>
    <x v="1"/>
    <s v="EB-13750"/>
    <s v="Edward Becker"/>
    <x v="1"/>
    <s v="United States"/>
    <x v="252"/>
    <x v="7"/>
    <n v="14215"/>
    <x v="2"/>
    <s v="FUR-CH-10004997"/>
    <x v="0"/>
    <x v="1"/>
    <s v="Hon Every-Day Series Multi-Task Chairs"/>
    <n v="1523"/>
    <n v="9"/>
    <n v="0.1"/>
    <n v="169"/>
    <x v="2"/>
    <s v="Jun"/>
  </r>
  <r>
    <n v="6564"/>
    <s v="CA-2014-166086"/>
    <x v="718"/>
    <d v="2014-05-12T00:00:00"/>
    <x v="1"/>
    <s v="CT-11995"/>
    <s v="Carol Triggs"/>
    <x v="0"/>
    <s v="United States"/>
    <x v="37"/>
    <x v="20"/>
    <n v="1841"/>
    <x v="2"/>
    <s v="FUR-TA-10003469"/>
    <x v="0"/>
    <x v="2"/>
    <s v="Balt Split Level Computer Training Table"/>
    <n v="194"/>
    <n v="2"/>
    <n v="0.3"/>
    <n v="-39"/>
    <x v="2"/>
    <s v="May"/>
  </r>
  <r>
    <n v="6566"/>
    <s v="CA-2014-166086"/>
    <x v="718"/>
    <d v="2014-05-12T00:00:00"/>
    <x v="1"/>
    <s v="CT-11995"/>
    <s v="Carol Triggs"/>
    <x v="0"/>
    <s v="United States"/>
    <x v="37"/>
    <x v="20"/>
    <n v="1841"/>
    <x v="2"/>
    <s v="FUR-CH-10004675"/>
    <x v="0"/>
    <x v="1"/>
    <s v="Lifetime Advantage Folding Chairs, 4/Carton"/>
    <n v="872"/>
    <n v="4"/>
    <n v="0"/>
    <n v="244"/>
    <x v="2"/>
    <s v="May"/>
  </r>
  <r>
    <n v="6570"/>
    <s v="CA-2014-100678"/>
    <x v="719"/>
    <d v="2014-04-22T00:00:00"/>
    <x v="1"/>
    <s v="KM-16720"/>
    <s v="Kunst Miller"/>
    <x v="0"/>
    <s v="United States"/>
    <x v="6"/>
    <x v="5"/>
    <n v="77095"/>
    <x v="3"/>
    <s v="FUR-CH-10002602"/>
    <x v="0"/>
    <x v="1"/>
    <s v="DMI Arturo Collection Mission-style Design Wood Chair"/>
    <n v="317"/>
    <n v="3"/>
    <n v="0.3"/>
    <n v="-18"/>
    <x v="4"/>
    <s v="Apr"/>
  </r>
  <r>
    <n v="6577"/>
    <s v="CA-2017-123085"/>
    <x v="470"/>
    <d v="2017-03-08T00:00:00"/>
    <x v="1"/>
    <s v="EJ-13720"/>
    <s v="Ed Jacobs"/>
    <x v="0"/>
    <s v="United States"/>
    <x v="2"/>
    <x v="2"/>
    <n v="90008"/>
    <x v="1"/>
    <s v="FUR-CH-10003968"/>
    <x v="0"/>
    <x v="1"/>
    <s v="Novimex Turbo Task Chair"/>
    <n v="170"/>
    <n v="3"/>
    <n v="0.2"/>
    <n v="-17"/>
    <x v="2"/>
    <s v="Mar"/>
  </r>
  <r>
    <n v="6582"/>
    <s v="CA-2016-169887"/>
    <x v="148"/>
    <d v="2016-10-22T00:00:00"/>
    <x v="3"/>
    <s v="MS-17530"/>
    <s v="MaryBeth Skach"/>
    <x v="0"/>
    <s v="United States"/>
    <x v="15"/>
    <x v="13"/>
    <n v="98105"/>
    <x v="1"/>
    <s v="FUR-FU-10003095"/>
    <x v="0"/>
    <x v="3"/>
    <s v="Linden 12&quot; Wall Clock With Oak Frame"/>
    <n v="102"/>
    <n v="3"/>
    <n v="0"/>
    <n v="31"/>
    <x v="7"/>
    <s v="Oct"/>
  </r>
  <r>
    <n v="6586"/>
    <s v="CA-2017-104731"/>
    <x v="720"/>
    <d v="2017-07-27T00:00:00"/>
    <x v="1"/>
    <s v="AM-10705"/>
    <s v="Anne McFarland"/>
    <x v="0"/>
    <s v="United States"/>
    <x v="279"/>
    <x v="25"/>
    <n v="24153"/>
    <x v="0"/>
    <s v="FUR-FU-10003274"/>
    <x v="0"/>
    <x v="3"/>
    <s v="Regeneration Desk Collection"/>
    <n v="9"/>
    <n v="5"/>
    <n v="0"/>
    <n v="4"/>
    <x v="6"/>
    <s v="Jul"/>
  </r>
  <r>
    <n v="6588"/>
    <s v="CA-2017-104731"/>
    <x v="720"/>
    <d v="2017-07-27T00:00:00"/>
    <x v="1"/>
    <s v="AM-10705"/>
    <s v="Anne McFarland"/>
    <x v="0"/>
    <s v="United States"/>
    <x v="279"/>
    <x v="25"/>
    <n v="24153"/>
    <x v="0"/>
    <s v="FUR-BO-10003441"/>
    <x v="0"/>
    <x v="0"/>
    <s v="Bush Westfield Collection Bookcases, Fully Assembled"/>
    <n v="303"/>
    <n v="3"/>
    <n v="0"/>
    <n v="70"/>
    <x v="6"/>
    <s v="Jul"/>
  </r>
  <r>
    <n v="6600"/>
    <s v="CA-2014-154095"/>
    <x v="116"/>
    <d v="2014-12-07T00:00:00"/>
    <x v="1"/>
    <s v="ON-18715"/>
    <s v="Odella Nelson"/>
    <x v="1"/>
    <s v="United States"/>
    <x v="218"/>
    <x v="32"/>
    <n v="20735"/>
    <x v="2"/>
    <s v="FUR-FU-10003849"/>
    <x v="0"/>
    <x v="3"/>
    <s v="DAX Metal Frame, Desktop, Stepped-Edge"/>
    <n v="61"/>
    <n v="3"/>
    <n v="0"/>
    <n v="24"/>
    <x v="2"/>
    <s v="Dec"/>
  </r>
  <r>
    <n v="6602"/>
    <s v="CA-2014-154095"/>
    <x v="116"/>
    <d v="2014-12-07T00:00:00"/>
    <x v="1"/>
    <s v="ON-18715"/>
    <s v="Odella Nelson"/>
    <x v="1"/>
    <s v="United States"/>
    <x v="218"/>
    <x v="32"/>
    <n v="20735"/>
    <x v="2"/>
    <s v="FUR-CH-10004754"/>
    <x v="0"/>
    <x v="1"/>
    <s v="Global Stack Chair with Arms, Black"/>
    <n v="240"/>
    <n v="8"/>
    <n v="0"/>
    <n v="65"/>
    <x v="2"/>
    <s v="Dec"/>
  </r>
  <r>
    <n v="6608"/>
    <s v="CA-2016-148852"/>
    <x v="205"/>
    <d v="2016-05-31T00:00:00"/>
    <x v="1"/>
    <s v="SV-20785"/>
    <s v="Stewart Visinsky"/>
    <x v="0"/>
    <s v="United States"/>
    <x v="72"/>
    <x v="2"/>
    <n v="92704"/>
    <x v="1"/>
    <s v="FUR-CH-10004860"/>
    <x v="0"/>
    <x v="1"/>
    <s v="Global Low Back Tilter Chair"/>
    <n v="485"/>
    <n v="6"/>
    <n v="0.2"/>
    <n v="-85"/>
    <x v="2"/>
    <s v="May"/>
  </r>
  <r>
    <n v="6612"/>
    <s v="CA-2015-107678"/>
    <x v="721"/>
    <d v="2015-04-28T00:00:00"/>
    <x v="1"/>
    <s v="JK-16090"/>
    <s v="Juliana Krohn"/>
    <x v="0"/>
    <s v="United States"/>
    <x v="74"/>
    <x v="0"/>
    <n v="40214"/>
    <x v="0"/>
    <s v="FUR-CH-10001891"/>
    <x v="0"/>
    <x v="1"/>
    <s v="Global Deluxe Office Fabric Chairs"/>
    <n v="192"/>
    <n v="2"/>
    <n v="0"/>
    <n v="52"/>
    <x v="1"/>
    <s v="Apr"/>
  </r>
  <r>
    <n v="6615"/>
    <s v="CA-2015-107678"/>
    <x v="721"/>
    <d v="2015-04-28T00:00:00"/>
    <x v="1"/>
    <s v="JK-16090"/>
    <s v="Juliana Krohn"/>
    <x v="0"/>
    <s v="United States"/>
    <x v="74"/>
    <x v="0"/>
    <n v="40214"/>
    <x v="0"/>
    <s v="FUR-FU-10003394"/>
    <x v="0"/>
    <x v="3"/>
    <s v="Tenex &quot;The Solids&quot; Textured Chair Mats"/>
    <n v="210"/>
    <n v="3"/>
    <n v="0"/>
    <n v="36"/>
    <x v="1"/>
    <s v="Apr"/>
  </r>
  <r>
    <n v="6616"/>
    <s v="CA-2016-123512"/>
    <x v="9"/>
    <d v="2016-06-19T00:00:00"/>
    <x v="2"/>
    <s v="MV-18190"/>
    <s v="Mike Vittorini"/>
    <x v="0"/>
    <s v="United States"/>
    <x v="2"/>
    <x v="2"/>
    <n v="90045"/>
    <x v="1"/>
    <s v="FUR-BO-10004218"/>
    <x v="0"/>
    <x v="0"/>
    <s v="Bush Heritage Pine Collection 5-Shelf Bookcase, Albany Pine Finish, *Special Order"/>
    <n v="240"/>
    <n v="2"/>
    <n v="0.15"/>
    <n v="14"/>
    <x v="3"/>
    <s v="Jun"/>
  </r>
  <r>
    <n v="6622"/>
    <s v="US-2017-167402"/>
    <x v="722"/>
    <d v="2017-01-18T00:00:00"/>
    <x v="0"/>
    <s v="CP-12085"/>
    <s v="Cathy Prescott"/>
    <x v="1"/>
    <s v="United States"/>
    <x v="76"/>
    <x v="23"/>
    <n v="65807"/>
    <x v="3"/>
    <s v="FUR-BO-10001608"/>
    <x v="0"/>
    <x v="0"/>
    <s v="Hon Metal Bookcases, Black"/>
    <n v="213"/>
    <n v="3"/>
    <n v="0"/>
    <n v="53"/>
    <x v="2"/>
    <s v="Jan"/>
  </r>
  <r>
    <n v="6623"/>
    <s v="CA-2014-130449"/>
    <x v="723"/>
    <d v="2014-09-09T00:00:00"/>
    <x v="2"/>
    <s v="VP-21760"/>
    <s v="Victoria Pisteka"/>
    <x v="1"/>
    <s v="United States"/>
    <x v="28"/>
    <x v="2"/>
    <n v="94109"/>
    <x v="1"/>
    <s v="FUR-FU-10001487"/>
    <x v="0"/>
    <x v="3"/>
    <s v="Eldon Expressions Wood and Plastic Desk Accessories, Cherry Wood"/>
    <n v="42"/>
    <n v="6"/>
    <n v="0"/>
    <n v="12"/>
    <x v="0"/>
    <s v="Sep"/>
  </r>
  <r>
    <n v="6625"/>
    <s v="CA-2015-141250"/>
    <x v="724"/>
    <d v="2015-01-23T00:00:00"/>
    <x v="1"/>
    <s v="PM-18940"/>
    <s v="Paul MacIntyre"/>
    <x v="0"/>
    <s v="United States"/>
    <x v="303"/>
    <x v="5"/>
    <n v="77590"/>
    <x v="3"/>
    <s v="FUR-TA-10002855"/>
    <x v="0"/>
    <x v="2"/>
    <s v="Bevis Round Conference Table Top &amp; Single Column Base"/>
    <n v="102"/>
    <n v="1"/>
    <n v="0.3"/>
    <n v="-13"/>
    <x v="4"/>
    <s v="Jan"/>
  </r>
  <r>
    <n v="6626"/>
    <s v="CA-2015-141250"/>
    <x v="724"/>
    <d v="2015-01-23T00:00:00"/>
    <x v="1"/>
    <s v="PM-18940"/>
    <s v="Paul MacIntyre"/>
    <x v="0"/>
    <s v="United States"/>
    <x v="303"/>
    <x v="5"/>
    <n v="77590"/>
    <x v="3"/>
    <s v="FUR-CH-10004875"/>
    <x v="0"/>
    <x v="1"/>
    <s v="Harbour Creations 67200 Series Stacking Chairs"/>
    <n v="199"/>
    <n v="4"/>
    <n v="0.3"/>
    <n v="-9"/>
    <x v="4"/>
    <s v="Jan"/>
  </r>
  <r>
    <n v="6631"/>
    <s v="CA-2016-105081"/>
    <x v="683"/>
    <d v="2016-12-30T00:00:00"/>
    <x v="1"/>
    <s v="JE-15715"/>
    <s v="Joe Elijah"/>
    <x v="0"/>
    <s v="United States"/>
    <x v="15"/>
    <x v="13"/>
    <n v="98115"/>
    <x v="1"/>
    <s v="FUR-CH-10000847"/>
    <x v="0"/>
    <x v="1"/>
    <s v="Global Executive Mid-Back Manager's Chair"/>
    <n v="698"/>
    <n v="3"/>
    <n v="0.2"/>
    <n v="52"/>
    <x v="2"/>
    <s v="Dec"/>
  </r>
  <r>
    <n v="6632"/>
    <s v="CA-2016-105081"/>
    <x v="683"/>
    <d v="2016-12-30T00:00:00"/>
    <x v="1"/>
    <s v="JE-15715"/>
    <s v="Joe Elijah"/>
    <x v="0"/>
    <s v="United States"/>
    <x v="15"/>
    <x v="13"/>
    <n v="98115"/>
    <x v="1"/>
    <s v="FUR-TA-10001307"/>
    <x v="0"/>
    <x v="2"/>
    <s v="SAFCO PlanMaster Heigh-Adjustable Drafting Table Base, 43w x 30d x 30-37h, Black"/>
    <n v="1747"/>
    <n v="5"/>
    <n v="0"/>
    <n v="629"/>
    <x v="2"/>
    <s v="Dec"/>
  </r>
  <r>
    <n v="6640"/>
    <s v="CA-2014-108609"/>
    <x v="314"/>
    <d v="2014-11-02T00:00:00"/>
    <x v="0"/>
    <s v="AJ-10780"/>
    <s v="Anthony Jacobs"/>
    <x v="1"/>
    <s v="United States"/>
    <x v="75"/>
    <x v="15"/>
    <n v="44052"/>
    <x v="2"/>
    <s v="FUR-TA-10003954"/>
    <x v="0"/>
    <x v="2"/>
    <s v="Hon 94000 Series Round Tables"/>
    <n v="1422"/>
    <n v="8"/>
    <n v="0.4"/>
    <n v="-735"/>
    <x v="3"/>
    <s v="Oct"/>
  </r>
  <r>
    <n v="6647"/>
    <s v="US-2016-127334"/>
    <x v="120"/>
    <d v="2016-12-21T00:00:00"/>
    <x v="1"/>
    <s v="MP-18175"/>
    <s v="Mike Pelletier"/>
    <x v="2"/>
    <s v="United States"/>
    <x v="76"/>
    <x v="36"/>
    <n v="97477"/>
    <x v="1"/>
    <s v="FUR-TA-10003473"/>
    <x v="0"/>
    <x v="2"/>
    <s v="Bretford Rectangular Conference Table Tops"/>
    <n v="564"/>
    <n v="3"/>
    <n v="0.5"/>
    <n v="-305"/>
    <x v="6"/>
    <s v="Dec"/>
  </r>
  <r>
    <n v="6652"/>
    <s v="US-2017-124779"/>
    <x v="272"/>
    <d v="2017-09-11T00:00:00"/>
    <x v="2"/>
    <s v="BF-11020"/>
    <s v="Barry Franzšsisch"/>
    <x v="1"/>
    <s v="United States"/>
    <x v="58"/>
    <x v="5"/>
    <n v="76017"/>
    <x v="3"/>
    <s v="FUR-FU-10001095"/>
    <x v="0"/>
    <x v="3"/>
    <s v="DAX Black Cherry Wood-Tone Poster Frame"/>
    <n v="21"/>
    <n v="2"/>
    <n v="0.6"/>
    <n v="-12"/>
    <x v="0"/>
    <s v="Sep"/>
  </r>
  <r>
    <n v="6654"/>
    <s v="US-2017-124779"/>
    <x v="272"/>
    <d v="2017-09-11T00:00:00"/>
    <x v="2"/>
    <s v="BF-11020"/>
    <s v="Barry Franzšsisch"/>
    <x v="1"/>
    <s v="United States"/>
    <x v="58"/>
    <x v="5"/>
    <n v="76017"/>
    <x v="3"/>
    <s v="FUR-CH-10003535"/>
    <x v="0"/>
    <x v="1"/>
    <s v="Global Armless Task Chair, Royal Blue"/>
    <n v="213"/>
    <n v="5"/>
    <n v="0.3"/>
    <n v="-40"/>
    <x v="0"/>
    <s v="Sep"/>
  </r>
  <r>
    <n v="6659"/>
    <s v="CA-2017-135937"/>
    <x v="134"/>
    <d v="2017-02-27T00:00:00"/>
    <x v="1"/>
    <s v="KM-16375"/>
    <s v="Katherine Murray"/>
    <x v="2"/>
    <s v="United States"/>
    <x v="171"/>
    <x v="22"/>
    <n v="85234"/>
    <x v="1"/>
    <s v="FUR-FU-10002253"/>
    <x v="0"/>
    <x v="3"/>
    <s v="Howard Miller 13&quot; Diameter Pewter Finish Round Wall Clock"/>
    <n v="69"/>
    <n v="2"/>
    <n v="0.2"/>
    <n v="16"/>
    <x v="1"/>
    <s v="Feb"/>
  </r>
  <r>
    <n v="6660"/>
    <s v="CA-2017-135937"/>
    <x v="134"/>
    <d v="2017-02-27T00:00:00"/>
    <x v="1"/>
    <s v="KM-16375"/>
    <s v="Katherine Murray"/>
    <x v="2"/>
    <s v="United States"/>
    <x v="171"/>
    <x v="22"/>
    <n v="85234"/>
    <x v="1"/>
    <s v="FUR-TA-10001039"/>
    <x v="0"/>
    <x v="2"/>
    <s v="KI Adjustable-Height Table"/>
    <n v="387"/>
    <n v="9"/>
    <n v="0.5"/>
    <n v="-186"/>
    <x v="1"/>
    <s v="Feb"/>
  </r>
  <r>
    <n v="6664"/>
    <s v="CA-2017-162173"/>
    <x v="725"/>
    <d v="2017-11-01T00:00:00"/>
    <x v="1"/>
    <s v="OT-18730"/>
    <s v="Olvera Toch"/>
    <x v="0"/>
    <s v="United States"/>
    <x v="304"/>
    <x v="25"/>
    <n v="23464"/>
    <x v="0"/>
    <s v="FUR-TA-10001520"/>
    <x v="0"/>
    <x v="2"/>
    <s v="Lesro Sheffield Collection Coffee Table, End Table, Center Table, Corner Table"/>
    <n v="357"/>
    <n v="5"/>
    <n v="0"/>
    <n v="61"/>
    <x v="6"/>
    <s v="Oct"/>
  </r>
  <r>
    <n v="6667"/>
    <s v="CA-2017-122175"/>
    <x v="666"/>
    <d v="2017-05-14T00:00:00"/>
    <x v="0"/>
    <s v="CA-12775"/>
    <s v="Cynthia Arntzen"/>
    <x v="0"/>
    <s v="United States"/>
    <x v="109"/>
    <x v="18"/>
    <n v="8360"/>
    <x v="2"/>
    <s v="FUR-FU-10000719"/>
    <x v="0"/>
    <x v="3"/>
    <s v="DAX Cubicle Frames, 8-1/2 x 11"/>
    <n v="43"/>
    <n v="5"/>
    <n v="0"/>
    <n v="15"/>
    <x v="3"/>
    <s v="May"/>
  </r>
  <r>
    <n v="6674"/>
    <s v="CA-2015-135510"/>
    <x v="278"/>
    <d v="2015-09-12T00:00:00"/>
    <x v="1"/>
    <s v="TW-21025"/>
    <s v="Tamara Willingham"/>
    <x v="2"/>
    <s v="United States"/>
    <x v="305"/>
    <x v="25"/>
    <n v="22901"/>
    <x v="0"/>
    <s v="FUR-FU-10000820"/>
    <x v="0"/>
    <x v="3"/>
    <s v="Tensor Brushed Steel Torchiere Floor Lamp"/>
    <n v="68"/>
    <n v="4"/>
    <n v="0"/>
    <n v="12"/>
    <x v="1"/>
    <s v="Sep"/>
  </r>
  <r>
    <n v="6679"/>
    <s v="CA-2014-150329"/>
    <x v="567"/>
    <d v="2014-10-14T00:00:00"/>
    <x v="1"/>
    <s v="SD-20485"/>
    <s v="Shirley Daniels"/>
    <x v="2"/>
    <s v="United States"/>
    <x v="43"/>
    <x v="22"/>
    <n v="85023"/>
    <x v="1"/>
    <s v="FUR-FU-10003724"/>
    <x v="0"/>
    <x v="3"/>
    <s v="Westinghouse Clip-On Gooseneck Lamps"/>
    <n v="47"/>
    <n v="7"/>
    <n v="0.2"/>
    <n v="4"/>
    <x v="4"/>
    <s v="Oct"/>
  </r>
  <r>
    <n v="6684"/>
    <s v="CA-2014-109134"/>
    <x v="726"/>
    <d v="2014-11-10T00:00:00"/>
    <x v="1"/>
    <s v="DE-13255"/>
    <s v="Deanra Eno"/>
    <x v="2"/>
    <s v="United States"/>
    <x v="2"/>
    <x v="2"/>
    <n v="90008"/>
    <x v="1"/>
    <s v="FUR-FU-10000320"/>
    <x v="0"/>
    <x v="3"/>
    <s v="OIC Stacking Trays"/>
    <n v="20"/>
    <n v="6"/>
    <n v="0"/>
    <n v="9"/>
    <x v="2"/>
    <s v="Nov"/>
  </r>
  <r>
    <n v="6686"/>
    <s v="US-2015-129637"/>
    <x v="584"/>
    <d v="2015-12-22T00:00:00"/>
    <x v="1"/>
    <s v="MC-18100"/>
    <s v="Mick Crebagga"/>
    <x v="0"/>
    <s v="United States"/>
    <x v="17"/>
    <x v="8"/>
    <n v="61701"/>
    <x v="3"/>
    <s v="FUR-FU-10000965"/>
    <x v="0"/>
    <x v="3"/>
    <s v="Howard Miller 11-1/2&quot; Diameter Ridgewood Wall Clock"/>
    <n v="42"/>
    <n v="2"/>
    <n v="0.6"/>
    <n v="-20"/>
    <x v="2"/>
    <s v="Dec"/>
  </r>
  <r>
    <n v="6700"/>
    <s v="CA-2017-145429"/>
    <x v="720"/>
    <d v="2017-07-25T00:00:00"/>
    <x v="1"/>
    <s v="SW-20455"/>
    <s v="Shaun Weien"/>
    <x v="0"/>
    <s v="United States"/>
    <x v="53"/>
    <x v="2"/>
    <n v="92024"/>
    <x v="1"/>
    <s v="FUR-CH-10000988"/>
    <x v="0"/>
    <x v="1"/>
    <s v="Hon Olson Stacker Stools"/>
    <n v="225"/>
    <n v="2"/>
    <n v="0.2"/>
    <n v="23"/>
    <x v="4"/>
    <s v="Jul"/>
  </r>
  <r>
    <n v="6702"/>
    <s v="CA-2015-153535"/>
    <x v="727"/>
    <d v="2015-05-24T00:00:00"/>
    <x v="1"/>
    <s v="SG-20470"/>
    <s v="Sheri Gordon"/>
    <x v="0"/>
    <s v="United States"/>
    <x v="306"/>
    <x v="30"/>
    <n v="27893"/>
    <x v="0"/>
    <s v="FUR-FU-10001986"/>
    <x v="0"/>
    <x v="3"/>
    <s v="Dana Fluorescent Magnifying Lamp, White, 36&quot;"/>
    <n v="163"/>
    <n v="4"/>
    <n v="0.2"/>
    <n v="20"/>
    <x v="4"/>
    <s v="May"/>
  </r>
  <r>
    <n v="6709"/>
    <s v="CA-2015-123141"/>
    <x v="502"/>
    <d v="2015-11-19T00:00:00"/>
    <x v="1"/>
    <s v="GZ-14470"/>
    <s v="Gary Zandusky"/>
    <x v="0"/>
    <s v="United States"/>
    <x v="307"/>
    <x v="41"/>
    <n v="87124"/>
    <x v="1"/>
    <s v="FUR-CH-10004287"/>
    <x v="0"/>
    <x v="1"/>
    <s v="SAFCO Arco Folding Chair"/>
    <n v="884"/>
    <n v="4"/>
    <n v="0.2"/>
    <n v="99"/>
    <x v="2"/>
    <s v="Nov"/>
  </r>
  <r>
    <n v="6710"/>
    <s v="CA-2015-123141"/>
    <x v="502"/>
    <d v="2015-11-19T00:00:00"/>
    <x v="1"/>
    <s v="GZ-14470"/>
    <s v="Gary Zandusky"/>
    <x v="0"/>
    <s v="United States"/>
    <x v="307"/>
    <x v="41"/>
    <n v="87124"/>
    <x v="1"/>
    <s v="FUR-CH-10001891"/>
    <x v="0"/>
    <x v="1"/>
    <s v="Global Deluxe Office Fabric Chairs"/>
    <n v="230"/>
    <n v="3"/>
    <n v="0.2"/>
    <n v="20"/>
    <x v="2"/>
    <s v="Nov"/>
  </r>
  <r>
    <n v="6713"/>
    <s v="CA-2017-107629"/>
    <x v="417"/>
    <d v="2017-12-14T00:00:00"/>
    <x v="3"/>
    <s v="DB-13060"/>
    <s v="Dave Brooks"/>
    <x v="0"/>
    <s v="United States"/>
    <x v="187"/>
    <x v="8"/>
    <n v="60076"/>
    <x v="3"/>
    <s v="FUR-FU-10002298"/>
    <x v="0"/>
    <x v="3"/>
    <s v="Rubbermaid ClusterMat Chairmats, Mat Size- 66&quot; x 60&quot;, Lip 20&quot; x 11&quot; -90 Degree Angle"/>
    <n v="266"/>
    <n v="6"/>
    <n v="0.6"/>
    <n v="-293"/>
    <x v="7"/>
    <s v="Dec"/>
  </r>
  <r>
    <n v="6714"/>
    <s v="CA-2017-107629"/>
    <x v="417"/>
    <d v="2017-12-14T00:00:00"/>
    <x v="3"/>
    <s v="DB-13060"/>
    <s v="Dave Brooks"/>
    <x v="0"/>
    <s v="United States"/>
    <x v="187"/>
    <x v="8"/>
    <n v="60076"/>
    <x v="3"/>
    <s v="FUR-FU-10004091"/>
    <x v="0"/>
    <x v="3"/>
    <s v="Howard Miller 13&quot; Diameter Goldtone Round Wall Clock"/>
    <n v="56"/>
    <n v="3"/>
    <n v="0.6"/>
    <n v="-27"/>
    <x v="7"/>
    <s v="Dec"/>
  </r>
  <r>
    <n v="6719"/>
    <s v="CA-2016-134789"/>
    <x v="57"/>
    <d v="2016-04-15T00:00:00"/>
    <x v="1"/>
    <s v="CK-12325"/>
    <s v="Christine Kargatis"/>
    <x v="2"/>
    <s v="United States"/>
    <x v="308"/>
    <x v="31"/>
    <n v="71901"/>
    <x v="0"/>
    <s v="FUR-FU-10003268"/>
    <x v="0"/>
    <x v="3"/>
    <s v="Eldon Radial Chair Mat for Low to Medium Pile Carpets"/>
    <n v="160"/>
    <n v="4"/>
    <n v="0"/>
    <n v="32"/>
    <x v="1"/>
    <s v="Apr"/>
  </r>
  <r>
    <n v="6729"/>
    <s v="CA-2016-165827"/>
    <x v="114"/>
    <d v="2016-11-09T00:00:00"/>
    <x v="1"/>
    <s v="MF-17665"/>
    <s v="Maureen Fritzler"/>
    <x v="1"/>
    <s v="United States"/>
    <x v="89"/>
    <x v="1"/>
    <n v="33180"/>
    <x v="0"/>
    <s v="FUR-FU-10001889"/>
    <x v="0"/>
    <x v="3"/>
    <s v="Ultra Door Pull Handle"/>
    <n v="50"/>
    <n v="6"/>
    <n v="0.2"/>
    <n v="8"/>
    <x v="2"/>
    <s v="Nov"/>
  </r>
  <r>
    <n v="6731"/>
    <s v="CA-2015-156734"/>
    <x v="311"/>
    <d v="2015-06-20T00:00:00"/>
    <x v="2"/>
    <s v="BV-11245"/>
    <s v="Benjamin Venier"/>
    <x v="1"/>
    <s v="United States"/>
    <x v="107"/>
    <x v="9"/>
    <n v="37167"/>
    <x v="0"/>
    <s v="FUR-CH-10002965"/>
    <x v="0"/>
    <x v="1"/>
    <s v="Global Leather Highback Executive Chair with Pneumatic Height Adjustment, Black"/>
    <n v="643"/>
    <n v="4"/>
    <n v="0.2"/>
    <n v="56"/>
    <x v="3"/>
    <s v="Jun"/>
  </r>
  <r>
    <n v="6741"/>
    <s v="CA-2014-144029"/>
    <x v="261"/>
    <d v="2014-05-31T00:00:00"/>
    <x v="1"/>
    <s v="MM-18055"/>
    <s v="Michelle Moray"/>
    <x v="0"/>
    <s v="United States"/>
    <x v="9"/>
    <x v="8"/>
    <n v="60623"/>
    <x v="3"/>
    <s v="FUR-CH-10003981"/>
    <x v="0"/>
    <x v="1"/>
    <s v="Global Commerce Series Low-Back Swivel/Tilt Chairs"/>
    <n v="360"/>
    <n v="2"/>
    <n v="0.3"/>
    <n v="-5"/>
    <x v="2"/>
    <s v="May"/>
  </r>
  <r>
    <n v="6743"/>
    <s v="US-2017-101784"/>
    <x v="682"/>
    <d v="2017-07-11T00:00:00"/>
    <x v="1"/>
    <s v="PO-18850"/>
    <s v="Patrick O'Brill"/>
    <x v="0"/>
    <s v="United States"/>
    <x v="2"/>
    <x v="2"/>
    <n v="90008"/>
    <x v="1"/>
    <s v="FUR-CH-10001146"/>
    <x v="0"/>
    <x v="1"/>
    <s v="Global Task Chair, Black"/>
    <n v="122"/>
    <n v="3"/>
    <n v="0.2"/>
    <n v="-14"/>
    <x v="2"/>
    <s v="Jul"/>
  </r>
  <r>
    <n v="6751"/>
    <s v="CA-2016-154767"/>
    <x v="728"/>
    <d v="2016-06-30T00:00:00"/>
    <x v="0"/>
    <s v="BP-11155"/>
    <s v="Becky Pak"/>
    <x v="0"/>
    <s v="United States"/>
    <x v="309"/>
    <x v="18"/>
    <n v="7501"/>
    <x v="2"/>
    <s v="FUR-CH-10003535"/>
    <x v="0"/>
    <x v="1"/>
    <s v="Global Armless Task Chair, Royal Blue"/>
    <n v="122"/>
    <n v="2"/>
    <n v="0"/>
    <n v="21"/>
    <x v="3"/>
    <s v="Jun"/>
  </r>
  <r>
    <n v="6756"/>
    <s v="CA-2017-124205"/>
    <x v="102"/>
    <d v="2017-09-19T00:00:00"/>
    <x v="1"/>
    <s v="TC-21145"/>
    <s v="Theresa Coyne"/>
    <x v="1"/>
    <s v="United States"/>
    <x v="174"/>
    <x v="18"/>
    <n v="8701"/>
    <x v="2"/>
    <s v="FUR-FU-10002445"/>
    <x v="0"/>
    <x v="3"/>
    <s v="DAX Two-Tone Rosewood/Black Document Frame, Desktop, 5 x 7"/>
    <n v="47"/>
    <n v="5"/>
    <n v="0"/>
    <n v="19"/>
    <x v="4"/>
    <s v="Sep"/>
  </r>
  <r>
    <n v="6757"/>
    <s v="CA-2017-124205"/>
    <x v="102"/>
    <d v="2017-09-19T00:00:00"/>
    <x v="1"/>
    <s v="TC-21145"/>
    <s v="Theresa Coyne"/>
    <x v="1"/>
    <s v="United States"/>
    <x v="174"/>
    <x v="18"/>
    <n v="8701"/>
    <x v="2"/>
    <s v="FUR-CH-10003606"/>
    <x v="0"/>
    <x v="1"/>
    <s v="SAFCO Folding Chair Trolley"/>
    <n v="513"/>
    <n v="4"/>
    <n v="0"/>
    <n v="144"/>
    <x v="4"/>
    <s v="Sep"/>
  </r>
  <r>
    <n v="6762"/>
    <s v="CA-2016-162943"/>
    <x v="729"/>
    <d v="2016-07-26T00:00:00"/>
    <x v="0"/>
    <s v="DB-12970"/>
    <s v="Darren Budd"/>
    <x v="1"/>
    <s v="United States"/>
    <x v="13"/>
    <x v="7"/>
    <n v="10035"/>
    <x v="2"/>
    <s v="FUR-CH-10001708"/>
    <x v="0"/>
    <x v="1"/>
    <s v="Office Star - Contemporary Swivel Chair with Padded Adjustable Arms and Flex Back"/>
    <n v="254"/>
    <n v="2"/>
    <n v="0.1"/>
    <n v="31"/>
    <x v="3"/>
    <s v="Jul"/>
  </r>
  <r>
    <n v="6766"/>
    <s v="CA-2017-100615"/>
    <x v="333"/>
    <d v="2017-04-24T00:00:00"/>
    <x v="1"/>
    <s v="SJ-20215"/>
    <s v="Sarah Jordon"/>
    <x v="0"/>
    <s v="United States"/>
    <x v="9"/>
    <x v="8"/>
    <n v="60653"/>
    <x v="3"/>
    <s v="FUR-CH-10002602"/>
    <x v="0"/>
    <x v="1"/>
    <s v="DMI Arturo Collection Mission-style Design Wood Chair"/>
    <n v="317"/>
    <n v="3"/>
    <n v="0.3"/>
    <n v="-18"/>
    <x v="4"/>
    <s v="Apr"/>
  </r>
  <r>
    <n v="6768"/>
    <s v="CA-2017-100615"/>
    <x v="333"/>
    <d v="2017-04-24T00:00:00"/>
    <x v="1"/>
    <s v="SJ-20215"/>
    <s v="Sarah Jordon"/>
    <x v="0"/>
    <s v="United States"/>
    <x v="9"/>
    <x v="8"/>
    <n v="60653"/>
    <x v="3"/>
    <s v="FUR-FU-10002456"/>
    <x v="0"/>
    <x v="3"/>
    <s v="Master Caster Door Stop, Large Neon Orange"/>
    <n v="15"/>
    <n v="5"/>
    <n v="0.6"/>
    <n v="-6"/>
    <x v="4"/>
    <s v="Apr"/>
  </r>
  <r>
    <n v="6779"/>
    <s v="US-2016-147711"/>
    <x v="222"/>
    <d v="2016-09-08T00:00:00"/>
    <x v="0"/>
    <s v="HF-14995"/>
    <s v="Herbert Flentye"/>
    <x v="0"/>
    <s v="United States"/>
    <x v="237"/>
    <x v="32"/>
    <n v="21215"/>
    <x v="2"/>
    <s v="FUR-BO-10003159"/>
    <x v="0"/>
    <x v="0"/>
    <s v="Sauder Camden County Collection Libraries, Planked Cherry Finish"/>
    <n v="345"/>
    <n v="3"/>
    <n v="0"/>
    <n v="31"/>
    <x v="2"/>
    <s v="Sep"/>
  </r>
  <r>
    <n v="6780"/>
    <s v="US-2016-147711"/>
    <x v="222"/>
    <d v="2016-09-08T00:00:00"/>
    <x v="0"/>
    <s v="HF-14995"/>
    <s v="Herbert Flentye"/>
    <x v="0"/>
    <s v="United States"/>
    <x v="237"/>
    <x v="32"/>
    <n v="21215"/>
    <x v="2"/>
    <s v="FUR-FU-10002364"/>
    <x v="0"/>
    <x v="3"/>
    <s v="Eldon Expressions Wood Desk Accessories, Oak"/>
    <n v="15"/>
    <n v="2"/>
    <n v="0"/>
    <n v="4"/>
    <x v="2"/>
    <s v="Sep"/>
  </r>
  <r>
    <n v="6783"/>
    <s v="CA-2017-121293"/>
    <x v="730"/>
    <d v="2017-07-28T00:00:00"/>
    <x v="0"/>
    <s v="JC-15775"/>
    <s v="John Castell"/>
    <x v="0"/>
    <s v="United States"/>
    <x v="3"/>
    <x v="3"/>
    <n v="19143"/>
    <x v="2"/>
    <s v="FUR-FU-10000732"/>
    <x v="0"/>
    <x v="3"/>
    <s v="Eldon 200 Class Desk Accessories"/>
    <n v="20"/>
    <n v="4"/>
    <n v="0.2"/>
    <n v="3"/>
    <x v="0"/>
    <s v="Jul"/>
  </r>
  <r>
    <n v="6785"/>
    <s v="CA-2017-121293"/>
    <x v="730"/>
    <d v="2017-07-28T00:00:00"/>
    <x v="0"/>
    <s v="JC-15775"/>
    <s v="John Castell"/>
    <x v="0"/>
    <s v="United States"/>
    <x v="3"/>
    <x v="3"/>
    <n v="19143"/>
    <x v="2"/>
    <s v="FUR-TA-10001771"/>
    <x v="0"/>
    <x v="2"/>
    <s v="Bush Cubix Conference Tables, Fully Assembled"/>
    <n v="139"/>
    <n v="1"/>
    <n v="0.4"/>
    <n v="-35"/>
    <x v="0"/>
    <s v="Jul"/>
  </r>
  <r>
    <n v="6788"/>
    <s v="CA-2015-118843"/>
    <x v="615"/>
    <d v="2015-09-20T00:00:00"/>
    <x v="1"/>
    <s v="JH-15910"/>
    <s v="Jonathan Howell"/>
    <x v="0"/>
    <s v="United States"/>
    <x v="182"/>
    <x v="24"/>
    <n v="30318"/>
    <x v="0"/>
    <s v="FUR-FU-10003975"/>
    <x v="0"/>
    <x v="3"/>
    <s v="Eldon Advantage Chair Mats for Low to Medium Pile Carpets"/>
    <n v="130"/>
    <n v="3"/>
    <n v="0"/>
    <n v="13"/>
    <x v="1"/>
    <s v="Sep"/>
  </r>
  <r>
    <n v="6792"/>
    <s v="CA-2016-162348"/>
    <x v="480"/>
    <d v="2016-11-15T00:00:00"/>
    <x v="1"/>
    <s v="BF-11170"/>
    <s v="Ben Ferrer"/>
    <x v="2"/>
    <s v="United States"/>
    <x v="155"/>
    <x v="2"/>
    <n v="95823"/>
    <x v="1"/>
    <s v="FUR-FU-10003731"/>
    <x v="0"/>
    <x v="3"/>
    <s v="Eldon Expressions Wood and Plastic Desk Accessories, Oak"/>
    <n v="10"/>
    <n v="1"/>
    <n v="0"/>
    <n v="3"/>
    <x v="2"/>
    <s v="Nov"/>
  </r>
  <r>
    <n v="6796"/>
    <s v="CA-2015-145394"/>
    <x v="397"/>
    <d v="2015-11-20T00:00:00"/>
    <x v="1"/>
    <s v="MC-17605"/>
    <s v="Matt Connell"/>
    <x v="1"/>
    <s v="United States"/>
    <x v="9"/>
    <x v="8"/>
    <n v="60610"/>
    <x v="3"/>
    <s v="FUR-FU-10001215"/>
    <x v="0"/>
    <x v="3"/>
    <s v="Howard Miller 11-1/2&quot; Diameter Brentwood Wall Clock"/>
    <n v="35"/>
    <n v="2"/>
    <n v="0.6"/>
    <n v="-16"/>
    <x v="4"/>
    <s v="Nov"/>
  </r>
  <r>
    <n v="6797"/>
    <s v="CA-2015-168809"/>
    <x v="382"/>
    <d v="2015-08-25T00:00:00"/>
    <x v="3"/>
    <s v="MC-18100"/>
    <s v="Mick Crebagga"/>
    <x v="0"/>
    <s v="United States"/>
    <x v="6"/>
    <x v="5"/>
    <n v="77041"/>
    <x v="3"/>
    <s v="FUR-FU-10001473"/>
    <x v="0"/>
    <x v="3"/>
    <s v="Eldon Executive Woodline II Desk Accessories, Mahogany"/>
    <n v="20"/>
    <n v="2"/>
    <n v="0.6"/>
    <n v="-17"/>
    <x v="7"/>
    <s v="Aug"/>
  </r>
  <r>
    <n v="6799"/>
    <s v="CA-2015-168809"/>
    <x v="382"/>
    <d v="2015-08-25T00:00:00"/>
    <x v="3"/>
    <s v="MC-18100"/>
    <s v="Mick Crebagga"/>
    <x v="0"/>
    <s v="United States"/>
    <x v="6"/>
    <x v="5"/>
    <n v="77041"/>
    <x v="3"/>
    <s v="FUR-FU-10002240"/>
    <x v="0"/>
    <x v="3"/>
    <s v="Nu-Dell EZ-Mount Plastic Wall Frames"/>
    <n v="8"/>
    <n v="5"/>
    <n v="0.6"/>
    <n v="-4"/>
    <x v="7"/>
    <s v="Aug"/>
  </r>
  <r>
    <n v="6800"/>
    <s v="CA-2016-109827"/>
    <x v="683"/>
    <d v="2017-01-01T00:00:00"/>
    <x v="1"/>
    <s v="LW-16825"/>
    <s v="Laurel Workman"/>
    <x v="1"/>
    <s v="United States"/>
    <x v="43"/>
    <x v="22"/>
    <n v="85023"/>
    <x v="1"/>
    <s v="FUR-TA-10002607"/>
    <x v="0"/>
    <x v="2"/>
    <s v="KI Conference Tables"/>
    <n v="35"/>
    <n v="1"/>
    <n v="0.5"/>
    <n v="-24"/>
    <x v="1"/>
    <s v="Dec"/>
  </r>
  <r>
    <n v="6804"/>
    <s v="CA-2016-109827"/>
    <x v="683"/>
    <d v="2017-01-01T00:00:00"/>
    <x v="1"/>
    <s v="LW-16825"/>
    <s v="Laurel Workman"/>
    <x v="1"/>
    <s v="United States"/>
    <x v="43"/>
    <x v="22"/>
    <n v="85023"/>
    <x v="1"/>
    <s v="FUR-CH-10004754"/>
    <x v="0"/>
    <x v="1"/>
    <s v="Global Stack Chair with Arms, Black"/>
    <n v="48"/>
    <n v="2"/>
    <n v="0.2"/>
    <n v="4"/>
    <x v="1"/>
    <s v="Dec"/>
  </r>
  <r>
    <n v="6809"/>
    <s v="CA-2015-128125"/>
    <x v="731"/>
    <d v="2015-04-05T00:00:00"/>
    <x v="1"/>
    <s v="EB-13705"/>
    <s v="Ed Braxton"/>
    <x v="1"/>
    <s v="United States"/>
    <x v="6"/>
    <x v="5"/>
    <n v="77095"/>
    <x v="3"/>
    <s v="FUR-FU-10001085"/>
    <x v="0"/>
    <x v="3"/>
    <s v="3M Polarizing Light Filter Sleeves"/>
    <n v="22"/>
    <n v="3"/>
    <n v="0.6"/>
    <n v="-8"/>
    <x v="2"/>
    <s v="Mar"/>
  </r>
  <r>
    <n v="6812"/>
    <s v="CA-2017-156237"/>
    <x v="732"/>
    <d v="2017-09-15T00:00:00"/>
    <x v="2"/>
    <s v="PS-18760"/>
    <s v="Pamela Stobb"/>
    <x v="0"/>
    <s v="United States"/>
    <x v="3"/>
    <x v="3"/>
    <n v="19140"/>
    <x v="2"/>
    <s v="FUR-CH-10002372"/>
    <x v="0"/>
    <x v="1"/>
    <s v="Office Star - Ergonomically Designed Knee Chair"/>
    <n v="113"/>
    <n v="2"/>
    <n v="0.3"/>
    <n v="-29"/>
    <x v="5"/>
    <s v="Sep"/>
  </r>
  <r>
    <n v="6814"/>
    <s v="CA-2017-156237"/>
    <x v="732"/>
    <d v="2017-09-15T00:00:00"/>
    <x v="2"/>
    <s v="PS-18760"/>
    <s v="Pamela Stobb"/>
    <x v="0"/>
    <s v="United States"/>
    <x v="3"/>
    <x v="3"/>
    <n v="19140"/>
    <x v="2"/>
    <s v="FUR-FU-10001057"/>
    <x v="0"/>
    <x v="3"/>
    <s v="Tensor Track Tree Floor Lamp"/>
    <n v="128"/>
    <n v="8"/>
    <n v="0.2"/>
    <n v="5"/>
    <x v="5"/>
    <s v="Sep"/>
  </r>
  <r>
    <n v="6816"/>
    <s v="CA-2014-144414"/>
    <x v="733"/>
    <d v="2014-06-21T00:00:00"/>
    <x v="1"/>
    <s v="GH-14425"/>
    <s v="Gary Hwang"/>
    <x v="0"/>
    <s v="United States"/>
    <x v="15"/>
    <x v="13"/>
    <n v="98105"/>
    <x v="1"/>
    <s v="FUR-FU-10003981"/>
    <x v="0"/>
    <x v="3"/>
    <s v="Eldon Wave Desk Accessories"/>
    <n v="6"/>
    <n v="3"/>
    <n v="0"/>
    <n v="3"/>
    <x v="4"/>
    <s v="Jun"/>
  </r>
  <r>
    <n v="6820"/>
    <s v="CA-2017-163860"/>
    <x v="158"/>
    <d v="2018-01-01T00:00:00"/>
    <x v="1"/>
    <s v="LO-17170"/>
    <s v="Lori Olson"/>
    <x v="1"/>
    <s v="United States"/>
    <x v="117"/>
    <x v="8"/>
    <n v="61604"/>
    <x v="3"/>
    <s v="FUR-FU-10004586"/>
    <x v="0"/>
    <x v="3"/>
    <s v="G.E. Longer-Life Indoor Recessed Floodlight Bulbs"/>
    <n v="8"/>
    <n v="3"/>
    <n v="0.6"/>
    <n v="-2"/>
    <x v="4"/>
    <s v="Dec"/>
  </r>
  <r>
    <n v="6821"/>
    <s v="CA-2017-163860"/>
    <x v="158"/>
    <d v="2018-01-01T00:00:00"/>
    <x v="1"/>
    <s v="LO-17170"/>
    <s v="Lori Olson"/>
    <x v="1"/>
    <s v="United States"/>
    <x v="117"/>
    <x v="8"/>
    <n v="61604"/>
    <x v="3"/>
    <s v="FUR-CH-10004698"/>
    <x v="0"/>
    <x v="1"/>
    <s v="Padded Folding Chairs, Black, 4/Carton"/>
    <n v="113"/>
    <n v="2"/>
    <n v="0.3"/>
    <n v="-3"/>
    <x v="4"/>
    <s v="Dec"/>
  </r>
  <r>
    <n v="6822"/>
    <s v="CA-2017-163860"/>
    <x v="158"/>
    <d v="2018-01-01T00:00:00"/>
    <x v="1"/>
    <s v="LO-17170"/>
    <s v="Lori Olson"/>
    <x v="1"/>
    <s v="United States"/>
    <x v="117"/>
    <x v="8"/>
    <n v="61604"/>
    <x v="3"/>
    <s v="FUR-FU-10001935"/>
    <x v="0"/>
    <x v="3"/>
    <s v="3M Hangers With Command Adhesive"/>
    <n v="3"/>
    <n v="2"/>
    <n v="0.6"/>
    <n v="-1"/>
    <x v="4"/>
    <s v="Dec"/>
  </r>
  <r>
    <n v="6825"/>
    <s v="CA-2015-154291"/>
    <x v="396"/>
    <d v="2015-07-29T00:00:00"/>
    <x v="1"/>
    <s v="YS-21880"/>
    <s v="Yana Sorensen"/>
    <x v="1"/>
    <s v="United States"/>
    <x v="132"/>
    <x v="33"/>
    <n v="36116"/>
    <x v="0"/>
    <s v="FUR-TA-10002041"/>
    <x v="0"/>
    <x v="2"/>
    <s v="Bevis Round Conference Table Top, X-Base"/>
    <n v="359"/>
    <n v="2"/>
    <n v="0"/>
    <n v="39"/>
    <x v="4"/>
    <s v="Jul"/>
  </r>
  <r>
    <n v="6834"/>
    <s v="CA-2016-153101"/>
    <x v="63"/>
    <d v="2016-09-08T00:00:00"/>
    <x v="3"/>
    <s v="PJ-19015"/>
    <s v="Pauline Johnson"/>
    <x v="0"/>
    <s v="United States"/>
    <x v="72"/>
    <x v="2"/>
    <n v="92704"/>
    <x v="1"/>
    <s v="FUR-TA-10003008"/>
    <x v="0"/>
    <x v="2"/>
    <s v="Lesro Round Back Collection Coffee Table, End Table"/>
    <n v="146"/>
    <n v="1"/>
    <n v="0.2"/>
    <n v="-13"/>
    <x v="7"/>
    <s v="Sep"/>
  </r>
  <r>
    <n v="6837"/>
    <s v="CA-2017-142643"/>
    <x v="487"/>
    <d v="2017-10-20T00:00:00"/>
    <x v="1"/>
    <s v="DL-13495"/>
    <s v="Dionis Lloyd"/>
    <x v="1"/>
    <s v="United States"/>
    <x v="310"/>
    <x v="2"/>
    <n v="91360"/>
    <x v="1"/>
    <s v="FUR-FU-10000087"/>
    <x v="0"/>
    <x v="3"/>
    <s v="Executive Impressions 14&quot; Two-Color Numerals Wall Clock"/>
    <n v="23"/>
    <n v="1"/>
    <n v="0"/>
    <n v="9"/>
    <x v="2"/>
    <s v="Oct"/>
  </r>
  <r>
    <n v="6845"/>
    <s v="CA-2016-123946"/>
    <x v="51"/>
    <d v="2016-09-17T00:00:00"/>
    <x v="1"/>
    <s v="AJ-10795"/>
    <s v="Anthony Johnson"/>
    <x v="1"/>
    <s v="United States"/>
    <x v="76"/>
    <x v="25"/>
    <n v="22153"/>
    <x v="0"/>
    <s v="FUR-CH-10002073"/>
    <x v="0"/>
    <x v="1"/>
    <s v="Hon Olson Stacker Chairs"/>
    <n v="1059"/>
    <n v="4"/>
    <n v="0"/>
    <n v="307"/>
    <x v="2"/>
    <s v="Sep"/>
  </r>
  <r>
    <n v="6846"/>
    <s v="CA-2014-147543"/>
    <x v="734"/>
    <d v="2014-07-12T00:00:00"/>
    <x v="1"/>
    <s v="BC-11125"/>
    <s v="Becky Castell"/>
    <x v="2"/>
    <s v="United States"/>
    <x v="311"/>
    <x v="2"/>
    <n v="92020"/>
    <x v="1"/>
    <s v="FUR-CH-10000155"/>
    <x v="0"/>
    <x v="1"/>
    <s v="Global Comet Stacking Armless Chair"/>
    <n v="478"/>
    <n v="2"/>
    <n v="0.2"/>
    <n v="48"/>
    <x v="6"/>
    <s v="Jul"/>
  </r>
  <r>
    <n v="6850"/>
    <s v="CA-2014-101462"/>
    <x v="607"/>
    <d v="2014-04-25T00:00:00"/>
    <x v="1"/>
    <s v="BP-11230"/>
    <s v="Benjamin Patterson"/>
    <x v="0"/>
    <s v="United States"/>
    <x v="2"/>
    <x v="2"/>
    <n v="90045"/>
    <x v="1"/>
    <s v="FUR-FU-10000409"/>
    <x v="0"/>
    <x v="3"/>
    <s v="GE 4 Foot Flourescent Tube, 40 Watt"/>
    <n v="60"/>
    <n v="4"/>
    <n v="0"/>
    <n v="28"/>
    <x v="2"/>
    <s v="Apr"/>
  </r>
  <r>
    <n v="6851"/>
    <s v="US-2016-100461"/>
    <x v="735"/>
    <d v="2016-01-12T00:00:00"/>
    <x v="1"/>
    <s v="JO-15145"/>
    <s v="Jack O'Briant"/>
    <x v="1"/>
    <s v="United States"/>
    <x v="20"/>
    <x v="16"/>
    <n v="53132"/>
    <x v="3"/>
    <s v="FUR-BO-10002545"/>
    <x v="0"/>
    <x v="0"/>
    <s v="Atlantic Metals Mobile 3-Shelf Bookcases, Custom Colors"/>
    <n v="1566"/>
    <n v="6"/>
    <n v="0"/>
    <n v="407"/>
    <x v="4"/>
    <s v="Jan"/>
  </r>
  <r>
    <n v="6863"/>
    <s v="CA-2017-128965"/>
    <x v="452"/>
    <d v="2017-04-22T00:00:00"/>
    <x v="1"/>
    <s v="PS-18760"/>
    <s v="Pamela Stobb"/>
    <x v="0"/>
    <s v="United States"/>
    <x v="2"/>
    <x v="2"/>
    <n v="90008"/>
    <x v="1"/>
    <s v="FUR-CH-10003774"/>
    <x v="0"/>
    <x v="1"/>
    <s v="Global Wood Trimmed Manager's Task Chair, Khaki"/>
    <n v="218"/>
    <n v="3"/>
    <n v="0.2"/>
    <n v="-19"/>
    <x v="2"/>
    <s v="Apr"/>
  </r>
  <r>
    <n v="6869"/>
    <s v="US-2016-126452"/>
    <x v="650"/>
    <d v="2016-08-28T00:00:00"/>
    <x v="1"/>
    <s v="SC-20230"/>
    <s v="Scot Coram"/>
    <x v="1"/>
    <s v="United States"/>
    <x v="2"/>
    <x v="2"/>
    <n v="90004"/>
    <x v="1"/>
    <s v="FUR-TA-10003569"/>
    <x v="0"/>
    <x v="2"/>
    <s v="Bretford CR8500 Series Meeting Room Furniture"/>
    <n v="2887"/>
    <n v="9"/>
    <n v="0.2"/>
    <n v="180"/>
    <x v="1"/>
    <s v="Aug"/>
  </r>
  <r>
    <n v="6877"/>
    <s v="US-2016-121013"/>
    <x v="26"/>
    <d v="2016-09-10T00:00:00"/>
    <x v="1"/>
    <s v="MM-17920"/>
    <s v="Michael Moore"/>
    <x v="0"/>
    <s v="United States"/>
    <x v="180"/>
    <x v="25"/>
    <n v="23320"/>
    <x v="0"/>
    <s v="FUR-TA-10003238"/>
    <x v="0"/>
    <x v="2"/>
    <s v="Chromcraft Bull-Nose Wood 48&quot; x 96&quot; Rectangular Conference Tables"/>
    <n v="1653"/>
    <n v="3"/>
    <n v="0"/>
    <n v="314"/>
    <x v="2"/>
    <s v="Sep"/>
  </r>
  <r>
    <n v="6878"/>
    <s v="US-2015-123918"/>
    <x v="233"/>
    <d v="2015-10-15T00:00:00"/>
    <x v="3"/>
    <s v="CG-12520"/>
    <s v="Claire Gute"/>
    <x v="0"/>
    <s v="United States"/>
    <x v="144"/>
    <x v="5"/>
    <n v="75217"/>
    <x v="3"/>
    <s v="FUR-FU-10004952"/>
    <x v="0"/>
    <x v="3"/>
    <s v="C-Line Cubicle Keepers Polyproplyene Holder w/Velcro Back, 8-1/2x11, 25/Bx"/>
    <n v="131"/>
    <n v="6"/>
    <n v="0.6"/>
    <n v="-95"/>
    <x v="7"/>
    <s v="Oct"/>
  </r>
  <r>
    <n v="6880"/>
    <s v="CA-2015-137113"/>
    <x v="239"/>
    <d v="2015-12-05T00:00:00"/>
    <x v="0"/>
    <s v="TW-21025"/>
    <s v="Tamara Willingham"/>
    <x v="2"/>
    <s v="United States"/>
    <x v="15"/>
    <x v="13"/>
    <n v="98105"/>
    <x v="1"/>
    <s v="FUR-CH-10001215"/>
    <x v="0"/>
    <x v="1"/>
    <s v="Global Troy Executive Leather Low-Back Tilter"/>
    <n v="2004"/>
    <n v="5"/>
    <n v="0.2"/>
    <n v="125"/>
    <x v="4"/>
    <s v="Dec"/>
  </r>
  <r>
    <n v="6882"/>
    <s v="CA-2015-137113"/>
    <x v="239"/>
    <d v="2015-12-05T00:00:00"/>
    <x v="0"/>
    <s v="TW-21025"/>
    <s v="Tamara Willingham"/>
    <x v="2"/>
    <s v="United States"/>
    <x v="15"/>
    <x v="13"/>
    <n v="98105"/>
    <x v="1"/>
    <s v="FUR-TA-10001705"/>
    <x v="0"/>
    <x v="2"/>
    <s v="Bush Advantage Collection Round Conference Table"/>
    <n v="1913"/>
    <n v="9"/>
    <n v="0"/>
    <n v="402"/>
    <x v="4"/>
    <s v="Dec"/>
  </r>
  <r>
    <n v="6885"/>
    <s v="CA-2015-120677"/>
    <x v="151"/>
    <d v="2015-06-04T00:00:00"/>
    <x v="1"/>
    <s v="BD-11320"/>
    <s v="Bill Donatelli"/>
    <x v="0"/>
    <s v="United States"/>
    <x v="12"/>
    <x v="11"/>
    <n v="55407"/>
    <x v="3"/>
    <s v="FUR-CH-10002320"/>
    <x v="0"/>
    <x v="1"/>
    <s v="Hon Pagoda Stacking Chairs"/>
    <n v="2568"/>
    <n v="8"/>
    <n v="0"/>
    <n v="770"/>
    <x v="4"/>
    <s v="May"/>
  </r>
  <r>
    <n v="6894"/>
    <s v="CA-2017-164756"/>
    <x v="510"/>
    <d v="2017-09-22T00:00:00"/>
    <x v="1"/>
    <s v="SS-20140"/>
    <s v="Saphhira Shifley"/>
    <x v="1"/>
    <s v="United States"/>
    <x v="29"/>
    <x v="24"/>
    <n v="31907"/>
    <x v="0"/>
    <s v="FUR-FU-10002963"/>
    <x v="0"/>
    <x v="3"/>
    <s v="Master Caster Door Stop, Gray"/>
    <n v="20"/>
    <n v="4"/>
    <n v="0"/>
    <n v="7"/>
    <x v="4"/>
    <s v="Sep"/>
  </r>
  <r>
    <n v="6899"/>
    <s v="US-2015-165512"/>
    <x v="736"/>
    <d v="2015-05-26T00:00:00"/>
    <x v="0"/>
    <s v="VS-21820"/>
    <s v="Vivek Sundaresam"/>
    <x v="0"/>
    <s v="United States"/>
    <x v="312"/>
    <x v="8"/>
    <n v="60540"/>
    <x v="3"/>
    <s v="FUR-CH-10002880"/>
    <x v="0"/>
    <x v="1"/>
    <s v="Global High-Back Leather Tilter, Burgundy"/>
    <n v="603"/>
    <n v="7"/>
    <n v="0.3"/>
    <n v="-164"/>
    <x v="3"/>
    <s v="May"/>
  </r>
  <r>
    <n v="6909"/>
    <s v="US-2017-135503"/>
    <x v="247"/>
    <d v="2017-12-15T00:00:00"/>
    <x v="1"/>
    <s v="JE-16165"/>
    <s v="Justin Ellison"/>
    <x v="1"/>
    <s v="United States"/>
    <x v="313"/>
    <x v="10"/>
    <n v="29406"/>
    <x v="0"/>
    <s v="FUR-FU-10002364"/>
    <x v="0"/>
    <x v="3"/>
    <s v="Eldon Expressions Wood Desk Accessories, Oak"/>
    <n v="15"/>
    <n v="2"/>
    <n v="0"/>
    <n v="4"/>
    <x v="2"/>
    <s v="Dec"/>
  </r>
  <r>
    <n v="6911"/>
    <s v="US-2017-115301"/>
    <x v="605"/>
    <d v="2017-08-02T00:00:00"/>
    <x v="1"/>
    <s v="VG-21790"/>
    <s v="Vivek Gonzalez"/>
    <x v="0"/>
    <s v="United States"/>
    <x v="15"/>
    <x v="13"/>
    <n v="98103"/>
    <x v="1"/>
    <s v="FUR-BO-10004709"/>
    <x v="0"/>
    <x v="0"/>
    <s v="Bush Westfield Collection Bookcases, Medium Cherry Finish"/>
    <n v="116"/>
    <n v="2"/>
    <n v="0"/>
    <n v="26"/>
    <x v="4"/>
    <s v="Jul"/>
  </r>
  <r>
    <n v="6918"/>
    <s v="CA-2014-124247"/>
    <x v="439"/>
    <d v="2014-12-21T00:00:00"/>
    <x v="1"/>
    <s v="SH-20635"/>
    <s v="Stefanie Holloman"/>
    <x v="1"/>
    <s v="United States"/>
    <x v="155"/>
    <x v="2"/>
    <n v="95823"/>
    <x v="1"/>
    <s v="FUR-CH-10001854"/>
    <x v="0"/>
    <x v="1"/>
    <s v="Office Star - Professional Matrix Back Chair with 2-to-1 Synchro Tilt and Mesh Fabric Seat"/>
    <n v="1404"/>
    <n v="5"/>
    <n v="0.2"/>
    <n v="70"/>
    <x v="2"/>
    <s v="Dec"/>
  </r>
  <r>
    <n v="6926"/>
    <s v="CA-2015-137925"/>
    <x v="737"/>
    <d v="2015-12-04T00:00:00"/>
    <x v="1"/>
    <s v="JL-15235"/>
    <s v="Janet Lee"/>
    <x v="0"/>
    <s v="United States"/>
    <x v="13"/>
    <x v="7"/>
    <n v="10035"/>
    <x v="2"/>
    <s v="FUR-BO-10001608"/>
    <x v="0"/>
    <x v="0"/>
    <s v="Hon Metal Bookcases, Black"/>
    <n v="681"/>
    <n v="12"/>
    <n v="0.2"/>
    <n v="43"/>
    <x v="4"/>
    <s v="Nov"/>
  </r>
  <r>
    <n v="6934"/>
    <s v="CA-2014-164182"/>
    <x v="738"/>
    <d v="2014-07-18T00:00:00"/>
    <x v="1"/>
    <s v="ST-20530"/>
    <s v="Shui Tom"/>
    <x v="0"/>
    <s v="United States"/>
    <x v="3"/>
    <x v="3"/>
    <n v="19140"/>
    <x v="2"/>
    <s v="FUR-FU-10001057"/>
    <x v="0"/>
    <x v="3"/>
    <s v="Tensor Track Tree Floor Lamp"/>
    <n v="32"/>
    <n v="2"/>
    <n v="0.2"/>
    <n v="1"/>
    <x v="4"/>
    <s v="Jul"/>
  </r>
  <r>
    <n v="6937"/>
    <s v="CA-2016-129847"/>
    <x v="227"/>
    <d v="2016-09-04T00:00:00"/>
    <x v="2"/>
    <s v="TA-21385"/>
    <s v="Tom Ashbrook"/>
    <x v="2"/>
    <s v="United States"/>
    <x v="9"/>
    <x v="8"/>
    <n v="60653"/>
    <x v="3"/>
    <s v="FUR-FU-10000277"/>
    <x v="0"/>
    <x v="3"/>
    <s v="Deflect-o DuraMat Antistatic Studded Beveled Mat for Medium Pile Carpeting"/>
    <n v="84"/>
    <n v="2"/>
    <n v="0.6"/>
    <n v="-76"/>
    <x v="3"/>
    <s v="Sep"/>
  </r>
  <r>
    <n v="6946"/>
    <s v="CA-2016-106243"/>
    <x v="739"/>
    <d v="2016-10-04T00:00:00"/>
    <x v="1"/>
    <s v="GM-14680"/>
    <s v="Greg Matthias"/>
    <x v="0"/>
    <s v="United States"/>
    <x v="13"/>
    <x v="7"/>
    <n v="10011"/>
    <x v="2"/>
    <s v="FUR-BO-10003034"/>
    <x v="0"/>
    <x v="0"/>
    <s v="O'Sullivan Elevations Bookcase, Cherry Finish"/>
    <n v="524"/>
    <n v="5"/>
    <n v="0.2"/>
    <n v="-26"/>
    <x v="4"/>
    <s v="Sep"/>
  </r>
  <r>
    <n v="6949"/>
    <s v="CA-2015-130365"/>
    <x v="740"/>
    <d v="2015-04-29T00:00:00"/>
    <x v="1"/>
    <s v="ZC-21910"/>
    <s v="Zuschuss Carroll"/>
    <x v="0"/>
    <s v="United States"/>
    <x v="14"/>
    <x v="8"/>
    <n v="60505"/>
    <x v="3"/>
    <s v="FUR-CH-10003535"/>
    <x v="0"/>
    <x v="1"/>
    <s v="Global Armless Task Chair, Royal Blue"/>
    <n v="128"/>
    <n v="3"/>
    <n v="0.3"/>
    <n v="-24"/>
    <x v="4"/>
    <s v="Apr"/>
  </r>
  <r>
    <n v="6951"/>
    <s v="CA-2017-143021"/>
    <x v="49"/>
    <d v="2017-11-19T00:00:00"/>
    <x v="3"/>
    <s v="AP-10720"/>
    <s v="Anne Pryor"/>
    <x v="2"/>
    <s v="United States"/>
    <x v="13"/>
    <x v="7"/>
    <n v="10011"/>
    <x v="2"/>
    <s v="FUR-TA-10001676"/>
    <x v="0"/>
    <x v="2"/>
    <s v="Hon 61000 Series Interactive Training Tables"/>
    <n v="80"/>
    <n v="3"/>
    <n v="0.4"/>
    <n v="-29"/>
    <x v="7"/>
    <s v="Nov"/>
  </r>
  <r>
    <n v="6958"/>
    <s v="CA-2016-157588"/>
    <x v="197"/>
    <d v="2016-07-19T00:00:00"/>
    <x v="1"/>
    <s v="AR-10570"/>
    <s v="Anemone Ratner"/>
    <x v="0"/>
    <s v="United States"/>
    <x v="29"/>
    <x v="24"/>
    <n v="31907"/>
    <x v="0"/>
    <s v="FUR-FU-10004848"/>
    <x v="0"/>
    <x v="3"/>
    <s v="Howard Miller 13-3/4&quot; Diameter Brushed Chrome Round Wall Clock"/>
    <n v="52"/>
    <n v="1"/>
    <n v="0"/>
    <n v="16"/>
    <x v="2"/>
    <s v="Jul"/>
  </r>
  <r>
    <n v="6970"/>
    <s v="CA-2016-163937"/>
    <x v="579"/>
    <d v="2016-01-13T00:00:00"/>
    <x v="0"/>
    <s v="JB-16000"/>
    <s v="Joy Bell-"/>
    <x v="0"/>
    <s v="United States"/>
    <x v="314"/>
    <x v="13"/>
    <n v="98632"/>
    <x v="1"/>
    <s v="FUR-FU-10000010"/>
    <x v="0"/>
    <x v="3"/>
    <s v="DAX Value U-Channel Document Frames, Easel Back"/>
    <n v="25"/>
    <n v="5"/>
    <n v="0"/>
    <n v="8"/>
    <x v="0"/>
    <s v="Jan"/>
  </r>
  <r>
    <n v="6977"/>
    <s v="CA-2015-112144"/>
    <x v="741"/>
    <d v="2015-07-02T00:00:00"/>
    <x v="1"/>
    <s v="CY-12745"/>
    <s v="Craig Yedwab"/>
    <x v="1"/>
    <s v="United States"/>
    <x v="171"/>
    <x v="22"/>
    <n v="85234"/>
    <x v="1"/>
    <s v="FUR-FU-10004306"/>
    <x v="0"/>
    <x v="3"/>
    <s v="Electrix Halogen Magnifier Lamp"/>
    <n v="622"/>
    <n v="4"/>
    <n v="0.2"/>
    <n v="47"/>
    <x v="4"/>
    <s v="Jun"/>
  </r>
  <r>
    <n v="6993"/>
    <s v="CA-2015-109386"/>
    <x v="428"/>
    <d v="2015-11-13T00:00:00"/>
    <x v="0"/>
    <s v="RH-19600"/>
    <s v="Rob Haberlin"/>
    <x v="0"/>
    <s v="United States"/>
    <x v="247"/>
    <x v="25"/>
    <n v="23666"/>
    <x v="0"/>
    <s v="FUR-FU-10000308"/>
    <x v="0"/>
    <x v="3"/>
    <s v="Deflect-o Glass Clear Studded Chair Mats"/>
    <n v="187"/>
    <n v="3"/>
    <n v="0"/>
    <n v="41"/>
    <x v="2"/>
    <s v="Nov"/>
  </r>
  <r>
    <n v="7002"/>
    <s v="CA-2015-104871"/>
    <x v="742"/>
    <d v="2015-04-03T00:00:00"/>
    <x v="1"/>
    <s v="DR-12940"/>
    <s v="Daniel Raglin"/>
    <x v="2"/>
    <s v="United States"/>
    <x v="315"/>
    <x v="8"/>
    <n v="61761"/>
    <x v="3"/>
    <s v="FUR-CH-10003298"/>
    <x v="0"/>
    <x v="1"/>
    <s v="Office Star - Contemporary Task Swivel chair with Loop Arms, Charcoal"/>
    <n v="367"/>
    <n v="4"/>
    <n v="0.3"/>
    <n v="-110"/>
    <x v="4"/>
    <s v="Mar"/>
  </r>
  <r>
    <n v="7003"/>
    <s v="CA-2014-133158"/>
    <x v="532"/>
    <d v="2014-08-21T00:00:00"/>
    <x v="0"/>
    <s v="DW-13195"/>
    <s v="David Wiener"/>
    <x v="1"/>
    <s v="United States"/>
    <x v="2"/>
    <x v="2"/>
    <n v="90045"/>
    <x v="1"/>
    <s v="FUR-FU-10000723"/>
    <x v="0"/>
    <x v="3"/>
    <s v="Deflect-o EconoMat Studded, No Bevel Mat for Low Pile Carpeting"/>
    <n v="289"/>
    <n v="7"/>
    <n v="0"/>
    <n v="26"/>
    <x v="3"/>
    <s v="Aug"/>
  </r>
  <r>
    <n v="7006"/>
    <s v="CA-2015-141740"/>
    <x v="341"/>
    <d v="2015-11-05T00:00:00"/>
    <x v="1"/>
    <s v="JF-15490"/>
    <s v="Jeremy Farry"/>
    <x v="0"/>
    <s v="United States"/>
    <x v="13"/>
    <x v="7"/>
    <n v="10009"/>
    <x v="2"/>
    <s v="FUR-CH-10001545"/>
    <x v="0"/>
    <x v="1"/>
    <s v="Hon Comfortask Task/Swivel Chairs"/>
    <n v="205"/>
    <n v="2"/>
    <n v="0.1"/>
    <n v="14"/>
    <x v="4"/>
    <s v="Nov"/>
  </r>
  <r>
    <n v="7007"/>
    <s v="CA-2014-119466"/>
    <x v="256"/>
    <d v="2014-12-21T00:00:00"/>
    <x v="1"/>
    <s v="SP-20860"/>
    <s v="Sung Pak"/>
    <x v="1"/>
    <s v="United States"/>
    <x v="9"/>
    <x v="8"/>
    <n v="60623"/>
    <x v="3"/>
    <s v="FUR-FU-10001546"/>
    <x v="0"/>
    <x v="3"/>
    <s v="Dana Swing-Arm Lamps"/>
    <n v="9"/>
    <n v="2"/>
    <n v="0.6"/>
    <n v="-7"/>
    <x v="6"/>
    <s v="Dec"/>
  </r>
  <r>
    <n v="7009"/>
    <s v="CA-2015-154823"/>
    <x v="130"/>
    <d v="2015-08-25T00:00:00"/>
    <x v="1"/>
    <s v="KN-16390"/>
    <s v="Katherine Nockton"/>
    <x v="1"/>
    <s v="United States"/>
    <x v="76"/>
    <x v="15"/>
    <n v="45503"/>
    <x v="2"/>
    <s v="FUR-CH-10003379"/>
    <x v="0"/>
    <x v="1"/>
    <s v="Global Commerce Series High-Back Swivel/Tilt Chairs"/>
    <n v="598"/>
    <n v="3"/>
    <n v="0.3"/>
    <n v="-43"/>
    <x v="4"/>
    <s v="Aug"/>
  </r>
  <r>
    <n v="7010"/>
    <s v="CA-2015-154823"/>
    <x v="130"/>
    <d v="2015-08-25T00:00:00"/>
    <x v="1"/>
    <s v="KN-16390"/>
    <s v="Katherine Nockton"/>
    <x v="1"/>
    <s v="United States"/>
    <x v="76"/>
    <x v="15"/>
    <n v="45503"/>
    <x v="2"/>
    <s v="FUR-FU-10000193"/>
    <x v="0"/>
    <x v="3"/>
    <s v="Tenex Chairmats For Use with Hard Floors"/>
    <n v="26"/>
    <n v="1"/>
    <n v="0.2"/>
    <n v="-4"/>
    <x v="4"/>
    <s v="Aug"/>
  </r>
  <r>
    <n v="7014"/>
    <s v="CA-2017-141201"/>
    <x v="13"/>
    <d v="2017-12-11T00:00:00"/>
    <x v="0"/>
    <s v="DB-12910"/>
    <s v="Daniel Byrd"/>
    <x v="2"/>
    <s v="United States"/>
    <x v="316"/>
    <x v="2"/>
    <n v="93905"/>
    <x v="1"/>
    <s v="FUR-BO-10001519"/>
    <x v="0"/>
    <x v="0"/>
    <s v="O'Sullivan 3-Shelf Heavy-Duty Bookcases"/>
    <n v="148"/>
    <n v="3"/>
    <n v="0.15"/>
    <n v="16"/>
    <x v="3"/>
    <s v="Dec"/>
  </r>
  <r>
    <n v="7022"/>
    <s v="CA-2014-124737"/>
    <x v="743"/>
    <d v="2014-08-27T00:00:00"/>
    <x v="1"/>
    <s v="AP-10915"/>
    <s v="Arthur Prichep"/>
    <x v="0"/>
    <s v="United States"/>
    <x v="22"/>
    <x v="12"/>
    <n v="80219"/>
    <x v="1"/>
    <s v="FUR-FU-10003274"/>
    <x v="0"/>
    <x v="3"/>
    <s v="Regeneration Desk Collection"/>
    <n v="4"/>
    <n v="3"/>
    <n v="0.2"/>
    <n v="1"/>
    <x v="4"/>
    <s v="Aug"/>
  </r>
  <r>
    <n v="7033"/>
    <s v="CA-2016-145548"/>
    <x v="367"/>
    <d v="2016-11-16T00:00:00"/>
    <x v="1"/>
    <s v="EB-13750"/>
    <s v="Edward Becker"/>
    <x v="1"/>
    <s v="United States"/>
    <x v="13"/>
    <x v="7"/>
    <n v="10011"/>
    <x v="2"/>
    <s v="FUR-CH-10003774"/>
    <x v="0"/>
    <x v="1"/>
    <s v="Global Wood Trimmed Manager's Task Chair, Khaki"/>
    <n v="246"/>
    <n v="3"/>
    <n v="0.1"/>
    <n v="8"/>
    <x v="2"/>
    <s v="Nov"/>
  </r>
  <r>
    <n v="7036"/>
    <s v="CA-2017-119494"/>
    <x v="17"/>
    <d v="2017-11-13T00:00:00"/>
    <x v="1"/>
    <s v="JE-15610"/>
    <s v="Jim Epp"/>
    <x v="1"/>
    <s v="United States"/>
    <x v="53"/>
    <x v="2"/>
    <n v="92105"/>
    <x v="1"/>
    <s v="FUR-CH-10004675"/>
    <x v="0"/>
    <x v="1"/>
    <s v="Lifetime Advantage Folding Chairs, 4/Carton"/>
    <n v="523"/>
    <n v="3"/>
    <n v="0.2"/>
    <n v="52"/>
    <x v="4"/>
    <s v="Nov"/>
  </r>
  <r>
    <n v="7042"/>
    <s v="CA-2017-103443"/>
    <x v="430"/>
    <d v="2017-12-23T00:00:00"/>
    <x v="1"/>
    <s v="AT-10735"/>
    <s v="Annie Thurman"/>
    <x v="0"/>
    <s v="United States"/>
    <x v="13"/>
    <x v="7"/>
    <n v="10009"/>
    <x v="2"/>
    <s v="FUR-FU-10000308"/>
    <x v="0"/>
    <x v="3"/>
    <s v="Deflect-o Glass Clear Studded Chair Mats"/>
    <n v="124"/>
    <n v="2"/>
    <n v="0"/>
    <n v="27"/>
    <x v="6"/>
    <s v="Dec"/>
  </r>
  <r>
    <n v="7044"/>
    <s v="US-2017-165358"/>
    <x v="511"/>
    <d v="2017-07-23T00:00:00"/>
    <x v="1"/>
    <s v="SV-20365"/>
    <s v="Seth Vernon"/>
    <x v="0"/>
    <s v="United States"/>
    <x v="3"/>
    <x v="3"/>
    <n v="19134"/>
    <x v="2"/>
    <s v="FUR-CH-10002647"/>
    <x v="0"/>
    <x v="1"/>
    <s v="Situations Contoured Folding Chairs, 4/Set"/>
    <n v="199"/>
    <n v="4"/>
    <n v="0.3"/>
    <n v="-14"/>
    <x v="2"/>
    <s v="Jul"/>
  </r>
  <r>
    <n v="7047"/>
    <s v="CA-2014-150581"/>
    <x v="676"/>
    <d v="2014-04-12T00:00:00"/>
    <x v="1"/>
    <s v="NM-18445"/>
    <s v="Nathan Mautz"/>
    <x v="2"/>
    <s v="United States"/>
    <x v="41"/>
    <x v="2"/>
    <n v="94521"/>
    <x v="1"/>
    <s v="FUR-TA-10003748"/>
    <x v="0"/>
    <x v="2"/>
    <s v="Bevis 36 x 72 Conference Tables"/>
    <n v="100"/>
    <n v="1"/>
    <n v="0.2"/>
    <n v="2"/>
    <x v="4"/>
    <s v="Apr"/>
  </r>
  <r>
    <n v="7055"/>
    <s v="CA-2016-165330"/>
    <x v="106"/>
    <d v="2016-12-11T00:00:00"/>
    <x v="3"/>
    <s v="WB-21850"/>
    <s v="William Brown"/>
    <x v="0"/>
    <s v="United States"/>
    <x v="261"/>
    <x v="2"/>
    <n v="92804"/>
    <x v="1"/>
    <s v="FUR-CH-10003774"/>
    <x v="0"/>
    <x v="1"/>
    <s v="Global Wood Trimmed Manager's Task Chair, Khaki"/>
    <n v="364"/>
    <n v="5"/>
    <n v="0.2"/>
    <n v="-32"/>
    <x v="7"/>
    <s v="Dec"/>
  </r>
  <r>
    <n v="7058"/>
    <s v="CA-2016-165330"/>
    <x v="106"/>
    <d v="2016-12-11T00:00:00"/>
    <x v="3"/>
    <s v="WB-21850"/>
    <s v="William Brown"/>
    <x v="0"/>
    <s v="United States"/>
    <x v="261"/>
    <x v="2"/>
    <n v="92804"/>
    <x v="1"/>
    <s v="FUR-TA-10004619"/>
    <x v="0"/>
    <x v="2"/>
    <s v="Hon Non-Folding Utility Tables"/>
    <n v="892"/>
    <n v="7"/>
    <n v="0.2"/>
    <n v="112"/>
    <x v="7"/>
    <s v="Dec"/>
  </r>
  <r>
    <n v="7081"/>
    <s v="CA-2016-106950"/>
    <x v="227"/>
    <d v="2016-09-06T00:00:00"/>
    <x v="1"/>
    <s v="JE-15715"/>
    <s v="Joe Elijah"/>
    <x v="0"/>
    <s v="United States"/>
    <x v="127"/>
    <x v="30"/>
    <n v="28205"/>
    <x v="0"/>
    <s v="FUR-TA-10001768"/>
    <x v="0"/>
    <x v="2"/>
    <s v="Hon Racetrack Conference Tables"/>
    <n v="473"/>
    <n v="3"/>
    <n v="0.4"/>
    <n v="-150"/>
    <x v="4"/>
    <s v="Sep"/>
  </r>
  <r>
    <n v="7105"/>
    <s v="CA-2017-128944"/>
    <x v="744"/>
    <d v="2017-06-21T00:00:00"/>
    <x v="0"/>
    <s v="KH-16330"/>
    <s v="Katharine Harms"/>
    <x v="1"/>
    <s v="United States"/>
    <x v="19"/>
    <x v="15"/>
    <n v="43055"/>
    <x v="2"/>
    <s v="FUR-CH-10000785"/>
    <x v="0"/>
    <x v="1"/>
    <s v="Global Ergonomic Managers Chair"/>
    <n v="760"/>
    <n v="6"/>
    <n v="0.3"/>
    <n v="-43"/>
    <x v="3"/>
    <s v="Jun"/>
  </r>
  <r>
    <n v="7106"/>
    <s v="CA-2017-128944"/>
    <x v="744"/>
    <d v="2017-06-21T00:00:00"/>
    <x v="0"/>
    <s v="KH-16330"/>
    <s v="Katharine Harms"/>
    <x v="1"/>
    <s v="United States"/>
    <x v="19"/>
    <x v="15"/>
    <n v="43055"/>
    <x v="2"/>
    <s v="FUR-FU-10004909"/>
    <x v="0"/>
    <x v="3"/>
    <s v="Contemporary Wood/Metal Frame"/>
    <n v="39"/>
    <n v="3"/>
    <n v="0.2"/>
    <n v="7"/>
    <x v="3"/>
    <s v="Jun"/>
  </r>
  <r>
    <n v="7115"/>
    <s v="US-2016-102239"/>
    <x v="399"/>
    <d v="2016-05-06T00:00:00"/>
    <x v="2"/>
    <s v="LW-16990"/>
    <s v="Lindsay Williams"/>
    <x v="1"/>
    <s v="United States"/>
    <x v="0"/>
    <x v="34"/>
    <n v="89015"/>
    <x v="1"/>
    <s v="FUR-TA-10003392"/>
    <x v="0"/>
    <x v="2"/>
    <s v="Global Adaptabilities Conference Tables"/>
    <n v="1686"/>
    <n v="6"/>
    <n v="0"/>
    <n v="320"/>
    <x v="5"/>
    <s v="May"/>
  </r>
  <r>
    <n v="7123"/>
    <s v="CA-2017-166926"/>
    <x v="451"/>
    <d v="2017-12-08T00:00:00"/>
    <x v="1"/>
    <s v="SO-20335"/>
    <s v="Sean O'Donnell"/>
    <x v="0"/>
    <s v="United States"/>
    <x v="15"/>
    <x v="13"/>
    <n v="98105"/>
    <x v="1"/>
    <s v="FUR-BO-10002598"/>
    <x v="0"/>
    <x v="0"/>
    <s v="Hon Metal Bookcases, Putty"/>
    <n v="142"/>
    <n v="2"/>
    <n v="0"/>
    <n v="41"/>
    <x v="1"/>
    <s v="Dec"/>
  </r>
  <r>
    <n v="7124"/>
    <s v="CA-2015-128013"/>
    <x v="38"/>
    <d v="2015-08-16T00:00:00"/>
    <x v="1"/>
    <s v="MF-18250"/>
    <s v="Monica Federle"/>
    <x v="1"/>
    <s v="United States"/>
    <x v="13"/>
    <x v="7"/>
    <n v="10035"/>
    <x v="2"/>
    <s v="FUR-FU-10000320"/>
    <x v="0"/>
    <x v="3"/>
    <s v="OIC Stacking Trays"/>
    <n v="10"/>
    <n v="3"/>
    <n v="0"/>
    <n v="4"/>
    <x v="1"/>
    <s v="Aug"/>
  </r>
  <r>
    <n v="7129"/>
    <s v="US-2016-117541"/>
    <x v="566"/>
    <d v="2016-11-20T00:00:00"/>
    <x v="1"/>
    <s v="JM-16195"/>
    <s v="Justin MacKendrick"/>
    <x v="0"/>
    <s v="United States"/>
    <x v="19"/>
    <x v="14"/>
    <n v="19711"/>
    <x v="2"/>
    <s v="FUR-FU-10000550"/>
    <x v="0"/>
    <x v="3"/>
    <s v="Stacking Trays by OIC"/>
    <n v="20"/>
    <n v="4"/>
    <n v="0"/>
    <n v="7"/>
    <x v="6"/>
    <s v="Nov"/>
  </r>
  <r>
    <n v="7132"/>
    <s v="CA-2017-141439"/>
    <x v="83"/>
    <d v="2017-12-01T00:00:00"/>
    <x v="1"/>
    <s v="TT-21460"/>
    <s v="Tonja Turnell"/>
    <x v="2"/>
    <s v="United States"/>
    <x v="52"/>
    <x v="6"/>
    <n v="47374"/>
    <x v="3"/>
    <s v="FUR-TA-10001039"/>
    <x v="0"/>
    <x v="2"/>
    <s v="KI Adjustable-Height Table"/>
    <n v="258"/>
    <n v="3"/>
    <n v="0"/>
    <n v="67"/>
    <x v="2"/>
    <s v="Nov"/>
  </r>
  <r>
    <n v="7134"/>
    <s v="CA-2017-141439"/>
    <x v="83"/>
    <d v="2017-12-01T00:00:00"/>
    <x v="1"/>
    <s v="TT-21460"/>
    <s v="Tonja Turnell"/>
    <x v="2"/>
    <s v="United States"/>
    <x v="52"/>
    <x v="6"/>
    <n v="47374"/>
    <x v="3"/>
    <s v="FUR-FU-10001473"/>
    <x v="0"/>
    <x v="3"/>
    <s v="DAX Wood Document Frame"/>
    <n v="27"/>
    <n v="2"/>
    <n v="0"/>
    <n v="10"/>
    <x v="2"/>
    <s v="Nov"/>
  </r>
  <r>
    <n v="7136"/>
    <s v="CA-2017-141439"/>
    <x v="83"/>
    <d v="2017-12-01T00:00:00"/>
    <x v="1"/>
    <s v="TT-21460"/>
    <s v="Tonja Turnell"/>
    <x v="2"/>
    <s v="United States"/>
    <x v="52"/>
    <x v="6"/>
    <n v="47374"/>
    <x v="3"/>
    <s v="FUR-CH-10004287"/>
    <x v="0"/>
    <x v="1"/>
    <s v="SAFCO Arco Folding Chair"/>
    <n v="829"/>
    <n v="3"/>
    <n v="0"/>
    <n v="240"/>
    <x v="2"/>
    <s v="Nov"/>
  </r>
  <r>
    <n v="7140"/>
    <s v="CA-2015-163965"/>
    <x v="141"/>
    <d v="2015-11-27T00:00:00"/>
    <x v="1"/>
    <s v="SS-20875"/>
    <s v="Sung Shariari"/>
    <x v="0"/>
    <s v="United States"/>
    <x v="89"/>
    <x v="1"/>
    <n v="33180"/>
    <x v="0"/>
    <s v="FUR-BO-10001337"/>
    <x v="0"/>
    <x v="0"/>
    <s v="O'Sullivan Living Dimensions 2-Shelf Bookcases"/>
    <n v="290"/>
    <n v="3"/>
    <n v="0.2"/>
    <n v="-36"/>
    <x v="1"/>
    <s v="Nov"/>
  </r>
  <r>
    <n v="7142"/>
    <s v="CA-2017-128783"/>
    <x v="87"/>
    <d v="2017-09-07T00:00:00"/>
    <x v="3"/>
    <s v="TG-21640"/>
    <s v="Trudy Glocke"/>
    <x v="0"/>
    <s v="United States"/>
    <x v="317"/>
    <x v="23"/>
    <n v="63301"/>
    <x v="3"/>
    <s v="FUR-FU-10003623"/>
    <x v="0"/>
    <x v="3"/>
    <s v="DataProducts Ampli Magnifier Task Lamp, Black,"/>
    <n v="135"/>
    <n v="5"/>
    <n v="0"/>
    <n v="38"/>
    <x v="7"/>
    <s v="Sep"/>
  </r>
  <r>
    <n v="7143"/>
    <s v="CA-2014-122217"/>
    <x v="168"/>
    <d v="2014-11-29T00:00:00"/>
    <x v="1"/>
    <s v="HP-14815"/>
    <s v="Harold Pawlan"/>
    <x v="2"/>
    <s v="United States"/>
    <x v="304"/>
    <x v="25"/>
    <n v="23464"/>
    <x v="0"/>
    <s v="FUR-FU-10002045"/>
    <x v="0"/>
    <x v="3"/>
    <s v="Executive Impressions 14&quot;"/>
    <n v="111"/>
    <n v="5"/>
    <n v="0"/>
    <n v="49"/>
    <x v="2"/>
    <s v="Nov"/>
  </r>
  <r>
    <n v="7146"/>
    <s v="US-2017-141558"/>
    <x v="745"/>
    <d v="2017-03-16T00:00:00"/>
    <x v="1"/>
    <s v="MH-17290"/>
    <s v="Marc Harrigan"/>
    <x v="2"/>
    <s v="United States"/>
    <x v="3"/>
    <x v="3"/>
    <n v="19140"/>
    <x v="2"/>
    <s v="FUR-TA-10004086"/>
    <x v="0"/>
    <x v="2"/>
    <s v="KI Adjustable-Height Table"/>
    <n v="155"/>
    <n v="3"/>
    <n v="0.4"/>
    <n v="-46"/>
    <x v="2"/>
    <s v="Mar"/>
  </r>
  <r>
    <n v="7151"/>
    <s v="CA-2017-100412"/>
    <x v="313"/>
    <d v="2017-12-26T00:00:00"/>
    <x v="1"/>
    <s v="SR-20425"/>
    <s v="Sharelle Roach"/>
    <x v="2"/>
    <s v="United States"/>
    <x v="318"/>
    <x v="33"/>
    <n v="35401"/>
    <x v="0"/>
    <s v="FUR-CH-10002647"/>
    <x v="0"/>
    <x v="1"/>
    <s v="Situations Contoured Folding Chairs, 4/Set"/>
    <n v="142"/>
    <n v="2"/>
    <n v="0"/>
    <n v="35"/>
    <x v="4"/>
    <s v="Dec"/>
  </r>
  <r>
    <n v="7152"/>
    <s v="CA-2017-142909"/>
    <x v="313"/>
    <d v="2017-12-25T00:00:00"/>
    <x v="0"/>
    <s v="AG-10330"/>
    <s v="Alex Grayson"/>
    <x v="0"/>
    <s v="United States"/>
    <x v="81"/>
    <x v="22"/>
    <n v="85204"/>
    <x v="1"/>
    <s v="FUR-TA-10003008"/>
    <x v="0"/>
    <x v="2"/>
    <s v="Lesro Round Back Collection Coffee Table, End Table"/>
    <n v="183"/>
    <n v="2"/>
    <n v="0.5"/>
    <n v="-135"/>
    <x v="0"/>
    <s v="Dec"/>
  </r>
  <r>
    <n v="7155"/>
    <s v="US-2015-136749"/>
    <x v="344"/>
    <d v="2015-12-27T00:00:00"/>
    <x v="0"/>
    <s v="LH-16900"/>
    <s v="Lena Hernandez"/>
    <x v="0"/>
    <s v="United States"/>
    <x v="29"/>
    <x v="24"/>
    <n v="31907"/>
    <x v="0"/>
    <s v="FUR-FU-10000747"/>
    <x v="0"/>
    <x v="3"/>
    <s v="Tenex B1-RE Series Chair Mats for Low Pile Carpets"/>
    <n v="276"/>
    <n v="6"/>
    <n v="0"/>
    <n v="47"/>
    <x v="3"/>
    <s v="Dec"/>
  </r>
  <r>
    <n v="7168"/>
    <s v="CA-2014-117464"/>
    <x v="746"/>
    <d v="2014-07-24T00:00:00"/>
    <x v="0"/>
    <s v="NP-18325"/>
    <s v="Naresj Patel"/>
    <x v="0"/>
    <s v="United States"/>
    <x v="28"/>
    <x v="2"/>
    <n v="94122"/>
    <x v="1"/>
    <s v="FUR-CH-10000155"/>
    <x v="0"/>
    <x v="1"/>
    <s v="Global Comet Stacking Armless Chair"/>
    <n v="718"/>
    <n v="3"/>
    <n v="0.2"/>
    <n v="72"/>
    <x v="3"/>
    <s v="Jul"/>
  </r>
  <r>
    <n v="7170"/>
    <s v="CA-2014-117464"/>
    <x v="746"/>
    <d v="2014-07-24T00:00:00"/>
    <x v="0"/>
    <s v="NP-18325"/>
    <s v="Naresj Patel"/>
    <x v="0"/>
    <s v="United States"/>
    <x v="28"/>
    <x v="2"/>
    <n v="94122"/>
    <x v="1"/>
    <s v="FUR-TA-10004767"/>
    <x v="0"/>
    <x v="2"/>
    <s v="Safco Drafting Table"/>
    <n v="170"/>
    <n v="3"/>
    <n v="0.2"/>
    <n v="19"/>
    <x v="3"/>
    <s v="Jul"/>
  </r>
  <r>
    <n v="7171"/>
    <s v="US-2017-168613"/>
    <x v="747"/>
    <d v="2017-10-14T00:00:00"/>
    <x v="1"/>
    <s v="GM-14440"/>
    <s v="Gary McGarr"/>
    <x v="0"/>
    <s v="United States"/>
    <x v="13"/>
    <x v="7"/>
    <n v="10009"/>
    <x v="2"/>
    <s v="FUR-CH-10002372"/>
    <x v="0"/>
    <x v="1"/>
    <s v="Office Star - Ergonomically Designed Knee Chair"/>
    <n v="146"/>
    <n v="2"/>
    <n v="0.1"/>
    <n v="3"/>
    <x v="6"/>
    <s v="Oct"/>
  </r>
  <r>
    <n v="7184"/>
    <s v="CA-2017-128853"/>
    <x v="488"/>
    <d v="2017-04-23T00:00:00"/>
    <x v="2"/>
    <s v="JM-15250"/>
    <s v="Janet Martin"/>
    <x v="0"/>
    <s v="United States"/>
    <x v="237"/>
    <x v="32"/>
    <n v="21215"/>
    <x v="2"/>
    <s v="FUR-CH-10004218"/>
    <x v="0"/>
    <x v="1"/>
    <s v="Global Fabric Manager's Chair, Dark Gray"/>
    <n v="909"/>
    <n v="9"/>
    <n v="0"/>
    <n v="227"/>
    <x v="3"/>
    <s v="Apr"/>
  </r>
  <r>
    <n v="7187"/>
    <s v="CA-2017-133102"/>
    <x v="301"/>
    <d v="2017-08-24T00:00:00"/>
    <x v="1"/>
    <s v="ED-13885"/>
    <s v="Emily Ducich"/>
    <x v="2"/>
    <s v="United States"/>
    <x v="6"/>
    <x v="5"/>
    <n v="77095"/>
    <x v="3"/>
    <s v="FUR-CH-10002017"/>
    <x v="0"/>
    <x v="1"/>
    <s v="SAFCO Optional Arm Kit for Workspace Cribbage Stacking Chair"/>
    <n v="75"/>
    <n v="4"/>
    <n v="0.3"/>
    <n v="-2"/>
    <x v="1"/>
    <s v="Aug"/>
  </r>
  <r>
    <n v="7188"/>
    <s v="CA-2017-133102"/>
    <x v="301"/>
    <d v="2017-08-24T00:00:00"/>
    <x v="1"/>
    <s v="ED-13885"/>
    <s v="Emily Ducich"/>
    <x v="2"/>
    <s v="United States"/>
    <x v="6"/>
    <x v="5"/>
    <n v="77095"/>
    <x v="3"/>
    <s v="FUR-FU-10003247"/>
    <x v="0"/>
    <x v="3"/>
    <s v="36X48 HARDFLOOR CHAIRMAT"/>
    <n v="17"/>
    <n v="2"/>
    <n v="0.6"/>
    <n v="-22"/>
    <x v="1"/>
    <s v="Aug"/>
  </r>
  <r>
    <n v="7191"/>
    <s v="CA-2016-164399"/>
    <x v="689"/>
    <d v="2016-11-15T00:00:00"/>
    <x v="2"/>
    <s v="DW-13480"/>
    <s v="Dianna Wilson"/>
    <x v="2"/>
    <s v="United States"/>
    <x v="53"/>
    <x v="2"/>
    <n v="92024"/>
    <x v="1"/>
    <s v="FUR-TA-10003392"/>
    <x v="0"/>
    <x v="2"/>
    <s v="Global Adaptabilities Conference Tables"/>
    <n v="674"/>
    <n v="3"/>
    <n v="0.2"/>
    <n v="-8"/>
    <x v="0"/>
    <s v="Nov"/>
  </r>
  <r>
    <n v="7196"/>
    <s v="CA-2016-147683"/>
    <x v="282"/>
    <d v="2016-11-17T00:00:00"/>
    <x v="1"/>
    <s v="PO-19180"/>
    <s v="Philisse Overcash"/>
    <x v="2"/>
    <s v="United States"/>
    <x v="15"/>
    <x v="13"/>
    <n v="98103"/>
    <x v="1"/>
    <s v="FUR-FU-10004848"/>
    <x v="0"/>
    <x v="3"/>
    <s v="DAX Solid Wood Frames"/>
    <n v="20"/>
    <n v="2"/>
    <n v="0"/>
    <n v="7"/>
    <x v="4"/>
    <s v="Nov"/>
  </r>
  <r>
    <n v="7202"/>
    <s v="CA-2016-104276"/>
    <x v="673"/>
    <d v="2016-12-03T00:00:00"/>
    <x v="1"/>
    <s v="HF-14995"/>
    <s v="Herbert Flentye"/>
    <x v="0"/>
    <s v="United States"/>
    <x v="1"/>
    <x v="1"/>
    <n v="33311"/>
    <x v="0"/>
    <s v="FUR-TA-10001039"/>
    <x v="0"/>
    <x v="2"/>
    <s v="KI Adjustable-Height Table"/>
    <n v="331"/>
    <n v="7"/>
    <n v="0.45"/>
    <n v="-114"/>
    <x v="6"/>
    <s v="Nov"/>
  </r>
  <r>
    <n v="7203"/>
    <s v="CA-2016-120369"/>
    <x v="48"/>
    <d v="2016-10-28T00:00:00"/>
    <x v="3"/>
    <s v="VB-21745"/>
    <s v="Victoria Brennan"/>
    <x v="1"/>
    <s v="United States"/>
    <x v="77"/>
    <x v="7"/>
    <n v="14609"/>
    <x v="2"/>
    <s v="FUR-FU-10003806"/>
    <x v="0"/>
    <x v="3"/>
    <s v="Tenex Chairmat w/ Average Lip, 45&quot; x 53&quot;"/>
    <n v="757"/>
    <n v="5"/>
    <n v="0"/>
    <n v="76"/>
    <x v="7"/>
    <s v="Oct"/>
  </r>
  <r>
    <n v="7204"/>
    <s v="CA-2014-118276"/>
    <x v="527"/>
    <d v="2015-01-02T00:00:00"/>
    <x v="1"/>
    <s v="MG-17890"/>
    <s v="Michael Granlund"/>
    <x v="2"/>
    <s v="United States"/>
    <x v="317"/>
    <x v="8"/>
    <n v="60174"/>
    <x v="3"/>
    <s v="FUR-FU-10002111"/>
    <x v="0"/>
    <x v="3"/>
    <s v="Master Caster Door Stop, Large Brown"/>
    <n v="9"/>
    <n v="3"/>
    <n v="0.6"/>
    <n v="-5"/>
    <x v="4"/>
    <s v="Dec"/>
  </r>
  <r>
    <n v="7206"/>
    <s v="CA-2017-137414"/>
    <x v="125"/>
    <d v="2017-10-06T00:00:00"/>
    <x v="1"/>
    <s v="CM-12115"/>
    <s v="Chad McGuire"/>
    <x v="0"/>
    <s v="United States"/>
    <x v="28"/>
    <x v="2"/>
    <n v="94109"/>
    <x v="1"/>
    <s v="FUR-FU-10001424"/>
    <x v="0"/>
    <x v="3"/>
    <s v="Dax Clear Box Frame"/>
    <n v="17"/>
    <n v="2"/>
    <n v="0"/>
    <n v="6"/>
    <x v="4"/>
    <s v="Oct"/>
  </r>
  <r>
    <n v="7226"/>
    <s v="CA-2016-109953"/>
    <x v="197"/>
    <d v="2016-07-18T00:00:00"/>
    <x v="1"/>
    <s v="RB-19360"/>
    <s v="Raymond Buch"/>
    <x v="0"/>
    <s v="United States"/>
    <x v="28"/>
    <x v="2"/>
    <n v="94122"/>
    <x v="1"/>
    <s v="FUR-FU-10000073"/>
    <x v="0"/>
    <x v="3"/>
    <s v="Deflect-O Glasstique Clear Desk Accessories"/>
    <n v="31"/>
    <n v="4"/>
    <n v="0"/>
    <n v="10"/>
    <x v="4"/>
    <s v="Jul"/>
  </r>
  <r>
    <n v="7234"/>
    <s v="CA-2016-137337"/>
    <x v="177"/>
    <d v="2016-03-12T00:00:00"/>
    <x v="1"/>
    <s v="GB-14575"/>
    <s v="Giulietta Baptist"/>
    <x v="0"/>
    <s v="United States"/>
    <x v="13"/>
    <x v="7"/>
    <n v="10011"/>
    <x v="2"/>
    <s v="FUR-FU-10003347"/>
    <x v="0"/>
    <x v="3"/>
    <s v="Coloredge Poster Frame"/>
    <n v="114"/>
    <n v="8"/>
    <n v="0"/>
    <n v="44"/>
    <x v="4"/>
    <s v="Mar"/>
  </r>
  <r>
    <n v="7239"/>
    <s v="CA-2016-101651"/>
    <x v="695"/>
    <d v="2016-12-30T00:00:00"/>
    <x v="1"/>
    <s v="SC-20305"/>
    <s v="Sean Christensen"/>
    <x v="0"/>
    <s v="United States"/>
    <x v="124"/>
    <x v="2"/>
    <n v="95123"/>
    <x v="1"/>
    <s v="FUR-FU-10000771"/>
    <x v="0"/>
    <x v="3"/>
    <s v="Eldon 200 Class Desk Accessories, Smoke"/>
    <n v="44"/>
    <n v="7"/>
    <n v="0"/>
    <n v="18"/>
    <x v="6"/>
    <s v="Dec"/>
  </r>
  <r>
    <n v="7241"/>
    <s v="CA-2017-136651"/>
    <x v="748"/>
    <d v="2017-04-25T00:00:00"/>
    <x v="0"/>
    <s v="JF-15355"/>
    <s v="Jay Fein"/>
    <x v="0"/>
    <s v="United States"/>
    <x v="102"/>
    <x v="2"/>
    <n v="91104"/>
    <x v="1"/>
    <s v="FUR-FU-10002445"/>
    <x v="0"/>
    <x v="3"/>
    <s v="DAX Two-Tone Rosewood/Black Document Frame, Desktop, 5 x 7"/>
    <n v="66"/>
    <n v="7"/>
    <n v="0"/>
    <n v="27"/>
    <x v="3"/>
    <s v="Apr"/>
  </r>
  <r>
    <n v="7243"/>
    <s v="CA-2017-136651"/>
    <x v="748"/>
    <d v="2017-04-25T00:00:00"/>
    <x v="0"/>
    <s v="JF-15355"/>
    <s v="Jay Fein"/>
    <x v="0"/>
    <s v="United States"/>
    <x v="102"/>
    <x v="2"/>
    <n v="91104"/>
    <x v="1"/>
    <s v="FUR-FU-10004864"/>
    <x v="0"/>
    <x v="3"/>
    <s v="Eldon 500 Class Desk Accessories"/>
    <n v="24"/>
    <n v="2"/>
    <n v="0"/>
    <n v="8"/>
    <x v="3"/>
    <s v="Apr"/>
  </r>
  <r>
    <n v="7244"/>
    <s v="CA-2017-118892"/>
    <x v="301"/>
    <d v="2017-08-22T00:00:00"/>
    <x v="0"/>
    <s v="TP-21415"/>
    <s v="Tom Prescott"/>
    <x v="0"/>
    <s v="United States"/>
    <x v="3"/>
    <x v="3"/>
    <n v="19134"/>
    <x v="2"/>
    <s v="FUR-CH-10002024"/>
    <x v="0"/>
    <x v="1"/>
    <s v="HON 5400 Series Task Chairs for Big and Tall"/>
    <n v="4416"/>
    <n v="9"/>
    <n v="0.3"/>
    <n v="-631"/>
    <x v="2"/>
    <s v="Aug"/>
  </r>
  <r>
    <n v="7248"/>
    <s v="US-2014-127978"/>
    <x v="749"/>
    <d v="2014-03-08T00:00:00"/>
    <x v="1"/>
    <s v="JS-15595"/>
    <s v="Jill Stevenson"/>
    <x v="1"/>
    <s v="United States"/>
    <x v="29"/>
    <x v="15"/>
    <n v="43229"/>
    <x v="2"/>
    <s v="FUR-BO-10001972"/>
    <x v="0"/>
    <x v="0"/>
    <s v="O'Sullivan 4-Shelf Bookcase in Odessa Pine"/>
    <n v="302"/>
    <n v="5"/>
    <n v="0.5"/>
    <n v="-200"/>
    <x v="2"/>
    <s v="Mar"/>
  </r>
  <r>
    <n v="7255"/>
    <s v="CA-2016-152730"/>
    <x v="82"/>
    <d v="2016-06-04T00:00:00"/>
    <x v="1"/>
    <s v="EM-14140"/>
    <s v="Eugene Moren"/>
    <x v="2"/>
    <s v="United States"/>
    <x v="319"/>
    <x v="16"/>
    <n v="54880"/>
    <x v="3"/>
    <s v="FUR-FU-10001037"/>
    <x v="0"/>
    <x v="3"/>
    <s v="DAX Charcoal/Nickel-Tone Document Frame, 5 x 7"/>
    <n v="47"/>
    <n v="5"/>
    <n v="0"/>
    <n v="21"/>
    <x v="2"/>
    <s v="May"/>
  </r>
  <r>
    <n v="7266"/>
    <s v="US-2014-143721"/>
    <x v="255"/>
    <d v="2014-11-26T00:00:00"/>
    <x v="0"/>
    <s v="DK-12835"/>
    <s v="Damala Kotsonis"/>
    <x v="1"/>
    <s v="United States"/>
    <x v="6"/>
    <x v="5"/>
    <n v="77095"/>
    <x v="3"/>
    <s v="FUR-CH-10001973"/>
    <x v="0"/>
    <x v="1"/>
    <s v="Office Star Flex Back Scooter Chair with White Frame"/>
    <n v="155"/>
    <n v="2"/>
    <n v="0.3"/>
    <n v="-36"/>
    <x v="0"/>
    <s v="Nov"/>
  </r>
  <r>
    <n v="7270"/>
    <s v="CA-2016-133368"/>
    <x v="750"/>
    <d v="2016-01-20T00:00:00"/>
    <x v="1"/>
    <s v="AG-10675"/>
    <s v="Anna Gayman"/>
    <x v="0"/>
    <s v="United States"/>
    <x v="41"/>
    <x v="30"/>
    <n v="28027"/>
    <x v="0"/>
    <s v="FUR-FU-10003374"/>
    <x v="0"/>
    <x v="3"/>
    <s v="Electrix Fluorescent Magnifier Lamps &amp; Weighted Base"/>
    <n v="316"/>
    <n v="8"/>
    <n v="0.2"/>
    <n v="32"/>
    <x v="6"/>
    <s v="Jan"/>
  </r>
  <r>
    <n v="7271"/>
    <s v="CA-2016-123337"/>
    <x v="751"/>
    <d v="2016-09-22T00:00:00"/>
    <x v="1"/>
    <s v="KD-16495"/>
    <s v="Keith Dawkins"/>
    <x v="1"/>
    <s v="United States"/>
    <x v="124"/>
    <x v="2"/>
    <n v="95123"/>
    <x v="1"/>
    <s v="FUR-BO-10001918"/>
    <x v="0"/>
    <x v="0"/>
    <s v="Sauder Forest Hills Library with Doors, Woodland Oak Finish"/>
    <n v="274"/>
    <n v="2"/>
    <n v="0.15"/>
    <n v="-13"/>
    <x v="6"/>
    <s v="Sep"/>
  </r>
  <r>
    <n v="7276"/>
    <s v="CA-2015-144519"/>
    <x v="18"/>
    <d v="2015-11-17T00:00:00"/>
    <x v="1"/>
    <s v="AW-10930"/>
    <s v="Arthur Wiediger"/>
    <x v="2"/>
    <s v="United States"/>
    <x v="320"/>
    <x v="46"/>
    <n v="59601"/>
    <x v="1"/>
    <s v="FUR-FU-10000794"/>
    <x v="0"/>
    <x v="3"/>
    <s v="Eldon Stackable Tray, Side-Load, Legal, Smoke"/>
    <n v="64"/>
    <n v="7"/>
    <n v="0"/>
    <n v="22"/>
    <x v="4"/>
    <s v="Nov"/>
  </r>
  <r>
    <n v="7285"/>
    <s v="CA-2017-169439"/>
    <x v="198"/>
    <d v="2017-09-13T00:00:00"/>
    <x v="1"/>
    <s v="LC-17140"/>
    <s v="Logan Currie"/>
    <x v="0"/>
    <s v="United States"/>
    <x v="59"/>
    <x v="15"/>
    <n v="44105"/>
    <x v="2"/>
    <s v="FUR-FU-10000723"/>
    <x v="0"/>
    <x v="3"/>
    <s v="Deflect-o EconoMat Studded, No Bevel Mat for Low Pile Carpeting"/>
    <n v="66"/>
    <n v="2"/>
    <n v="0.2"/>
    <n v="-9"/>
    <x v="4"/>
    <s v="Sep"/>
  </r>
  <r>
    <n v="7288"/>
    <s v="CA-2016-149965"/>
    <x v="210"/>
    <d v="2016-06-25T00:00:00"/>
    <x v="1"/>
    <s v="BS-11365"/>
    <s v="Bill Shonely"/>
    <x v="1"/>
    <s v="United States"/>
    <x v="258"/>
    <x v="37"/>
    <n v="73120"/>
    <x v="3"/>
    <s v="FUR-FU-10004270"/>
    <x v="0"/>
    <x v="3"/>
    <s v="Executive Impressions 13&quot; Clairmont Wall Clock"/>
    <n v="58"/>
    <n v="3"/>
    <n v="0"/>
    <n v="24"/>
    <x v="2"/>
    <s v="Jun"/>
  </r>
  <r>
    <n v="7294"/>
    <s v="CA-2016-113656"/>
    <x v="752"/>
    <d v="2016-01-29T00:00:00"/>
    <x v="1"/>
    <s v="CB-12415"/>
    <s v="Christy Brittain"/>
    <x v="0"/>
    <s v="United States"/>
    <x v="2"/>
    <x v="2"/>
    <n v="90036"/>
    <x v="1"/>
    <s v="FUR-FU-10000719"/>
    <x v="0"/>
    <x v="3"/>
    <s v="DAX Cubicle Frames, 8-1/2 x 11"/>
    <n v="60"/>
    <n v="7"/>
    <n v="0"/>
    <n v="22"/>
    <x v="6"/>
    <s v="Jan"/>
  </r>
  <r>
    <n v="7295"/>
    <s v="CA-2015-148964"/>
    <x v="753"/>
    <d v="2015-05-31T00:00:00"/>
    <x v="1"/>
    <s v="RD-19900"/>
    <s v="Ruben Dartt"/>
    <x v="0"/>
    <s v="United States"/>
    <x v="321"/>
    <x v="13"/>
    <n v="98006"/>
    <x v="1"/>
    <s v="FUR-FU-10003849"/>
    <x v="0"/>
    <x v="3"/>
    <s v="DAX Metal Frame, Desktop, Stepped-Edge"/>
    <n v="20"/>
    <n v="1"/>
    <n v="0"/>
    <n v="8"/>
    <x v="2"/>
    <s v="May"/>
  </r>
  <r>
    <n v="7299"/>
    <s v="CA-2014-163468"/>
    <x v="356"/>
    <d v="2014-11-21T00:00:00"/>
    <x v="2"/>
    <s v="JK-15730"/>
    <s v="Joe Kamberova"/>
    <x v="0"/>
    <s v="United States"/>
    <x v="322"/>
    <x v="8"/>
    <n v="60016"/>
    <x v="3"/>
    <s v="FUR-TA-10002533"/>
    <x v="0"/>
    <x v="2"/>
    <s v="BPI Conference Tables"/>
    <n v="292"/>
    <n v="4"/>
    <n v="0.5"/>
    <n v="-175"/>
    <x v="0"/>
    <s v="Nov"/>
  </r>
  <r>
    <n v="7300"/>
    <s v="CA-2014-163468"/>
    <x v="356"/>
    <d v="2014-11-21T00:00:00"/>
    <x v="2"/>
    <s v="JK-15730"/>
    <s v="Joe Kamberova"/>
    <x v="0"/>
    <s v="United States"/>
    <x v="322"/>
    <x v="8"/>
    <n v="60016"/>
    <x v="3"/>
    <s v="FUR-FU-10001546"/>
    <x v="0"/>
    <x v="3"/>
    <s v="Dana Swing-Arm Lamps"/>
    <n v="9"/>
    <n v="2"/>
    <n v="0.6"/>
    <n v="-7"/>
    <x v="0"/>
    <s v="Nov"/>
  </r>
  <r>
    <n v="7301"/>
    <s v="CA-2014-163468"/>
    <x v="356"/>
    <d v="2014-11-21T00:00:00"/>
    <x v="2"/>
    <s v="JK-15730"/>
    <s v="Joe Kamberova"/>
    <x v="0"/>
    <s v="United States"/>
    <x v="322"/>
    <x v="8"/>
    <n v="60016"/>
    <x v="3"/>
    <s v="FUR-BO-10003546"/>
    <x v="0"/>
    <x v="0"/>
    <s v="Hon 4-Shelf Metal Bookcases"/>
    <n v="424"/>
    <n v="6"/>
    <n v="0.3"/>
    <n v="-30"/>
    <x v="0"/>
    <s v="Nov"/>
  </r>
  <r>
    <n v="7304"/>
    <s v="US-2017-117450"/>
    <x v="362"/>
    <d v="2017-09-08T00:00:00"/>
    <x v="1"/>
    <s v="DO-13645"/>
    <s v="Doug O'Connell"/>
    <x v="0"/>
    <s v="United States"/>
    <x v="98"/>
    <x v="1"/>
    <n v="33437"/>
    <x v="0"/>
    <s v="FUR-CH-10003817"/>
    <x v="0"/>
    <x v="1"/>
    <s v="Global Value Steno Chair, Gray"/>
    <n v="97"/>
    <n v="2"/>
    <n v="0.2"/>
    <n v="6"/>
    <x v="4"/>
    <s v="Sep"/>
  </r>
  <r>
    <n v="7306"/>
    <s v="CA-2014-137274"/>
    <x v="754"/>
    <d v="2014-04-02T00:00:00"/>
    <x v="1"/>
    <s v="MG-18145"/>
    <s v="Mike Gockenbach"/>
    <x v="0"/>
    <s v="United States"/>
    <x v="215"/>
    <x v="5"/>
    <n v="75023"/>
    <x v="3"/>
    <s v="FUR-TA-10001889"/>
    <x v="0"/>
    <x v="2"/>
    <s v="Bush Advantage Collection Racetrack Conference Table"/>
    <n v="891"/>
    <n v="3"/>
    <n v="0.3"/>
    <n v="-153"/>
    <x v="4"/>
    <s v="Mar"/>
  </r>
  <r>
    <n v="7308"/>
    <s v="CA-2016-144092"/>
    <x v="541"/>
    <d v="2016-11-07T00:00:00"/>
    <x v="0"/>
    <s v="LH-17155"/>
    <s v="Logan Haushalter"/>
    <x v="0"/>
    <s v="United States"/>
    <x v="124"/>
    <x v="2"/>
    <n v="95123"/>
    <x v="1"/>
    <s v="FUR-CH-10004875"/>
    <x v="0"/>
    <x v="1"/>
    <s v="Harbour Creations 67200 Series Stacking Chairs"/>
    <n v="114"/>
    <n v="2"/>
    <n v="0.2"/>
    <n v="10"/>
    <x v="3"/>
    <s v="Nov"/>
  </r>
  <r>
    <n v="7317"/>
    <s v="CA-2016-132066"/>
    <x v="755"/>
    <d v="2016-10-20T00:00:00"/>
    <x v="1"/>
    <s v="NB-18655"/>
    <s v="Nona Balk"/>
    <x v="1"/>
    <s v="United States"/>
    <x v="13"/>
    <x v="7"/>
    <n v="10011"/>
    <x v="2"/>
    <s v="FUR-TA-10001539"/>
    <x v="0"/>
    <x v="2"/>
    <s v="Chromcraft Rectangular Conference Tables"/>
    <n v="142"/>
    <n v="1"/>
    <n v="0.4"/>
    <n v="-38"/>
    <x v="4"/>
    <s v="Oct"/>
  </r>
  <r>
    <n v="7321"/>
    <s v="CA-2017-100097"/>
    <x v="83"/>
    <d v="2017-11-29T00:00:00"/>
    <x v="0"/>
    <s v="MN-17935"/>
    <s v="Michael Nguyen"/>
    <x v="0"/>
    <s v="United States"/>
    <x v="13"/>
    <x v="7"/>
    <n v="10009"/>
    <x v="2"/>
    <s v="FUR-FU-10003623"/>
    <x v="0"/>
    <x v="3"/>
    <s v="DataProducts Ampli Magnifier Task Lamp, Black,"/>
    <n v="135"/>
    <n v="5"/>
    <n v="0"/>
    <n v="38"/>
    <x v="0"/>
    <s v="Nov"/>
  </r>
  <r>
    <n v="7324"/>
    <s v="US-2017-126053"/>
    <x v="446"/>
    <d v="2017-12-08T00:00:00"/>
    <x v="2"/>
    <s v="CS-11950"/>
    <s v="Carlos Soltero"/>
    <x v="0"/>
    <s v="United States"/>
    <x v="13"/>
    <x v="7"/>
    <n v="10024"/>
    <x v="2"/>
    <s v="FUR-FU-10001934"/>
    <x v="0"/>
    <x v="3"/>
    <s v="Magnifier Swing Arm Lamp"/>
    <n v="42"/>
    <n v="2"/>
    <n v="0"/>
    <n v="11"/>
    <x v="0"/>
    <s v="Dec"/>
  </r>
  <r>
    <n v="7328"/>
    <s v="US-2014-131275"/>
    <x v="385"/>
    <d v="2014-03-24T00:00:00"/>
    <x v="1"/>
    <s v="SC-20050"/>
    <s v="Sample Company A"/>
    <x v="2"/>
    <s v="United States"/>
    <x v="323"/>
    <x v="2"/>
    <n v="91505"/>
    <x v="1"/>
    <s v="FUR-FU-10004597"/>
    <x v="0"/>
    <x v="3"/>
    <s v="Eldon Cleatmat Chair Mats for Medium Pile Carpets"/>
    <n v="111"/>
    <n v="2"/>
    <n v="0"/>
    <n v="14"/>
    <x v="6"/>
    <s v="Mar"/>
  </r>
  <r>
    <n v="7331"/>
    <s v="CA-2016-149349"/>
    <x v="689"/>
    <d v="2016-11-13T00:00:00"/>
    <x v="2"/>
    <s v="SP-20650"/>
    <s v="Stephanie Phelps"/>
    <x v="1"/>
    <s v="United States"/>
    <x v="9"/>
    <x v="8"/>
    <n v="60623"/>
    <x v="3"/>
    <s v="FUR-FU-10001037"/>
    <x v="0"/>
    <x v="3"/>
    <s v="DAX Charcoal/Nickel-Tone Document Frame, 5 x 7"/>
    <n v="23"/>
    <n v="6"/>
    <n v="0.6"/>
    <n v="-9"/>
    <x v="5"/>
    <s v="Nov"/>
  </r>
  <r>
    <n v="7334"/>
    <s v="CA-2015-125563"/>
    <x v="756"/>
    <d v="2015-04-17T00:00:00"/>
    <x v="1"/>
    <s v="PR-18880"/>
    <s v="Patrick Ryan"/>
    <x v="0"/>
    <s v="United States"/>
    <x v="26"/>
    <x v="1"/>
    <n v="33614"/>
    <x v="0"/>
    <s v="FUR-FU-10001290"/>
    <x v="0"/>
    <x v="3"/>
    <s v="Executive Impressions Supervisor Wall Clock"/>
    <n v="67"/>
    <n v="2"/>
    <n v="0.2"/>
    <n v="10"/>
    <x v="6"/>
    <s v="Apr"/>
  </r>
  <r>
    <n v="7335"/>
    <s v="CA-2015-125563"/>
    <x v="756"/>
    <d v="2015-04-17T00:00:00"/>
    <x v="1"/>
    <s v="PR-18880"/>
    <s v="Patrick Ryan"/>
    <x v="0"/>
    <s v="United States"/>
    <x v="26"/>
    <x v="1"/>
    <n v="33614"/>
    <x v="0"/>
    <s v="FUR-FU-10000087"/>
    <x v="0"/>
    <x v="3"/>
    <s v="Executive Impressions 14&quot; Two-Color Numerals Wall Clock"/>
    <n v="55"/>
    <n v="3"/>
    <n v="0.2"/>
    <n v="14"/>
    <x v="6"/>
    <s v="Apr"/>
  </r>
  <r>
    <n v="7337"/>
    <s v="CA-2015-113152"/>
    <x v="344"/>
    <d v="2015-12-30T00:00:00"/>
    <x v="1"/>
    <s v="JK-15625"/>
    <s v="Jim Karlsson"/>
    <x v="0"/>
    <s v="United States"/>
    <x v="13"/>
    <x v="7"/>
    <n v="10024"/>
    <x v="2"/>
    <s v="FUR-BO-10002613"/>
    <x v="0"/>
    <x v="0"/>
    <s v="Atlantic Metals Mobile 4-Shelf Bookcases, Custom Colors"/>
    <n v="450"/>
    <n v="2"/>
    <n v="0.2"/>
    <n v="56"/>
    <x v="2"/>
    <s v="Dec"/>
  </r>
  <r>
    <n v="7339"/>
    <s v="CA-2014-163412"/>
    <x v="191"/>
    <d v="2014-12-23T00:00:00"/>
    <x v="0"/>
    <s v="SM-20950"/>
    <s v="Suzanne McNair"/>
    <x v="1"/>
    <s v="United States"/>
    <x v="13"/>
    <x v="7"/>
    <n v="10035"/>
    <x v="2"/>
    <s v="FUR-CH-10004875"/>
    <x v="0"/>
    <x v="1"/>
    <s v="Harbour Creations 67200 Series Stacking Chairs"/>
    <n v="192"/>
    <n v="3"/>
    <n v="0.1"/>
    <n v="36"/>
    <x v="0"/>
    <s v="Dec"/>
  </r>
  <r>
    <n v="7341"/>
    <s v="CA-2014-116190"/>
    <x v="503"/>
    <d v="2014-08-01T00:00:00"/>
    <x v="1"/>
    <s v="SG-20470"/>
    <s v="Sheri Gordon"/>
    <x v="0"/>
    <s v="United States"/>
    <x v="182"/>
    <x v="24"/>
    <n v="30318"/>
    <x v="0"/>
    <s v="FUR-CH-10000553"/>
    <x v="0"/>
    <x v="1"/>
    <s v="Metal Folding Chairs, Beige, 4/Carton"/>
    <n v="68"/>
    <n v="2"/>
    <n v="0"/>
    <n v="18"/>
    <x v="6"/>
    <s v="Jul"/>
  </r>
  <r>
    <n v="7343"/>
    <s v="CA-2014-116190"/>
    <x v="503"/>
    <d v="2014-08-01T00:00:00"/>
    <x v="1"/>
    <s v="SG-20470"/>
    <s v="Sheri Gordon"/>
    <x v="0"/>
    <s v="United States"/>
    <x v="182"/>
    <x v="24"/>
    <n v="30318"/>
    <x v="0"/>
    <s v="FUR-FU-10000719"/>
    <x v="0"/>
    <x v="3"/>
    <s v="DAX Cubicle Frames, 8-1/2 x 11"/>
    <n v="26"/>
    <n v="3"/>
    <n v="0"/>
    <n v="9"/>
    <x v="6"/>
    <s v="Jul"/>
  </r>
  <r>
    <n v="7345"/>
    <s v="CA-2017-168389"/>
    <x v="246"/>
    <d v="2017-12-17T00:00:00"/>
    <x v="1"/>
    <s v="DV-13045"/>
    <s v="Darrin Van Huff"/>
    <x v="1"/>
    <s v="United States"/>
    <x v="51"/>
    <x v="1"/>
    <n v="32216"/>
    <x v="0"/>
    <s v="FUR-TA-10004289"/>
    <x v="0"/>
    <x v="2"/>
    <s v="BoxOffice By Design Rectangular and Half-Moon Meeting Room Tables"/>
    <n v="722"/>
    <n v="6"/>
    <n v="0.45"/>
    <n v="-420"/>
    <x v="6"/>
    <s v="Dec"/>
  </r>
  <r>
    <n v="7348"/>
    <s v="CA-2017-168389"/>
    <x v="246"/>
    <d v="2017-12-17T00:00:00"/>
    <x v="1"/>
    <s v="DV-13045"/>
    <s v="Darrin Van Huff"/>
    <x v="1"/>
    <s v="United States"/>
    <x v="51"/>
    <x v="1"/>
    <n v="32216"/>
    <x v="0"/>
    <s v="FUR-CH-10000225"/>
    <x v="0"/>
    <x v="1"/>
    <s v="Global Geo Office Task Chair, Gray"/>
    <n v="65"/>
    <n v="1"/>
    <n v="0.2"/>
    <n v="-12"/>
    <x v="6"/>
    <s v="Dec"/>
  </r>
  <r>
    <n v="7358"/>
    <s v="CA-2016-114748"/>
    <x v="714"/>
    <d v="2016-10-14T00:00:00"/>
    <x v="1"/>
    <s v="MZ-17335"/>
    <s v="Maria Zettner"/>
    <x v="2"/>
    <s v="United States"/>
    <x v="43"/>
    <x v="22"/>
    <n v="85023"/>
    <x v="1"/>
    <s v="FUR-FU-10001488"/>
    <x v="0"/>
    <x v="3"/>
    <s v="Tenex 46&quot; x 60&quot; Computer Anti-Static Chairmat, Rectangular Shaped"/>
    <n v="170"/>
    <n v="2"/>
    <n v="0.2"/>
    <n v="0"/>
    <x v="2"/>
    <s v="Oct"/>
  </r>
  <r>
    <n v="7360"/>
    <s v="US-2014-115189"/>
    <x v="757"/>
    <d v="2015-01-03T00:00:00"/>
    <x v="0"/>
    <s v="AR-10345"/>
    <s v="Alex Russell"/>
    <x v="1"/>
    <s v="United States"/>
    <x v="3"/>
    <x v="3"/>
    <n v="19143"/>
    <x v="2"/>
    <s v="FUR-TA-10004575"/>
    <x v="0"/>
    <x v="2"/>
    <s v="Hon 5100 Series Wood Tables"/>
    <n v="524"/>
    <n v="3"/>
    <n v="0.4"/>
    <n v="-192"/>
    <x v="4"/>
    <s v="Dec"/>
  </r>
  <r>
    <n v="7362"/>
    <s v="CA-2016-163594"/>
    <x v="188"/>
    <d v="2016-04-14T00:00:00"/>
    <x v="2"/>
    <s v="JF-15295"/>
    <s v="Jason Fortune-"/>
    <x v="0"/>
    <s v="United States"/>
    <x v="2"/>
    <x v="2"/>
    <n v="90036"/>
    <x v="1"/>
    <s v="FUR-CH-10000225"/>
    <x v="0"/>
    <x v="1"/>
    <s v="Global Geo Office Task Chair, Gray"/>
    <n v="194"/>
    <n v="3"/>
    <n v="0.2"/>
    <n v="-36"/>
    <x v="3"/>
    <s v="Apr"/>
  </r>
  <r>
    <n v="7368"/>
    <s v="CA-2016-127243"/>
    <x v="597"/>
    <d v="2016-12-04T00:00:00"/>
    <x v="1"/>
    <s v="DS-13180"/>
    <s v="David Smith"/>
    <x v="1"/>
    <s v="United States"/>
    <x v="3"/>
    <x v="3"/>
    <n v="19140"/>
    <x v="2"/>
    <s v="FUR-CH-10002647"/>
    <x v="0"/>
    <x v="1"/>
    <s v="Situations Contoured Folding Chairs, 4/Set"/>
    <n v="348"/>
    <n v="7"/>
    <n v="0.3"/>
    <n v="-25"/>
    <x v="6"/>
    <s v="Nov"/>
  </r>
  <r>
    <n v="7388"/>
    <s v="CA-2016-105732"/>
    <x v="758"/>
    <d v="2016-09-18T00:00:00"/>
    <x v="1"/>
    <s v="AG-10270"/>
    <s v="Alejandro Grove"/>
    <x v="0"/>
    <s v="United States"/>
    <x v="70"/>
    <x v="27"/>
    <n v="68104"/>
    <x v="3"/>
    <s v="FUR-FU-10003664"/>
    <x v="0"/>
    <x v="3"/>
    <s v="Electrix Architect's Clamp-On Swing Arm Lamp, Black"/>
    <n v="1336"/>
    <n v="14"/>
    <n v="0"/>
    <n v="388"/>
    <x v="2"/>
    <s v="Sep"/>
  </r>
  <r>
    <n v="7390"/>
    <s v="CA-2017-108035"/>
    <x v="759"/>
    <d v="2017-12-03T00:00:00"/>
    <x v="1"/>
    <s v="TT-21070"/>
    <s v="Ted Trevino"/>
    <x v="0"/>
    <s v="United States"/>
    <x v="196"/>
    <x v="9"/>
    <n v="37421"/>
    <x v="0"/>
    <s v="FUR-CH-10000454"/>
    <x v="0"/>
    <x v="1"/>
    <s v="Hon Deluxe Fabric Upholstered Stacking Chairs, Rounded Back"/>
    <n v="390"/>
    <n v="2"/>
    <n v="0.2"/>
    <n v="49"/>
    <x v="4"/>
    <s v="Nov"/>
  </r>
  <r>
    <n v="7391"/>
    <s v="CA-2017-108035"/>
    <x v="759"/>
    <d v="2017-12-03T00:00:00"/>
    <x v="1"/>
    <s v="TT-21070"/>
    <s v="Ted Trevino"/>
    <x v="0"/>
    <s v="United States"/>
    <x v="196"/>
    <x v="9"/>
    <n v="37421"/>
    <x v="0"/>
    <s v="FUR-FU-10004017"/>
    <x v="0"/>
    <x v="3"/>
    <s v="Executive Impressions 13&quot; Chairman Wall Clock"/>
    <n v="102"/>
    <n v="5"/>
    <n v="0.2"/>
    <n v="19"/>
    <x v="4"/>
    <s v="Nov"/>
  </r>
  <r>
    <n v="7396"/>
    <s v="CA-2016-110975"/>
    <x v="683"/>
    <d v="2016-12-30T00:00:00"/>
    <x v="1"/>
    <s v="DB-12970"/>
    <s v="Darren Budd"/>
    <x v="1"/>
    <s v="United States"/>
    <x v="13"/>
    <x v="7"/>
    <n v="10024"/>
    <x v="2"/>
    <s v="FUR-TA-10002958"/>
    <x v="0"/>
    <x v="2"/>
    <s v="Bevis Oval Conference Table, Walnut"/>
    <n v="313"/>
    <n v="2"/>
    <n v="0.4"/>
    <n v="-120"/>
    <x v="2"/>
    <s v="Dec"/>
  </r>
  <r>
    <n v="7397"/>
    <s v="CA-2016-110975"/>
    <x v="683"/>
    <d v="2016-12-30T00:00:00"/>
    <x v="1"/>
    <s v="DB-12970"/>
    <s v="Darren Budd"/>
    <x v="1"/>
    <s v="United States"/>
    <x v="13"/>
    <x v="7"/>
    <n v="10024"/>
    <x v="2"/>
    <s v="FUR-CH-10003746"/>
    <x v="0"/>
    <x v="1"/>
    <s v="Hon 4070 Series Pagoda Round Back Stacking Chairs"/>
    <n v="867"/>
    <n v="3"/>
    <n v="0.1"/>
    <n v="173"/>
    <x v="2"/>
    <s v="Dec"/>
  </r>
  <r>
    <n v="7401"/>
    <s v="CA-2016-110009"/>
    <x v="63"/>
    <d v="2016-09-13T00:00:00"/>
    <x v="1"/>
    <s v="TR-21325"/>
    <s v="Toby Ritter"/>
    <x v="0"/>
    <s v="United States"/>
    <x v="15"/>
    <x v="13"/>
    <n v="98103"/>
    <x v="1"/>
    <s v="FUR-FU-10003039"/>
    <x v="0"/>
    <x v="3"/>
    <s v="Howard Miller 11-1/2&quot; Diameter Grantwood Wall Clock"/>
    <n v="43"/>
    <n v="1"/>
    <n v="0"/>
    <n v="15"/>
    <x v="2"/>
    <s v="Sep"/>
  </r>
  <r>
    <n v="7404"/>
    <s v="CA-2015-100146"/>
    <x v="760"/>
    <d v="2015-05-19T00:00:00"/>
    <x v="1"/>
    <s v="CB-12535"/>
    <s v="Claudia Bergmann"/>
    <x v="1"/>
    <s v="United States"/>
    <x v="324"/>
    <x v="2"/>
    <n v="93010"/>
    <x v="1"/>
    <s v="FUR-BO-10004015"/>
    <x v="0"/>
    <x v="0"/>
    <s v="Bush Andora Bookcase, Maple/Graphite Gray Finish"/>
    <n v="510"/>
    <n v="5"/>
    <n v="0.15"/>
    <n v="42"/>
    <x v="2"/>
    <s v="May"/>
  </r>
  <r>
    <n v="7405"/>
    <s v="CA-2015-100146"/>
    <x v="760"/>
    <d v="2015-05-19T00:00:00"/>
    <x v="1"/>
    <s v="CB-12535"/>
    <s v="Claudia Bergmann"/>
    <x v="1"/>
    <s v="United States"/>
    <x v="324"/>
    <x v="2"/>
    <n v="93010"/>
    <x v="1"/>
    <s v="FUR-FU-10001979"/>
    <x v="0"/>
    <x v="3"/>
    <s v="Dana Halogen Swing-Arm Architect Lamp"/>
    <n v="123"/>
    <n v="3"/>
    <n v="0"/>
    <n v="34"/>
    <x v="2"/>
    <s v="May"/>
  </r>
  <r>
    <n v="7406"/>
    <s v="CA-2015-100146"/>
    <x v="760"/>
    <d v="2015-05-19T00:00:00"/>
    <x v="1"/>
    <s v="CB-12535"/>
    <s v="Claudia Bergmann"/>
    <x v="1"/>
    <s v="United States"/>
    <x v="324"/>
    <x v="2"/>
    <n v="93010"/>
    <x v="1"/>
    <s v="FUR-CH-10003833"/>
    <x v="0"/>
    <x v="1"/>
    <s v="Novimex Fabric Task Chair"/>
    <n v="98"/>
    <n v="2"/>
    <n v="0.2"/>
    <n v="-6"/>
    <x v="2"/>
    <s v="May"/>
  </r>
  <r>
    <n v="7407"/>
    <s v="CA-2015-100146"/>
    <x v="760"/>
    <d v="2015-05-19T00:00:00"/>
    <x v="1"/>
    <s v="CB-12535"/>
    <s v="Claudia Bergmann"/>
    <x v="1"/>
    <s v="United States"/>
    <x v="324"/>
    <x v="2"/>
    <n v="93010"/>
    <x v="1"/>
    <s v="FUR-CH-10004495"/>
    <x v="0"/>
    <x v="1"/>
    <s v="Global Leather and Oak Executive Chair, Black"/>
    <n v="722"/>
    <n v="3"/>
    <n v="0.2"/>
    <n v="81"/>
    <x v="2"/>
    <s v="May"/>
  </r>
  <r>
    <n v="7409"/>
    <s v="CA-2016-129728"/>
    <x v="82"/>
    <d v="2016-06-06T00:00:00"/>
    <x v="1"/>
    <s v="JG-15310"/>
    <s v="Jason Gross"/>
    <x v="1"/>
    <s v="United States"/>
    <x v="2"/>
    <x v="2"/>
    <n v="90032"/>
    <x v="1"/>
    <s v="FUR-FU-10003247"/>
    <x v="0"/>
    <x v="3"/>
    <s v="36X48 HARDFLOOR CHAIRMAT"/>
    <n v="168"/>
    <n v="8"/>
    <n v="0"/>
    <n v="12"/>
    <x v="1"/>
    <s v="May"/>
  </r>
  <r>
    <n v="7410"/>
    <s v="CA-2014-121769"/>
    <x v="676"/>
    <d v="2014-04-12T00:00:00"/>
    <x v="1"/>
    <s v="JS-15880"/>
    <s v="John Stevenson"/>
    <x v="0"/>
    <s v="United States"/>
    <x v="219"/>
    <x v="15"/>
    <n v="43615"/>
    <x v="2"/>
    <s v="FUR-TA-10004442"/>
    <x v="0"/>
    <x v="2"/>
    <s v="Riverside Furniture Stanwyck Manor Table Series"/>
    <n v="172"/>
    <n v="1"/>
    <n v="0.4"/>
    <n v="-95"/>
    <x v="4"/>
    <s v="Apr"/>
  </r>
  <r>
    <n v="7414"/>
    <s v="CA-2017-121125"/>
    <x v="703"/>
    <d v="2017-06-03T00:00:00"/>
    <x v="1"/>
    <s v="MG-17890"/>
    <s v="Michael Granlund"/>
    <x v="2"/>
    <s v="United States"/>
    <x v="325"/>
    <x v="36"/>
    <n v="97224"/>
    <x v="1"/>
    <s v="FUR-FU-10000820"/>
    <x v="0"/>
    <x v="3"/>
    <s v="Tensor Brushed Steel Torchiere Floor Lamp"/>
    <n v="14"/>
    <n v="1"/>
    <n v="0.2"/>
    <n v="0"/>
    <x v="4"/>
    <s v="May"/>
  </r>
  <r>
    <n v="7415"/>
    <s v="US-2016-114013"/>
    <x v="345"/>
    <d v="2016-03-15T00:00:00"/>
    <x v="0"/>
    <s v="SC-20770"/>
    <s v="Stewart Carmichael"/>
    <x v="1"/>
    <s v="United States"/>
    <x v="3"/>
    <x v="3"/>
    <n v="19134"/>
    <x v="2"/>
    <s v="FUR-CH-10004287"/>
    <x v="0"/>
    <x v="1"/>
    <s v="SAFCO Arco Folding Chair"/>
    <n v="387"/>
    <n v="2"/>
    <n v="0.3"/>
    <n v="-6"/>
    <x v="3"/>
    <s v="Mar"/>
  </r>
  <r>
    <n v="7425"/>
    <s v="CA-2017-135069"/>
    <x v="662"/>
    <d v="2017-04-14T00:00:00"/>
    <x v="1"/>
    <s v="BS-11755"/>
    <s v="Bruce Stewart"/>
    <x v="0"/>
    <s v="United States"/>
    <x v="3"/>
    <x v="3"/>
    <n v="19143"/>
    <x v="2"/>
    <s v="FUR-FU-10003878"/>
    <x v="0"/>
    <x v="3"/>
    <s v="Linden 10&quot; Round Wall Clock, Black"/>
    <n v="37"/>
    <n v="3"/>
    <n v="0.2"/>
    <n v="6"/>
    <x v="4"/>
    <s v="Apr"/>
  </r>
  <r>
    <n v="7426"/>
    <s v="CA-2016-101693"/>
    <x v="324"/>
    <d v="2016-06-27T00:00:00"/>
    <x v="0"/>
    <s v="LC-17140"/>
    <s v="Logan Currie"/>
    <x v="0"/>
    <s v="United States"/>
    <x v="6"/>
    <x v="5"/>
    <n v="77070"/>
    <x v="3"/>
    <s v="FUR-CH-10001146"/>
    <x v="0"/>
    <x v="1"/>
    <s v="Global Value Mid-Back Manager's Chair, Gray"/>
    <n v="85"/>
    <n v="2"/>
    <n v="0.3"/>
    <n v="-6"/>
    <x v="3"/>
    <s v="Jun"/>
  </r>
  <r>
    <n v="7427"/>
    <s v="CA-2016-101693"/>
    <x v="324"/>
    <d v="2016-06-27T00:00:00"/>
    <x v="0"/>
    <s v="LC-17140"/>
    <s v="Logan Currie"/>
    <x v="0"/>
    <s v="United States"/>
    <x v="6"/>
    <x v="5"/>
    <n v="77070"/>
    <x v="3"/>
    <s v="FUR-FU-10003919"/>
    <x v="0"/>
    <x v="3"/>
    <s v="Eldon Executive Woodline II Cherry Finish Desk Accessories"/>
    <n v="33"/>
    <n v="2"/>
    <n v="0.6"/>
    <n v="-26"/>
    <x v="3"/>
    <s v="Jun"/>
  </r>
  <r>
    <n v="7439"/>
    <s v="CA-2015-145457"/>
    <x v="257"/>
    <d v="2015-03-27T00:00:00"/>
    <x v="0"/>
    <s v="CP-12085"/>
    <s v="Cathy Prescott"/>
    <x v="1"/>
    <s v="United States"/>
    <x v="326"/>
    <x v="13"/>
    <n v="98042"/>
    <x v="1"/>
    <s v="FUR-FU-10003832"/>
    <x v="0"/>
    <x v="3"/>
    <s v="Eldon Expressions Punched Metal &amp; Wood Desk Accessories, Black &amp; Cherry"/>
    <n v="47"/>
    <n v="5"/>
    <n v="0"/>
    <n v="13"/>
    <x v="0"/>
    <s v="Mar"/>
  </r>
  <r>
    <n v="7441"/>
    <s v="US-2017-163657"/>
    <x v="113"/>
    <d v="2017-09-06T00:00:00"/>
    <x v="1"/>
    <s v="JL-15235"/>
    <s v="Janet Lee"/>
    <x v="0"/>
    <s v="United States"/>
    <x v="2"/>
    <x v="2"/>
    <n v="90049"/>
    <x v="1"/>
    <s v="FUR-TA-10004607"/>
    <x v="0"/>
    <x v="2"/>
    <s v="Hon 2111 Invitation Series Straight Table"/>
    <n v="237"/>
    <n v="2"/>
    <n v="0.2"/>
    <n v="-3"/>
    <x v="4"/>
    <s v="Sep"/>
  </r>
  <r>
    <n v="7447"/>
    <s v="CA-2017-127474"/>
    <x v="761"/>
    <d v="2017-02-07T00:00:00"/>
    <x v="0"/>
    <s v="RD-19810"/>
    <s v="Ross DeVincentis"/>
    <x v="2"/>
    <s v="United States"/>
    <x v="9"/>
    <x v="8"/>
    <n v="60610"/>
    <x v="3"/>
    <s v="FUR-FU-10004597"/>
    <x v="0"/>
    <x v="3"/>
    <s v="Eldon Cleatmat Chair Mats for Medium Pile Carpets"/>
    <n v="22"/>
    <n v="1"/>
    <n v="0.6"/>
    <n v="-26"/>
    <x v="4"/>
    <s v="Feb"/>
  </r>
  <r>
    <n v="7449"/>
    <s v="CA-2017-115448"/>
    <x v="762"/>
    <d v="2017-11-14T00:00:00"/>
    <x v="2"/>
    <s v="MH-18025"/>
    <s v="Michelle Huthwaite"/>
    <x v="0"/>
    <s v="United States"/>
    <x v="270"/>
    <x v="9"/>
    <n v="37918"/>
    <x v="0"/>
    <s v="FUR-FU-10004090"/>
    <x v="0"/>
    <x v="3"/>
    <s v="Executive Impressions 14&quot; Contract Wall Clock"/>
    <n v="89"/>
    <n v="5"/>
    <n v="0.2"/>
    <n v="14"/>
    <x v="0"/>
    <s v="Nov"/>
  </r>
  <r>
    <n v="7451"/>
    <s v="CA-2017-105669"/>
    <x v="342"/>
    <d v="2017-09-22T00:00:00"/>
    <x v="0"/>
    <s v="SJ-20125"/>
    <s v="Sanjit Jacobs"/>
    <x v="2"/>
    <s v="United States"/>
    <x v="6"/>
    <x v="5"/>
    <n v="77036"/>
    <x v="3"/>
    <s v="FUR-CH-10003774"/>
    <x v="0"/>
    <x v="1"/>
    <s v="Global Wood Trimmed Manager's Task Chair, Khaki"/>
    <n v="318"/>
    <n v="5"/>
    <n v="0.3"/>
    <n v="-77"/>
    <x v="2"/>
    <s v="Sep"/>
  </r>
  <r>
    <n v="7459"/>
    <s v="CA-2015-137974"/>
    <x v="763"/>
    <d v="2015-04-18T00:00:00"/>
    <x v="2"/>
    <s v="LL-16840"/>
    <s v="Lauren Leatherbury"/>
    <x v="0"/>
    <s v="United States"/>
    <x v="61"/>
    <x v="25"/>
    <n v="22980"/>
    <x v="0"/>
    <s v="FUR-FU-10001468"/>
    <x v="0"/>
    <x v="3"/>
    <s v="Tenex Antistatic Computer Chair Mats"/>
    <n v="1197"/>
    <n v="7"/>
    <n v="0"/>
    <n v="120"/>
    <x v="3"/>
    <s v="Apr"/>
  </r>
  <r>
    <n v="7460"/>
    <s v="CA-2015-137974"/>
    <x v="763"/>
    <d v="2015-04-18T00:00:00"/>
    <x v="2"/>
    <s v="LL-16840"/>
    <s v="Lauren Leatherbury"/>
    <x v="0"/>
    <s v="United States"/>
    <x v="61"/>
    <x v="25"/>
    <n v="22980"/>
    <x v="0"/>
    <s v="FUR-BO-10001519"/>
    <x v="0"/>
    <x v="0"/>
    <s v="O'Sullivan 3-Shelf Heavy-Duty Bookcases"/>
    <n v="523"/>
    <n v="9"/>
    <n v="0"/>
    <n v="126"/>
    <x v="3"/>
    <s v="Apr"/>
  </r>
  <r>
    <n v="7468"/>
    <s v="CA-2017-148985"/>
    <x v="762"/>
    <d v="2017-11-15T00:00:00"/>
    <x v="0"/>
    <s v="TB-21190"/>
    <s v="Thomas Brumley"/>
    <x v="2"/>
    <s v="United States"/>
    <x v="2"/>
    <x v="2"/>
    <n v="90045"/>
    <x v="1"/>
    <s v="FUR-FU-10001424"/>
    <x v="0"/>
    <x v="3"/>
    <s v="Dax Clear Box Frame"/>
    <n v="35"/>
    <n v="4"/>
    <n v="0"/>
    <n v="12"/>
    <x v="4"/>
    <s v="Nov"/>
  </r>
  <r>
    <n v="7470"/>
    <s v="CA-2014-138100"/>
    <x v="712"/>
    <d v="2014-09-20T00:00:00"/>
    <x v="1"/>
    <s v="AA-10315"/>
    <s v="Alex Avila"/>
    <x v="0"/>
    <s v="United States"/>
    <x v="13"/>
    <x v="7"/>
    <n v="10011"/>
    <x v="2"/>
    <s v="FUR-FU-10002456"/>
    <x v="0"/>
    <x v="3"/>
    <s v="Master Caster Door Stop, Large Neon Orange"/>
    <n v="15"/>
    <n v="2"/>
    <n v="0"/>
    <n v="6"/>
    <x v="2"/>
    <s v="Sep"/>
  </r>
  <r>
    <n v="7475"/>
    <s v="CA-2014-167199"/>
    <x v="764"/>
    <d v="2014-01-10T00:00:00"/>
    <x v="1"/>
    <s v="ME-17320"/>
    <s v="Maria Etezadi"/>
    <x v="2"/>
    <s v="United States"/>
    <x v="0"/>
    <x v="0"/>
    <n v="42420"/>
    <x v="0"/>
    <s v="FUR-CH-10004063"/>
    <x v="0"/>
    <x v="1"/>
    <s v="Global Deluxe High-Back Manager's Chair"/>
    <n v="2574"/>
    <n v="9"/>
    <n v="0"/>
    <n v="746"/>
    <x v="4"/>
    <s v="Jan"/>
  </r>
  <r>
    <n v="7484"/>
    <s v="CA-2014-129938"/>
    <x v="256"/>
    <d v="2014-12-17T00:00:00"/>
    <x v="0"/>
    <s v="EB-13705"/>
    <s v="Ed Braxton"/>
    <x v="1"/>
    <s v="United States"/>
    <x v="3"/>
    <x v="3"/>
    <n v="19140"/>
    <x v="2"/>
    <s v="FUR-CH-10003774"/>
    <x v="0"/>
    <x v="1"/>
    <s v="Global Wood Trimmed Manager's Task Chair, Khaki"/>
    <n v="446"/>
    <n v="7"/>
    <n v="0.3"/>
    <n v="-108"/>
    <x v="3"/>
    <s v="Dec"/>
  </r>
  <r>
    <n v="7489"/>
    <s v="US-2015-134558"/>
    <x v="765"/>
    <d v="2015-12-24T00:00:00"/>
    <x v="0"/>
    <s v="PM-19135"/>
    <s v="Peter McVee"/>
    <x v="2"/>
    <s v="United States"/>
    <x v="63"/>
    <x v="28"/>
    <n v="3820"/>
    <x v="2"/>
    <s v="FUR-TA-10003473"/>
    <x v="0"/>
    <x v="2"/>
    <s v="Bretford Rectangular Conference Table Tops"/>
    <n v="1053"/>
    <n v="4"/>
    <n v="0.3"/>
    <n v="-105"/>
    <x v="2"/>
    <s v="Dec"/>
  </r>
  <r>
    <n v="7491"/>
    <s v="CA-2015-108672"/>
    <x v="468"/>
    <d v="2015-09-16T00:00:00"/>
    <x v="1"/>
    <s v="FA-14230"/>
    <s v="Frank Atkinson"/>
    <x v="1"/>
    <s v="United States"/>
    <x v="2"/>
    <x v="2"/>
    <n v="90032"/>
    <x v="1"/>
    <s v="FUR-FU-10003799"/>
    <x v="0"/>
    <x v="3"/>
    <s v="Seth Thomas 13 1/2&quot; Wall Clock"/>
    <n v="107"/>
    <n v="6"/>
    <n v="0"/>
    <n v="33"/>
    <x v="6"/>
    <s v="Sep"/>
  </r>
  <r>
    <n v="7494"/>
    <s v="US-2017-160836"/>
    <x v="91"/>
    <d v="2017-09-16T00:00:00"/>
    <x v="1"/>
    <s v="CC-12475"/>
    <s v="Cindy Chapman"/>
    <x v="0"/>
    <s v="United States"/>
    <x v="6"/>
    <x v="5"/>
    <n v="77070"/>
    <x v="3"/>
    <s v="FUR-TA-10002855"/>
    <x v="0"/>
    <x v="2"/>
    <s v="Bevis Round Conference Table Top &amp; Single Column Base"/>
    <n v="512"/>
    <n v="5"/>
    <n v="0.3"/>
    <n v="-66"/>
    <x v="2"/>
    <s v="Sep"/>
  </r>
  <r>
    <n v="7497"/>
    <s v="CA-2017-121048"/>
    <x v="766"/>
    <d v="2017-07-18T00:00:00"/>
    <x v="1"/>
    <s v="TC-21295"/>
    <s v="Toby Carlisle"/>
    <x v="0"/>
    <s v="United States"/>
    <x v="327"/>
    <x v="2"/>
    <n v="92683"/>
    <x v="1"/>
    <s v="FUR-FU-10003601"/>
    <x v="0"/>
    <x v="3"/>
    <s v="Deflect-o RollaMat Studded, Beveled Mat for Medium Pile Carpeting"/>
    <n v="277"/>
    <n v="3"/>
    <n v="0"/>
    <n v="50"/>
    <x v="4"/>
    <s v="Jul"/>
  </r>
  <r>
    <n v="7500"/>
    <s v="CA-2017-121048"/>
    <x v="766"/>
    <d v="2017-07-18T00:00:00"/>
    <x v="1"/>
    <s v="TC-21295"/>
    <s v="Toby Carlisle"/>
    <x v="0"/>
    <s v="United States"/>
    <x v="327"/>
    <x v="2"/>
    <n v="92683"/>
    <x v="1"/>
    <s v="FUR-FU-10002960"/>
    <x v="0"/>
    <x v="3"/>
    <s v="Eldon 200 Class Desk Accessories, Burgundy"/>
    <n v="19"/>
    <n v="3"/>
    <n v="0"/>
    <n v="8"/>
    <x v="4"/>
    <s v="Jul"/>
  </r>
  <r>
    <n v="7512"/>
    <s v="US-2017-161935"/>
    <x v="766"/>
    <d v="2017-07-18T00:00:00"/>
    <x v="1"/>
    <s v="JL-15835"/>
    <s v="John Lee"/>
    <x v="0"/>
    <s v="United States"/>
    <x v="29"/>
    <x v="15"/>
    <n v="43229"/>
    <x v="2"/>
    <s v="FUR-FU-10002937"/>
    <x v="0"/>
    <x v="3"/>
    <s v="GE 48&quot; Fluorescent Tube, Cool White Energy Saver, 34 Watts, 30/Box"/>
    <n v="397"/>
    <n v="5"/>
    <n v="0.2"/>
    <n v="149"/>
    <x v="4"/>
    <s v="Jul"/>
  </r>
  <r>
    <n v="7524"/>
    <s v="CA-2016-162383"/>
    <x v="26"/>
    <d v="2016-09-11T00:00:00"/>
    <x v="1"/>
    <s v="MD-17350"/>
    <s v="Maribeth Dona"/>
    <x v="0"/>
    <s v="United States"/>
    <x v="68"/>
    <x v="15"/>
    <n v="43130"/>
    <x v="2"/>
    <s v="FUR-CH-10004477"/>
    <x v="0"/>
    <x v="1"/>
    <s v="Global Push Button Manager's Chair, Indigo"/>
    <n v="85"/>
    <n v="2"/>
    <n v="0.3"/>
    <n v="-1"/>
    <x v="6"/>
    <s v="Sep"/>
  </r>
  <r>
    <n v="7526"/>
    <s v="CA-2014-125731"/>
    <x v="767"/>
    <d v="2014-09-16T00:00:00"/>
    <x v="1"/>
    <s v="CL-12565"/>
    <s v="Clay Ludtke"/>
    <x v="0"/>
    <s v="United States"/>
    <x v="195"/>
    <x v="36"/>
    <n v="97030"/>
    <x v="1"/>
    <s v="FUR-CH-10003973"/>
    <x v="0"/>
    <x v="1"/>
    <s v="GuestStacker Chair with Chrome Finish Legs"/>
    <n v="1487"/>
    <n v="5"/>
    <n v="0.2"/>
    <n v="149"/>
    <x v="6"/>
    <s v="Sep"/>
  </r>
  <r>
    <n v="7528"/>
    <s v="US-2017-106145"/>
    <x v="572"/>
    <d v="2017-09-26T00:00:00"/>
    <x v="3"/>
    <s v="RA-19885"/>
    <s v="Ruben Ausman"/>
    <x v="1"/>
    <s v="United States"/>
    <x v="28"/>
    <x v="2"/>
    <n v="94109"/>
    <x v="1"/>
    <s v="FUR-FU-10003829"/>
    <x v="0"/>
    <x v="3"/>
    <s v="Stackable Trays"/>
    <n v="9"/>
    <n v="3"/>
    <n v="0"/>
    <n v="3"/>
    <x v="7"/>
    <s v="Sep"/>
  </r>
  <r>
    <n v="7532"/>
    <s v="CA-2016-107146"/>
    <x v="9"/>
    <d v="2016-06-19T00:00:00"/>
    <x v="2"/>
    <s v="LC-16885"/>
    <s v="Lena Creighton"/>
    <x v="0"/>
    <s v="United States"/>
    <x v="328"/>
    <x v="12"/>
    <n v="80501"/>
    <x v="1"/>
    <s v="FUR-FU-10002298"/>
    <x v="0"/>
    <x v="3"/>
    <s v="Rubbermaid ClusterMat Chairmats, Mat Size- 66&quot; x 60&quot;, Lip 20&quot; x 11&quot; -90 Degree Angle"/>
    <n v="266"/>
    <n v="3"/>
    <n v="0.2"/>
    <n v="-13"/>
    <x v="3"/>
    <s v="Jun"/>
  </r>
  <r>
    <n v="7533"/>
    <s v="CA-2016-107146"/>
    <x v="9"/>
    <d v="2016-06-19T00:00:00"/>
    <x v="2"/>
    <s v="LC-16885"/>
    <s v="Lena Creighton"/>
    <x v="0"/>
    <s v="United States"/>
    <x v="328"/>
    <x v="12"/>
    <n v="80501"/>
    <x v="1"/>
    <s v="FUR-CH-10004853"/>
    <x v="0"/>
    <x v="1"/>
    <s v="Global Manager's Adjustable Task Chair, Storm"/>
    <n v="483"/>
    <n v="4"/>
    <n v="0.2"/>
    <n v="54"/>
    <x v="3"/>
    <s v="Jun"/>
  </r>
  <r>
    <n v="7534"/>
    <s v="US-2017-134642"/>
    <x v="768"/>
    <d v="2017-03-01T00:00:00"/>
    <x v="1"/>
    <s v="SW-20245"/>
    <s v="Scot Wooten"/>
    <x v="0"/>
    <s v="United States"/>
    <x v="329"/>
    <x v="30"/>
    <n v="27834"/>
    <x v="0"/>
    <s v="FUR-CH-10002880"/>
    <x v="0"/>
    <x v="1"/>
    <s v="Global High-Back Leather Tilter, Burgundy"/>
    <n v="197"/>
    <n v="2"/>
    <n v="0.2"/>
    <n v="-22"/>
    <x v="4"/>
    <s v="Feb"/>
  </r>
  <r>
    <n v="7535"/>
    <s v="US-2017-134642"/>
    <x v="768"/>
    <d v="2017-03-01T00:00:00"/>
    <x v="1"/>
    <s v="SW-20245"/>
    <s v="Scot Wooten"/>
    <x v="0"/>
    <s v="United States"/>
    <x v="329"/>
    <x v="30"/>
    <n v="27834"/>
    <x v="0"/>
    <s v="FUR-BO-10004709"/>
    <x v="0"/>
    <x v="0"/>
    <s v="Bush Westfield Collection Bookcases, Medium Cherry Finish"/>
    <n v="232"/>
    <n v="5"/>
    <n v="0.2"/>
    <n v="6"/>
    <x v="4"/>
    <s v="Feb"/>
  </r>
  <r>
    <n v="7537"/>
    <s v="CA-2017-103415"/>
    <x v="587"/>
    <d v="2017-12-08T00:00:00"/>
    <x v="1"/>
    <s v="MV-17485"/>
    <s v="Mark Van Huff"/>
    <x v="0"/>
    <s v="United States"/>
    <x v="6"/>
    <x v="5"/>
    <n v="77041"/>
    <x v="3"/>
    <s v="FUR-FU-10000820"/>
    <x v="0"/>
    <x v="3"/>
    <s v="Tensor Brushed Steel Torchiere Floor Lamp"/>
    <n v="14"/>
    <n v="2"/>
    <n v="0.6"/>
    <n v="-14"/>
    <x v="2"/>
    <s v="Dec"/>
  </r>
  <r>
    <n v="7541"/>
    <s v="US-2017-112347"/>
    <x v="308"/>
    <d v="2017-12-06T00:00:00"/>
    <x v="1"/>
    <s v="BS-11380"/>
    <s v="Bill Stewart"/>
    <x v="1"/>
    <s v="United States"/>
    <x v="22"/>
    <x v="12"/>
    <n v="80219"/>
    <x v="1"/>
    <s v="FUR-BO-10003546"/>
    <x v="0"/>
    <x v="0"/>
    <s v="Hon 4-Shelf Metal Bookcases"/>
    <n v="242"/>
    <n v="8"/>
    <n v="0.7"/>
    <n v="-364"/>
    <x v="4"/>
    <s v="Dec"/>
  </r>
  <r>
    <n v="7543"/>
    <s v="US-2017-112347"/>
    <x v="308"/>
    <d v="2017-12-06T00:00:00"/>
    <x v="1"/>
    <s v="BS-11380"/>
    <s v="Bill Stewart"/>
    <x v="1"/>
    <s v="United States"/>
    <x v="22"/>
    <x v="12"/>
    <n v="80219"/>
    <x v="1"/>
    <s v="FUR-FU-10001488"/>
    <x v="0"/>
    <x v="3"/>
    <s v="Tenex 46&quot; x 60&quot; Computer Anti-Static Chairmat, Rectangular Shaped"/>
    <n v="509"/>
    <n v="6"/>
    <n v="0.2"/>
    <n v="0"/>
    <x v="4"/>
    <s v="Dec"/>
  </r>
  <r>
    <n v="7545"/>
    <s v="US-2017-112347"/>
    <x v="308"/>
    <d v="2017-12-06T00:00:00"/>
    <x v="1"/>
    <s v="BS-11380"/>
    <s v="Bill Stewart"/>
    <x v="1"/>
    <s v="United States"/>
    <x v="22"/>
    <x v="12"/>
    <n v="80219"/>
    <x v="1"/>
    <s v="FUR-CH-10002335"/>
    <x v="0"/>
    <x v="1"/>
    <s v="Hon GuestStacker Chair"/>
    <n v="907"/>
    <n v="5"/>
    <n v="0.2"/>
    <n v="68"/>
    <x v="4"/>
    <s v="Dec"/>
  </r>
  <r>
    <n v="7550"/>
    <s v="CA-2016-136595"/>
    <x v="26"/>
    <d v="2016-09-07T00:00:00"/>
    <x v="2"/>
    <s v="EM-13825"/>
    <s v="Elizabeth Moffitt"/>
    <x v="1"/>
    <s v="United States"/>
    <x v="6"/>
    <x v="5"/>
    <n v="77036"/>
    <x v="3"/>
    <s v="FUR-FU-10004671"/>
    <x v="0"/>
    <x v="3"/>
    <s v="Executive Impressions 12&quot; Wall Clock"/>
    <n v="21"/>
    <n v="3"/>
    <n v="0.6"/>
    <n v="-12"/>
    <x v="3"/>
    <s v="Sep"/>
  </r>
  <r>
    <n v="7555"/>
    <s v="CA-2014-114181"/>
    <x v="769"/>
    <d v="2014-05-14T00:00:00"/>
    <x v="0"/>
    <s v="AF-10885"/>
    <s v="Art Foster"/>
    <x v="0"/>
    <s v="United States"/>
    <x v="3"/>
    <x v="3"/>
    <n v="19134"/>
    <x v="2"/>
    <s v="FUR-BO-10004467"/>
    <x v="0"/>
    <x v="0"/>
    <s v="Bestar Classic Bookcase"/>
    <n v="350"/>
    <n v="7"/>
    <n v="0.5"/>
    <n v="-217"/>
    <x v="4"/>
    <s v="May"/>
  </r>
  <r>
    <n v="7561"/>
    <s v="US-2014-137155"/>
    <x v="770"/>
    <d v="2014-11-05T00:00:00"/>
    <x v="1"/>
    <s v="DL-12925"/>
    <s v="Daniel Lacy"/>
    <x v="0"/>
    <s v="United States"/>
    <x v="62"/>
    <x v="7"/>
    <n v="11561"/>
    <x v="2"/>
    <s v="FUR-FU-10003142"/>
    <x v="0"/>
    <x v="3"/>
    <s v="Master Big Foot Doorstop, Beige"/>
    <n v="32"/>
    <n v="6"/>
    <n v="0"/>
    <n v="10"/>
    <x v="4"/>
    <s v="Nov"/>
  </r>
  <r>
    <n v="7562"/>
    <s v="CA-2016-105746"/>
    <x v="771"/>
    <d v="2017-01-01T00:00:00"/>
    <x v="2"/>
    <s v="BD-11605"/>
    <s v="Brian Dahlen"/>
    <x v="0"/>
    <s v="United States"/>
    <x v="68"/>
    <x v="3"/>
    <n v="17602"/>
    <x v="2"/>
    <s v="FUR-CH-10000454"/>
    <x v="0"/>
    <x v="1"/>
    <s v="Hon Deluxe Fabric Upholstered Stacking Chairs, Rounded Back"/>
    <n v="171"/>
    <n v="1"/>
    <n v="0.3"/>
    <n v="0"/>
    <x v="3"/>
    <s v="Dec"/>
  </r>
  <r>
    <n v="7563"/>
    <s v="US-2016-104815"/>
    <x v="222"/>
    <d v="2016-09-07T00:00:00"/>
    <x v="1"/>
    <s v="RB-19570"/>
    <s v="Rob Beeghly"/>
    <x v="0"/>
    <s v="United States"/>
    <x v="9"/>
    <x v="8"/>
    <n v="60610"/>
    <x v="3"/>
    <s v="FUR-BO-10003894"/>
    <x v="0"/>
    <x v="0"/>
    <s v="Safco Value Mate Steel Bookcase, Baked Enamel Finish on Steel, Black"/>
    <n v="199"/>
    <n v="4"/>
    <n v="0.3"/>
    <n v="0"/>
    <x v="4"/>
    <s v="Sep"/>
  </r>
  <r>
    <n v="7565"/>
    <s v="US-2016-166660"/>
    <x v="772"/>
    <d v="2016-02-01T00:00:00"/>
    <x v="0"/>
    <s v="TB-21250"/>
    <s v="Tim Brockman"/>
    <x v="0"/>
    <s v="United States"/>
    <x v="15"/>
    <x v="13"/>
    <n v="98103"/>
    <x v="1"/>
    <s v="FUR-CH-10001190"/>
    <x v="0"/>
    <x v="1"/>
    <s v="Global Deluxe High-Back Office Chair in Storm"/>
    <n v="435"/>
    <n v="4"/>
    <n v="0.2"/>
    <n v="-60"/>
    <x v="3"/>
    <s v="Jan"/>
  </r>
  <r>
    <n v="7566"/>
    <s v="US-2016-166660"/>
    <x v="772"/>
    <d v="2016-02-01T00:00:00"/>
    <x v="0"/>
    <s v="TB-21250"/>
    <s v="Tim Brockman"/>
    <x v="0"/>
    <s v="United States"/>
    <x v="15"/>
    <x v="13"/>
    <n v="98103"/>
    <x v="1"/>
    <s v="FUR-BO-10000468"/>
    <x v="0"/>
    <x v="0"/>
    <s v="O'Sullivan 2-Shelf Heavy-Duty Bookcases"/>
    <n v="49"/>
    <n v="1"/>
    <n v="0"/>
    <n v="8"/>
    <x v="3"/>
    <s v="Jan"/>
  </r>
  <r>
    <n v="7573"/>
    <s v="CA-2014-100916"/>
    <x v="299"/>
    <d v="2014-10-26T00:00:00"/>
    <x v="1"/>
    <s v="FH-14275"/>
    <s v="Frank Hawley"/>
    <x v="1"/>
    <s v="United States"/>
    <x v="330"/>
    <x v="25"/>
    <n v="23602"/>
    <x v="0"/>
    <s v="FUR-TA-10004607"/>
    <x v="0"/>
    <x v="2"/>
    <s v="Hon 2111 Invitation Series Straight Table"/>
    <n v="591"/>
    <n v="4"/>
    <n v="0"/>
    <n v="112"/>
    <x v="2"/>
    <s v="Oct"/>
  </r>
  <r>
    <n v="7579"/>
    <s v="CA-2016-138597"/>
    <x v="105"/>
    <d v="2016-12-21T00:00:00"/>
    <x v="2"/>
    <s v="PN-18775"/>
    <s v="Parhena Norris"/>
    <x v="2"/>
    <s v="United States"/>
    <x v="70"/>
    <x v="27"/>
    <n v="68104"/>
    <x v="3"/>
    <s v="FUR-CH-10004997"/>
    <x v="0"/>
    <x v="1"/>
    <s v="Hon Every-Day Series Multi-Task Chairs"/>
    <n v="564"/>
    <n v="3"/>
    <n v="0"/>
    <n v="113"/>
    <x v="0"/>
    <s v="Dec"/>
  </r>
  <r>
    <n v="7583"/>
    <s v="CA-2015-142734"/>
    <x v="763"/>
    <d v="2015-04-21T00:00:00"/>
    <x v="1"/>
    <s v="DM-13345"/>
    <s v="Denise Monton"/>
    <x v="1"/>
    <s v="United States"/>
    <x v="13"/>
    <x v="7"/>
    <n v="10024"/>
    <x v="2"/>
    <s v="FUR-CH-10003968"/>
    <x v="0"/>
    <x v="1"/>
    <s v="Novimex Turbo Task Chair"/>
    <n v="128"/>
    <n v="2"/>
    <n v="0.1"/>
    <n v="3"/>
    <x v="2"/>
    <s v="Apr"/>
  </r>
  <r>
    <n v="7589"/>
    <s v="CA-2017-122945"/>
    <x v="716"/>
    <d v="2017-11-22T00:00:00"/>
    <x v="1"/>
    <s v="MB-18085"/>
    <s v="Mick Brown"/>
    <x v="0"/>
    <s v="United States"/>
    <x v="18"/>
    <x v="2"/>
    <n v="95661"/>
    <x v="1"/>
    <s v="FUR-FU-10001196"/>
    <x v="0"/>
    <x v="3"/>
    <s v="DAX Cubicle Frames - 8x10"/>
    <n v="17"/>
    <n v="3"/>
    <n v="0"/>
    <n v="5"/>
    <x v="6"/>
    <s v="Nov"/>
  </r>
  <r>
    <n v="7591"/>
    <s v="CA-2016-158778"/>
    <x v="26"/>
    <d v="2016-09-09T00:00:00"/>
    <x v="1"/>
    <s v="DB-13210"/>
    <s v="Dean Braden"/>
    <x v="0"/>
    <s v="United States"/>
    <x v="3"/>
    <x v="3"/>
    <n v="19134"/>
    <x v="2"/>
    <s v="FUR-FU-10000260"/>
    <x v="0"/>
    <x v="3"/>
    <s v="6&quot; Cubicle Wall Clock, Black"/>
    <n v="58"/>
    <n v="9"/>
    <n v="0.2"/>
    <n v="12"/>
    <x v="4"/>
    <s v="Sep"/>
  </r>
  <r>
    <n v="7592"/>
    <s v="CA-2016-158778"/>
    <x v="26"/>
    <d v="2016-09-09T00:00:00"/>
    <x v="1"/>
    <s v="DB-13210"/>
    <s v="Dean Braden"/>
    <x v="0"/>
    <s v="United States"/>
    <x v="3"/>
    <x v="3"/>
    <n v="19134"/>
    <x v="2"/>
    <s v="FUR-CH-10001146"/>
    <x v="0"/>
    <x v="1"/>
    <s v="Global Task Chair, Black"/>
    <n v="71"/>
    <n v="2"/>
    <n v="0.3"/>
    <n v="-19"/>
    <x v="4"/>
    <s v="Sep"/>
  </r>
  <r>
    <n v="7594"/>
    <s v="CA-2016-158778"/>
    <x v="26"/>
    <d v="2016-09-09T00:00:00"/>
    <x v="1"/>
    <s v="DB-13210"/>
    <s v="Dean Braden"/>
    <x v="0"/>
    <s v="United States"/>
    <x v="3"/>
    <x v="3"/>
    <n v="19134"/>
    <x v="2"/>
    <s v="FUR-CH-10000309"/>
    <x v="0"/>
    <x v="1"/>
    <s v="Global Comet Stacking Arm Chair"/>
    <n v="887"/>
    <n v="3"/>
    <n v="0.3"/>
    <n v="-63"/>
    <x v="4"/>
    <s v="Sep"/>
  </r>
  <r>
    <n v="7605"/>
    <s v="CA-2016-101791"/>
    <x v="614"/>
    <d v="2016-05-31T00:00:00"/>
    <x v="1"/>
    <s v="BS-11665"/>
    <s v="Brian Stugart"/>
    <x v="0"/>
    <s v="United States"/>
    <x v="9"/>
    <x v="8"/>
    <n v="60623"/>
    <x v="3"/>
    <s v="FUR-FU-10003247"/>
    <x v="0"/>
    <x v="3"/>
    <s v="36X48 HARDFLOOR CHAIRMAT"/>
    <n v="25"/>
    <n v="3"/>
    <n v="0.6"/>
    <n v="-33"/>
    <x v="4"/>
    <s v="May"/>
  </r>
  <r>
    <n v="7606"/>
    <s v="CA-2016-101791"/>
    <x v="614"/>
    <d v="2016-05-31T00:00:00"/>
    <x v="1"/>
    <s v="BS-11665"/>
    <s v="Brian Stugart"/>
    <x v="0"/>
    <s v="United States"/>
    <x v="9"/>
    <x v="8"/>
    <n v="60623"/>
    <x v="3"/>
    <s v="FUR-FU-10002191"/>
    <x v="0"/>
    <x v="3"/>
    <s v="G.E. Halogen Desk Lamp Bulbs"/>
    <n v="6"/>
    <n v="2"/>
    <n v="0.6"/>
    <n v="-2"/>
    <x v="4"/>
    <s v="May"/>
  </r>
  <r>
    <n v="7615"/>
    <s v="CA-2015-113740"/>
    <x v="108"/>
    <d v="2015-08-28T00:00:00"/>
    <x v="0"/>
    <s v="SC-20380"/>
    <s v="Shahid Collister"/>
    <x v="0"/>
    <s v="United States"/>
    <x v="13"/>
    <x v="7"/>
    <n v="10035"/>
    <x v="2"/>
    <s v="FUR-FU-10000010"/>
    <x v="0"/>
    <x v="3"/>
    <s v="DAX Value U-Channel Document Frames, Easel Back"/>
    <n v="15"/>
    <n v="3"/>
    <n v="0"/>
    <n v="5"/>
    <x v="4"/>
    <s v="Aug"/>
  </r>
  <r>
    <n v="7619"/>
    <s v="CA-2017-151225"/>
    <x v="526"/>
    <d v="2017-10-29T00:00:00"/>
    <x v="2"/>
    <s v="JM-15655"/>
    <s v="Jim Mitchum"/>
    <x v="1"/>
    <s v="United States"/>
    <x v="2"/>
    <x v="2"/>
    <n v="90032"/>
    <x v="1"/>
    <s v="FUR-TA-10001539"/>
    <x v="0"/>
    <x v="2"/>
    <s v="Chromcraft Rectangular Conference Tables"/>
    <n v="190"/>
    <n v="1"/>
    <n v="0.2"/>
    <n v="9"/>
    <x v="3"/>
    <s v="Oct"/>
  </r>
  <r>
    <n v="7622"/>
    <s v="US-2014-144078"/>
    <x v="306"/>
    <d v="2014-11-29T00:00:00"/>
    <x v="1"/>
    <s v="RB-19435"/>
    <s v="Richard Bierner"/>
    <x v="0"/>
    <s v="United States"/>
    <x v="2"/>
    <x v="2"/>
    <n v="90004"/>
    <x v="1"/>
    <s v="FUR-CH-10002335"/>
    <x v="0"/>
    <x v="1"/>
    <s v="Hon GuestStacker Chair"/>
    <n v="725"/>
    <n v="4"/>
    <n v="0.2"/>
    <n v="54"/>
    <x v="4"/>
    <s v="Nov"/>
  </r>
  <r>
    <n v="7626"/>
    <s v="CA-2015-136805"/>
    <x v="773"/>
    <d v="2015-05-27T00:00:00"/>
    <x v="0"/>
    <s v="NM-18445"/>
    <s v="Nathan Mautz"/>
    <x v="2"/>
    <s v="United States"/>
    <x v="25"/>
    <x v="17"/>
    <n v="48234"/>
    <x v="3"/>
    <s v="FUR-FU-10003724"/>
    <x v="0"/>
    <x v="3"/>
    <s v="Westinghouse Clip-On Gooseneck Lamps"/>
    <n v="75"/>
    <n v="9"/>
    <n v="0"/>
    <n v="20"/>
    <x v="4"/>
    <s v="May"/>
  </r>
  <r>
    <n v="7632"/>
    <s v="CA-2014-162089"/>
    <x v="693"/>
    <d v="2014-04-01T00:00:00"/>
    <x v="2"/>
    <s v="MP-17470"/>
    <s v="Mark Packer"/>
    <x v="2"/>
    <s v="United States"/>
    <x v="193"/>
    <x v="5"/>
    <n v="78521"/>
    <x v="3"/>
    <s v="FUR-CH-10002304"/>
    <x v="0"/>
    <x v="1"/>
    <s v="Global Stack Chair without Arms, Black"/>
    <n v="127"/>
    <n v="7"/>
    <n v="0.3"/>
    <n v="-9"/>
    <x v="3"/>
    <s v="Mar"/>
  </r>
  <r>
    <n v="7633"/>
    <s v="US-2017-158526"/>
    <x v="297"/>
    <d v="2018-01-01T00:00:00"/>
    <x v="0"/>
    <s v="KH-16360"/>
    <s v="Katherine Hughes"/>
    <x v="0"/>
    <s v="United States"/>
    <x v="74"/>
    <x v="0"/>
    <n v="40214"/>
    <x v="0"/>
    <s v="FUR-CH-10002602"/>
    <x v="0"/>
    <x v="1"/>
    <s v="DMI Arturo Collection Mission-style Design Wood Chair"/>
    <n v="1208"/>
    <n v="8"/>
    <n v="0"/>
    <n v="314"/>
    <x v="0"/>
    <s v="Dec"/>
  </r>
  <r>
    <n v="7636"/>
    <s v="US-2017-158526"/>
    <x v="297"/>
    <d v="2018-01-01T00:00:00"/>
    <x v="0"/>
    <s v="KH-16360"/>
    <s v="Katherine Hughes"/>
    <x v="0"/>
    <s v="United States"/>
    <x v="74"/>
    <x v="0"/>
    <n v="40214"/>
    <x v="0"/>
    <s v="FUR-CH-10004495"/>
    <x v="0"/>
    <x v="1"/>
    <s v="Global Leather and Oak Executive Chair, Black"/>
    <n v="301"/>
    <n v="1"/>
    <n v="0"/>
    <n v="87"/>
    <x v="0"/>
    <s v="Dec"/>
  </r>
  <r>
    <n v="7637"/>
    <s v="US-2017-158526"/>
    <x v="297"/>
    <d v="2018-01-01T00:00:00"/>
    <x v="0"/>
    <s v="KH-16360"/>
    <s v="Katherine Hughes"/>
    <x v="0"/>
    <s v="United States"/>
    <x v="74"/>
    <x v="0"/>
    <n v="40214"/>
    <x v="0"/>
    <s v="FUR-CH-10001270"/>
    <x v="0"/>
    <x v="1"/>
    <s v="Harbour Creations Steel Folding Chair"/>
    <n v="259"/>
    <n v="3"/>
    <n v="0"/>
    <n v="78"/>
    <x v="0"/>
    <s v="Dec"/>
  </r>
  <r>
    <n v="7640"/>
    <s v="CA-2017-104885"/>
    <x v="774"/>
    <d v="2017-03-08T00:00:00"/>
    <x v="1"/>
    <s v="DB-13555"/>
    <s v="Dorothy Badders"/>
    <x v="1"/>
    <s v="United States"/>
    <x v="19"/>
    <x v="14"/>
    <n v="19711"/>
    <x v="2"/>
    <s v="FUR-BO-10003660"/>
    <x v="0"/>
    <x v="0"/>
    <s v="Bush Cubix Collection Bookcases, Fully Assembled"/>
    <n v="442"/>
    <n v="2"/>
    <n v="0"/>
    <n v="102"/>
    <x v="6"/>
    <s v="Mar"/>
  </r>
  <r>
    <n v="7646"/>
    <s v="CA-2015-161452"/>
    <x v="509"/>
    <d v="2015-04-11T00:00:00"/>
    <x v="1"/>
    <s v="CA-11965"/>
    <s v="Carol Adams"/>
    <x v="1"/>
    <s v="United States"/>
    <x v="2"/>
    <x v="2"/>
    <n v="90036"/>
    <x v="1"/>
    <s v="FUR-CH-10003973"/>
    <x v="0"/>
    <x v="1"/>
    <s v="GuestStacker Chair with Chrome Finish Legs"/>
    <n v="892"/>
    <n v="3"/>
    <n v="0.2"/>
    <n v="89"/>
    <x v="6"/>
    <s v="Apr"/>
  </r>
  <r>
    <n v="7649"/>
    <s v="CA-2016-138968"/>
    <x v="775"/>
    <d v="2016-03-16T00:00:00"/>
    <x v="2"/>
    <s v="FC-14335"/>
    <s v="Fred Chung"/>
    <x v="1"/>
    <s v="United States"/>
    <x v="28"/>
    <x v="2"/>
    <n v="94110"/>
    <x v="1"/>
    <s v="FUR-CH-10000309"/>
    <x v="0"/>
    <x v="1"/>
    <s v="Global Comet Stacking Arm Chair"/>
    <n v="1352"/>
    <n v="4"/>
    <n v="0.2"/>
    <n v="85"/>
    <x v="5"/>
    <s v="Mar"/>
  </r>
  <r>
    <n v="7650"/>
    <s v="CA-2015-101889"/>
    <x v="7"/>
    <d v="2015-12-31T00:00:00"/>
    <x v="1"/>
    <s v="DB-13120"/>
    <s v="David Bremer"/>
    <x v="1"/>
    <s v="United States"/>
    <x v="149"/>
    <x v="15"/>
    <n v="43302"/>
    <x v="2"/>
    <s v="FUR-TA-10004154"/>
    <x v="0"/>
    <x v="2"/>
    <s v="Riverside Furniture Oval Coffee Table, Oval End Table, End Table with Drawer"/>
    <n v="1549"/>
    <n v="9"/>
    <n v="0.4"/>
    <n v="-465"/>
    <x v="4"/>
    <s v="Dec"/>
  </r>
  <r>
    <n v="7655"/>
    <s v="CA-2015-107685"/>
    <x v="737"/>
    <d v="2015-12-02T00:00:00"/>
    <x v="0"/>
    <s v="JM-15865"/>
    <s v="John Murray"/>
    <x v="0"/>
    <s v="United States"/>
    <x v="205"/>
    <x v="34"/>
    <n v="89115"/>
    <x v="1"/>
    <s v="FUR-FU-10002813"/>
    <x v="0"/>
    <x v="3"/>
    <s v="DAX Contemporary Wood Frame with Silver Metal Mat, Desktop, 11 x 14 Size"/>
    <n v="81"/>
    <n v="4"/>
    <n v="0"/>
    <n v="29"/>
    <x v="3"/>
    <s v="Nov"/>
  </r>
  <r>
    <n v="7658"/>
    <s v="US-2014-120740"/>
    <x v="776"/>
    <d v="2014-04-15T00:00:00"/>
    <x v="3"/>
    <s v="PS-18970"/>
    <s v="Paul Stevenson"/>
    <x v="2"/>
    <s v="United States"/>
    <x v="2"/>
    <x v="2"/>
    <n v="90049"/>
    <x v="1"/>
    <s v="FUR-FU-10004091"/>
    <x v="0"/>
    <x v="3"/>
    <s v="Howard Miller 13&quot; Diameter Goldtone Round Wall Clock"/>
    <n v="188"/>
    <n v="4"/>
    <n v="0"/>
    <n v="77"/>
    <x v="7"/>
    <s v="Apr"/>
  </r>
  <r>
    <n v="7661"/>
    <s v="CA-2014-105417"/>
    <x v="777"/>
    <d v="2014-01-12T00:00:00"/>
    <x v="1"/>
    <s v="VS-21820"/>
    <s v="Vivek Sundaresam"/>
    <x v="0"/>
    <s v="United States"/>
    <x v="156"/>
    <x v="5"/>
    <n v="77340"/>
    <x v="3"/>
    <s v="FUR-FU-10004864"/>
    <x v="0"/>
    <x v="3"/>
    <s v="Howard Miller 14-1/2&quot; Diameter Chrome Round Wall Clock"/>
    <n v="77"/>
    <n v="3"/>
    <n v="0.6"/>
    <n v="-54"/>
    <x v="2"/>
    <s v="Jan"/>
  </r>
  <r>
    <n v="7665"/>
    <s v="CA-2014-151967"/>
    <x v="27"/>
    <d v="2014-10-26T00:00:00"/>
    <x v="1"/>
    <s v="NB-18580"/>
    <s v="Nicole Brennan"/>
    <x v="1"/>
    <s v="United States"/>
    <x v="331"/>
    <x v="35"/>
    <n v="71111"/>
    <x v="0"/>
    <s v="FUR-FU-10000193"/>
    <x v="0"/>
    <x v="3"/>
    <s v="Tenex Chairmats For Use with Hard Floors"/>
    <n v="130"/>
    <n v="4"/>
    <n v="0"/>
    <n v="10"/>
    <x v="4"/>
    <s v="Oct"/>
  </r>
  <r>
    <n v="7672"/>
    <s v="CA-2015-130974"/>
    <x v="61"/>
    <d v="2015-11-29T00:00:00"/>
    <x v="0"/>
    <s v="MA-17560"/>
    <s v="Matt Abelman"/>
    <x v="2"/>
    <s v="United States"/>
    <x v="114"/>
    <x v="20"/>
    <n v="2149"/>
    <x v="2"/>
    <s v="FUR-BO-10002916"/>
    <x v="0"/>
    <x v="0"/>
    <s v="Rush Hierlooms Collection 1&quot; Thick Stackable Bookcases"/>
    <n v="171"/>
    <n v="1"/>
    <n v="0"/>
    <n v="32"/>
    <x v="3"/>
    <s v="Nov"/>
  </r>
  <r>
    <n v="7673"/>
    <s v="CA-2015-130974"/>
    <x v="61"/>
    <d v="2015-11-29T00:00:00"/>
    <x v="0"/>
    <s v="MA-17560"/>
    <s v="Matt Abelman"/>
    <x v="2"/>
    <s v="United States"/>
    <x v="114"/>
    <x v="20"/>
    <n v="2149"/>
    <x v="2"/>
    <s v="FUR-FU-10002506"/>
    <x v="0"/>
    <x v="3"/>
    <s v="Tensor &quot;Hersey Kiss&quot; Styled Floor Lamp"/>
    <n v="39"/>
    <n v="3"/>
    <n v="0"/>
    <n v="5"/>
    <x v="3"/>
    <s v="Nov"/>
  </r>
  <r>
    <n v="7675"/>
    <s v="CA-2015-130974"/>
    <x v="61"/>
    <d v="2015-11-29T00:00:00"/>
    <x v="0"/>
    <s v="MA-17560"/>
    <s v="Matt Abelman"/>
    <x v="2"/>
    <s v="United States"/>
    <x v="114"/>
    <x v="20"/>
    <n v="2149"/>
    <x v="2"/>
    <s v="FUR-TA-10004619"/>
    <x v="0"/>
    <x v="2"/>
    <s v="Hon Non-Folding Utility Tables"/>
    <n v="446"/>
    <n v="4"/>
    <n v="0.3"/>
    <n v="0"/>
    <x v="3"/>
    <s v="Nov"/>
  </r>
  <r>
    <n v="7681"/>
    <s v="CA-2014-133592"/>
    <x v="252"/>
    <d v="2015-01-07T00:00:00"/>
    <x v="1"/>
    <s v="KM-16375"/>
    <s v="Katherine Murray"/>
    <x v="2"/>
    <s v="United States"/>
    <x v="134"/>
    <x v="38"/>
    <n v="2908"/>
    <x v="2"/>
    <s v="FUR-BO-10000362"/>
    <x v="0"/>
    <x v="0"/>
    <s v="Sauder Inglewood Library Bookcases"/>
    <n v="342"/>
    <n v="2"/>
    <n v="0"/>
    <n v="79"/>
    <x v="1"/>
    <s v="Dec"/>
  </r>
  <r>
    <n v="7682"/>
    <s v="CA-2014-133592"/>
    <x v="252"/>
    <d v="2015-01-07T00:00:00"/>
    <x v="1"/>
    <s v="KM-16375"/>
    <s v="Katherine Murray"/>
    <x v="2"/>
    <s v="United States"/>
    <x v="134"/>
    <x v="38"/>
    <n v="2908"/>
    <x v="2"/>
    <s v="FUR-CH-10004218"/>
    <x v="0"/>
    <x v="1"/>
    <s v="Global Fabric Manager's Chair, Dark Gray"/>
    <n v="606"/>
    <n v="6"/>
    <n v="0"/>
    <n v="151"/>
    <x v="1"/>
    <s v="Dec"/>
  </r>
  <r>
    <n v="7687"/>
    <s v="CA-2016-169838"/>
    <x v="778"/>
    <d v="2016-11-29T00:00:00"/>
    <x v="1"/>
    <s v="BB-11545"/>
    <s v="Brenda Bowman"/>
    <x v="1"/>
    <s v="United States"/>
    <x v="38"/>
    <x v="17"/>
    <n v="49201"/>
    <x v="3"/>
    <s v="FUR-TA-10001095"/>
    <x v="0"/>
    <x v="2"/>
    <s v="Chromcraft Round Conference Tables"/>
    <n v="1569"/>
    <n v="9"/>
    <n v="0"/>
    <n v="329"/>
    <x v="4"/>
    <s v="Nov"/>
  </r>
  <r>
    <n v="7691"/>
    <s v="US-2017-128951"/>
    <x v="316"/>
    <d v="2017-07-17T00:00:00"/>
    <x v="2"/>
    <s v="RS-19420"/>
    <s v="Ricardo Sperren"/>
    <x v="1"/>
    <s v="United States"/>
    <x v="122"/>
    <x v="25"/>
    <n v="23434"/>
    <x v="0"/>
    <s v="FUR-TA-10004575"/>
    <x v="0"/>
    <x v="2"/>
    <s v="Hon 5100 Series Wood Tables"/>
    <n v="873"/>
    <n v="3"/>
    <n v="0"/>
    <n v="157"/>
    <x v="3"/>
    <s v="Jul"/>
  </r>
  <r>
    <n v="7695"/>
    <s v="CA-2016-118899"/>
    <x v="779"/>
    <d v="2016-03-22T00:00:00"/>
    <x v="3"/>
    <s v="MC-17275"/>
    <s v="Marc Crier"/>
    <x v="0"/>
    <s v="United States"/>
    <x v="15"/>
    <x v="13"/>
    <n v="98103"/>
    <x v="1"/>
    <s v="FUR-CH-10004754"/>
    <x v="0"/>
    <x v="1"/>
    <s v="Global Stack Chair with Arms, Black"/>
    <n v="168"/>
    <n v="7"/>
    <n v="0.2"/>
    <n v="15"/>
    <x v="7"/>
    <s v="Mar"/>
  </r>
  <r>
    <n v="7702"/>
    <s v="CA-2017-151799"/>
    <x v="417"/>
    <d v="2017-12-18T00:00:00"/>
    <x v="1"/>
    <s v="BF-11170"/>
    <s v="Ben Ferrer"/>
    <x v="2"/>
    <s v="United States"/>
    <x v="37"/>
    <x v="20"/>
    <n v="1841"/>
    <x v="2"/>
    <s v="FUR-TA-10003473"/>
    <x v="0"/>
    <x v="2"/>
    <s v="Bretford Rectangular Conference Table Tops"/>
    <n v="527"/>
    <n v="2"/>
    <n v="0.3"/>
    <n v="-53"/>
    <x v="4"/>
    <s v="Dec"/>
  </r>
  <r>
    <n v="7705"/>
    <s v="CA-2016-114601"/>
    <x v="238"/>
    <d v="2016-09-02T00:00:00"/>
    <x v="1"/>
    <s v="AA-10480"/>
    <s v="Andrew Allen"/>
    <x v="0"/>
    <s v="United States"/>
    <x v="25"/>
    <x v="17"/>
    <n v="48234"/>
    <x v="3"/>
    <s v="FUR-TA-10004147"/>
    <x v="0"/>
    <x v="2"/>
    <s v="Hon 4060 Series Tables"/>
    <n v="448"/>
    <n v="4"/>
    <n v="0"/>
    <n v="99"/>
    <x v="1"/>
    <s v="Aug"/>
  </r>
  <r>
    <n v="7712"/>
    <s v="CA-2017-139353"/>
    <x v="780"/>
    <d v="2017-10-30T00:00:00"/>
    <x v="0"/>
    <s v="JM-15250"/>
    <s v="Janet Martin"/>
    <x v="0"/>
    <s v="United States"/>
    <x v="160"/>
    <x v="30"/>
    <n v="28314"/>
    <x v="0"/>
    <s v="FUR-FU-10001876"/>
    <x v="0"/>
    <x v="3"/>
    <s v="Computer Room Manger, 14&quot;"/>
    <n v="78"/>
    <n v="3"/>
    <n v="0.2"/>
    <n v="16"/>
    <x v="3"/>
    <s v="Oct"/>
  </r>
  <r>
    <n v="7724"/>
    <s v="CA-2015-139374"/>
    <x v="468"/>
    <d v="2015-09-14T00:00:00"/>
    <x v="1"/>
    <s v="AR-10345"/>
    <s v="Alex Russell"/>
    <x v="1"/>
    <s v="United States"/>
    <x v="198"/>
    <x v="5"/>
    <n v="78745"/>
    <x v="3"/>
    <s v="FUR-CH-10003981"/>
    <x v="0"/>
    <x v="1"/>
    <s v="Global Commerce Series Low-Back Swivel/Tilt Chairs"/>
    <n v="180"/>
    <n v="1"/>
    <n v="0.3"/>
    <n v="-3"/>
    <x v="4"/>
    <s v="Sep"/>
  </r>
  <r>
    <n v="7731"/>
    <s v="CA-2017-104850"/>
    <x v="234"/>
    <d v="2017-06-19T00:00:00"/>
    <x v="1"/>
    <s v="TW-21025"/>
    <s v="Tamara Willingham"/>
    <x v="2"/>
    <s v="United States"/>
    <x v="15"/>
    <x v="13"/>
    <n v="98103"/>
    <x v="1"/>
    <s v="FUR-CH-10003774"/>
    <x v="0"/>
    <x v="1"/>
    <s v="Global Wood Trimmed Manager's Task Chair, Khaki"/>
    <n v="291"/>
    <n v="4"/>
    <n v="0.2"/>
    <n v="-25"/>
    <x v="6"/>
    <s v="Jun"/>
  </r>
  <r>
    <n v="7749"/>
    <s v="CA-2015-133242"/>
    <x v="311"/>
    <d v="2015-06-24T00:00:00"/>
    <x v="1"/>
    <s v="KH-16510"/>
    <s v="Keith Herrera"/>
    <x v="0"/>
    <s v="United States"/>
    <x v="58"/>
    <x v="25"/>
    <n v="22204"/>
    <x v="0"/>
    <s v="FUR-FU-10003464"/>
    <x v="0"/>
    <x v="3"/>
    <s v="Seth Thomas 8 1/2&quot; Cubicle Clock"/>
    <n v="61"/>
    <n v="3"/>
    <n v="0"/>
    <n v="19"/>
    <x v="6"/>
    <s v="Jun"/>
  </r>
  <r>
    <n v="7754"/>
    <s v="CA-2015-158323"/>
    <x v="737"/>
    <d v="2015-12-03T00:00:00"/>
    <x v="2"/>
    <s v="AB-10600"/>
    <s v="Ann Blume"/>
    <x v="1"/>
    <s v="United States"/>
    <x v="51"/>
    <x v="30"/>
    <n v="28540"/>
    <x v="0"/>
    <s v="FUR-FU-10001546"/>
    <x v="0"/>
    <x v="3"/>
    <s v="Dana Swing-Arm Lamps"/>
    <n v="17"/>
    <n v="2"/>
    <n v="0.2"/>
    <n v="1"/>
    <x v="0"/>
    <s v="Nov"/>
  </r>
  <r>
    <n v="7759"/>
    <s v="CA-2017-112844"/>
    <x v="596"/>
    <d v="2017-11-16T00:00:00"/>
    <x v="0"/>
    <s v="SP-20620"/>
    <s v="Stefania Perrino"/>
    <x v="1"/>
    <s v="United States"/>
    <x v="252"/>
    <x v="7"/>
    <n v="14215"/>
    <x v="2"/>
    <s v="FUR-FU-10004845"/>
    <x v="0"/>
    <x v="3"/>
    <s v="Deflect-o EconoMat Nonstudded, No Bevel Mat"/>
    <n v="155"/>
    <n v="3"/>
    <n v="0"/>
    <n v="31"/>
    <x v="0"/>
    <s v="Nov"/>
  </r>
  <r>
    <n v="7766"/>
    <s v="US-2017-118941"/>
    <x v="661"/>
    <d v="2017-08-12T00:00:00"/>
    <x v="3"/>
    <s v="BB-11545"/>
    <s v="Brenda Bowman"/>
    <x v="1"/>
    <s v="United States"/>
    <x v="11"/>
    <x v="32"/>
    <n v="21044"/>
    <x v="2"/>
    <s v="FUR-CH-10002331"/>
    <x v="0"/>
    <x v="1"/>
    <s v="Hon 4700 Series Mobuis Mid-Back Task Chairs with Adjustable Arms"/>
    <n v="1780"/>
    <n v="5"/>
    <n v="0"/>
    <n v="374"/>
    <x v="7"/>
    <s v="Aug"/>
  </r>
  <r>
    <n v="7784"/>
    <s v="CA-2016-162236"/>
    <x v="114"/>
    <d v="2016-11-06T00:00:00"/>
    <x v="0"/>
    <s v="ER-13855"/>
    <s v="Elpida Rittenbach"/>
    <x v="1"/>
    <s v="United States"/>
    <x v="127"/>
    <x v="30"/>
    <n v="28205"/>
    <x v="0"/>
    <s v="FUR-TA-10002533"/>
    <x v="0"/>
    <x v="2"/>
    <s v="BPI Conference Tables"/>
    <n v="876"/>
    <n v="10"/>
    <n v="0.4"/>
    <n v="-292"/>
    <x v="3"/>
    <s v="Nov"/>
  </r>
  <r>
    <n v="7789"/>
    <s v="US-2016-117037"/>
    <x v="586"/>
    <d v="2016-05-20T00:00:00"/>
    <x v="2"/>
    <s v="LW-17215"/>
    <s v="Luke Weiss"/>
    <x v="0"/>
    <s v="United States"/>
    <x v="9"/>
    <x v="8"/>
    <n v="60653"/>
    <x v="3"/>
    <s v="FUR-FU-10004973"/>
    <x v="0"/>
    <x v="3"/>
    <s v="Flat Face Poster Frame"/>
    <n v="23"/>
    <n v="3"/>
    <n v="0.6"/>
    <n v="-10"/>
    <x v="0"/>
    <s v="May"/>
  </r>
  <r>
    <n v="7800"/>
    <s v="CA-2017-166184"/>
    <x v="781"/>
    <d v="2017-03-27T00:00:00"/>
    <x v="2"/>
    <s v="HR-14830"/>
    <s v="Harold Ryan"/>
    <x v="1"/>
    <s v="United States"/>
    <x v="13"/>
    <x v="7"/>
    <n v="10035"/>
    <x v="2"/>
    <s v="FUR-CH-10003396"/>
    <x v="0"/>
    <x v="1"/>
    <s v="Global Deluxe Steno Chair"/>
    <n v="208"/>
    <n v="3"/>
    <n v="0.1"/>
    <n v="2"/>
    <x v="0"/>
    <s v="Mar"/>
  </r>
  <r>
    <n v="7802"/>
    <s v="CA-2014-143637"/>
    <x v="782"/>
    <d v="2014-03-29T00:00:00"/>
    <x v="0"/>
    <s v="MS-17710"/>
    <s v="Maurice Satty"/>
    <x v="0"/>
    <s v="United States"/>
    <x v="99"/>
    <x v="2"/>
    <n v="93727"/>
    <x v="1"/>
    <s v="FUR-FU-10002813"/>
    <x v="0"/>
    <x v="3"/>
    <s v="DAX Contemporary Wood Frame with Silver Metal Mat, Desktop, 11 x 14 Size"/>
    <n v="40"/>
    <n v="2"/>
    <n v="0"/>
    <n v="15"/>
    <x v="2"/>
    <s v="Mar"/>
  </r>
  <r>
    <n v="7813"/>
    <s v="CA-2016-134334"/>
    <x v="783"/>
    <d v="2016-02-15T00:00:00"/>
    <x v="2"/>
    <s v="DK-13090"/>
    <s v="Dave Kipp"/>
    <x v="0"/>
    <s v="United States"/>
    <x v="218"/>
    <x v="32"/>
    <n v="20735"/>
    <x v="2"/>
    <s v="FUR-TA-10002356"/>
    <x v="0"/>
    <x v="2"/>
    <s v="Bevis Boat-Shaped Conference Table"/>
    <n v="550"/>
    <n v="3"/>
    <n v="0.3"/>
    <n v="-47"/>
    <x v="5"/>
    <s v="Feb"/>
  </r>
  <r>
    <n v="7814"/>
    <s v="CA-2016-134334"/>
    <x v="783"/>
    <d v="2016-02-15T00:00:00"/>
    <x v="2"/>
    <s v="DK-13090"/>
    <s v="Dave Kipp"/>
    <x v="0"/>
    <s v="United States"/>
    <x v="218"/>
    <x v="32"/>
    <n v="20735"/>
    <x v="2"/>
    <s v="FUR-FU-10003274"/>
    <x v="0"/>
    <x v="3"/>
    <s v="Regeneration Desk Collection"/>
    <n v="11"/>
    <n v="6"/>
    <n v="0"/>
    <n v="5"/>
    <x v="5"/>
    <s v="Feb"/>
  </r>
  <r>
    <n v="7815"/>
    <s v="US-2017-109316"/>
    <x v="784"/>
    <d v="2017-06-10T00:00:00"/>
    <x v="2"/>
    <s v="MG-17680"/>
    <s v="Maureen Gastineau"/>
    <x v="2"/>
    <s v="United States"/>
    <x v="2"/>
    <x v="2"/>
    <n v="90049"/>
    <x v="1"/>
    <s v="FUR-BO-10004834"/>
    <x v="0"/>
    <x v="0"/>
    <s v="Riverside Palais Royal Lawyers Bookcase, Royale Cherry Finish"/>
    <n v="1498"/>
    <n v="2"/>
    <n v="0.15"/>
    <n v="141"/>
    <x v="3"/>
    <s v="Jun"/>
  </r>
  <r>
    <n v="7825"/>
    <s v="CA-2014-125150"/>
    <x v="785"/>
    <d v="2014-05-23T00:00:00"/>
    <x v="1"/>
    <s v="PW-19030"/>
    <s v="Pauline Webber"/>
    <x v="1"/>
    <s v="United States"/>
    <x v="2"/>
    <x v="2"/>
    <n v="90036"/>
    <x v="1"/>
    <s v="FUR-CH-10002439"/>
    <x v="0"/>
    <x v="1"/>
    <s v="Iceberg Nesting Folding Chair, 19w x 6d x 43h"/>
    <n v="233"/>
    <n v="5"/>
    <n v="0.2"/>
    <n v="17"/>
    <x v="1"/>
    <s v="May"/>
  </r>
  <r>
    <n v="7826"/>
    <s v="CA-2015-127327"/>
    <x v="136"/>
    <d v="2015-02-07T00:00:00"/>
    <x v="1"/>
    <s v="PW-19030"/>
    <s v="Pauline Webber"/>
    <x v="1"/>
    <s v="United States"/>
    <x v="248"/>
    <x v="7"/>
    <n v="13440"/>
    <x v="2"/>
    <s v="FUR-CH-10004218"/>
    <x v="0"/>
    <x v="1"/>
    <s v="Global Fabric Manager's Chair, Dark Gray"/>
    <n v="91"/>
    <n v="1"/>
    <n v="0.1"/>
    <n v="15"/>
    <x v="4"/>
    <s v="Feb"/>
  </r>
  <r>
    <n v="7829"/>
    <s v="CA-2015-137302"/>
    <x v="12"/>
    <d v="2015-05-01T00:00:00"/>
    <x v="1"/>
    <s v="BW-11110"/>
    <s v="Bart Watters"/>
    <x v="1"/>
    <s v="United States"/>
    <x v="53"/>
    <x v="2"/>
    <n v="92105"/>
    <x v="1"/>
    <s v="FUR-CH-10002017"/>
    <x v="0"/>
    <x v="1"/>
    <s v="SAFCO Optional Arm Kit for Workspace Cribbage Stacking Chair"/>
    <n v="64"/>
    <n v="3"/>
    <n v="0.2"/>
    <n v="6"/>
    <x v="2"/>
    <s v="Apr"/>
  </r>
  <r>
    <n v="7835"/>
    <s v="CA-2015-106257"/>
    <x v="315"/>
    <d v="2015-04-17T00:00:00"/>
    <x v="0"/>
    <s v="EB-14110"/>
    <s v="Eugene Barchas"/>
    <x v="0"/>
    <s v="United States"/>
    <x v="2"/>
    <x v="2"/>
    <n v="90045"/>
    <x v="1"/>
    <s v="FUR-TA-10002530"/>
    <x v="0"/>
    <x v="2"/>
    <s v="Iceberg OfficeWorks 42&quot; Round Tables"/>
    <n v="242"/>
    <n v="2"/>
    <n v="0.2"/>
    <n v="-15"/>
    <x v="4"/>
    <s v="Apr"/>
  </r>
  <r>
    <n v="7837"/>
    <s v="CA-2015-149083"/>
    <x v="4"/>
    <d v="2015-09-30T00:00:00"/>
    <x v="1"/>
    <s v="SH-19975"/>
    <s v="Sally Hughsby"/>
    <x v="1"/>
    <s v="United States"/>
    <x v="15"/>
    <x v="13"/>
    <n v="98103"/>
    <x v="1"/>
    <s v="FUR-CH-10004289"/>
    <x v="0"/>
    <x v="1"/>
    <s v="Global Super Steno Chair"/>
    <n v="307"/>
    <n v="4"/>
    <n v="0.2"/>
    <n v="-12"/>
    <x v="2"/>
    <s v="Sep"/>
  </r>
  <r>
    <n v="7841"/>
    <s v="US-2014-137869"/>
    <x v="786"/>
    <d v="2014-04-02T00:00:00"/>
    <x v="1"/>
    <s v="CV-12295"/>
    <s v="Christina VanderZanden"/>
    <x v="0"/>
    <s v="United States"/>
    <x v="67"/>
    <x v="26"/>
    <n v="50315"/>
    <x v="3"/>
    <s v="FUR-TA-10003954"/>
    <x v="0"/>
    <x v="2"/>
    <s v="Hon 94000 Series Round Tables"/>
    <n v="1185"/>
    <n v="4"/>
    <n v="0"/>
    <n v="107"/>
    <x v="2"/>
    <s v="Mar"/>
  </r>
  <r>
    <n v="7845"/>
    <s v="US-2017-123834"/>
    <x v="720"/>
    <d v="2017-07-25T00:00:00"/>
    <x v="1"/>
    <s v="GM-14500"/>
    <s v="Gene McClure"/>
    <x v="0"/>
    <s v="United States"/>
    <x v="191"/>
    <x v="5"/>
    <n v="78577"/>
    <x v="3"/>
    <s v="FUR-TA-10001676"/>
    <x v="0"/>
    <x v="2"/>
    <s v="Hon 61000 Series Interactive Training Tables"/>
    <n v="124"/>
    <n v="4"/>
    <n v="0.3"/>
    <n v="-21"/>
    <x v="4"/>
    <s v="Jul"/>
  </r>
  <r>
    <n v="7848"/>
    <s v="CA-2016-128706"/>
    <x v="787"/>
    <d v="2016-03-02T00:00:00"/>
    <x v="1"/>
    <s v="DW-13540"/>
    <s v="Don Weiss"/>
    <x v="0"/>
    <s v="United States"/>
    <x v="6"/>
    <x v="5"/>
    <n v="77070"/>
    <x v="3"/>
    <s v="FUR-FU-10004053"/>
    <x v="0"/>
    <x v="3"/>
    <s v="DAX Two-Tone Silver Metal Document Frame"/>
    <n v="16"/>
    <n v="2"/>
    <n v="0.6"/>
    <n v="-7"/>
    <x v="4"/>
    <s v="Feb"/>
  </r>
  <r>
    <n v="7866"/>
    <s v="CA-2015-143364"/>
    <x v="788"/>
    <d v="2015-07-19T00:00:00"/>
    <x v="0"/>
    <s v="TG-21310"/>
    <s v="Toby Gnade"/>
    <x v="0"/>
    <s v="United States"/>
    <x v="81"/>
    <x v="22"/>
    <n v="85204"/>
    <x v="1"/>
    <s v="FUR-CH-10004287"/>
    <x v="0"/>
    <x v="1"/>
    <s v="SAFCO Arco Folding Chair"/>
    <n v="442"/>
    <n v="2"/>
    <n v="0.2"/>
    <n v="50"/>
    <x v="2"/>
    <s v="Jul"/>
  </r>
  <r>
    <n v="7867"/>
    <s v="CA-2015-143364"/>
    <x v="788"/>
    <d v="2015-07-19T00:00:00"/>
    <x v="0"/>
    <s v="TG-21310"/>
    <s v="Toby Gnade"/>
    <x v="0"/>
    <s v="United States"/>
    <x v="81"/>
    <x v="22"/>
    <n v="85204"/>
    <x v="1"/>
    <s v="FUR-BO-10001608"/>
    <x v="0"/>
    <x v="0"/>
    <s v="Hon Metal Bookcases, Black"/>
    <n v="128"/>
    <n v="6"/>
    <n v="0.7"/>
    <n v="-192"/>
    <x v="2"/>
    <s v="Jul"/>
  </r>
  <r>
    <n v="7873"/>
    <s v="CA-2016-101672"/>
    <x v="162"/>
    <d v="2016-10-07T00:00:00"/>
    <x v="1"/>
    <s v="DB-12910"/>
    <s v="Daniel Byrd"/>
    <x v="2"/>
    <s v="United States"/>
    <x v="284"/>
    <x v="2"/>
    <n v="92630"/>
    <x v="1"/>
    <s v="FUR-CH-10004063"/>
    <x v="0"/>
    <x v="1"/>
    <s v="Global Deluxe High-Back Manager's Chair"/>
    <n v="915"/>
    <n v="4"/>
    <n v="0.2"/>
    <n v="103"/>
    <x v="4"/>
    <s v="Oct"/>
  </r>
  <r>
    <n v="7879"/>
    <s v="CA-2016-160241"/>
    <x v="789"/>
    <d v="2016-12-04T00:00:00"/>
    <x v="0"/>
    <s v="DR-12940"/>
    <s v="Daniel Raglin"/>
    <x v="2"/>
    <s v="United States"/>
    <x v="14"/>
    <x v="8"/>
    <n v="60505"/>
    <x v="3"/>
    <s v="FUR-FU-10003806"/>
    <x v="0"/>
    <x v="3"/>
    <s v="Tenex Chairmat w/ Average Lip, 45&quot; x 53&quot;"/>
    <n v="242"/>
    <n v="4"/>
    <n v="0.6"/>
    <n v="-303"/>
    <x v="2"/>
    <s v="Nov"/>
  </r>
  <r>
    <n v="7880"/>
    <s v="CA-2016-155747"/>
    <x v="184"/>
    <d v="2016-06-21T00:00:00"/>
    <x v="1"/>
    <s v="JS-15685"/>
    <s v="Jim Sink"/>
    <x v="1"/>
    <s v="United States"/>
    <x v="3"/>
    <x v="3"/>
    <n v="19140"/>
    <x v="2"/>
    <s v="FUR-TA-10003392"/>
    <x v="0"/>
    <x v="2"/>
    <s v="Global Adaptabilities Conference Tables"/>
    <n v="337"/>
    <n v="2"/>
    <n v="0.4"/>
    <n v="-118"/>
    <x v="1"/>
    <s v="Jun"/>
  </r>
  <r>
    <n v="7886"/>
    <s v="CA-2017-118017"/>
    <x v="587"/>
    <d v="2017-12-06T00:00:00"/>
    <x v="0"/>
    <s v="LC-16870"/>
    <s v="Lena Cacioppo"/>
    <x v="0"/>
    <s v="United States"/>
    <x v="332"/>
    <x v="12"/>
    <n v="80229"/>
    <x v="1"/>
    <s v="FUR-FU-10004351"/>
    <x v="0"/>
    <x v="3"/>
    <s v="Staple-based wall hangings"/>
    <n v="23"/>
    <n v="3"/>
    <n v="0.2"/>
    <n v="7"/>
    <x v="0"/>
    <s v="Dec"/>
  </r>
  <r>
    <n v="7887"/>
    <s v="CA-2017-118017"/>
    <x v="587"/>
    <d v="2017-12-06T00:00:00"/>
    <x v="0"/>
    <s v="LC-16870"/>
    <s v="Lena Cacioppo"/>
    <x v="0"/>
    <s v="United States"/>
    <x v="332"/>
    <x v="12"/>
    <n v="80229"/>
    <x v="1"/>
    <s v="FUR-FU-10004270"/>
    <x v="0"/>
    <x v="3"/>
    <s v="Eldon Image Series Desk Accessories, Burgundy"/>
    <n v="17"/>
    <n v="5"/>
    <n v="0.2"/>
    <n v="3"/>
    <x v="0"/>
    <s v="Dec"/>
  </r>
  <r>
    <n v="7888"/>
    <s v="CA-2017-118017"/>
    <x v="587"/>
    <d v="2017-12-06T00:00:00"/>
    <x v="0"/>
    <s v="LC-16870"/>
    <s v="Lena Cacioppo"/>
    <x v="0"/>
    <s v="United States"/>
    <x v="332"/>
    <x v="12"/>
    <n v="80229"/>
    <x v="1"/>
    <s v="FUR-FU-10004053"/>
    <x v="0"/>
    <x v="3"/>
    <s v="DAX Two-Tone Silver Metal Document Frame"/>
    <n v="16"/>
    <n v="1"/>
    <n v="0.2"/>
    <n v="5"/>
    <x v="0"/>
    <s v="Dec"/>
  </r>
  <r>
    <n v="7892"/>
    <s v="CA-2016-148684"/>
    <x v="683"/>
    <d v="2016-12-29T00:00:00"/>
    <x v="1"/>
    <s v="TS-21655"/>
    <s v="Trudy Schmidt"/>
    <x v="0"/>
    <s v="United States"/>
    <x v="160"/>
    <x v="31"/>
    <n v="72701"/>
    <x v="0"/>
    <s v="FUR-FU-10003553"/>
    <x v="0"/>
    <x v="3"/>
    <s v="Howard Miller 13-1/2&quot; Diameter Rosebrook Wall Clock"/>
    <n v="344"/>
    <n v="5"/>
    <n v="0"/>
    <n v="138"/>
    <x v="4"/>
    <s v="Dec"/>
  </r>
  <r>
    <n v="7902"/>
    <s v="CA-2017-128363"/>
    <x v="790"/>
    <d v="2017-08-18T00:00:00"/>
    <x v="1"/>
    <s v="DC-12850"/>
    <s v="Dan Campbell"/>
    <x v="0"/>
    <s v="United States"/>
    <x v="10"/>
    <x v="9"/>
    <n v="38109"/>
    <x v="0"/>
    <s v="FUR-FU-10003268"/>
    <x v="0"/>
    <x v="3"/>
    <s v="Eldon Radial Chair Mat for Low to Medium Pile Carpets"/>
    <n v="32"/>
    <n v="1"/>
    <n v="0.2"/>
    <n v="0"/>
    <x v="2"/>
    <s v="Aug"/>
  </r>
  <r>
    <n v="7904"/>
    <s v="CA-2017-128363"/>
    <x v="790"/>
    <d v="2017-08-18T00:00:00"/>
    <x v="1"/>
    <s v="DC-12850"/>
    <s v="Dan Campbell"/>
    <x v="0"/>
    <s v="United States"/>
    <x v="10"/>
    <x v="9"/>
    <n v="38109"/>
    <x v="0"/>
    <s v="FUR-CH-10002073"/>
    <x v="0"/>
    <x v="1"/>
    <s v="Hon Olson Stacker Chairs"/>
    <n v="424"/>
    <n v="2"/>
    <n v="0.2"/>
    <n v="48"/>
    <x v="2"/>
    <s v="Aug"/>
  </r>
  <r>
    <n v="7909"/>
    <s v="CA-2016-149762"/>
    <x v="122"/>
    <d v="2016-12-07T00:00:00"/>
    <x v="1"/>
    <s v="RD-19720"/>
    <s v="Roger Demir"/>
    <x v="0"/>
    <s v="United States"/>
    <x v="333"/>
    <x v="2"/>
    <n v="95037"/>
    <x v="1"/>
    <s v="FUR-TA-10004147"/>
    <x v="0"/>
    <x v="2"/>
    <s v="Hon 4060 Series Tables"/>
    <n v="269"/>
    <n v="3"/>
    <n v="0.2"/>
    <n v="7"/>
    <x v="4"/>
    <s v="Dec"/>
  </r>
  <r>
    <n v="7912"/>
    <s v="CA-2016-149762"/>
    <x v="122"/>
    <d v="2016-12-07T00:00:00"/>
    <x v="1"/>
    <s v="RD-19720"/>
    <s v="Roger Demir"/>
    <x v="0"/>
    <s v="United States"/>
    <x v="333"/>
    <x v="2"/>
    <n v="95037"/>
    <x v="1"/>
    <s v="FUR-BO-10001337"/>
    <x v="0"/>
    <x v="0"/>
    <s v="O'Sullivan Living Dimensions 2-Shelf Bookcases"/>
    <n v="206"/>
    <n v="2"/>
    <n v="0.15"/>
    <n v="-12"/>
    <x v="4"/>
    <s v="Dec"/>
  </r>
  <r>
    <n v="7913"/>
    <s v="CA-2016-167605"/>
    <x v="376"/>
    <d v="2016-04-30T00:00:00"/>
    <x v="0"/>
    <s v="RB-19570"/>
    <s v="Rob Beeghly"/>
    <x v="0"/>
    <s v="United States"/>
    <x v="317"/>
    <x v="8"/>
    <n v="60174"/>
    <x v="3"/>
    <s v="FUR-FU-10001602"/>
    <x v="0"/>
    <x v="3"/>
    <s v="Eldon Delta Triangular Chair Mat, 52&quot; x 58&quot;, Clear"/>
    <n v="30"/>
    <n v="2"/>
    <n v="0.6"/>
    <n v="-32"/>
    <x v="3"/>
    <s v="Apr"/>
  </r>
  <r>
    <n v="7917"/>
    <s v="CA-2015-110891"/>
    <x v="141"/>
    <d v="2015-11-24T00:00:00"/>
    <x v="1"/>
    <s v="PO-19195"/>
    <s v="Phillina Ober"/>
    <x v="2"/>
    <s v="United States"/>
    <x v="3"/>
    <x v="3"/>
    <n v="19140"/>
    <x v="2"/>
    <s v="FUR-CH-10002880"/>
    <x v="0"/>
    <x v="1"/>
    <s v="Global High-Back Leather Tilter, Burgundy"/>
    <n v="344"/>
    <n v="4"/>
    <n v="0.3"/>
    <n v="-93"/>
    <x v="4"/>
    <s v="Nov"/>
  </r>
  <r>
    <n v="7929"/>
    <s v="CA-2017-120404"/>
    <x v="93"/>
    <d v="2017-11-24T00:00:00"/>
    <x v="0"/>
    <s v="KH-16330"/>
    <s v="Katharine Harms"/>
    <x v="1"/>
    <s v="United States"/>
    <x v="13"/>
    <x v="7"/>
    <n v="10035"/>
    <x v="2"/>
    <s v="FUR-FU-10000820"/>
    <x v="0"/>
    <x v="3"/>
    <s v="Tensor Brushed Steel Torchiere Floor Lamp"/>
    <n v="51"/>
    <n v="3"/>
    <n v="0"/>
    <n v="9"/>
    <x v="4"/>
    <s v="Nov"/>
  </r>
  <r>
    <n v="7930"/>
    <s v="CA-2017-167549"/>
    <x v="730"/>
    <d v="2017-07-27T00:00:00"/>
    <x v="2"/>
    <s v="EM-14200"/>
    <s v="Evan Minnotte"/>
    <x v="2"/>
    <s v="United States"/>
    <x v="144"/>
    <x v="5"/>
    <n v="75217"/>
    <x v="3"/>
    <s v="FUR-TA-10004767"/>
    <x v="0"/>
    <x v="2"/>
    <s v="Safco Drafting Table"/>
    <n v="298"/>
    <n v="6"/>
    <n v="0.3"/>
    <n v="-4"/>
    <x v="3"/>
    <s v="Jul"/>
  </r>
  <r>
    <n v="7932"/>
    <s v="US-2016-168095"/>
    <x v="791"/>
    <d v="2016-07-20T00:00:00"/>
    <x v="1"/>
    <s v="MC-17425"/>
    <s v="Mark Cousins"/>
    <x v="1"/>
    <s v="United States"/>
    <x v="295"/>
    <x v="36"/>
    <n v="97206"/>
    <x v="1"/>
    <s v="FUR-CH-10004886"/>
    <x v="0"/>
    <x v="1"/>
    <s v="Bevis Steel Folding Chairs"/>
    <n v="230"/>
    <n v="3"/>
    <n v="0.2"/>
    <n v="23"/>
    <x v="2"/>
    <s v="Jul"/>
  </r>
  <r>
    <n v="7941"/>
    <s v="CA-2016-146325"/>
    <x v="469"/>
    <d v="2016-12-17T00:00:00"/>
    <x v="2"/>
    <s v="DS-13180"/>
    <s v="David Smith"/>
    <x v="1"/>
    <s v="United States"/>
    <x v="53"/>
    <x v="2"/>
    <n v="92037"/>
    <x v="1"/>
    <s v="FUR-CH-10001146"/>
    <x v="0"/>
    <x v="1"/>
    <s v="Global Task Chair, Black"/>
    <n v="81"/>
    <n v="2"/>
    <n v="0.2"/>
    <n v="-9"/>
    <x v="0"/>
    <s v="Dec"/>
  </r>
  <r>
    <n v="7949"/>
    <s v="CA-2014-131009"/>
    <x v="29"/>
    <d v="2014-03-05T00:00:00"/>
    <x v="1"/>
    <s v="SC-20380"/>
    <s v="Shahid Collister"/>
    <x v="0"/>
    <s v="United States"/>
    <x v="116"/>
    <x v="5"/>
    <n v="79907"/>
    <x v="3"/>
    <s v="FUR-CH-10001270"/>
    <x v="0"/>
    <x v="1"/>
    <s v="Harbour Creations Steel Folding Chair"/>
    <n v="362"/>
    <n v="6"/>
    <n v="0.3"/>
    <n v="0"/>
    <x v="4"/>
    <s v="Mar"/>
  </r>
  <r>
    <n v="7950"/>
    <s v="CA-2014-131009"/>
    <x v="29"/>
    <d v="2014-03-05T00:00:00"/>
    <x v="1"/>
    <s v="SC-20380"/>
    <s v="Shahid Collister"/>
    <x v="0"/>
    <s v="United States"/>
    <x v="116"/>
    <x v="5"/>
    <n v="79907"/>
    <x v="3"/>
    <s v="FUR-FU-10001095"/>
    <x v="0"/>
    <x v="3"/>
    <s v="DAX Black Cherry Wood-Tone Poster Frame"/>
    <n v="64"/>
    <n v="6"/>
    <n v="0.6"/>
    <n v="-35"/>
    <x v="4"/>
    <s v="Mar"/>
  </r>
  <r>
    <n v="7956"/>
    <s v="CA-2017-131807"/>
    <x v="702"/>
    <d v="2017-10-10T00:00:00"/>
    <x v="1"/>
    <s v="GG-14650"/>
    <s v="Greg Guthrie"/>
    <x v="1"/>
    <s v="United States"/>
    <x v="297"/>
    <x v="2"/>
    <n v="95928"/>
    <x v="1"/>
    <s v="FUR-CH-10001190"/>
    <x v="0"/>
    <x v="1"/>
    <s v="Global Deluxe High-Back Office Chair in Storm"/>
    <n v="435"/>
    <n v="4"/>
    <n v="0.2"/>
    <n v="-60"/>
    <x v="2"/>
    <s v="Oct"/>
  </r>
  <r>
    <n v="7959"/>
    <s v="CA-2017-131807"/>
    <x v="702"/>
    <d v="2017-10-10T00:00:00"/>
    <x v="1"/>
    <s v="GG-14650"/>
    <s v="Greg Guthrie"/>
    <x v="1"/>
    <s v="United States"/>
    <x v="297"/>
    <x v="2"/>
    <n v="95928"/>
    <x v="1"/>
    <s v="FUR-FU-10004666"/>
    <x v="0"/>
    <x v="3"/>
    <s v="DAX Clear Channel Poster Frame"/>
    <n v="73"/>
    <n v="5"/>
    <n v="0"/>
    <n v="27"/>
    <x v="2"/>
    <s v="Oct"/>
  </r>
  <r>
    <n v="7960"/>
    <s v="CA-2017-131807"/>
    <x v="702"/>
    <d v="2017-10-10T00:00:00"/>
    <x v="1"/>
    <s v="GG-14650"/>
    <s v="Greg Guthrie"/>
    <x v="1"/>
    <s v="United States"/>
    <x v="297"/>
    <x v="2"/>
    <n v="95928"/>
    <x v="1"/>
    <s v="FUR-TA-10004086"/>
    <x v="0"/>
    <x v="2"/>
    <s v="KI Adjustable-Height Table"/>
    <n v="206"/>
    <n v="3"/>
    <n v="0.2"/>
    <n v="5"/>
    <x v="2"/>
    <s v="Oct"/>
  </r>
  <r>
    <n v="7968"/>
    <s v="CA-2016-157707"/>
    <x v="792"/>
    <d v="2016-10-12T00:00:00"/>
    <x v="2"/>
    <s v="CC-12610"/>
    <s v="Corey Catlett"/>
    <x v="1"/>
    <s v="United States"/>
    <x v="22"/>
    <x v="12"/>
    <n v="80219"/>
    <x v="1"/>
    <s v="FUR-BO-10001567"/>
    <x v="0"/>
    <x v="0"/>
    <s v="Bush Westfield Collection Bookcases, Dark Cherry Finish, Fully Assembled"/>
    <n v="91"/>
    <n v="3"/>
    <n v="0.7"/>
    <n v="-191"/>
    <x v="3"/>
    <s v="Oct"/>
  </r>
  <r>
    <n v="7970"/>
    <s v="CA-2016-157707"/>
    <x v="792"/>
    <d v="2016-10-12T00:00:00"/>
    <x v="2"/>
    <s v="CC-12610"/>
    <s v="Corey Catlett"/>
    <x v="1"/>
    <s v="United States"/>
    <x v="22"/>
    <x v="12"/>
    <n v="80219"/>
    <x v="1"/>
    <s v="FUR-CH-10004853"/>
    <x v="0"/>
    <x v="1"/>
    <s v="Global Manager's Adjustable Task Chair, Storm"/>
    <n v="121"/>
    <n v="1"/>
    <n v="0.2"/>
    <n v="14"/>
    <x v="3"/>
    <s v="Oct"/>
  </r>
  <r>
    <n v="7975"/>
    <s v="US-2015-126753"/>
    <x v="793"/>
    <d v="2015-08-20T00:00:00"/>
    <x v="1"/>
    <s v="SP-20860"/>
    <s v="Sung Pak"/>
    <x v="1"/>
    <s v="United States"/>
    <x v="3"/>
    <x v="3"/>
    <n v="19134"/>
    <x v="2"/>
    <s v="FUR-FU-10001488"/>
    <x v="0"/>
    <x v="3"/>
    <s v="Tenex 46&quot; x 60&quot; Computer Anti-Static Chairmat, Rectangular Shaped"/>
    <n v="254"/>
    <n v="3"/>
    <n v="0.2"/>
    <n v="0"/>
    <x v="4"/>
    <s v="Aug"/>
  </r>
  <r>
    <n v="7983"/>
    <s v="CA-2014-113383"/>
    <x v="767"/>
    <d v="2014-09-13T00:00:00"/>
    <x v="2"/>
    <s v="SF-20065"/>
    <s v="Sandra Flanagan"/>
    <x v="0"/>
    <s v="United States"/>
    <x v="334"/>
    <x v="18"/>
    <n v="7011"/>
    <x v="2"/>
    <s v="FUR-FU-10001986"/>
    <x v="0"/>
    <x v="3"/>
    <s v="Dana Fluorescent Magnifying Lamp, White, 36&quot;"/>
    <n v="255"/>
    <n v="5"/>
    <n v="0"/>
    <n v="76"/>
    <x v="0"/>
    <s v="Sep"/>
  </r>
  <r>
    <n v="7995"/>
    <s v="US-2015-165743"/>
    <x v="141"/>
    <d v="2015-11-23T00:00:00"/>
    <x v="0"/>
    <s v="MM-18055"/>
    <s v="Michelle Moray"/>
    <x v="0"/>
    <s v="United States"/>
    <x v="14"/>
    <x v="12"/>
    <n v="80013"/>
    <x v="1"/>
    <s v="FUR-BO-10002268"/>
    <x v="0"/>
    <x v="0"/>
    <s v="Sauder Barrister Bookcases"/>
    <n v="146"/>
    <n v="6"/>
    <n v="0.7"/>
    <n v="-248"/>
    <x v="0"/>
    <s v="Nov"/>
  </r>
  <r>
    <n v="7998"/>
    <s v="US-2017-105998"/>
    <x v="54"/>
    <d v="2017-11-05T00:00:00"/>
    <x v="2"/>
    <s v="CR-12580"/>
    <s v="Clay Rozendal"/>
    <x v="2"/>
    <s v="United States"/>
    <x v="53"/>
    <x v="2"/>
    <n v="92037"/>
    <x v="1"/>
    <s v="FUR-TA-10001095"/>
    <x v="0"/>
    <x v="2"/>
    <s v="Chromcraft Round Conference Tables"/>
    <n v="1673"/>
    <n v="12"/>
    <n v="0.2"/>
    <n v="21"/>
    <x v="3"/>
    <s v="Nov"/>
  </r>
  <r>
    <n v="7999"/>
    <s v="US-2014-148194"/>
    <x v="236"/>
    <d v="2014-05-07T00:00:00"/>
    <x v="2"/>
    <s v="BS-11365"/>
    <s v="Bill Shonely"/>
    <x v="1"/>
    <s v="United States"/>
    <x v="15"/>
    <x v="13"/>
    <n v="98105"/>
    <x v="1"/>
    <s v="FUR-FU-10001852"/>
    <x v="0"/>
    <x v="3"/>
    <s v="Eldon Regeneration Recycled Desk Accessories, Smoke"/>
    <n v="12"/>
    <n v="7"/>
    <n v="0"/>
    <n v="4"/>
    <x v="0"/>
    <s v="May"/>
  </r>
  <r>
    <n v="8005"/>
    <s v="CA-2014-143210"/>
    <x v="280"/>
    <d v="2014-12-03T00:00:00"/>
    <x v="2"/>
    <s v="AA-10645"/>
    <s v="Anna Andreadi"/>
    <x v="0"/>
    <s v="United States"/>
    <x v="172"/>
    <x v="20"/>
    <n v="1852"/>
    <x v="2"/>
    <s v="FUR-FU-10003878"/>
    <x v="0"/>
    <x v="3"/>
    <s v="Linden 10&quot; Round Wall Clock, Black"/>
    <n v="46"/>
    <n v="3"/>
    <n v="0"/>
    <n v="16"/>
    <x v="3"/>
    <s v="Dec"/>
  </r>
  <r>
    <n v="8006"/>
    <s v="CA-2014-143210"/>
    <x v="280"/>
    <d v="2014-12-03T00:00:00"/>
    <x v="2"/>
    <s v="AA-10645"/>
    <s v="Anna Andreadi"/>
    <x v="0"/>
    <s v="United States"/>
    <x v="172"/>
    <x v="20"/>
    <n v="1852"/>
    <x v="2"/>
    <s v="FUR-FU-10002268"/>
    <x v="0"/>
    <x v="3"/>
    <s v="Ultra Door Push Plate"/>
    <n v="10"/>
    <n v="2"/>
    <n v="0"/>
    <n v="3"/>
    <x v="3"/>
    <s v="Dec"/>
  </r>
  <r>
    <n v="8010"/>
    <s v="CA-2015-110863"/>
    <x v="669"/>
    <d v="2015-11-24T00:00:00"/>
    <x v="1"/>
    <s v="AA-10645"/>
    <s v="Anna Andreadi"/>
    <x v="0"/>
    <s v="United States"/>
    <x v="258"/>
    <x v="37"/>
    <n v="73120"/>
    <x v="3"/>
    <s v="FUR-CH-10002073"/>
    <x v="0"/>
    <x v="1"/>
    <s v="Hon Olson Stacker Chairs"/>
    <n v="1324"/>
    <n v="5"/>
    <n v="0"/>
    <n v="384"/>
    <x v="1"/>
    <s v="Nov"/>
  </r>
  <r>
    <n v="8016"/>
    <s v="CA-2017-120168"/>
    <x v="794"/>
    <d v="2017-05-25T00:00:00"/>
    <x v="3"/>
    <s v="TB-21625"/>
    <s v="Trudy Brown"/>
    <x v="0"/>
    <s v="United States"/>
    <x v="13"/>
    <x v="7"/>
    <n v="10009"/>
    <x v="2"/>
    <s v="FUR-FU-10000732"/>
    <x v="0"/>
    <x v="3"/>
    <s v="Eldon 200 Class Desk Accessories"/>
    <n v="19"/>
    <n v="3"/>
    <n v="0"/>
    <n v="6"/>
    <x v="7"/>
    <s v="May"/>
  </r>
  <r>
    <n v="8017"/>
    <s v="US-2014-131870"/>
    <x v="383"/>
    <d v="2014-09-11T00:00:00"/>
    <x v="2"/>
    <s v="NF-18595"/>
    <s v="Nicole Fjeld"/>
    <x v="2"/>
    <s v="United States"/>
    <x v="68"/>
    <x v="15"/>
    <n v="43130"/>
    <x v="2"/>
    <s v="FUR-FU-10002501"/>
    <x v="0"/>
    <x v="3"/>
    <s v="Nu-Dell Executive Frame"/>
    <n v="61"/>
    <n v="6"/>
    <n v="0.2"/>
    <n v="13"/>
    <x v="3"/>
    <s v="Sep"/>
  </r>
  <r>
    <n v="8024"/>
    <s v="CA-2014-129189"/>
    <x v="294"/>
    <d v="2014-07-25T00:00:00"/>
    <x v="1"/>
    <s v="HM-14860"/>
    <s v="Harry Marie"/>
    <x v="1"/>
    <s v="United States"/>
    <x v="144"/>
    <x v="5"/>
    <n v="75217"/>
    <x v="3"/>
    <s v="FUR-CH-10004997"/>
    <x v="0"/>
    <x v="1"/>
    <s v="Hon Every-Day Series Multi-Task Chairs"/>
    <n v="658"/>
    <n v="5"/>
    <n v="0.3"/>
    <n v="-94"/>
    <x v="4"/>
    <s v="Jul"/>
  </r>
  <r>
    <n v="8026"/>
    <s v="CA-2015-132465"/>
    <x v="795"/>
    <d v="2015-09-15T00:00:00"/>
    <x v="0"/>
    <s v="DM-13525"/>
    <s v="Don Miller"/>
    <x v="1"/>
    <s v="United States"/>
    <x v="13"/>
    <x v="7"/>
    <n v="10035"/>
    <x v="2"/>
    <s v="FUR-FU-10000277"/>
    <x v="0"/>
    <x v="3"/>
    <s v="Deflect-o DuraMat Antistatic Studded Beveled Mat for Medium Pile Carpeting"/>
    <n v="211"/>
    <n v="2"/>
    <n v="0"/>
    <n v="51"/>
    <x v="4"/>
    <s v="Sep"/>
  </r>
  <r>
    <n v="8031"/>
    <s v="CA-2016-158806"/>
    <x v="796"/>
    <d v="2016-01-11T00:00:00"/>
    <x v="1"/>
    <s v="NM-18520"/>
    <s v="Neoma Murray"/>
    <x v="0"/>
    <s v="United States"/>
    <x v="45"/>
    <x v="5"/>
    <n v="79109"/>
    <x v="3"/>
    <s v="FUR-FU-10004270"/>
    <x v="0"/>
    <x v="3"/>
    <s v="Executive Impressions 13&quot; Clairmont Wall Clock"/>
    <n v="23"/>
    <n v="3"/>
    <n v="0.6"/>
    <n v="-11"/>
    <x v="4"/>
    <s v="Jan"/>
  </r>
  <r>
    <n v="8035"/>
    <s v="CA-2015-119690"/>
    <x v="528"/>
    <d v="2015-06-28T00:00:00"/>
    <x v="2"/>
    <s v="MV-17485"/>
    <s v="Mark Van Huff"/>
    <x v="0"/>
    <s v="United States"/>
    <x v="6"/>
    <x v="5"/>
    <n v="77041"/>
    <x v="3"/>
    <s v="FUR-FU-10004587"/>
    <x v="0"/>
    <x v="3"/>
    <s v="GE General Use Halogen Bulbs, 100 Watts, 1 Bulb per Pack"/>
    <n v="75"/>
    <n v="9"/>
    <n v="0.6"/>
    <n v="-21"/>
    <x v="0"/>
    <s v="Jun"/>
  </r>
  <r>
    <n v="8039"/>
    <s v="CA-2017-109393"/>
    <x v="254"/>
    <d v="2017-07-02T00:00:00"/>
    <x v="0"/>
    <s v="JC-15775"/>
    <s v="John Castell"/>
    <x v="0"/>
    <s v="United States"/>
    <x v="2"/>
    <x v="2"/>
    <n v="90032"/>
    <x v="1"/>
    <s v="FUR-BO-10003966"/>
    <x v="0"/>
    <x v="0"/>
    <s v="Sauder Facets Collection Library, Sky Alder Finish"/>
    <n v="436"/>
    <n v="3"/>
    <n v="0.15"/>
    <n v="5"/>
    <x v="3"/>
    <s v="Jun"/>
  </r>
  <r>
    <n v="8040"/>
    <s v="CA-2017-121489"/>
    <x v="67"/>
    <d v="2017-08-25T00:00:00"/>
    <x v="0"/>
    <s v="CM-11815"/>
    <s v="Candace McMahon"/>
    <x v="1"/>
    <s v="United States"/>
    <x v="15"/>
    <x v="13"/>
    <n v="98115"/>
    <x v="1"/>
    <s v="FUR-CH-10004698"/>
    <x v="0"/>
    <x v="1"/>
    <s v="Padded Folding Chairs, Black, 4/Carton"/>
    <n v="389"/>
    <n v="6"/>
    <n v="0.2"/>
    <n v="39"/>
    <x v="4"/>
    <s v="Aug"/>
  </r>
  <r>
    <n v="8044"/>
    <s v="US-2017-133081"/>
    <x v="745"/>
    <d v="2017-03-15T00:00:00"/>
    <x v="1"/>
    <s v="PV-18985"/>
    <s v="Paul Van Hugh"/>
    <x v="2"/>
    <s v="United States"/>
    <x v="335"/>
    <x v="20"/>
    <n v="2138"/>
    <x v="2"/>
    <s v="FUR-FU-10001379"/>
    <x v="0"/>
    <x v="3"/>
    <s v="Executive Impressions 16-1/2&quot; Circular Wall Clock"/>
    <n v="27"/>
    <n v="1"/>
    <n v="0"/>
    <n v="12"/>
    <x v="4"/>
    <s v="Mar"/>
  </r>
  <r>
    <n v="8051"/>
    <s v="CA-2014-144974"/>
    <x v="218"/>
    <d v="2014-09-30T00:00:00"/>
    <x v="1"/>
    <s v="CM-12715"/>
    <s v="Craig Molinari"/>
    <x v="1"/>
    <s v="United States"/>
    <x v="3"/>
    <x v="3"/>
    <n v="19140"/>
    <x v="2"/>
    <s v="FUR-FU-10001095"/>
    <x v="0"/>
    <x v="3"/>
    <s v="DAX Black Cherry Wood-Tone Poster Frame"/>
    <n v="21"/>
    <n v="1"/>
    <n v="0.2"/>
    <n v="5"/>
    <x v="4"/>
    <s v="Sep"/>
  </r>
  <r>
    <n v="8056"/>
    <s v="CA-2015-121188"/>
    <x v="797"/>
    <d v="2015-09-04T00:00:00"/>
    <x v="1"/>
    <s v="CB-12025"/>
    <s v="Cassandra Brandow"/>
    <x v="0"/>
    <s v="United States"/>
    <x v="2"/>
    <x v="2"/>
    <n v="90049"/>
    <x v="1"/>
    <s v="FUR-BO-10004695"/>
    <x v="0"/>
    <x v="0"/>
    <s v="O'Sullivan 2-Door Barrister Bookcase in Odessa Pine"/>
    <n v="308"/>
    <n v="2"/>
    <n v="0.15"/>
    <n v="29"/>
    <x v="1"/>
    <s v="Aug"/>
  </r>
  <r>
    <n v="8060"/>
    <s v="CA-2015-121188"/>
    <x v="797"/>
    <d v="2015-09-04T00:00:00"/>
    <x v="1"/>
    <s v="CB-12025"/>
    <s v="Cassandra Brandow"/>
    <x v="0"/>
    <s v="United States"/>
    <x v="2"/>
    <x v="2"/>
    <n v="90049"/>
    <x v="1"/>
    <s v="FUR-FU-10003981"/>
    <x v="0"/>
    <x v="3"/>
    <s v="Eldon Wave Desk Accessories"/>
    <n v="4"/>
    <n v="2"/>
    <n v="0"/>
    <n v="2"/>
    <x v="1"/>
    <s v="Aug"/>
  </r>
  <r>
    <n v="8069"/>
    <s v="US-2015-160563"/>
    <x v="798"/>
    <d v="2015-10-24T00:00:00"/>
    <x v="1"/>
    <s v="NS-18640"/>
    <s v="Noel Staavos"/>
    <x v="1"/>
    <s v="United States"/>
    <x v="28"/>
    <x v="2"/>
    <n v="94109"/>
    <x v="1"/>
    <s v="FUR-FU-10001731"/>
    <x v="0"/>
    <x v="3"/>
    <s v="Acrylic Self-Standing Desk Frames"/>
    <n v="16"/>
    <n v="6"/>
    <n v="0"/>
    <n v="6"/>
    <x v="4"/>
    <s v="Oct"/>
  </r>
  <r>
    <n v="8071"/>
    <s v="CA-2017-151750"/>
    <x v="143"/>
    <d v="2017-01-05T00:00:00"/>
    <x v="1"/>
    <s v="JM-15250"/>
    <s v="Janet Martin"/>
    <x v="0"/>
    <s v="United States"/>
    <x v="156"/>
    <x v="5"/>
    <n v="77340"/>
    <x v="3"/>
    <s v="FUR-FU-10002116"/>
    <x v="0"/>
    <x v="3"/>
    <s v="Tenex Carpeted, Granite-Look or Clear Contemporary Contour Shape Chair Mats"/>
    <n v="141"/>
    <n v="5"/>
    <n v="0.6"/>
    <n v="-187"/>
    <x v="4"/>
    <s v="Jan"/>
  </r>
  <r>
    <n v="8072"/>
    <s v="CA-2017-151750"/>
    <x v="143"/>
    <d v="2017-01-05T00:00:00"/>
    <x v="1"/>
    <s v="JM-15250"/>
    <s v="Janet Martin"/>
    <x v="0"/>
    <s v="United States"/>
    <x v="156"/>
    <x v="5"/>
    <n v="77340"/>
    <x v="3"/>
    <s v="FUR-CH-10003199"/>
    <x v="0"/>
    <x v="1"/>
    <s v="Office Star - Contemporary Task Swivel Chair"/>
    <n v="311"/>
    <n v="4"/>
    <n v="0.3"/>
    <n v="-27"/>
    <x v="4"/>
    <s v="Jan"/>
  </r>
  <r>
    <n v="8077"/>
    <s v="CA-2015-106187"/>
    <x v="799"/>
    <d v="2015-06-29T00:00:00"/>
    <x v="1"/>
    <s v="RF-19345"/>
    <s v="Randy Ferguson"/>
    <x v="1"/>
    <s v="United States"/>
    <x v="336"/>
    <x v="24"/>
    <n v="30344"/>
    <x v="0"/>
    <s v="FUR-FU-10000794"/>
    <x v="0"/>
    <x v="3"/>
    <s v="Eldon Stackable Tray, Side-Load, Legal, Smoke"/>
    <n v="27"/>
    <n v="3"/>
    <n v="0"/>
    <n v="9"/>
    <x v="6"/>
    <s v="Jun"/>
  </r>
  <r>
    <n v="8086"/>
    <s v="CA-2016-105753"/>
    <x v="697"/>
    <d v="2016-10-26T00:00:00"/>
    <x v="1"/>
    <s v="LC-16960"/>
    <s v="Lindsay Castell"/>
    <x v="2"/>
    <s v="United States"/>
    <x v="58"/>
    <x v="25"/>
    <n v="22204"/>
    <x v="0"/>
    <s v="FUR-FU-10000246"/>
    <x v="0"/>
    <x v="3"/>
    <s v="Aluminum Document Frame"/>
    <n v="61"/>
    <n v="5"/>
    <n v="0"/>
    <n v="18"/>
    <x v="6"/>
    <s v="Oct"/>
  </r>
  <r>
    <n v="8094"/>
    <s v="CA-2017-133046"/>
    <x v="534"/>
    <d v="2017-08-01T00:00:00"/>
    <x v="0"/>
    <s v="DK-13375"/>
    <s v="Dennis Kane"/>
    <x v="0"/>
    <s v="United States"/>
    <x v="15"/>
    <x v="13"/>
    <n v="98115"/>
    <x v="1"/>
    <s v="FUR-FU-10001940"/>
    <x v="0"/>
    <x v="3"/>
    <s v="Staple-based wall hangings"/>
    <n v="24"/>
    <n v="3"/>
    <n v="0"/>
    <n v="11"/>
    <x v="2"/>
    <s v="Jul"/>
  </r>
  <r>
    <n v="8106"/>
    <s v="CA-2017-159149"/>
    <x v="506"/>
    <d v="2017-02-19T00:00:00"/>
    <x v="2"/>
    <s v="CR-12820"/>
    <s v="Cyra Reiten"/>
    <x v="2"/>
    <s v="United States"/>
    <x v="6"/>
    <x v="5"/>
    <n v="77041"/>
    <x v="3"/>
    <s v="FUR-BO-10001601"/>
    <x v="0"/>
    <x v="0"/>
    <s v="Sauder Mission Library with Doors, Fruitwood Finish"/>
    <n v="89"/>
    <n v="1"/>
    <n v="0.32"/>
    <n v="-17"/>
    <x v="3"/>
    <s v="Feb"/>
  </r>
  <r>
    <n v="8109"/>
    <s v="US-2017-167570"/>
    <x v="64"/>
    <d v="2017-12-15T00:00:00"/>
    <x v="1"/>
    <s v="EG-13900"/>
    <s v="Emily Grady"/>
    <x v="0"/>
    <s v="United States"/>
    <x v="3"/>
    <x v="3"/>
    <n v="19140"/>
    <x v="2"/>
    <s v="FUR-CH-10003396"/>
    <x v="0"/>
    <x v="1"/>
    <s v="Global Deluxe Steno Chair"/>
    <n v="216"/>
    <n v="4"/>
    <n v="0.3"/>
    <n v="-59"/>
    <x v="1"/>
    <s v="Dec"/>
  </r>
  <r>
    <n v="8111"/>
    <s v="CA-2017-160122"/>
    <x v="414"/>
    <d v="2017-11-23T00:00:00"/>
    <x v="1"/>
    <s v="RD-19930"/>
    <s v="Russell D'Ascenzo"/>
    <x v="0"/>
    <s v="United States"/>
    <x v="9"/>
    <x v="8"/>
    <n v="60623"/>
    <x v="3"/>
    <s v="FUR-CH-10000422"/>
    <x v="0"/>
    <x v="1"/>
    <s v="Global Highback Leather Tilter in Burgundy"/>
    <n v="127"/>
    <n v="2"/>
    <n v="0.3"/>
    <n v="-25"/>
    <x v="2"/>
    <s v="Nov"/>
  </r>
  <r>
    <n v="8112"/>
    <s v="CA-2016-130393"/>
    <x v="193"/>
    <d v="2016-12-03T00:00:00"/>
    <x v="0"/>
    <s v="JM-15865"/>
    <s v="John Murray"/>
    <x v="0"/>
    <s v="United States"/>
    <x v="147"/>
    <x v="5"/>
    <n v="76903"/>
    <x v="3"/>
    <s v="FUR-CH-10002647"/>
    <x v="0"/>
    <x v="1"/>
    <s v="Situations Contoured Folding Chairs, 4/Set"/>
    <n v="248"/>
    <n v="5"/>
    <n v="0.3"/>
    <n v="-18"/>
    <x v="3"/>
    <s v="Dec"/>
  </r>
  <r>
    <n v="8114"/>
    <s v="CA-2016-130393"/>
    <x v="193"/>
    <d v="2016-12-03T00:00:00"/>
    <x v="0"/>
    <s v="JM-15865"/>
    <s v="John Murray"/>
    <x v="0"/>
    <s v="United States"/>
    <x v="147"/>
    <x v="5"/>
    <n v="76903"/>
    <x v="3"/>
    <s v="FUR-CH-10004477"/>
    <x v="0"/>
    <x v="1"/>
    <s v="Global Push Button Manager's Chair, Indigo"/>
    <n v="85"/>
    <n v="2"/>
    <n v="0.3"/>
    <n v="-1"/>
    <x v="3"/>
    <s v="Dec"/>
  </r>
  <r>
    <n v="8116"/>
    <s v="CA-2017-101014"/>
    <x v="800"/>
    <d v="2017-09-04T00:00:00"/>
    <x v="1"/>
    <s v="RW-19540"/>
    <s v="Rick Wilson"/>
    <x v="1"/>
    <s v="United States"/>
    <x v="2"/>
    <x v="2"/>
    <n v="90049"/>
    <x v="1"/>
    <s v="FUR-FU-10003374"/>
    <x v="0"/>
    <x v="3"/>
    <s v="Electrix Fluorescent Magnifier Lamps &amp; Weighted Base"/>
    <n v="148"/>
    <n v="3"/>
    <n v="0"/>
    <n v="41"/>
    <x v="6"/>
    <s v="Aug"/>
  </r>
  <r>
    <n v="8119"/>
    <s v="US-2017-106551"/>
    <x v="801"/>
    <d v="2017-07-27T00:00:00"/>
    <x v="1"/>
    <s v="EB-13930"/>
    <s v="Eric Barreto"/>
    <x v="0"/>
    <s v="United States"/>
    <x v="9"/>
    <x v="8"/>
    <n v="60653"/>
    <x v="3"/>
    <s v="FUR-CH-10004997"/>
    <x v="0"/>
    <x v="1"/>
    <s v="Hon Every-Day Series Multi-Task Chairs"/>
    <n v="526"/>
    <n v="4"/>
    <n v="0.3"/>
    <n v="-75"/>
    <x v="2"/>
    <s v="Jul"/>
  </r>
  <r>
    <n v="8120"/>
    <s v="CA-2016-116722"/>
    <x v="367"/>
    <d v="2016-11-16T00:00:00"/>
    <x v="1"/>
    <s v="LP-17080"/>
    <s v="Liz Pelletier"/>
    <x v="0"/>
    <s v="United States"/>
    <x v="28"/>
    <x v="2"/>
    <n v="94110"/>
    <x v="1"/>
    <s v="FUR-FU-10001934"/>
    <x v="0"/>
    <x v="3"/>
    <s v="Magnifier Swing Arm Lamp"/>
    <n v="42"/>
    <n v="2"/>
    <n v="0"/>
    <n v="11"/>
    <x v="2"/>
    <s v="Nov"/>
  </r>
  <r>
    <n v="8121"/>
    <s v="CA-2016-116722"/>
    <x v="367"/>
    <d v="2016-11-16T00:00:00"/>
    <x v="1"/>
    <s v="LP-17080"/>
    <s v="Liz Pelletier"/>
    <x v="0"/>
    <s v="United States"/>
    <x v="28"/>
    <x v="2"/>
    <n v="94110"/>
    <x v="1"/>
    <s v="FUR-CH-10004997"/>
    <x v="0"/>
    <x v="1"/>
    <s v="Hon Every-Day Series Multi-Task Chairs"/>
    <n v="451"/>
    <n v="3"/>
    <n v="0.2"/>
    <n v="0"/>
    <x v="2"/>
    <s v="Nov"/>
  </r>
  <r>
    <n v="8125"/>
    <s v="US-2017-150070"/>
    <x v="87"/>
    <d v="2017-09-12T00:00:00"/>
    <x v="1"/>
    <s v="JA-15970"/>
    <s v="Joseph Airdo"/>
    <x v="0"/>
    <s v="United States"/>
    <x v="337"/>
    <x v="2"/>
    <n v="95351"/>
    <x v="1"/>
    <s v="FUR-CH-10004860"/>
    <x v="0"/>
    <x v="1"/>
    <s v="Global Low Back Tilter Chair"/>
    <n v="162"/>
    <n v="2"/>
    <n v="0.2"/>
    <n v="-28"/>
    <x v="2"/>
    <s v="Sep"/>
  </r>
  <r>
    <n v="8129"/>
    <s v="CA-2017-157350"/>
    <x v="802"/>
    <d v="2017-09-01T00:00:00"/>
    <x v="1"/>
    <s v="DP-13000"/>
    <s v="Darren Powers"/>
    <x v="0"/>
    <s v="United States"/>
    <x v="9"/>
    <x v="8"/>
    <n v="60610"/>
    <x v="3"/>
    <s v="FUR-FU-10000222"/>
    <x v="0"/>
    <x v="3"/>
    <s v="Seth Thomas 16&quot; Steel Case Clock"/>
    <n v="65"/>
    <n v="5"/>
    <n v="0.6"/>
    <n v="-44"/>
    <x v="6"/>
    <s v="Aug"/>
  </r>
  <r>
    <n v="8134"/>
    <s v="CA-2015-131352"/>
    <x v="643"/>
    <d v="2015-10-13T00:00:00"/>
    <x v="1"/>
    <s v="GH-14485"/>
    <s v="Gene Hale"/>
    <x v="1"/>
    <s v="United States"/>
    <x v="144"/>
    <x v="5"/>
    <n v="75081"/>
    <x v="3"/>
    <s v="FUR-FU-10003708"/>
    <x v="0"/>
    <x v="3"/>
    <s v="Tenex Traditional Chairmats for Medium Pile Carpet, Standard Lip, 36&quot; x 48&quot;"/>
    <n v="73"/>
    <n v="3"/>
    <n v="0.6"/>
    <n v="-71"/>
    <x v="2"/>
    <s v="Oct"/>
  </r>
  <r>
    <n v="8137"/>
    <s v="CA-2016-118073"/>
    <x v="577"/>
    <d v="2016-08-16T00:00:00"/>
    <x v="1"/>
    <s v="CS-12490"/>
    <s v="Cindy Schnelling"/>
    <x v="1"/>
    <s v="United States"/>
    <x v="49"/>
    <x v="1"/>
    <n v="33801"/>
    <x v="0"/>
    <s v="FUR-TA-10002533"/>
    <x v="0"/>
    <x v="2"/>
    <s v="BPI Conference Tables"/>
    <n v="562"/>
    <n v="7"/>
    <n v="0.45"/>
    <n v="-256"/>
    <x v="4"/>
    <s v="Aug"/>
  </r>
  <r>
    <n v="8138"/>
    <s v="CA-2014-103219"/>
    <x v="77"/>
    <d v="2014-11-13T00:00:00"/>
    <x v="1"/>
    <s v="BF-11215"/>
    <s v="Benjamin Farhat"/>
    <x v="2"/>
    <s v="United States"/>
    <x v="13"/>
    <x v="7"/>
    <n v="10035"/>
    <x v="2"/>
    <s v="FUR-FU-10004091"/>
    <x v="0"/>
    <x v="3"/>
    <s v="Eldon 200 Class Desk Accessories, Black"/>
    <n v="57"/>
    <n v="9"/>
    <n v="0"/>
    <n v="21"/>
    <x v="4"/>
    <s v="Nov"/>
  </r>
  <r>
    <n v="8144"/>
    <s v="CA-2016-100993"/>
    <x v="223"/>
    <d v="2016-02-10T00:00:00"/>
    <x v="1"/>
    <s v="AZ-10750"/>
    <s v="Annie Zypern"/>
    <x v="0"/>
    <s v="United States"/>
    <x v="53"/>
    <x v="2"/>
    <n v="92037"/>
    <x v="1"/>
    <s v="FUR-TA-10001095"/>
    <x v="0"/>
    <x v="2"/>
    <s v="Chromcraft Round Conference Tables"/>
    <n v="558"/>
    <n v="4"/>
    <n v="0.2"/>
    <n v="7"/>
    <x v="2"/>
    <s v="Feb"/>
  </r>
  <r>
    <n v="8151"/>
    <s v="CA-2014-167997"/>
    <x v="375"/>
    <d v="2014-01-29T00:00:00"/>
    <x v="2"/>
    <s v="CA-11965"/>
    <s v="Carol Adams"/>
    <x v="1"/>
    <s v="United States"/>
    <x v="338"/>
    <x v="40"/>
    <n v="57701"/>
    <x v="3"/>
    <s v="FUR-BO-10004409"/>
    <x v="0"/>
    <x v="0"/>
    <s v="Safco Value Mate Series Steel Bookcases, Baked Enamel Finish on Steel, Gray"/>
    <n v="142"/>
    <n v="2"/>
    <n v="0"/>
    <n v="40"/>
    <x v="0"/>
    <s v="Jan"/>
  </r>
  <r>
    <n v="8157"/>
    <s v="CA-2016-131296"/>
    <x v="803"/>
    <d v="2016-10-09T00:00:00"/>
    <x v="1"/>
    <s v="MS-17830"/>
    <s v="Melanie Seite"/>
    <x v="0"/>
    <s v="United States"/>
    <x v="237"/>
    <x v="32"/>
    <n v="21215"/>
    <x v="2"/>
    <s v="FUR-TA-10002622"/>
    <x v="0"/>
    <x v="2"/>
    <s v="Bush Andora Conference Table, Maple/Graphite Gray Finish"/>
    <n v="239"/>
    <n v="2"/>
    <n v="0.3"/>
    <n v="-24"/>
    <x v="2"/>
    <s v="Oct"/>
  </r>
  <r>
    <n v="8161"/>
    <s v="CA-2016-134138"/>
    <x v="285"/>
    <d v="2016-02-20T00:00:00"/>
    <x v="1"/>
    <s v="JD-15790"/>
    <s v="John Dryer"/>
    <x v="0"/>
    <s v="United States"/>
    <x v="31"/>
    <x v="18"/>
    <n v="7109"/>
    <x v="2"/>
    <s v="FUR-CH-10001545"/>
    <x v="0"/>
    <x v="1"/>
    <s v="Hon Comfortask Task/Swivel Chairs"/>
    <n v="228"/>
    <n v="2"/>
    <n v="0"/>
    <n v="36"/>
    <x v="4"/>
    <s v="Feb"/>
  </r>
  <r>
    <n v="8164"/>
    <s v="CA-2015-168207"/>
    <x v="46"/>
    <d v="2015-11-06T00:00:00"/>
    <x v="1"/>
    <s v="LT-17110"/>
    <s v="Liz Thompson"/>
    <x v="0"/>
    <s v="United States"/>
    <x v="53"/>
    <x v="2"/>
    <n v="92105"/>
    <x v="1"/>
    <s v="FUR-FU-10004909"/>
    <x v="0"/>
    <x v="3"/>
    <s v="Contemporary Wood/Metal Frame"/>
    <n v="97"/>
    <n v="6"/>
    <n v="0"/>
    <n v="34"/>
    <x v="4"/>
    <s v="Nov"/>
  </r>
  <r>
    <n v="8167"/>
    <s v="CA-2015-168207"/>
    <x v="46"/>
    <d v="2015-11-06T00:00:00"/>
    <x v="1"/>
    <s v="LT-17110"/>
    <s v="Liz Thompson"/>
    <x v="0"/>
    <s v="United States"/>
    <x v="53"/>
    <x v="2"/>
    <n v="92105"/>
    <x v="1"/>
    <s v="FUR-BO-10004357"/>
    <x v="0"/>
    <x v="0"/>
    <s v="O'Sullivan Living Dimensions 3-Shelf Bookcases"/>
    <n v="512"/>
    <n v="3"/>
    <n v="0.15"/>
    <n v="-30"/>
    <x v="4"/>
    <s v="Nov"/>
  </r>
  <r>
    <n v="8168"/>
    <s v="CA-2016-144148"/>
    <x v="581"/>
    <d v="2016-08-05T00:00:00"/>
    <x v="1"/>
    <s v="AH-10690"/>
    <s v="Anna HŠberlin"/>
    <x v="1"/>
    <s v="United States"/>
    <x v="28"/>
    <x v="2"/>
    <n v="94122"/>
    <x v="1"/>
    <s v="FUR-TA-10002774"/>
    <x v="0"/>
    <x v="2"/>
    <s v="Laminate Occasional Tables"/>
    <n v="863"/>
    <n v="7"/>
    <n v="0.2"/>
    <n v="-32"/>
    <x v="2"/>
    <s v="Jul"/>
  </r>
  <r>
    <n v="8169"/>
    <s v="CA-2017-107174"/>
    <x v="200"/>
    <d v="2017-11-13T00:00:00"/>
    <x v="1"/>
    <s v="AB-10060"/>
    <s v="Adam Bellavance"/>
    <x v="2"/>
    <s v="United States"/>
    <x v="15"/>
    <x v="13"/>
    <n v="98105"/>
    <x v="1"/>
    <s v="FUR-TA-10004575"/>
    <x v="0"/>
    <x v="2"/>
    <s v="Hon 5100 Series Wood Tables"/>
    <n v="2037"/>
    <n v="7"/>
    <n v="0"/>
    <n v="367"/>
    <x v="1"/>
    <s v="Nov"/>
  </r>
  <r>
    <n v="8170"/>
    <s v="CA-2017-107174"/>
    <x v="200"/>
    <d v="2017-11-13T00:00:00"/>
    <x v="1"/>
    <s v="AB-10060"/>
    <s v="Adam Bellavance"/>
    <x v="2"/>
    <s v="United States"/>
    <x v="15"/>
    <x v="13"/>
    <n v="98105"/>
    <x v="1"/>
    <s v="FUR-CH-10003312"/>
    <x v="0"/>
    <x v="1"/>
    <s v="Hon 2090 ÒPillow SoftÓ Series Mid Back Swivel/Tilt Chairs"/>
    <n v="450"/>
    <n v="2"/>
    <n v="0.2"/>
    <n v="-73"/>
    <x v="1"/>
    <s v="Nov"/>
  </r>
  <r>
    <n v="8180"/>
    <s v="CA-2015-112767"/>
    <x v="601"/>
    <d v="2015-08-06T00:00:00"/>
    <x v="1"/>
    <s v="DK-12985"/>
    <s v="Darren Koutras"/>
    <x v="0"/>
    <s v="United States"/>
    <x v="76"/>
    <x v="36"/>
    <n v="97477"/>
    <x v="1"/>
    <s v="FUR-TA-10003469"/>
    <x v="0"/>
    <x v="2"/>
    <s v="Balt Split Level Computer Training Table"/>
    <n v="278"/>
    <n v="4"/>
    <n v="0.5"/>
    <n v="-189"/>
    <x v="4"/>
    <s v="Aug"/>
  </r>
  <r>
    <n v="8181"/>
    <s v="CA-2015-119879"/>
    <x v="32"/>
    <d v="2015-11-25T00:00:00"/>
    <x v="1"/>
    <s v="SS-20410"/>
    <s v="Shahid Shariari"/>
    <x v="0"/>
    <s v="United States"/>
    <x v="3"/>
    <x v="3"/>
    <n v="19120"/>
    <x v="2"/>
    <s v="FUR-TA-10002958"/>
    <x v="0"/>
    <x v="2"/>
    <s v="Bevis Oval Conference Table, Walnut"/>
    <n v="1253"/>
    <n v="8"/>
    <n v="0.4"/>
    <n v="-480"/>
    <x v="4"/>
    <s v="Nov"/>
  </r>
  <r>
    <n v="8183"/>
    <s v="CA-2017-155642"/>
    <x v="514"/>
    <d v="2017-05-22T00:00:00"/>
    <x v="1"/>
    <s v="BM-11575"/>
    <s v="Brendan Murry"/>
    <x v="1"/>
    <s v="United States"/>
    <x v="9"/>
    <x v="8"/>
    <n v="60653"/>
    <x v="3"/>
    <s v="FUR-FU-10004973"/>
    <x v="0"/>
    <x v="3"/>
    <s v="Flat Face Poster Frame"/>
    <n v="23"/>
    <n v="3"/>
    <n v="0.6"/>
    <n v="-10"/>
    <x v="4"/>
    <s v="May"/>
  </r>
  <r>
    <n v="8184"/>
    <s v="CA-2017-155642"/>
    <x v="514"/>
    <d v="2017-05-22T00:00:00"/>
    <x v="1"/>
    <s v="BM-11575"/>
    <s v="Brendan Murry"/>
    <x v="1"/>
    <s v="United States"/>
    <x v="9"/>
    <x v="8"/>
    <n v="60653"/>
    <x v="3"/>
    <s v="FUR-FU-10001918"/>
    <x v="0"/>
    <x v="3"/>
    <s v="C-Line Cubicle Keepers Polyproplyene Holder With Velcro Backings"/>
    <n v="2"/>
    <n v="1"/>
    <n v="0.6"/>
    <n v="-1"/>
    <x v="4"/>
    <s v="May"/>
  </r>
  <r>
    <n v="8187"/>
    <s v="CA-2015-136728"/>
    <x v="615"/>
    <d v="2015-09-17T00:00:00"/>
    <x v="0"/>
    <s v="AG-10900"/>
    <s v="Arthur Gainer"/>
    <x v="0"/>
    <s v="United States"/>
    <x v="9"/>
    <x v="8"/>
    <n v="60623"/>
    <x v="3"/>
    <s v="FUR-CH-10003817"/>
    <x v="0"/>
    <x v="1"/>
    <s v="Global Value Steno Chair, Gray"/>
    <n v="170"/>
    <n v="4"/>
    <n v="0.3"/>
    <n v="-12"/>
    <x v="4"/>
    <s v="Sep"/>
  </r>
  <r>
    <n v="8192"/>
    <s v="US-2017-155866"/>
    <x v="429"/>
    <d v="2017-11-21T00:00:00"/>
    <x v="1"/>
    <s v="CC-12370"/>
    <s v="Christopher Conant"/>
    <x v="0"/>
    <s v="United States"/>
    <x v="13"/>
    <x v="7"/>
    <n v="10011"/>
    <x v="2"/>
    <s v="FUR-FU-10004091"/>
    <x v="0"/>
    <x v="3"/>
    <s v="Howard Miller 13&quot; Diameter Goldtone Round Wall Clock"/>
    <n v="188"/>
    <n v="4"/>
    <n v="0"/>
    <n v="77"/>
    <x v="4"/>
    <s v="Nov"/>
  </r>
  <r>
    <n v="8195"/>
    <s v="CA-2015-141327"/>
    <x v="737"/>
    <d v="2015-12-03T00:00:00"/>
    <x v="2"/>
    <s v="LR-16915"/>
    <s v="Lena Radford"/>
    <x v="0"/>
    <s v="United States"/>
    <x v="339"/>
    <x v="30"/>
    <n v="27707"/>
    <x v="0"/>
    <s v="FUR-FU-10000576"/>
    <x v="0"/>
    <x v="3"/>
    <s v="Luxo Professional Fluorescent Magnifier Lamp with Clamp-Mount Base"/>
    <n v="336"/>
    <n v="2"/>
    <n v="0.2"/>
    <n v="25"/>
    <x v="0"/>
    <s v="Nov"/>
  </r>
  <r>
    <n v="8204"/>
    <s v="CA-2015-114811"/>
    <x v="428"/>
    <d v="2015-11-08T00:00:00"/>
    <x v="3"/>
    <s v="KD-16495"/>
    <s v="Keith Dawkins"/>
    <x v="1"/>
    <s v="United States"/>
    <x v="13"/>
    <x v="7"/>
    <n v="10024"/>
    <x v="2"/>
    <s v="FUR-FU-10002240"/>
    <x v="0"/>
    <x v="3"/>
    <s v="Nu-Dell EZ-Mount Plastic Wall Frames"/>
    <n v="12"/>
    <n v="3"/>
    <n v="0"/>
    <n v="5"/>
    <x v="7"/>
    <s v="Nov"/>
  </r>
  <r>
    <n v="8206"/>
    <s v="CA-2015-114811"/>
    <x v="428"/>
    <d v="2015-11-08T00:00:00"/>
    <x v="3"/>
    <s v="KD-16495"/>
    <s v="Keith Dawkins"/>
    <x v="1"/>
    <s v="United States"/>
    <x v="13"/>
    <x v="7"/>
    <n v="10024"/>
    <x v="2"/>
    <s v="FUR-CH-10003746"/>
    <x v="0"/>
    <x v="1"/>
    <s v="Hon 4070 Series Pagoda Round Back Stacking Chairs"/>
    <n v="578"/>
    <n v="2"/>
    <n v="0.1"/>
    <n v="116"/>
    <x v="7"/>
    <s v="Nov"/>
  </r>
  <r>
    <n v="8207"/>
    <s v="CA-2015-122266"/>
    <x v="12"/>
    <d v="2015-04-30T00:00:00"/>
    <x v="1"/>
    <s v="SA-20830"/>
    <s v="Sue Ann Reed"/>
    <x v="0"/>
    <s v="United States"/>
    <x v="340"/>
    <x v="1"/>
    <n v="32114"/>
    <x v="0"/>
    <s v="FUR-TA-10000577"/>
    <x v="0"/>
    <x v="2"/>
    <s v="Bretford CR4500 Series Slim Rectangular Table"/>
    <n v="192"/>
    <n v="1"/>
    <n v="0.45"/>
    <n v="-77"/>
    <x v="4"/>
    <s v="Apr"/>
  </r>
  <r>
    <n v="8212"/>
    <s v="CA-2016-116337"/>
    <x v="267"/>
    <d v="2016-11-12T00:00:00"/>
    <x v="1"/>
    <s v="MC-17845"/>
    <s v="Michael Chen"/>
    <x v="0"/>
    <s v="United States"/>
    <x v="144"/>
    <x v="5"/>
    <n v="75220"/>
    <x v="3"/>
    <s v="FUR-FU-10002030"/>
    <x v="0"/>
    <x v="3"/>
    <s v="Executive Impressions 14&quot; Contract Wall Clock with Quartz Movement"/>
    <n v="44"/>
    <n v="5"/>
    <n v="0.6"/>
    <n v="-18"/>
    <x v="2"/>
    <s v="Nov"/>
  </r>
  <r>
    <n v="8219"/>
    <s v="CA-2014-120775"/>
    <x v="215"/>
    <d v="2014-10-07T00:00:00"/>
    <x v="1"/>
    <s v="RD-19930"/>
    <s v="Russell D'Ascenzo"/>
    <x v="0"/>
    <s v="United States"/>
    <x v="144"/>
    <x v="5"/>
    <n v="75217"/>
    <x v="3"/>
    <s v="FUR-FU-10000758"/>
    <x v="0"/>
    <x v="3"/>
    <s v="DAX Natural Wood-Tone Poster Frame"/>
    <n v="32"/>
    <n v="3"/>
    <n v="0.6"/>
    <n v="-19"/>
    <x v="4"/>
    <s v="Oct"/>
  </r>
  <r>
    <n v="8228"/>
    <s v="CA-2016-123050"/>
    <x v="804"/>
    <d v="2016-04-08T00:00:00"/>
    <x v="0"/>
    <s v="BC-11125"/>
    <s v="Becky Castell"/>
    <x v="2"/>
    <s v="United States"/>
    <x v="8"/>
    <x v="7"/>
    <n v="12180"/>
    <x v="2"/>
    <s v="FUR-FU-10000723"/>
    <x v="0"/>
    <x v="3"/>
    <s v="Deflect-o EconoMat Studded, No Bevel Mat for Low Pile Carpeting"/>
    <n v="83"/>
    <n v="2"/>
    <n v="0"/>
    <n v="7"/>
    <x v="4"/>
    <s v="Apr"/>
  </r>
  <r>
    <n v="8232"/>
    <s v="CA-2016-162355"/>
    <x v="805"/>
    <d v="2016-07-02T00:00:00"/>
    <x v="0"/>
    <s v="PF-19165"/>
    <s v="Philip Fox"/>
    <x v="0"/>
    <s v="United States"/>
    <x v="244"/>
    <x v="24"/>
    <n v="30328"/>
    <x v="0"/>
    <s v="FUR-BO-10004695"/>
    <x v="0"/>
    <x v="0"/>
    <s v="O'Sullivan 2-Door Barrister Bookcase in Odessa Pine"/>
    <n v="1267"/>
    <n v="7"/>
    <n v="0"/>
    <n v="291"/>
    <x v="3"/>
    <s v="Jun"/>
  </r>
  <r>
    <n v="8236"/>
    <s v="CA-2017-102204"/>
    <x v="806"/>
    <d v="2017-05-06T00:00:00"/>
    <x v="1"/>
    <s v="CJ-12010"/>
    <s v="Caroline Jumper"/>
    <x v="0"/>
    <s v="United States"/>
    <x v="51"/>
    <x v="1"/>
    <n v="32216"/>
    <x v="0"/>
    <s v="FUR-TA-10001889"/>
    <x v="0"/>
    <x v="2"/>
    <s v="Bush Advantage Collection Racetrack Conference Table"/>
    <n v="933"/>
    <n v="4"/>
    <n v="0.45"/>
    <n v="-458"/>
    <x v="2"/>
    <s v="May"/>
  </r>
  <r>
    <n v="8237"/>
    <s v="CA-2017-102204"/>
    <x v="806"/>
    <d v="2017-05-06T00:00:00"/>
    <x v="1"/>
    <s v="CJ-12010"/>
    <s v="Caroline Jumper"/>
    <x v="0"/>
    <s v="United States"/>
    <x v="51"/>
    <x v="1"/>
    <n v="32216"/>
    <x v="0"/>
    <s v="FUR-CH-10002024"/>
    <x v="0"/>
    <x v="1"/>
    <s v="HON 5400 Series Task Chairs for Big and Tall"/>
    <n v="2804"/>
    <n v="5"/>
    <n v="0.2"/>
    <n v="0"/>
    <x v="2"/>
    <s v="May"/>
  </r>
  <r>
    <n v="8241"/>
    <s v="CA-2017-103065"/>
    <x v="71"/>
    <d v="2017-10-20T00:00:00"/>
    <x v="3"/>
    <s v="PT-19090"/>
    <s v="Pete Takahito"/>
    <x v="0"/>
    <s v="United States"/>
    <x v="51"/>
    <x v="1"/>
    <n v="32216"/>
    <x v="0"/>
    <s v="FUR-FU-10000175"/>
    <x v="0"/>
    <x v="3"/>
    <s v="DAX Wood Document Frame."/>
    <n v="44"/>
    <n v="4"/>
    <n v="0.2"/>
    <n v="6"/>
    <x v="7"/>
    <s v="Oct"/>
  </r>
  <r>
    <n v="8245"/>
    <s v="CA-2014-109897"/>
    <x v="807"/>
    <d v="2014-08-16T00:00:00"/>
    <x v="1"/>
    <s v="BW-11200"/>
    <s v="Ben Wallace"/>
    <x v="0"/>
    <s v="United States"/>
    <x v="28"/>
    <x v="2"/>
    <n v="94122"/>
    <x v="1"/>
    <s v="FUR-FU-10002878"/>
    <x v="0"/>
    <x v="3"/>
    <s v="Seth Thomas 14&quot; Day/Date Wall Clock"/>
    <n v="85"/>
    <n v="3"/>
    <n v="0"/>
    <n v="32"/>
    <x v="4"/>
    <s v="Aug"/>
  </r>
  <r>
    <n v="8251"/>
    <s v="CA-2015-140221"/>
    <x v="298"/>
    <d v="2015-03-09T00:00:00"/>
    <x v="0"/>
    <s v="MS-17365"/>
    <s v="Maribeth Schnelling"/>
    <x v="0"/>
    <s v="United States"/>
    <x v="9"/>
    <x v="8"/>
    <n v="60653"/>
    <x v="3"/>
    <s v="FUR-FU-10000023"/>
    <x v="0"/>
    <x v="3"/>
    <s v="Eldon Wave Desk Accessories"/>
    <n v="5"/>
    <n v="2"/>
    <n v="0.6"/>
    <n v="-2"/>
    <x v="4"/>
    <s v="Mar"/>
  </r>
  <r>
    <n v="8268"/>
    <s v="CA-2017-121790"/>
    <x v="129"/>
    <d v="2017-02-06T00:00:00"/>
    <x v="1"/>
    <s v="LP-17095"/>
    <s v="Liz Preis"/>
    <x v="0"/>
    <s v="United States"/>
    <x v="14"/>
    <x v="8"/>
    <n v="60505"/>
    <x v="3"/>
    <s v="FUR-TA-10003469"/>
    <x v="0"/>
    <x v="2"/>
    <s v="Balt Split Level Computer Training Table"/>
    <n v="69"/>
    <n v="1"/>
    <n v="0.5"/>
    <n v="-47"/>
    <x v="1"/>
    <s v="Jan"/>
  </r>
  <r>
    <n v="8272"/>
    <s v="CA-2016-169670"/>
    <x v="683"/>
    <d v="2016-12-31T00:00:00"/>
    <x v="1"/>
    <s v="JE-15715"/>
    <s v="Joe Elijah"/>
    <x v="0"/>
    <s v="United States"/>
    <x v="13"/>
    <x v="7"/>
    <n v="10009"/>
    <x v="2"/>
    <s v="FUR-CH-10002331"/>
    <x v="0"/>
    <x v="1"/>
    <s v="Hon 4700 Series Mobuis Mid-Back Task Chairs with Adjustable Arms"/>
    <n v="2563"/>
    <n v="8"/>
    <n v="0.1"/>
    <n v="313"/>
    <x v="6"/>
    <s v="Dec"/>
  </r>
  <r>
    <n v="8273"/>
    <s v="CA-2016-139549"/>
    <x v="697"/>
    <d v="2016-10-25T00:00:00"/>
    <x v="1"/>
    <s v="MY-18295"/>
    <s v="Muhammed Yedwab"/>
    <x v="1"/>
    <s v="United States"/>
    <x v="311"/>
    <x v="2"/>
    <n v="92020"/>
    <x v="1"/>
    <s v="FUR-CH-10001802"/>
    <x v="0"/>
    <x v="1"/>
    <s v="Hon Every-Day Chair Series Swivel Task Chairs"/>
    <n v="387"/>
    <n v="4"/>
    <n v="0.2"/>
    <n v="5"/>
    <x v="2"/>
    <s v="Oct"/>
  </r>
  <r>
    <n v="8282"/>
    <s v="CA-2017-134810"/>
    <x v="808"/>
    <d v="2017-05-10T00:00:00"/>
    <x v="2"/>
    <s v="MC-17605"/>
    <s v="Matt Connell"/>
    <x v="1"/>
    <s v="United States"/>
    <x v="51"/>
    <x v="30"/>
    <n v="28540"/>
    <x v="0"/>
    <s v="FUR-CH-10001270"/>
    <x v="0"/>
    <x v="1"/>
    <s v="Harbour Creations Steel Folding Chair"/>
    <n v="207"/>
    <n v="3"/>
    <n v="0.2"/>
    <n v="26"/>
    <x v="5"/>
    <s v="May"/>
  </r>
  <r>
    <n v="8286"/>
    <s v="CA-2015-154284"/>
    <x v="170"/>
    <d v="2015-12-26T00:00:00"/>
    <x v="0"/>
    <s v="SZ-20035"/>
    <s v="Sam Zeldin"/>
    <x v="2"/>
    <s v="United States"/>
    <x v="317"/>
    <x v="8"/>
    <n v="60174"/>
    <x v="3"/>
    <s v="FUR-FU-10003039"/>
    <x v="0"/>
    <x v="3"/>
    <s v="Howard Miller 11-1/2&quot; Diameter Grantwood Wall Clock"/>
    <n v="52"/>
    <n v="3"/>
    <n v="0.6"/>
    <n v="-34"/>
    <x v="2"/>
    <s v="Dec"/>
  </r>
  <r>
    <n v="8298"/>
    <s v="US-2015-158911"/>
    <x v="379"/>
    <d v="2015-07-11T00:00:00"/>
    <x v="1"/>
    <s v="RS-19765"/>
    <s v="Roland Schwarz"/>
    <x v="1"/>
    <s v="United States"/>
    <x v="127"/>
    <x v="30"/>
    <n v="28205"/>
    <x v="0"/>
    <s v="FUR-FU-10003829"/>
    <x v="0"/>
    <x v="3"/>
    <s v="Stackable Trays"/>
    <n v="5"/>
    <n v="2"/>
    <n v="0.2"/>
    <n v="1"/>
    <x v="6"/>
    <s v="Jul"/>
  </r>
  <r>
    <n v="8303"/>
    <s v="US-2017-167318"/>
    <x v="809"/>
    <d v="2017-08-01T00:00:00"/>
    <x v="1"/>
    <s v="GZ-14545"/>
    <s v="George Zrebassa"/>
    <x v="1"/>
    <s v="United States"/>
    <x v="2"/>
    <x v="2"/>
    <n v="90036"/>
    <x v="1"/>
    <s v="FUR-CH-10000665"/>
    <x v="0"/>
    <x v="1"/>
    <s v="Global Airflow Leather Mesh Back Chair, Black"/>
    <n v="362"/>
    <n v="3"/>
    <n v="0.2"/>
    <n v="45"/>
    <x v="6"/>
    <s v="Jul"/>
  </r>
  <r>
    <n v="8305"/>
    <s v="CA-2017-135419"/>
    <x v="54"/>
    <d v="2017-11-09T00:00:00"/>
    <x v="1"/>
    <s v="BG-11740"/>
    <s v="Bruce Geld"/>
    <x v="0"/>
    <s v="United States"/>
    <x v="175"/>
    <x v="2"/>
    <n v="93309"/>
    <x v="1"/>
    <s v="FUR-TA-10001086"/>
    <x v="0"/>
    <x v="2"/>
    <s v="SAFCO PlanMaster Boards, 60w x 37-1/2d, White Melamine"/>
    <n v="486"/>
    <n v="4"/>
    <n v="0.2"/>
    <n v="36"/>
    <x v="6"/>
    <s v="Nov"/>
  </r>
  <r>
    <n v="8311"/>
    <s v="CA-2014-168312"/>
    <x v="29"/>
    <d v="2014-03-07T00:00:00"/>
    <x v="1"/>
    <s v="GW-14605"/>
    <s v="Giulietta Weimer"/>
    <x v="0"/>
    <s v="United States"/>
    <x v="6"/>
    <x v="5"/>
    <n v="77036"/>
    <x v="3"/>
    <s v="FUR-TA-10001866"/>
    <x v="0"/>
    <x v="2"/>
    <s v="Bevis Round Conference Room Tables and Bases"/>
    <n v="377"/>
    <n v="3"/>
    <n v="0.3"/>
    <n v="-43"/>
    <x v="6"/>
    <s v="Mar"/>
  </r>
  <r>
    <n v="8312"/>
    <s v="US-2017-105935"/>
    <x v="810"/>
    <d v="2017-01-31T00:00:00"/>
    <x v="1"/>
    <s v="BD-11500"/>
    <s v="Bradley Drucker"/>
    <x v="0"/>
    <s v="United States"/>
    <x v="29"/>
    <x v="24"/>
    <n v="31907"/>
    <x v="0"/>
    <s v="FUR-FU-10002157"/>
    <x v="0"/>
    <x v="3"/>
    <s v="Artistic Insta-Plaque"/>
    <n v="63"/>
    <n v="4"/>
    <n v="0"/>
    <n v="24"/>
    <x v="2"/>
    <s v="Jan"/>
  </r>
  <r>
    <n v="8314"/>
    <s v="CA-2014-161508"/>
    <x v="56"/>
    <d v="2014-07-16T00:00:00"/>
    <x v="1"/>
    <s v="PV-18985"/>
    <s v="Paul Van Hugh"/>
    <x v="2"/>
    <s v="United States"/>
    <x v="256"/>
    <x v="5"/>
    <n v="77573"/>
    <x v="3"/>
    <s v="FUR-CH-10002126"/>
    <x v="0"/>
    <x v="1"/>
    <s v="Hon Deluxe Fabric Upholstered Stacking Chairs"/>
    <n v="512"/>
    <n v="3"/>
    <n v="0.3"/>
    <n v="-15"/>
    <x v="4"/>
    <s v="Jul"/>
  </r>
  <r>
    <n v="8333"/>
    <s v="CA-2016-153269"/>
    <x v="811"/>
    <d v="2016-03-12T00:00:00"/>
    <x v="2"/>
    <s v="PS-18760"/>
    <s v="Pamela Stobb"/>
    <x v="0"/>
    <s v="United States"/>
    <x v="341"/>
    <x v="20"/>
    <n v="1810"/>
    <x v="2"/>
    <s v="FUR-CH-10002647"/>
    <x v="0"/>
    <x v="1"/>
    <s v="Situations Contoured Folding Chairs, 4/Set"/>
    <n v="355"/>
    <n v="5"/>
    <n v="0"/>
    <n v="89"/>
    <x v="0"/>
    <s v="Mar"/>
  </r>
  <r>
    <n v="8340"/>
    <s v="CA-2017-135076"/>
    <x v="812"/>
    <d v="2017-04-17T00:00:00"/>
    <x v="1"/>
    <s v="YS-21880"/>
    <s v="Yana Sorensen"/>
    <x v="1"/>
    <s v="United States"/>
    <x v="170"/>
    <x v="2"/>
    <n v="92345"/>
    <x v="1"/>
    <s v="FUR-CH-10003774"/>
    <x v="0"/>
    <x v="1"/>
    <s v="Global Wood Trimmed Manager's Task Chair, Khaki"/>
    <n v="437"/>
    <n v="6"/>
    <n v="0.2"/>
    <n v="-38"/>
    <x v="4"/>
    <s v="Apr"/>
  </r>
  <r>
    <n v="8345"/>
    <s v="US-2014-155544"/>
    <x v="813"/>
    <d v="2014-03-25T00:00:00"/>
    <x v="1"/>
    <s v="GM-14440"/>
    <s v="Gary McGarr"/>
    <x v="0"/>
    <s v="United States"/>
    <x v="270"/>
    <x v="9"/>
    <n v="37918"/>
    <x v="0"/>
    <s v="FUR-FU-10001473"/>
    <x v="0"/>
    <x v="3"/>
    <s v="DAX Wood Document Frame"/>
    <n v="33"/>
    <n v="3"/>
    <n v="0.2"/>
    <n v="7"/>
    <x v="4"/>
    <s v="Mar"/>
  </r>
  <r>
    <n v="8346"/>
    <s v="US-2014-155544"/>
    <x v="813"/>
    <d v="2014-03-25T00:00:00"/>
    <x v="1"/>
    <s v="GM-14440"/>
    <s v="Gary McGarr"/>
    <x v="0"/>
    <s v="United States"/>
    <x v="270"/>
    <x v="9"/>
    <n v="37918"/>
    <x v="0"/>
    <s v="FUR-CH-10000422"/>
    <x v="0"/>
    <x v="1"/>
    <s v="Global Highback Leather Tilter in Burgundy"/>
    <n v="218"/>
    <n v="3"/>
    <n v="0.2"/>
    <n v="-11"/>
    <x v="4"/>
    <s v="Mar"/>
  </r>
  <r>
    <n v="8347"/>
    <s v="US-2015-115238"/>
    <x v="11"/>
    <d v="2015-05-04T00:00:00"/>
    <x v="1"/>
    <s v="JW-15220"/>
    <s v="Jane Waco"/>
    <x v="1"/>
    <s v="United States"/>
    <x v="37"/>
    <x v="20"/>
    <n v="1841"/>
    <x v="2"/>
    <s v="FUR-FU-10002960"/>
    <x v="0"/>
    <x v="3"/>
    <s v="Eldon 200 Class Desk Accessories, Burgundy"/>
    <n v="31"/>
    <n v="5"/>
    <n v="0"/>
    <n v="13"/>
    <x v="4"/>
    <s v="Apr"/>
  </r>
  <r>
    <n v="8348"/>
    <s v="US-2015-115238"/>
    <x v="11"/>
    <d v="2015-05-04T00:00:00"/>
    <x v="1"/>
    <s v="JW-15220"/>
    <s v="Jane Waco"/>
    <x v="1"/>
    <s v="United States"/>
    <x v="37"/>
    <x v="20"/>
    <n v="1841"/>
    <x v="2"/>
    <s v="FUR-FU-10002445"/>
    <x v="0"/>
    <x v="3"/>
    <s v="DAX Two-Tone Rosewood/Black Document Frame, Desktop, 5 x 7"/>
    <n v="9"/>
    <n v="1"/>
    <n v="0"/>
    <n v="4"/>
    <x v="4"/>
    <s v="Apr"/>
  </r>
  <r>
    <n v="8350"/>
    <s v="US-2015-115238"/>
    <x v="11"/>
    <d v="2015-05-04T00:00:00"/>
    <x v="1"/>
    <s v="JW-15220"/>
    <s v="Jane Waco"/>
    <x v="1"/>
    <s v="United States"/>
    <x v="37"/>
    <x v="20"/>
    <n v="1841"/>
    <x v="2"/>
    <s v="FUR-FU-10001025"/>
    <x v="0"/>
    <x v="3"/>
    <s v="Eldon Imˆge Series Desk Accessories, Clear"/>
    <n v="24"/>
    <n v="5"/>
    <n v="0"/>
    <n v="10"/>
    <x v="4"/>
    <s v="Apr"/>
  </r>
  <r>
    <n v="8352"/>
    <s v="CA-2017-132199"/>
    <x v="814"/>
    <d v="2017-05-08T00:00:00"/>
    <x v="1"/>
    <s v="BO-11350"/>
    <s v="Bill Overfelt"/>
    <x v="1"/>
    <s v="United States"/>
    <x v="3"/>
    <x v="3"/>
    <n v="19134"/>
    <x v="2"/>
    <s v="FUR-FU-10004245"/>
    <x v="0"/>
    <x v="3"/>
    <s v="Career Cubicle Clock, 8 1/4&quot;, Black"/>
    <n v="32"/>
    <n v="2"/>
    <n v="0.2"/>
    <n v="7"/>
    <x v="2"/>
    <s v="May"/>
  </r>
  <r>
    <n v="8354"/>
    <s v="CA-2017-132199"/>
    <x v="814"/>
    <d v="2017-05-08T00:00:00"/>
    <x v="1"/>
    <s v="BO-11350"/>
    <s v="Bill Overfelt"/>
    <x v="1"/>
    <s v="United States"/>
    <x v="3"/>
    <x v="3"/>
    <n v="19134"/>
    <x v="2"/>
    <s v="FUR-TA-10003748"/>
    <x v="0"/>
    <x v="2"/>
    <s v="Bevis 36 x 72 Conference Tables"/>
    <n v="373"/>
    <n v="5"/>
    <n v="0.4"/>
    <n v="-112"/>
    <x v="2"/>
    <s v="May"/>
  </r>
  <r>
    <n v="8357"/>
    <s v="CA-2016-163174"/>
    <x v="238"/>
    <d v="2016-08-30T00:00:00"/>
    <x v="1"/>
    <s v="XP-21865"/>
    <s v="Xylona Preis"/>
    <x v="0"/>
    <s v="United States"/>
    <x v="342"/>
    <x v="24"/>
    <n v="30605"/>
    <x v="0"/>
    <s v="FUR-FU-10000308"/>
    <x v="0"/>
    <x v="3"/>
    <s v="Deflect-o Glass Clear Studded Chair Mats"/>
    <n v="187"/>
    <n v="3"/>
    <n v="0"/>
    <n v="41"/>
    <x v="4"/>
    <s v="Aug"/>
  </r>
  <r>
    <n v="8363"/>
    <s v="CA-2017-147207"/>
    <x v="815"/>
    <d v="2017-01-04T00:00:00"/>
    <x v="0"/>
    <s v="TS-21655"/>
    <s v="Trudy Schmidt"/>
    <x v="0"/>
    <s v="United States"/>
    <x v="116"/>
    <x v="5"/>
    <n v="79907"/>
    <x v="3"/>
    <s v="FUR-TA-10002958"/>
    <x v="0"/>
    <x v="2"/>
    <s v="Bevis Oval Conference Table, Walnut"/>
    <n v="913"/>
    <n v="5"/>
    <n v="0.3"/>
    <n v="-170"/>
    <x v="3"/>
    <s v="Jan"/>
  </r>
  <r>
    <n v="8370"/>
    <s v="CA-2016-118745"/>
    <x v="354"/>
    <d v="2016-06-16T00:00:00"/>
    <x v="1"/>
    <s v="SV-20365"/>
    <s v="Seth Vernon"/>
    <x v="0"/>
    <s v="United States"/>
    <x v="2"/>
    <x v="2"/>
    <n v="90049"/>
    <x v="1"/>
    <s v="FUR-TA-10003473"/>
    <x v="0"/>
    <x v="2"/>
    <s v="Bretford Rectangular Conference Table Tops"/>
    <n v="903"/>
    <n v="3"/>
    <n v="0.2"/>
    <n v="34"/>
    <x v="2"/>
    <s v="Jun"/>
  </r>
  <r>
    <n v="8371"/>
    <s v="CA-2016-163972"/>
    <x v="816"/>
    <d v="2016-10-21T00:00:00"/>
    <x v="1"/>
    <s v="MG-17890"/>
    <s v="Michael Granlund"/>
    <x v="2"/>
    <s v="United States"/>
    <x v="99"/>
    <x v="2"/>
    <n v="93727"/>
    <x v="1"/>
    <s v="FUR-BO-10003894"/>
    <x v="0"/>
    <x v="0"/>
    <s v="Safco Value Mate Steel Bookcase, Baked Enamel Finish on Steel, Black"/>
    <n v="121"/>
    <n v="2"/>
    <n v="0.15"/>
    <n v="21"/>
    <x v="4"/>
    <s v="Oct"/>
  </r>
  <r>
    <n v="8373"/>
    <s v="CA-2016-113726"/>
    <x v="243"/>
    <d v="2016-12-01T00:00:00"/>
    <x v="1"/>
    <s v="SC-20680"/>
    <s v="Steve Carroll"/>
    <x v="2"/>
    <s v="United States"/>
    <x v="15"/>
    <x v="13"/>
    <n v="98105"/>
    <x v="1"/>
    <s v="FUR-FU-10003535"/>
    <x v="0"/>
    <x v="3"/>
    <s v="Howard Miller Distant Time Traveler Alarm Clock"/>
    <n v="82"/>
    <n v="3"/>
    <n v="0"/>
    <n v="34"/>
    <x v="1"/>
    <s v="Nov"/>
  </r>
  <r>
    <n v="8383"/>
    <s v="CA-2016-163048"/>
    <x v="817"/>
    <d v="2016-02-15T00:00:00"/>
    <x v="1"/>
    <s v="MH-17440"/>
    <s v="Mark Haberlin"/>
    <x v="1"/>
    <s v="United States"/>
    <x v="6"/>
    <x v="5"/>
    <n v="77036"/>
    <x v="3"/>
    <s v="FUR-CH-10001270"/>
    <x v="0"/>
    <x v="1"/>
    <s v="Harbour Creations Steel Folding Chair"/>
    <n v="242"/>
    <n v="4"/>
    <n v="0.3"/>
    <n v="0"/>
    <x v="1"/>
    <s v="Feb"/>
  </r>
  <r>
    <n v="8392"/>
    <s v="CA-2017-110625"/>
    <x v="340"/>
    <d v="2017-12-30T00:00:00"/>
    <x v="1"/>
    <s v="JB-16045"/>
    <s v="Julia Barnett"/>
    <x v="2"/>
    <s v="United States"/>
    <x v="343"/>
    <x v="19"/>
    <n v="6810"/>
    <x v="2"/>
    <s v="FUR-FU-10001473"/>
    <x v="0"/>
    <x v="3"/>
    <s v="DAX Wood Document Frame"/>
    <n v="27"/>
    <n v="2"/>
    <n v="0"/>
    <n v="10"/>
    <x v="1"/>
    <s v="Dec"/>
  </r>
  <r>
    <n v="8394"/>
    <s v="CA-2016-142594"/>
    <x v="193"/>
    <d v="2016-12-06T00:00:00"/>
    <x v="0"/>
    <s v="EJ-14155"/>
    <s v="Eva Jacobs"/>
    <x v="0"/>
    <s v="United States"/>
    <x v="20"/>
    <x v="20"/>
    <n v="2038"/>
    <x v="2"/>
    <s v="FUR-FU-10002045"/>
    <x v="0"/>
    <x v="3"/>
    <s v="Executive Impressions 14&quot;"/>
    <n v="111"/>
    <n v="5"/>
    <n v="0"/>
    <n v="49"/>
    <x v="2"/>
    <s v="Dec"/>
  </r>
  <r>
    <n v="8396"/>
    <s v="CA-2016-142594"/>
    <x v="193"/>
    <d v="2016-12-06T00:00:00"/>
    <x v="0"/>
    <s v="EJ-14155"/>
    <s v="Eva Jacobs"/>
    <x v="0"/>
    <s v="United States"/>
    <x v="20"/>
    <x v="20"/>
    <n v="2038"/>
    <x v="2"/>
    <s v="FUR-TA-10001095"/>
    <x v="0"/>
    <x v="2"/>
    <s v="Chromcraft Round Conference Tables"/>
    <n v="366"/>
    <n v="3"/>
    <n v="0.3"/>
    <n v="-47"/>
    <x v="2"/>
    <s v="Dec"/>
  </r>
  <r>
    <n v="8399"/>
    <s v="CA-2017-120061"/>
    <x v="575"/>
    <d v="2017-11-07T00:00:00"/>
    <x v="0"/>
    <s v="SR-20425"/>
    <s v="Sharelle Roach"/>
    <x v="2"/>
    <s v="United States"/>
    <x v="76"/>
    <x v="15"/>
    <n v="45503"/>
    <x v="2"/>
    <s v="FUR-CH-10001973"/>
    <x v="0"/>
    <x v="1"/>
    <s v="Office Star Flex Back Scooter Chair with White Frame"/>
    <n v="155"/>
    <n v="2"/>
    <n v="0.3"/>
    <n v="-36"/>
    <x v="2"/>
    <s v="Nov"/>
  </r>
  <r>
    <n v="8402"/>
    <s v="CA-2015-110814"/>
    <x v="482"/>
    <d v="2015-12-09T00:00:00"/>
    <x v="0"/>
    <s v="BD-11635"/>
    <s v="Brian Derr"/>
    <x v="0"/>
    <s v="United States"/>
    <x v="13"/>
    <x v="7"/>
    <n v="10009"/>
    <x v="2"/>
    <s v="FUR-CH-10003535"/>
    <x v="0"/>
    <x v="1"/>
    <s v="Global Armless Task Chair, Royal Blue"/>
    <n v="165"/>
    <n v="3"/>
    <n v="0.1"/>
    <n v="13"/>
    <x v="4"/>
    <s v="Dec"/>
  </r>
  <r>
    <n v="8405"/>
    <s v="CA-2017-140480"/>
    <x v="220"/>
    <d v="2017-07-12T00:00:00"/>
    <x v="1"/>
    <s v="HE-14800"/>
    <s v="Harold Engle"/>
    <x v="1"/>
    <s v="United States"/>
    <x v="19"/>
    <x v="14"/>
    <n v="19711"/>
    <x v="2"/>
    <s v="FUR-FU-10003247"/>
    <x v="0"/>
    <x v="3"/>
    <s v="36X48 HARDFLOOR CHAIRMAT"/>
    <n v="84"/>
    <n v="4"/>
    <n v="0"/>
    <n v="6"/>
    <x v="4"/>
    <s v="Jul"/>
  </r>
  <r>
    <n v="8407"/>
    <s v="CA-2017-140480"/>
    <x v="220"/>
    <d v="2017-07-12T00:00:00"/>
    <x v="1"/>
    <s v="HE-14800"/>
    <s v="Harold Engle"/>
    <x v="1"/>
    <s v="United States"/>
    <x v="19"/>
    <x v="14"/>
    <n v="19711"/>
    <x v="2"/>
    <s v="FUR-FU-10001057"/>
    <x v="0"/>
    <x v="3"/>
    <s v="Tensor Track Tree Floor Lamp"/>
    <n v="40"/>
    <n v="2"/>
    <n v="0"/>
    <n v="9"/>
    <x v="4"/>
    <s v="Jul"/>
  </r>
  <r>
    <n v="8411"/>
    <s v="CA-2016-130820"/>
    <x v="818"/>
    <d v="2016-11-15T00:00:00"/>
    <x v="3"/>
    <s v="ON-18715"/>
    <s v="Odella Nelson"/>
    <x v="1"/>
    <s v="United States"/>
    <x v="259"/>
    <x v="30"/>
    <n v="27217"/>
    <x v="0"/>
    <s v="FUR-TA-10001768"/>
    <x v="0"/>
    <x v="2"/>
    <s v="Hon Racetrack Conference Tables"/>
    <n v="630"/>
    <n v="4"/>
    <n v="0.4"/>
    <n v="-200"/>
    <x v="7"/>
    <s v="Nov"/>
  </r>
  <r>
    <n v="8413"/>
    <s v="CA-2017-132290"/>
    <x v="203"/>
    <d v="2017-03-14T00:00:00"/>
    <x v="1"/>
    <s v="MD-17350"/>
    <s v="Maribeth Dona"/>
    <x v="0"/>
    <s v="United States"/>
    <x v="144"/>
    <x v="5"/>
    <n v="75217"/>
    <x v="3"/>
    <s v="FUR-TA-10002228"/>
    <x v="0"/>
    <x v="2"/>
    <s v="Bevis Traditional Conference Table Top, Plinth Base"/>
    <n v="933"/>
    <n v="4"/>
    <n v="0.3"/>
    <n v="-173"/>
    <x v="4"/>
    <s v="Mar"/>
  </r>
  <r>
    <n v="8419"/>
    <s v="CA-2017-118199"/>
    <x v="808"/>
    <d v="2017-05-11T00:00:00"/>
    <x v="2"/>
    <s v="LB-16795"/>
    <s v="Laurel Beltran"/>
    <x v="2"/>
    <s v="United States"/>
    <x v="15"/>
    <x v="13"/>
    <n v="98105"/>
    <x v="1"/>
    <s v="FUR-TA-10004154"/>
    <x v="0"/>
    <x v="2"/>
    <s v="Riverside Furniture Oval Coffee Table, Oval End Table, End Table with Drawer"/>
    <n v="287"/>
    <n v="1"/>
    <n v="0"/>
    <n v="63"/>
    <x v="3"/>
    <s v="May"/>
  </r>
  <r>
    <n v="8424"/>
    <s v="CA-2017-150091"/>
    <x v="176"/>
    <d v="2017-10-16T00:00:00"/>
    <x v="1"/>
    <s v="NP-18670"/>
    <s v="Nora Paige"/>
    <x v="0"/>
    <s v="United States"/>
    <x v="174"/>
    <x v="18"/>
    <n v="8701"/>
    <x v="2"/>
    <s v="FUR-FU-10004053"/>
    <x v="0"/>
    <x v="3"/>
    <s v="DAX Two-Tone Silver Metal Document Frame"/>
    <n v="40"/>
    <n v="2"/>
    <n v="0"/>
    <n v="17"/>
    <x v="4"/>
    <s v="Oct"/>
  </r>
  <r>
    <n v="8425"/>
    <s v="CA-2017-150091"/>
    <x v="176"/>
    <d v="2017-10-16T00:00:00"/>
    <x v="1"/>
    <s v="NP-18670"/>
    <s v="Nora Paige"/>
    <x v="0"/>
    <s v="United States"/>
    <x v="174"/>
    <x v="18"/>
    <n v="8701"/>
    <x v="2"/>
    <s v="FUR-BO-10003404"/>
    <x v="0"/>
    <x v="0"/>
    <s v="Global Adaptabilites Bookcase, Cherry/Storm Gray Finish"/>
    <n v="2155"/>
    <n v="5"/>
    <n v="0"/>
    <n v="129"/>
    <x v="4"/>
    <s v="Oct"/>
  </r>
  <r>
    <n v="8430"/>
    <s v="CA-2016-118129"/>
    <x v="645"/>
    <d v="2016-12-21T00:00:00"/>
    <x v="0"/>
    <s v="CL-12565"/>
    <s v="Clay Ludtke"/>
    <x v="0"/>
    <s v="United States"/>
    <x v="288"/>
    <x v="3"/>
    <n v="19601"/>
    <x v="2"/>
    <s v="FUR-FU-10004904"/>
    <x v="0"/>
    <x v="3"/>
    <s v="Eldon &quot;L&quot; Workstation Diamond Chairmat"/>
    <n v="304"/>
    <n v="5"/>
    <n v="0.2"/>
    <n v="-30"/>
    <x v="3"/>
    <s v="Dec"/>
  </r>
  <r>
    <n v="8432"/>
    <s v="CA-2017-155621"/>
    <x v="819"/>
    <d v="2017-11-13T00:00:00"/>
    <x v="1"/>
    <s v="KN-16450"/>
    <s v="Kean Nguyen"/>
    <x v="1"/>
    <s v="United States"/>
    <x v="237"/>
    <x v="32"/>
    <n v="21215"/>
    <x v="2"/>
    <s v="FUR-FU-10003535"/>
    <x v="0"/>
    <x v="3"/>
    <s v="Howard Miller Distant Time Traveler Alarm Clock"/>
    <n v="274"/>
    <n v="10"/>
    <n v="0"/>
    <n v="112"/>
    <x v="2"/>
    <s v="Nov"/>
  </r>
  <r>
    <n v="8435"/>
    <s v="US-2014-127635"/>
    <x v="94"/>
    <d v="2014-09-18T00:00:00"/>
    <x v="0"/>
    <s v="SC-20260"/>
    <s v="Scott Cohen"/>
    <x v="1"/>
    <s v="United States"/>
    <x v="177"/>
    <x v="5"/>
    <n v="78415"/>
    <x v="3"/>
    <s v="FUR-FU-10000550"/>
    <x v="0"/>
    <x v="3"/>
    <s v="Stacking Trays by OIC"/>
    <n v="10"/>
    <n v="5"/>
    <n v="0.6"/>
    <n v="-7"/>
    <x v="4"/>
    <s v="Sep"/>
  </r>
  <r>
    <n v="8446"/>
    <s v="CA-2017-125451"/>
    <x v="409"/>
    <d v="2017-10-24T00:00:00"/>
    <x v="2"/>
    <s v="AH-10075"/>
    <s v="Adam Hart"/>
    <x v="1"/>
    <s v="United States"/>
    <x v="236"/>
    <x v="38"/>
    <n v="2920"/>
    <x v="2"/>
    <s v="FUR-TA-10001039"/>
    <x v="0"/>
    <x v="2"/>
    <s v="KI Adjustable-Height Table"/>
    <n v="241"/>
    <n v="4"/>
    <n v="0.3"/>
    <n v="-14"/>
    <x v="5"/>
    <s v="Oct"/>
  </r>
  <r>
    <n v="8447"/>
    <s v="CA-2017-125451"/>
    <x v="409"/>
    <d v="2017-10-24T00:00:00"/>
    <x v="2"/>
    <s v="AH-10075"/>
    <s v="Adam Hart"/>
    <x v="1"/>
    <s v="United States"/>
    <x v="236"/>
    <x v="38"/>
    <n v="2920"/>
    <x v="2"/>
    <s v="FUR-FU-10004963"/>
    <x v="0"/>
    <x v="3"/>
    <s v="Eldon 400 Class Desk Accessories, Black Carbon"/>
    <n v="35"/>
    <n v="4"/>
    <n v="0"/>
    <n v="15"/>
    <x v="5"/>
    <s v="Oct"/>
  </r>
  <r>
    <n v="8448"/>
    <s v="CA-2017-125451"/>
    <x v="409"/>
    <d v="2017-10-24T00:00:00"/>
    <x v="2"/>
    <s v="AH-10075"/>
    <s v="Adam Hart"/>
    <x v="1"/>
    <s v="United States"/>
    <x v="236"/>
    <x v="38"/>
    <n v="2920"/>
    <x v="2"/>
    <s v="FUR-FU-10000277"/>
    <x v="0"/>
    <x v="3"/>
    <s v="Deflect-o DuraMat Antistatic Studded Beveled Mat for Medium Pile Carpeting"/>
    <n v="211"/>
    <n v="2"/>
    <n v="0"/>
    <n v="51"/>
    <x v="5"/>
    <s v="Oct"/>
  </r>
  <r>
    <n v="8449"/>
    <s v="CA-2017-125451"/>
    <x v="409"/>
    <d v="2017-10-24T00:00:00"/>
    <x v="2"/>
    <s v="AH-10075"/>
    <s v="Adam Hart"/>
    <x v="1"/>
    <s v="United States"/>
    <x v="236"/>
    <x v="38"/>
    <n v="2920"/>
    <x v="2"/>
    <s v="FUR-TA-10004915"/>
    <x v="0"/>
    <x v="2"/>
    <s v="Office Impressions End Table, 20-1/2&quot;H x 24&quot;W x 20&quot;D"/>
    <n v="638"/>
    <n v="3"/>
    <n v="0.3"/>
    <n v="-128"/>
    <x v="5"/>
    <s v="Oct"/>
  </r>
  <r>
    <n v="8453"/>
    <s v="CA-2016-125087"/>
    <x v="820"/>
    <d v="2016-04-23T00:00:00"/>
    <x v="1"/>
    <s v="TH-21115"/>
    <s v="Thea Hudgings"/>
    <x v="1"/>
    <s v="United States"/>
    <x v="6"/>
    <x v="5"/>
    <n v="77070"/>
    <x v="3"/>
    <s v="FUR-CH-10002880"/>
    <x v="0"/>
    <x v="1"/>
    <s v="Global High-Back Leather Tilter, Burgundy"/>
    <n v="344"/>
    <n v="4"/>
    <n v="0.3"/>
    <n v="-93"/>
    <x v="2"/>
    <s v="Apr"/>
  </r>
  <r>
    <n v="8455"/>
    <s v="CA-2016-125087"/>
    <x v="820"/>
    <d v="2016-04-23T00:00:00"/>
    <x v="1"/>
    <s v="TH-21115"/>
    <s v="Thea Hudgings"/>
    <x v="1"/>
    <s v="United States"/>
    <x v="6"/>
    <x v="5"/>
    <n v="77070"/>
    <x v="3"/>
    <s v="FUR-FU-10004748"/>
    <x v="0"/>
    <x v="3"/>
    <s v="Howard Miller 16&quot; Diameter Gallery Wall Clock"/>
    <n v="128"/>
    <n v="5"/>
    <n v="0.6"/>
    <n v="-67"/>
    <x v="2"/>
    <s v="Apr"/>
  </r>
  <r>
    <n v="8457"/>
    <s v="US-2017-118556"/>
    <x v="15"/>
    <d v="2017-06-02T00:00:00"/>
    <x v="0"/>
    <s v="TH-21235"/>
    <s v="Tiffany House"/>
    <x v="1"/>
    <s v="United States"/>
    <x v="9"/>
    <x v="8"/>
    <n v="60653"/>
    <x v="3"/>
    <s v="FUR-CH-10001146"/>
    <x v="0"/>
    <x v="1"/>
    <s v="Global Task Chair, Black"/>
    <n v="107"/>
    <n v="3"/>
    <n v="0.3"/>
    <n v="-29"/>
    <x v="2"/>
    <s v="May"/>
  </r>
  <r>
    <n v="8469"/>
    <s v="US-2016-164196"/>
    <x v="367"/>
    <d v="2016-11-17T00:00:00"/>
    <x v="1"/>
    <s v="AS-10285"/>
    <s v="Alejandro Savely"/>
    <x v="1"/>
    <s v="United States"/>
    <x v="344"/>
    <x v="6"/>
    <n v="46060"/>
    <x v="3"/>
    <s v="FUR-TA-10001950"/>
    <x v="0"/>
    <x v="2"/>
    <s v="Balt Solid Wood Round Tables"/>
    <n v="2679"/>
    <n v="6"/>
    <n v="0"/>
    <n v="241"/>
    <x v="6"/>
    <s v="Nov"/>
  </r>
  <r>
    <n v="8470"/>
    <s v="US-2017-132031"/>
    <x v="748"/>
    <d v="2017-04-27T00:00:00"/>
    <x v="1"/>
    <s v="PN-18775"/>
    <s v="Parhena Norris"/>
    <x v="2"/>
    <s v="United States"/>
    <x v="345"/>
    <x v="9"/>
    <n v="37042"/>
    <x v="0"/>
    <s v="FUR-BO-10001972"/>
    <x v="0"/>
    <x v="0"/>
    <s v="O'Sullivan 4-Shelf Bookcase in Odessa Pine"/>
    <n v="387"/>
    <n v="4"/>
    <n v="0.2"/>
    <n v="-15"/>
    <x v="4"/>
    <s v="Apr"/>
  </r>
  <r>
    <n v="8472"/>
    <s v="US-2017-132031"/>
    <x v="748"/>
    <d v="2017-04-27T00:00:00"/>
    <x v="1"/>
    <s v="PN-18775"/>
    <s v="Parhena Norris"/>
    <x v="2"/>
    <s v="United States"/>
    <x v="345"/>
    <x v="9"/>
    <n v="37042"/>
    <x v="0"/>
    <s v="FUR-FU-10000193"/>
    <x v="0"/>
    <x v="3"/>
    <s v="Tenex Chairmats For Use with Hard Floors"/>
    <n v="78"/>
    <n v="3"/>
    <n v="0.2"/>
    <n v="-12"/>
    <x v="4"/>
    <s v="Apr"/>
  </r>
  <r>
    <n v="8485"/>
    <s v="CA-2017-142391"/>
    <x v="118"/>
    <d v="2017-09-24T00:00:00"/>
    <x v="3"/>
    <s v="PB-19150"/>
    <s v="Philip Brown"/>
    <x v="0"/>
    <s v="United States"/>
    <x v="15"/>
    <x v="13"/>
    <n v="98115"/>
    <x v="1"/>
    <s v="FUR-FU-10002759"/>
    <x v="0"/>
    <x v="3"/>
    <s v="12-1/2 Diameter Round Wall Clock"/>
    <n v="200"/>
    <n v="10"/>
    <n v="0"/>
    <n v="72"/>
    <x v="7"/>
    <s v="Sep"/>
  </r>
  <r>
    <n v="8491"/>
    <s v="CA-2016-158841"/>
    <x v="821"/>
    <d v="2016-02-04T00:00:00"/>
    <x v="0"/>
    <s v="SE-20110"/>
    <s v="Sanjit Engle"/>
    <x v="0"/>
    <s v="United States"/>
    <x v="58"/>
    <x v="25"/>
    <n v="22204"/>
    <x v="0"/>
    <s v="FUR-FU-10001731"/>
    <x v="0"/>
    <x v="3"/>
    <s v="Acrylic Self-Standing Desk Frames"/>
    <n v="19"/>
    <n v="7"/>
    <n v="0"/>
    <n v="7"/>
    <x v="3"/>
    <s v="Feb"/>
  </r>
  <r>
    <n v="8503"/>
    <s v="CA-2015-102316"/>
    <x v="822"/>
    <d v="2015-03-03T00:00:00"/>
    <x v="0"/>
    <s v="DH-13075"/>
    <s v="Dave Hallsten"/>
    <x v="1"/>
    <s v="United States"/>
    <x v="2"/>
    <x v="2"/>
    <n v="90045"/>
    <x v="1"/>
    <s v="FUR-CH-10003396"/>
    <x v="0"/>
    <x v="1"/>
    <s v="Global Deluxe Steno Chair"/>
    <n v="185"/>
    <n v="3"/>
    <n v="0.2"/>
    <n v="-21"/>
    <x v="3"/>
    <s v="Mar"/>
  </r>
  <r>
    <n v="8505"/>
    <s v="CA-2016-109400"/>
    <x v="630"/>
    <d v="2016-05-06T00:00:00"/>
    <x v="1"/>
    <s v="NR-18550"/>
    <s v="Nick Radford"/>
    <x v="0"/>
    <s v="United States"/>
    <x v="45"/>
    <x v="5"/>
    <n v="79109"/>
    <x v="3"/>
    <s v="FUR-CH-10003298"/>
    <x v="0"/>
    <x v="1"/>
    <s v="Office Star - Contemporary Task Swivel chair with Loop Arms, Charcoal"/>
    <n v="367"/>
    <n v="4"/>
    <n v="0.3"/>
    <n v="-110"/>
    <x v="4"/>
    <s v="May"/>
  </r>
  <r>
    <n v="8513"/>
    <s v="CA-2016-144645"/>
    <x v="821"/>
    <d v="2016-02-08T00:00:00"/>
    <x v="1"/>
    <s v="NS-18640"/>
    <s v="Noel Staavos"/>
    <x v="1"/>
    <s v="United States"/>
    <x v="6"/>
    <x v="5"/>
    <n v="77041"/>
    <x v="3"/>
    <s v="FUR-FU-10003601"/>
    <x v="0"/>
    <x v="3"/>
    <s v="Deflect-o RollaMat Studded, Beveled Mat for Medium Pile Carpeting"/>
    <n v="74"/>
    <n v="2"/>
    <n v="0.6"/>
    <n v="-77"/>
    <x v="6"/>
    <s v="Feb"/>
  </r>
  <r>
    <n v="8518"/>
    <s v="CA-2017-149720"/>
    <x v="182"/>
    <d v="2017-06-07T00:00:00"/>
    <x v="0"/>
    <s v="EM-14065"/>
    <s v="Erin Mull"/>
    <x v="0"/>
    <s v="United States"/>
    <x v="346"/>
    <x v="5"/>
    <n v="75034"/>
    <x v="3"/>
    <s v="FUR-FU-10002501"/>
    <x v="0"/>
    <x v="3"/>
    <s v="Nu-Dell Executive Frame"/>
    <n v="30"/>
    <n v="6"/>
    <n v="0.6"/>
    <n v="-17"/>
    <x v="0"/>
    <s v="Jun"/>
  </r>
  <r>
    <n v="8519"/>
    <s v="CA-2017-118003"/>
    <x v="423"/>
    <d v="2017-12-10T00:00:00"/>
    <x v="1"/>
    <s v="DO-13645"/>
    <s v="Doug O'Connell"/>
    <x v="0"/>
    <s v="United States"/>
    <x v="309"/>
    <x v="18"/>
    <n v="7501"/>
    <x v="2"/>
    <s v="FUR-FU-10002506"/>
    <x v="0"/>
    <x v="3"/>
    <s v="Tensor &quot;Hersey Kiss&quot; Styled Floor Lamp"/>
    <n v="13"/>
    <n v="1"/>
    <n v="0"/>
    <n v="2"/>
    <x v="6"/>
    <s v="Dec"/>
  </r>
  <r>
    <n v="8520"/>
    <s v="CA-2017-118003"/>
    <x v="423"/>
    <d v="2017-12-10T00:00:00"/>
    <x v="1"/>
    <s v="DO-13645"/>
    <s v="Doug O'Connell"/>
    <x v="0"/>
    <s v="United States"/>
    <x v="309"/>
    <x v="18"/>
    <n v="7501"/>
    <x v="2"/>
    <s v="FUR-CH-10003817"/>
    <x v="0"/>
    <x v="1"/>
    <s v="Global Value Steno Chair, Gray"/>
    <n v="182"/>
    <n v="3"/>
    <n v="0"/>
    <n v="46"/>
    <x v="6"/>
    <s v="Dec"/>
  </r>
  <r>
    <n v="8521"/>
    <s v="CA-2017-118003"/>
    <x v="423"/>
    <d v="2017-12-10T00:00:00"/>
    <x v="1"/>
    <s v="DO-13645"/>
    <s v="Doug O'Connell"/>
    <x v="0"/>
    <s v="United States"/>
    <x v="309"/>
    <x v="18"/>
    <n v="7501"/>
    <x v="2"/>
    <s v="FUR-CH-10004860"/>
    <x v="0"/>
    <x v="1"/>
    <s v="Global Low Back Tilter Chair"/>
    <n v="303"/>
    <n v="3"/>
    <n v="0"/>
    <n v="18"/>
    <x v="6"/>
    <s v="Dec"/>
  </r>
  <r>
    <n v="8522"/>
    <s v="CA-2016-141887"/>
    <x v="823"/>
    <d v="2016-01-15T00:00:00"/>
    <x v="1"/>
    <s v="MP-17470"/>
    <s v="Mark Packer"/>
    <x v="2"/>
    <s v="United States"/>
    <x v="29"/>
    <x v="15"/>
    <n v="43229"/>
    <x v="2"/>
    <s v="FUR-FU-10002268"/>
    <x v="0"/>
    <x v="3"/>
    <s v="Ultra Door Push Plate"/>
    <n v="55"/>
    <n v="14"/>
    <n v="0.2"/>
    <n v="9"/>
    <x v="4"/>
    <s v="Jan"/>
  </r>
  <r>
    <n v="8526"/>
    <s v="CA-2017-161172"/>
    <x v="824"/>
    <d v="2017-03-16T00:00:00"/>
    <x v="3"/>
    <s v="SP-20920"/>
    <s v="Susan Pistek"/>
    <x v="0"/>
    <s v="United States"/>
    <x v="29"/>
    <x v="15"/>
    <n v="43229"/>
    <x v="2"/>
    <s v="FUR-FU-10003424"/>
    <x v="0"/>
    <x v="3"/>
    <s v="Nu-Dell Oak Frame"/>
    <n v="51"/>
    <n v="6"/>
    <n v="0.2"/>
    <n v="8"/>
    <x v="7"/>
    <s v="Mar"/>
  </r>
  <r>
    <n v="8530"/>
    <s v="CA-2017-137624"/>
    <x v="219"/>
    <d v="2017-11-17T00:00:00"/>
    <x v="1"/>
    <s v="ME-17320"/>
    <s v="Maria Etezadi"/>
    <x v="2"/>
    <s v="United States"/>
    <x v="2"/>
    <x v="2"/>
    <n v="90008"/>
    <x v="1"/>
    <s v="FUR-CH-10001714"/>
    <x v="0"/>
    <x v="1"/>
    <s v="Global Leather &amp; Oak Executive Chair, Burgundy"/>
    <n v="241"/>
    <n v="2"/>
    <n v="0.2"/>
    <n v="-36"/>
    <x v="1"/>
    <s v="Nov"/>
  </r>
  <r>
    <n v="8534"/>
    <s v="CA-2016-156748"/>
    <x v="825"/>
    <d v="2016-12-06T00:00:00"/>
    <x v="1"/>
    <s v="BS-11755"/>
    <s v="Bruce Stewart"/>
    <x v="0"/>
    <s v="United States"/>
    <x v="25"/>
    <x v="17"/>
    <n v="48227"/>
    <x v="3"/>
    <s v="FUR-CH-10000513"/>
    <x v="0"/>
    <x v="1"/>
    <s v="High-Back Leather Manager's Chair"/>
    <n v="390"/>
    <n v="3"/>
    <n v="0"/>
    <n v="35"/>
    <x v="6"/>
    <s v="Nov"/>
  </r>
  <r>
    <n v="8543"/>
    <s v="CA-2015-157287"/>
    <x v="826"/>
    <d v="2015-12-23T00:00:00"/>
    <x v="2"/>
    <s v="HR-14830"/>
    <s v="Harold Ryan"/>
    <x v="1"/>
    <s v="United States"/>
    <x v="3"/>
    <x v="3"/>
    <n v="19140"/>
    <x v="2"/>
    <s v="FUR-CH-10001270"/>
    <x v="0"/>
    <x v="1"/>
    <s v="Harbour Creations Steel Folding Chair"/>
    <n v="423"/>
    <n v="7"/>
    <n v="0.3"/>
    <n v="0"/>
    <x v="5"/>
    <s v="Dec"/>
  </r>
  <r>
    <n v="8545"/>
    <s v="CA-2016-119074"/>
    <x v="827"/>
    <d v="2016-03-31T00:00:00"/>
    <x v="1"/>
    <s v="DS-13180"/>
    <s v="David Smith"/>
    <x v="1"/>
    <s v="United States"/>
    <x v="29"/>
    <x v="24"/>
    <n v="31907"/>
    <x v="0"/>
    <s v="FUR-FU-10004053"/>
    <x v="0"/>
    <x v="3"/>
    <s v="DAX Two-Tone Silver Metal Document Frame"/>
    <n v="20"/>
    <n v="1"/>
    <n v="0"/>
    <n v="9"/>
    <x v="4"/>
    <s v="Mar"/>
  </r>
  <r>
    <n v="8546"/>
    <s v="CA-2016-119074"/>
    <x v="827"/>
    <d v="2016-03-31T00:00:00"/>
    <x v="1"/>
    <s v="DS-13180"/>
    <s v="David Smith"/>
    <x v="1"/>
    <s v="United States"/>
    <x v="29"/>
    <x v="24"/>
    <n v="31907"/>
    <x v="0"/>
    <s v="FUR-FU-10003731"/>
    <x v="0"/>
    <x v="3"/>
    <s v="Eldon Expressions Wood and Plastic Desk Accessories, Oak"/>
    <n v="40"/>
    <n v="4"/>
    <n v="0"/>
    <n v="11"/>
    <x v="4"/>
    <s v="Mar"/>
  </r>
  <r>
    <n v="8550"/>
    <s v="CA-2015-126186"/>
    <x v="795"/>
    <d v="2015-09-12T00:00:00"/>
    <x v="2"/>
    <s v="GB-14530"/>
    <s v="George Bell"/>
    <x v="1"/>
    <s v="United States"/>
    <x v="14"/>
    <x v="12"/>
    <n v="80013"/>
    <x v="1"/>
    <s v="FUR-FU-10000073"/>
    <x v="0"/>
    <x v="3"/>
    <s v="Deflect-O Glasstique Clear Desk Accessories"/>
    <n v="25"/>
    <n v="4"/>
    <n v="0.2"/>
    <n v="4"/>
    <x v="5"/>
    <s v="Sep"/>
  </r>
  <r>
    <n v="8555"/>
    <s v="CA-2016-102092"/>
    <x v="453"/>
    <d v="2016-12-11T00:00:00"/>
    <x v="2"/>
    <s v="PM-18940"/>
    <s v="Paul MacIntyre"/>
    <x v="0"/>
    <s v="United States"/>
    <x v="76"/>
    <x v="25"/>
    <n v="22153"/>
    <x v="0"/>
    <s v="FUR-TA-10002530"/>
    <x v="0"/>
    <x v="2"/>
    <s v="Iceberg OfficeWorks 42&quot; Round Tables"/>
    <n v="1057"/>
    <n v="7"/>
    <n v="0"/>
    <n v="159"/>
    <x v="3"/>
    <s v="Dec"/>
  </r>
  <r>
    <n v="8562"/>
    <s v="CA-2016-132829"/>
    <x v="207"/>
    <d v="2016-12-26T00:00:00"/>
    <x v="0"/>
    <s v="LA-16780"/>
    <s v="Laura Armstrong"/>
    <x v="1"/>
    <s v="United States"/>
    <x v="6"/>
    <x v="5"/>
    <n v="77041"/>
    <x v="3"/>
    <s v="FUR-FU-10000206"/>
    <x v="0"/>
    <x v="3"/>
    <s v="GE General Purpose, Extra Long Life, Showcase &amp; Floodlight Incandescent Bulbs"/>
    <n v="2"/>
    <n v="2"/>
    <n v="0.6"/>
    <n v="-1"/>
    <x v="0"/>
    <s v="Dec"/>
  </r>
  <r>
    <n v="8563"/>
    <s v="CA-2016-123540"/>
    <x v="828"/>
    <d v="2016-04-06T00:00:00"/>
    <x v="0"/>
    <s v="DJ-13420"/>
    <s v="Denny Joy"/>
    <x v="1"/>
    <s v="United States"/>
    <x v="79"/>
    <x v="16"/>
    <n v="53209"/>
    <x v="3"/>
    <s v="FUR-CH-10000847"/>
    <x v="0"/>
    <x v="1"/>
    <s v="Global Executive Mid-Back Manager's Chair"/>
    <n v="1455"/>
    <n v="5"/>
    <n v="0"/>
    <n v="378"/>
    <x v="4"/>
    <s v="Apr"/>
  </r>
  <r>
    <n v="8565"/>
    <s v="US-2017-108315"/>
    <x v="393"/>
    <d v="2017-05-04T00:00:00"/>
    <x v="1"/>
    <s v="MH-18115"/>
    <s v="Mick Hernandez"/>
    <x v="2"/>
    <s v="United States"/>
    <x v="347"/>
    <x v="1"/>
    <n v="32771"/>
    <x v="0"/>
    <s v="FUR-FU-10000747"/>
    <x v="0"/>
    <x v="3"/>
    <s v="Tenex B1-RE Series Chair Mats for Low Pile Carpets"/>
    <n v="221"/>
    <n v="6"/>
    <n v="0.2"/>
    <n v="-8"/>
    <x v="4"/>
    <s v="Apr"/>
  </r>
  <r>
    <n v="8577"/>
    <s v="CA-2017-106747"/>
    <x v="209"/>
    <d v="2017-07-04T00:00:00"/>
    <x v="2"/>
    <s v="TS-21505"/>
    <s v="Tony Sayre"/>
    <x v="0"/>
    <s v="United States"/>
    <x v="41"/>
    <x v="28"/>
    <n v="3301"/>
    <x v="2"/>
    <s v="FUR-FU-10004188"/>
    <x v="0"/>
    <x v="3"/>
    <s v="Luxo Professional Combination Clamp-On Lamps"/>
    <n v="102"/>
    <n v="1"/>
    <n v="0"/>
    <n v="27"/>
    <x v="5"/>
    <s v="Jul"/>
  </r>
  <r>
    <n v="8578"/>
    <s v="CA-2017-146164"/>
    <x v="313"/>
    <d v="2017-12-26T00:00:00"/>
    <x v="1"/>
    <s v="CM-12190"/>
    <s v="Charlotte Melton"/>
    <x v="0"/>
    <s v="United States"/>
    <x v="77"/>
    <x v="11"/>
    <n v="55901"/>
    <x v="3"/>
    <s v="FUR-TA-10004915"/>
    <x v="0"/>
    <x v="2"/>
    <s v="Office Impressions End Table, 20-1/2&quot;H x 24&quot;W x 20&quot;D"/>
    <n v="608"/>
    <n v="2"/>
    <n v="0"/>
    <n v="97"/>
    <x v="4"/>
    <s v="Dec"/>
  </r>
  <r>
    <n v="8581"/>
    <s v="CA-2014-130673"/>
    <x v="321"/>
    <d v="2014-05-22T00:00:00"/>
    <x v="0"/>
    <s v="MC-17590"/>
    <s v="Matt Collister"/>
    <x v="1"/>
    <s v="United States"/>
    <x v="348"/>
    <x v="5"/>
    <n v="78666"/>
    <x v="3"/>
    <s v="FUR-FU-10003489"/>
    <x v="0"/>
    <x v="3"/>
    <s v="Contemporary Borderless Frame"/>
    <n v="10"/>
    <n v="3"/>
    <n v="0.6"/>
    <n v="-6"/>
    <x v="3"/>
    <s v="May"/>
  </r>
  <r>
    <n v="8593"/>
    <s v="CA-2017-101700"/>
    <x v="748"/>
    <d v="2017-04-26T00:00:00"/>
    <x v="2"/>
    <s v="SO-20335"/>
    <s v="Sean O'Donnell"/>
    <x v="0"/>
    <s v="United States"/>
    <x v="349"/>
    <x v="12"/>
    <n v="80634"/>
    <x v="1"/>
    <s v="FUR-FU-10001025"/>
    <x v="0"/>
    <x v="3"/>
    <s v="Eldon Imˆge Series Desk Accessories, Clear"/>
    <n v="12"/>
    <n v="3"/>
    <n v="0.2"/>
    <n v="3"/>
    <x v="0"/>
    <s v="Apr"/>
  </r>
  <r>
    <n v="8608"/>
    <s v="CA-2014-151946"/>
    <x v="829"/>
    <d v="2014-06-09T00:00:00"/>
    <x v="1"/>
    <s v="BT-11440"/>
    <s v="Bobby Trafton"/>
    <x v="0"/>
    <s v="United States"/>
    <x v="13"/>
    <x v="7"/>
    <n v="10035"/>
    <x v="2"/>
    <s v="FUR-FU-10002878"/>
    <x v="0"/>
    <x v="3"/>
    <s v="Seth Thomas 14&quot; Day/Date Wall Clock"/>
    <n v="57"/>
    <n v="2"/>
    <n v="0"/>
    <n v="21"/>
    <x v="2"/>
    <s v="Jun"/>
  </r>
  <r>
    <n v="8610"/>
    <s v="CA-2014-151946"/>
    <x v="829"/>
    <d v="2014-06-09T00:00:00"/>
    <x v="1"/>
    <s v="BT-11440"/>
    <s v="Bobby Trafton"/>
    <x v="0"/>
    <s v="United States"/>
    <x v="13"/>
    <x v="7"/>
    <n v="10035"/>
    <x v="2"/>
    <s v="FUR-BO-10003272"/>
    <x v="0"/>
    <x v="0"/>
    <s v="O'Sullivan Living Dimensions 5-Shelf Bookcases"/>
    <n v="354"/>
    <n v="2"/>
    <n v="0.2"/>
    <n v="-44"/>
    <x v="2"/>
    <s v="Jun"/>
  </r>
  <r>
    <n v="8611"/>
    <s v="CA-2014-151946"/>
    <x v="829"/>
    <d v="2014-06-09T00:00:00"/>
    <x v="1"/>
    <s v="BT-11440"/>
    <s v="Bobby Trafton"/>
    <x v="0"/>
    <s v="United States"/>
    <x v="13"/>
    <x v="7"/>
    <n v="10035"/>
    <x v="2"/>
    <s v="FUR-FU-10002191"/>
    <x v="0"/>
    <x v="3"/>
    <s v="G.E. Halogen Desk Lamp Bulbs"/>
    <n v="14"/>
    <n v="2"/>
    <n v="0"/>
    <n v="7"/>
    <x v="2"/>
    <s v="Jun"/>
  </r>
  <r>
    <n v="8619"/>
    <s v="CA-2017-117513"/>
    <x v="470"/>
    <d v="2017-03-08T00:00:00"/>
    <x v="1"/>
    <s v="BT-11395"/>
    <s v="Bill Tyler"/>
    <x v="1"/>
    <s v="United States"/>
    <x v="2"/>
    <x v="2"/>
    <n v="90004"/>
    <x v="1"/>
    <s v="FUR-TA-10001520"/>
    <x v="0"/>
    <x v="2"/>
    <s v="Lesro Sheffield Collection Coffee Table, End Table, Center Table, Corner Table"/>
    <n v="400"/>
    <n v="7"/>
    <n v="0.2"/>
    <n v="-15"/>
    <x v="2"/>
    <s v="Mar"/>
  </r>
  <r>
    <n v="8621"/>
    <s v="US-2017-119319"/>
    <x v="200"/>
    <d v="2017-11-09T00:00:00"/>
    <x v="0"/>
    <s v="LC-17050"/>
    <s v="Liz Carlisle"/>
    <x v="0"/>
    <s v="United States"/>
    <x v="144"/>
    <x v="5"/>
    <n v="75217"/>
    <x v="3"/>
    <s v="FUR-FU-10003878"/>
    <x v="0"/>
    <x v="3"/>
    <s v="Linden 10&quot; Round Wall Clock, Black"/>
    <n v="31"/>
    <n v="5"/>
    <n v="0.6"/>
    <n v="-20"/>
    <x v="0"/>
    <s v="Nov"/>
  </r>
  <r>
    <n v="8630"/>
    <s v="CA-2015-164084"/>
    <x v="395"/>
    <d v="2015-09-12T00:00:00"/>
    <x v="1"/>
    <s v="AG-10525"/>
    <s v="Andy Gerbode"/>
    <x v="1"/>
    <s v="United States"/>
    <x v="13"/>
    <x v="7"/>
    <n v="10011"/>
    <x v="2"/>
    <s v="FUR-TA-10003569"/>
    <x v="0"/>
    <x v="2"/>
    <s v="Bretford CR8500 Series Meeting Room Furniture"/>
    <n v="481"/>
    <n v="2"/>
    <n v="0.4"/>
    <n v="-120"/>
    <x v="2"/>
    <s v="Sep"/>
  </r>
  <r>
    <n v="8632"/>
    <s v="CA-2016-107783"/>
    <x v="830"/>
    <d v="2016-07-29T00:00:00"/>
    <x v="2"/>
    <s v="OT-18730"/>
    <s v="Olvera Toch"/>
    <x v="0"/>
    <s v="United States"/>
    <x v="268"/>
    <x v="3"/>
    <n v="18018"/>
    <x v="2"/>
    <s v="FUR-BO-10004409"/>
    <x v="0"/>
    <x v="0"/>
    <s v="Safco Value Mate Series Steel Bookcases, Baked Enamel Finish on Steel, Gray"/>
    <n v="177"/>
    <n v="5"/>
    <n v="0.5"/>
    <n v="-78"/>
    <x v="5"/>
    <s v="Jul"/>
  </r>
  <r>
    <n v="8635"/>
    <s v="CA-2017-159793"/>
    <x v="831"/>
    <d v="2017-08-29T00:00:00"/>
    <x v="1"/>
    <s v="SV-20365"/>
    <s v="Seth Vernon"/>
    <x v="0"/>
    <s v="United States"/>
    <x v="3"/>
    <x v="3"/>
    <n v="19140"/>
    <x v="2"/>
    <s v="FUR-BO-10001798"/>
    <x v="0"/>
    <x v="0"/>
    <s v="Bush Somerset Collection Bookcase"/>
    <n v="131"/>
    <n v="2"/>
    <n v="0.5"/>
    <n v="-89"/>
    <x v="4"/>
    <s v="Aug"/>
  </r>
  <r>
    <n v="8638"/>
    <s v="CA-2017-151281"/>
    <x v="437"/>
    <d v="2017-05-02T00:00:00"/>
    <x v="1"/>
    <s v="HM-14980"/>
    <s v="Henry MacAllister"/>
    <x v="0"/>
    <s v="United States"/>
    <x v="15"/>
    <x v="13"/>
    <n v="98105"/>
    <x v="1"/>
    <s v="FUR-FU-10000397"/>
    <x v="0"/>
    <x v="3"/>
    <s v="Luxo Economy Swing Arm Lamp"/>
    <n v="140"/>
    <n v="7"/>
    <n v="0"/>
    <n v="39"/>
    <x v="2"/>
    <s v="Apr"/>
  </r>
  <r>
    <n v="8646"/>
    <s v="CA-2015-108259"/>
    <x v="428"/>
    <d v="2015-11-15T00:00:00"/>
    <x v="1"/>
    <s v="NS-18640"/>
    <s v="Noel Staavos"/>
    <x v="1"/>
    <s v="United States"/>
    <x v="51"/>
    <x v="30"/>
    <n v="28540"/>
    <x v="0"/>
    <s v="FUR-FU-10000023"/>
    <x v="0"/>
    <x v="3"/>
    <s v="Eldon Wave Desk Accessories"/>
    <n v="5"/>
    <n v="1"/>
    <n v="0.2"/>
    <n v="1"/>
    <x v="1"/>
    <s v="Nov"/>
  </r>
  <r>
    <n v="8647"/>
    <s v="CA-2016-113341"/>
    <x v="778"/>
    <d v="2016-11-29T00:00:00"/>
    <x v="1"/>
    <s v="MH-17455"/>
    <s v="Mark Hamilton"/>
    <x v="0"/>
    <s v="United States"/>
    <x v="2"/>
    <x v="2"/>
    <n v="90032"/>
    <x v="1"/>
    <s v="FUR-CH-10004698"/>
    <x v="0"/>
    <x v="1"/>
    <s v="Padded Folding Chairs, Black, 4/Carton"/>
    <n v="194"/>
    <n v="3"/>
    <n v="0.2"/>
    <n v="19"/>
    <x v="4"/>
    <s v="Nov"/>
  </r>
  <r>
    <n v="8648"/>
    <s v="US-2015-131842"/>
    <x v="482"/>
    <d v="2015-12-08T00:00:00"/>
    <x v="2"/>
    <s v="RR-19525"/>
    <s v="Rick Reed"/>
    <x v="1"/>
    <s v="United States"/>
    <x v="228"/>
    <x v="9"/>
    <n v="37211"/>
    <x v="0"/>
    <s v="FUR-CH-10004477"/>
    <x v="0"/>
    <x v="1"/>
    <s v="Global Push Button Manager's Chair, Indigo"/>
    <n v="97"/>
    <n v="2"/>
    <n v="0.2"/>
    <n v="11"/>
    <x v="0"/>
    <s v="Dec"/>
  </r>
  <r>
    <n v="8652"/>
    <s v="CA-2014-142769"/>
    <x v="624"/>
    <d v="2014-09-13T00:00:00"/>
    <x v="3"/>
    <s v="RP-19390"/>
    <s v="Resi Pšlking"/>
    <x v="0"/>
    <s v="United States"/>
    <x v="15"/>
    <x v="13"/>
    <n v="98103"/>
    <x v="1"/>
    <s v="FUR-FU-10001918"/>
    <x v="0"/>
    <x v="3"/>
    <s v="C-Line Cubicle Keepers Polyproplyene Holder With Velcro Backings"/>
    <n v="14"/>
    <n v="3"/>
    <n v="0"/>
    <n v="6"/>
    <x v="7"/>
    <s v="Sep"/>
  </r>
  <r>
    <n v="8661"/>
    <s v="CA-2017-124765"/>
    <x v="608"/>
    <d v="2017-11-30T00:00:00"/>
    <x v="1"/>
    <s v="HZ-14950"/>
    <s v="Henia Zydlo"/>
    <x v="0"/>
    <s v="United States"/>
    <x v="1"/>
    <x v="1"/>
    <n v="33311"/>
    <x v="0"/>
    <s v="FUR-BO-10003965"/>
    <x v="0"/>
    <x v="0"/>
    <s v="O'Sullivan Manor Hill 2-Door Library in Brianna Oak"/>
    <n v="724"/>
    <n v="5"/>
    <n v="0.2"/>
    <n v="-81"/>
    <x v="2"/>
    <s v="Nov"/>
  </r>
  <r>
    <n v="8662"/>
    <s v="CA-2015-131856"/>
    <x v="832"/>
    <d v="2015-05-17T00:00:00"/>
    <x v="1"/>
    <s v="JG-15160"/>
    <s v="James Galang"/>
    <x v="0"/>
    <s v="United States"/>
    <x v="6"/>
    <x v="5"/>
    <n v="77041"/>
    <x v="3"/>
    <s v="FUR-FU-10000175"/>
    <x v="0"/>
    <x v="3"/>
    <s v="DAX Wood Document Frame."/>
    <n v="22"/>
    <n v="4"/>
    <n v="0.6"/>
    <n v="-16"/>
    <x v="2"/>
    <s v="May"/>
  </r>
  <r>
    <n v="8665"/>
    <s v="CA-2017-126634"/>
    <x v="833"/>
    <d v="2017-04-01T00:00:00"/>
    <x v="0"/>
    <s v="AB-10165"/>
    <s v="Alan Barnes"/>
    <x v="0"/>
    <s v="United States"/>
    <x v="174"/>
    <x v="2"/>
    <n v="90712"/>
    <x v="1"/>
    <s v="FUR-FU-10004973"/>
    <x v="0"/>
    <x v="3"/>
    <s v="Flat Face Poster Frame"/>
    <n v="94"/>
    <n v="5"/>
    <n v="0"/>
    <n v="40"/>
    <x v="3"/>
    <s v="Mar"/>
  </r>
  <r>
    <n v="8671"/>
    <s v="US-2014-159611"/>
    <x v="421"/>
    <d v="2015-01-01T00:00:00"/>
    <x v="0"/>
    <s v="KB-16315"/>
    <s v="Karl Braun"/>
    <x v="0"/>
    <s v="United States"/>
    <x v="59"/>
    <x v="15"/>
    <n v="44105"/>
    <x v="2"/>
    <s v="FUR-FU-10004904"/>
    <x v="0"/>
    <x v="3"/>
    <s v="Eldon &quot;L&quot; Workstation Diamond Chairmat"/>
    <n v="182"/>
    <n v="3"/>
    <n v="0.2"/>
    <n v="-18"/>
    <x v="2"/>
    <s v="Dec"/>
  </r>
  <r>
    <n v="8674"/>
    <s v="CA-2017-163265"/>
    <x v="834"/>
    <d v="2017-02-21T00:00:00"/>
    <x v="1"/>
    <s v="JS-16030"/>
    <s v="Joy Smith"/>
    <x v="0"/>
    <s v="United States"/>
    <x v="42"/>
    <x v="8"/>
    <n v="62521"/>
    <x v="3"/>
    <s v="FUR-CH-10004063"/>
    <x v="0"/>
    <x v="1"/>
    <s v="Global Deluxe High-Back Manager's Chair"/>
    <n v="601"/>
    <n v="3"/>
    <n v="0.3"/>
    <n v="-9"/>
    <x v="2"/>
    <s v="Feb"/>
  </r>
  <r>
    <n v="8677"/>
    <s v="CA-2017-163265"/>
    <x v="834"/>
    <d v="2017-02-21T00:00:00"/>
    <x v="1"/>
    <s v="JS-16030"/>
    <s v="Joy Smith"/>
    <x v="0"/>
    <s v="United States"/>
    <x v="42"/>
    <x v="8"/>
    <n v="62521"/>
    <x v="3"/>
    <s v="FUR-FU-10004270"/>
    <x v="0"/>
    <x v="3"/>
    <s v="Executive Impressions 13&quot; Clairmont Wall Clock"/>
    <n v="8"/>
    <n v="1"/>
    <n v="0.6"/>
    <n v="-4"/>
    <x v="2"/>
    <s v="Feb"/>
  </r>
  <r>
    <n v="8678"/>
    <s v="CA-2017-141705"/>
    <x v="835"/>
    <d v="2017-10-26T00:00:00"/>
    <x v="2"/>
    <s v="PO-18850"/>
    <s v="Patrick O'Brill"/>
    <x v="0"/>
    <s v="United States"/>
    <x v="350"/>
    <x v="5"/>
    <n v="76063"/>
    <x v="3"/>
    <s v="FUR-TA-10004607"/>
    <x v="0"/>
    <x v="2"/>
    <s v="Hon 2111 Invitation Series Straight Table"/>
    <n v="517"/>
    <n v="5"/>
    <n v="0.3"/>
    <n v="-81"/>
    <x v="3"/>
    <s v="Oct"/>
  </r>
  <r>
    <n v="8696"/>
    <s v="CA-2017-127096"/>
    <x v="102"/>
    <d v="2017-09-17T00:00:00"/>
    <x v="0"/>
    <s v="CS-12400"/>
    <s v="Christopher Schild"/>
    <x v="2"/>
    <s v="United States"/>
    <x v="28"/>
    <x v="2"/>
    <n v="94109"/>
    <x v="1"/>
    <s v="FUR-TA-10003473"/>
    <x v="0"/>
    <x v="2"/>
    <s v="Bretford Rectangular Conference Table Tops"/>
    <n v="301"/>
    <n v="1"/>
    <n v="0.2"/>
    <n v="11"/>
    <x v="3"/>
    <s v="Sep"/>
  </r>
  <r>
    <n v="8698"/>
    <s v="CA-2017-119284"/>
    <x v="836"/>
    <d v="2017-06-20T00:00:00"/>
    <x v="1"/>
    <s v="TS-21205"/>
    <s v="Thomas Seio"/>
    <x v="1"/>
    <s v="United States"/>
    <x v="228"/>
    <x v="9"/>
    <n v="37211"/>
    <x v="0"/>
    <s v="FUR-FU-10004351"/>
    <x v="0"/>
    <x v="3"/>
    <s v="Staple-based wall hangings"/>
    <n v="31"/>
    <n v="4"/>
    <n v="0.2"/>
    <n v="9"/>
    <x v="2"/>
    <s v="Jun"/>
  </r>
  <r>
    <n v="8699"/>
    <s v="CA-2017-119284"/>
    <x v="836"/>
    <d v="2017-06-20T00:00:00"/>
    <x v="1"/>
    <s v="TS-21205"/>
    <s v="Thomas Seio"/>
    <x v="1"/>
    <s v="United States"/>
    <x v="228"/>
    <x v="9"/>
    <n v="37211"/>
    <x v="0"/>
    <s v="FUR-TA-10004152"/>
    <x v="0"/>
    <x v="2"/>
    <s v="Barricks 18&quot; x 48&quot; Non-Folding Utility Table with Bottom Storage Shelf"/>
    <n v="121"/>
    <n v="2"/>
    <n v="0.4"/>
    <n v="-28"/>
    <x v="2"/>
    <s v="Jun"/>
  </r>
  <r>
    <n v="8707"/>
    <s v="CA-2014-146815"/>
    <x v="30"/>
    <d v="2014-09-13T00:00:00"/>
    <x v="1"/>
    <s v="PP-18955"/>
    <s v="Paul Prost"/>
    <x v="2"/>
    <s v="United States"/>
    <x v="13"/>
    <x v="7"/>
    <n v="10009"/>
    <x v="2"/>
    <s v="FUR-CH-10004289"/>
    <x v="0"/>
    <x v="1"/>
    <s v="Global Super Steno Chair"/>
    <n v="173"/>
    <n v="2"/>
    <n v="0.1"/>
    <n v="13"/>
    <x v="2"/>
    <s v="Sep"/>
  </r>
  <r>
    <n v="8710"/>
    <s v="CA-2014-119144"/>
    <x v="627"/>
    <d v="2014-11-18T00:00:00"/>
    <x v="2"/>
    <s v="JD-16150"/>
    <s v="Justin Deggeller"/>
    <x v="1"/>
    <s v="United States"/>
    <x v="2"/>
    <x v="2"/>
    <n v="90008"/>
    <x v="1"/>
    <s v="FUR-BO-10004015"/>
    <x v="0"/>
    <x v="0"/>
    <s v="Bush Andora Bookcase, Maple/Graphite Gray Finish"/>
    <n v="306"/>
    <n v="3"/>
    <n v="0.15"/>
    <n v="25"/>
    <x v="3"/>
    <s v="Nov"/>
  </r>
  <r>
    <n v="8712"/>
    <s v="CA-2014-105648"/>
    <x v="749"/>
    <d v="2014-03-07T00:00:00"/>
    <x v="1"/>
    <s v="EJ-14155"/>
    <s v="Eva Jacobs"/>
    <x v="0"/>
    <s v="United States"/>
    <x v="53"/>
    <x v="2"/>
    <n v="92037"/>
    <x v="1"/>
    <s v="FUR-TA-10002958"/>
    <x v="0"/>
    <x v="2"/>
    <s v="Bevis Oval Conference Table, Walnut"/>
    <n v="626"/>
    <n v="3"/>
    <n v="0.2"/>
    <n v="-23"/>
    <x v="4"/>
    <s v="Mar"/>
  </r>
  <r>
    <n v="8713"/>
    <s v="US-2015-145422"/>
    <x v="62"/>
    <d v="2015-12-07T00:00:00"/>
    <x v="1"/>
    <s v="PW-19240"/>
    <s v="Pierre Wener"/>
    <x v="0"/>
    <s v="United States"/>
    <x v="28"/>
    <x v="2"/>
    <n v="94110"/>
    <x v="1"/>
    <s v="FUR-BO-10002213"/>
    <x v="0"/>
    <x v="0"/>
    <s v="Sauder Forest Hills Library, Woodland Oak Finish"/>
    <n v="359"/>
    <n v="3"/>
    <n v="0.15"/>
    <n v="-30"/>
    <x v="4"/>
    <s v="Dec"/>
  </r>
  <r>
    <n v="8718"/>
    <s v="CA-2016-120824"/>
    <x v="21"/>
    <d v="2016-06-16T00:00:00"/>
    <x v="0"/>
    <s v="AW-10930"/>
    <s v="Arthur Wiediger"/>
    <x v="2"/>
    <s v="United States"/>
    <x v="6"/>
    <x v="5"/>
    <n v="77070"/>
    <x v="3"/>
    <s v="FUR-FU-10001424"/>
    <x v="0"/>
    <x v="3"/>
    <s v="Dax Clear Box Frame"/>
    <n v="7"/>
    <n v="2"/>
    <n v="0.6"/>
    <n v="-5"/>
    <x v="4"/>
    <s v="Jun"/>
  </r>
  <r>
    <n v="8721"/>
    <s v="CA-2016-120824"/>
    <x v="21"/>
    <d v="2016-06-16T00:00:00"/>
    <x v="0"/>
    <s v="AW-10930"/>
    <s v="Arthur Wiediger"/>
    <x v="2"/>
    <s v="United States"/>
    <x v="6"/>
    <x v="5"/>
    <n v="77070"/>
    <x v="3"/>
    <s v="FUR-CH-10000229"/>
    <x v="0"/>
    <x v="1"/>
    <s v="Global Enterprise Series Seating High-Back Swivel/Tilt Chairs"/>
    <n v="379"/>
    <n v="2"/>
    <n v="0.3"/>
    <n v="-119"/>
    <x v="4"/>
    <s v="Jun"/>
  </r>
  <r>
    <n v="8728"/>
    <s v="CA-2015-103870"/>
    <x v="7"/>
    <d v="2015-12-31T00:00:00"/>
    <x v="1"/>
    <s v="SP-20860"/>
    <s v="Sung Pak"/>
    <x v="1"/>
    <s v="United States"/>
    <x v="34"/>
    <x v="9"/>
    <n v="37130"/>
    <x v="0"/>
    <s v="FUR-FU-10002030"/>
    <x v="0"/>
    <x v="3"/>
    <s v="Executive Impressions 14&quot; Contract Wall Clock with Quartz Movement"/>
    <n v="53"/>
    <n v="3"/>
    <n v="0.2"/>
    <n v="16"/>
    <x v="4"/>
    <s v="Dec"/>
  </r>
  <r>
    <n v="8729"/>
    <s v="CA-2015-103870"/>
    <x v="7"/>
    <d v="2015-12-31T00:00:00"/>
    <x v="1"/>
    <s v="SP-20860"/>
    <s v="Sung Pak"/>
    <x v="1"/>
    <s v="United States"/>
    <x v="34"/>
    <x v="9"/>
    <n v="37130"/>
    <x v="0"/>
    <s v="FUR-BO-10002853"/>
    <x v="0"/>
    <x v="0"/>
    <s v="O'Sullivan 5-Shelf Heavy-Duty Bookcases"/>
    <n v="131"/>
    <n v="2"/>
    <n v="0.2"/>
    <n v="8"/>
    <x v="4"/>
    <s v="Dec"/>
  </r>
  <r>
    <n v="8734"/>
    <s v="CA-2017-116988"/>
    <x v="419"/>
    <d v="2017-06-29T00:00:00"/>
    <x v="0"/>
    <s v="PW-19030"/>
    <s v="Pauline Webber"/>
    <x v="1"/>
    <s v="United States"/>
    <x v="15"/>
    <x v="13"/>
    <n v="98105"/>
    <x v="1"/>
    <s v="FUR-FU-10001290"/>
    <x v="0"/>
    <x v="3"/>
    <s v="Executive Impressions Supervisor Wall Clock"/>
    <n v="126"/>
    <n v="3"/>
    <n v="0"/>
    <n v="40"/>
    <x v="3"/>
    <s v="Jun"/>
  </r>
  <r>
    <n v="8743"/>
    <s v="US-2015-144771"/>
    <x v="837"/>
    <d v="2015-10-04T00:00:00"/>
    <x v="2"/>
    <s v="CK-12205"/>
    <s v="Chloris Kastensmidt"/>
    <x v="0"/>
    <s v="United States"/>
    <x v="351"/>
    <x v="36"/>
    <n v="97123"/>
    <x v="1"/>
    <s v="FUR-FU-10000629"/>
    <x v="0"/>
    <x v="3"/>
    <s v="9-3/4 Diameter Round Wall Clock"/>
    <n v="11"/>
    <n v="1"/>
    <n v="0.2"/>
    <n v="3"/>
    <x v="3"/>
    <s v="Oct"/>
  </r>
  <r>
    <n v="8747"/>
    <s v="CA-2017-128076"/>
    <x v="611"/>
    <d v="2017-02-07T00:00:00"/>
    <x v="1"/>
    <s v="BO-11350"/>
    <s v="Bill Overfelt"/>
    <x v="1"/>
    <s v="United States"/>
    <x v="53"/>
    <x v="2"/>
    <n v="92105"/>
    <x v="1"/>
    <s v="FUR-FU-10000293"/>
    <x v="0"/>
    <x v="3"/>
    <s v="Eldon Antistatic Chair Mats for Low to Medium Pile Carpets"/>
    <n v="211"/>
    <n v="2"/>
    <n v="0"/>
    <n v="13"/>
    <x v="2"/>
    <s v="Feb"/>
  </r>
  <r>
    <n v="8759"/>
    <s v="CA-2016-114307"/>
    <x v="249"/>
    <d v="2016-07-26T00:00:00"/>
    <x v="1"/>
    <s v="MF-17665"/>
    <s v="Maureen Fritzler"/>
    <x v="1"/>
    <s v="United States"/>
    <x v="11"/>
    <x v="32"/>
    <n v="21044"/>
    <x v="2"/>
    <s v="FUR-FU-10000794"/>
    <x v="0"/>
    <x v="3"/>
    <s v="Eldon Stackable Tray, Side-Load, Legal, Smoke"/>
    <n v="27"/>
    <n v="3"/>
    <n v="0"/>
    <n v="9"/>
    <x v="4"/>
    <s v="Jul"/>
  </r>
  <r>
    <n v="8771"/>
    <s v="CA-2016-151148"/>
    <x v="51"/>
    <d v="2016-09-13T00:00:00"/>
    <x v="3"/>
    <s v="PO-19180"/>
    <s v="Philisse Overcash"/>
    <x v="2"/>
    <s v="United States"/>
    <x v="74"/>
    <x v="12"/>
    <n v="80027"/>
    <x v="1"/>
    <s v="FUR-CH-10002304"/>
    <x v="0"/>
    <x v="1"/>
    <s v="Global Stack Chair without Arms, Black"/>
    <n v="83"/>
    <n v="4"/>
    <n v="0.2"/>
    <n v="5"/>
    <x v="5"/>
    <s v="Sep"/>
  </r>
  <r>
    <n v="8777"/>
    <s v="CA-2016-102813"/>
    <x v="192"/>
    <d v="2016-07-03T00:00:00"/>
    <x v="2"/>
    <s v="EA-14035"/>
    <s v="Erin Ashbrook"/>
    <x v="1"/>
    <s v="United States"/>
    <x v="156"/>
    <x v="5"/>
    <n v="77340"/>
    <x v="3"/>
    <s v="FUR-CH-10000665"/>
    <x v="0"/>
    <x v="1"/>
    <s v="Global Airflow Leather Mesh Back Chair, Black"/>
    <n v="528"/>
    <n v="5"/>
    <n v="0.3"/>
    <n v="0"/>
    <x v="5"/>
    <s v="Jul"/>
  </r>
  <r>
    <n v="8779"/>
    <s v="CA-2017-135377"/>
    <x v="838"/>
    <d v="2017-12-18T00:00:00"/>
    <x v="1"/>
    <s v="BP-11095"/>
    <s v="Bart Pistole"/>
    <x v="1"/>
    <s v="United States"/>
    <x v="13"/>
    <x v="7"/>
    <n v="10024"/>
    <x v="2"/>
    <s v="FUR-BO-10004015"/>
    <x v="0"/>
    <x v="0"/>
    <s v="Bush Andora Bookcase, Maple/Graphite Gray Finish"/>
    <n v="288"/>
    <n v="3"/>
    <n v="0.2"/>
    <n v="7"/>
    <x v="2"/>
    <s v="Dec"/>
  </r>
  <r>
    <n v="8782"/>
    <s v="CA-2015-133585"/>
    <x v="822"/>
    <d v="2015-03-04T00:00:00"/>
    <x v="2"/>
    <s v="CM-12715"/>
    <s v="Craig Molinari"/>
    <x v="1"/>
    <s v="United States"/>
    <x v="6"/>
    <x v="5"/>
    <n v="77070"/>
    <x v="3"/>
    <s v="FUR-BO-10001811"/>
    <x v="0"/>
    <x v="0"/>
    <s v="Atlantic Metals Mobile 5-Shelf Bookcases, Custom Colors"/>
    <n v="1228"/>
    <n v="6"/>
    <n v="0.32"/>
    <n v="-36"/>
    <x v="0"/>
    <s v="Mar"/>
  </r>
  <r>
    <n v="8784"/>
    <s v="CA-2016-116911"/>
    <x v="839"/>
    <d v="2016-09-20T00:00:00"/>
    <x v="1"/>
    <s v="JD-16150"/>
    <s v="Justin Deggeller"/>
    <x v="1"/>
    <s v="United States"/>
    <x v="352"/>
    <x v="42"/>
    <n v="83301"/>
    <x v="1"/>
    <s v="FUR-TA-10003473"/>
    <x v="0"/>
    <x v="2"/>
    <s v="Bretford Rectangular Conference Table Tops"/>
    <n v="1128"/>
    <n v="3"/>
    <n v="0"/>
    <n v="260"/>
    <x v="2"/>
    <s v="Sep"/>
  </r>
  <r>
    <n v="8789"/>
    <s v="CA-2017-126914"/>
    <x v="836"/>
    <d v="2017-06-19T00:00:00"/>
    <x v="1"/>
    <s v="JE-15715"/>
    <s v="Joe Elijah"/>
    <x v="0"/>
    <s v="United States"/>
    <x v="91"/>
    <x v="30"/>
    <n v="28110"/>
    <x v="0"/>
    <s v="FUR-CH-10000847"/>
    <x v="0"/>
    <x v="1"/>
    <s v="Global Executive Mid-Back Manager's Chair"/>
    <n v="698"/>
    <n v="3"/>
    <n v="0.2"/>
    <n v="52"/>
    <x v="4"/>
    <s v="Jun"/>
  </r>
  <r>
    <n v="8790"/>
    <s v="CA-2017-126914"/>
    <x v="836"/>
    <d v="2017-06-19T00:00:00"/>
    <x v="1"/>
    <s v="JE-15715"/>
    <s v="Joe Elijah"/>
    <x v="0"/>
    <s v="United States"/>
    <x v="91"/>
    <x v="30"/>
    <n v="28110"/>
    <x v="0"/>
    <s v="FUR-BO-10000468"/>
    <x v="0"/>
    <x v="0"/>
    <s v="O'Sullivan 2-Shelf Heavy-Duty Bookcases"/>
    <n v="78"/>
    <n v="2"/>
    <n v="0.2"/>
    <n v="-4"/>
    <x v="4"/>
    <s v="Jun"/>
  </r>
  <r>
    <n v="8803"/>
    <s v="CA-2016-140935"/>
    <x v="480"/>
    <d v="2016-11-12T00:00:00"/>
    <x v="2"/>
    <s v="AB-10015"/>
    <s v="Aaron Bergman"/>
    <x v="0"/>
    <s v="United States"/>
    <x v="258"/>
    <x v="37"/>
    <n v="73120"/>
    <x v="3"/>
    <s v="FUR-BO-10003966"/>
    <x v="0"/>
    <x v="0"/>
    <s v="Sauder Facets Collection Library, Sky Alder Finish"/>
    <n v="342"/>
    <n v="2"/>
    <n v="0"/>
    <n v="55"/>
    <x v="3"/>
    <s v="Nov"/>
  </r>
  <r>
    <n v="8807"/>
    <s v="CA-2016-113082"/>
    <x v="51"/>
    <d v="2016-09-16T00:00:00"/>
    <x v="1"/>
    <s v="MC-17590"/>
    <s v="Matt Collister"/>
    <x v="1"/>
    <s v="United States"/>
    <x v="353"/>
    <x v="7"/>
    <n v="13501"/>
    <x v="2"/>
    <s v="FUR-FU-10002813"/>
    <x v="0"/>
    <x v="3"/>
    <s v="DAX Contemporary Wood Frame with Silver Metal Mat, Desktop, 11 x 14 Size"/>
    <n v="40"/>
    <n v="2"/>
    <n v="0"/>
    <n v="15"/>
    <x v="4"/>
    <s v="Sep"/>
  </r>
  <r>
    <n v="8814"/>
    <s v="CA-2015-127754"/>
    <x v="155"/>
    <d v="2015-07-31T00:00:00"/>
    <x v="1"/>
    <s v="CK-12760"/>
    <s v="Cyma Kinney"/>
    <x v="1"/>
    <s v="United States"/>
    <x v="110"/>
    <x v="22"/>
    <n v="85301"/>
    <x v="1"/>
    <s v="FUR-CH-10003199"/>
    <x v="0"/>
    <x v="1"/>
    <s v="Office Star - Contemporary Task Swivel Chair"/>
    <n v="266"/>
    <n v="3"/>
    <n v="0.2"/>
    <n v="13"/>
    <x v="2"/>
    <s v="Jul"/>
  </r>
  <r>
    <n v="8832"/>
    <s v="CA-2015-145324"/>
    <x v="840"/>
    <d v="2015-11-19T00:00:00"/>
    <x v="1"/>
    <s v="DH-13675"/>
    <s v="Duane Huffman"/>
    <x v="2"/>
    <s v="United States"/>
    <x v="95"/>
    <x v="25"/>
    <n v="22801"/>
    <x v="0"/>
    <s v="FUR-FU-10002759"/>
    <x v="0"/>
    <x v="3"/>
    <s v="12-1/2 Diameter Round Wall Clock"/>
    <n v="40"/>
    <n v="2"/>
    <n v="0"/>
    <n v="14"/>
    <x v="4"/>
    <s v="Nov"/>
  </r>
  <r>
    <n v="8850"/>
    <s v="CA-2015-140718"/>
    <x v="473"/>
    <d v="2015-07-04T00:00:00"/>
    <x v="2"/>
    <s v="FA-14230"/>
    <s v="Frank Atkinson"/>
    <x v="1"/>
    <s v="United States"/>
    <x v="168"/>
    <x v="30"/>
    <n v="27604"/>
    <x v="0"/>
    <s v="FUR-FU-10000076"/>
    <x v="0"/>
    <x v="3"/>
    <s v="24-Hour Round Wall Clock"/>
    <n v="160"/>
    <n v="10"/>
    <n v="0.2"/>
    <n v="46"/>
    <x v="3"/>
    <s v="Jul"/>
  </r>
  <r>
    <n v="8862"/>
    <s v="CA-2015-125934"/>
    <x v="795"/>
    <d v="2015-09-18T00:00:00"/>
    <x v="1"/>
    <s v="SN-20560"/>
    <s v="Skye Norling"/>
    <x v="2"/>
    <s v="United States"/>
    <x v="309"/>
    <x v="18"/>
    <n v="7501"/>
    <x v="2"/>
    <s v="FUR-FU-10002107"/>
    <x v="0"/>
    <x v="3"/>
    <s v="Eldon Pizzaz Desk Accessories"/>
    <n v="9"/>
    <n v="4"/>
    <n v="0"/>
    <n v="4"/>
    <x v="1"/>
    <s v="Sep"/>
  </r>
  <r>
    <n v="8867"/>
    <s v="CA-2014-120411"/>
    <x v="23"/>
    <d v="2014-09-23T00:00:00"/>
    <x v="2"/>
    <s v="SB-20185"/>
    <s v="Sarah Brown"/>
    <x v="0"/>
    <s v="United States"/>
    <x v="9"/>
    <x v="8"/>
    <n v="60653"/>
    <x v="3"/>
    <s v="FUR-BO-10004218"/>
    <x v="0"/>
    <x v="0"/>
    <s v="Bush Heritage Pine Collection 5-Shelf Bookcase, Albany Pine Finish, *Special Order"/>
    <n v="493"/>
    <n v="5"/>
    <n v="0.3"/>
    <n v="-70"/>
    <x v="0"/>
    <s v="Sep"/>
  </r>
  <r>
    <n v="8871"/>
    <s v="CA-2017-101805"/>
    <x v="451"/>
    <d v="2017-12-06T00:00:00"/>
    <x v="1"/>
    <s v="SH-19975"/>
    <s v="Sally Hughsby"/>
    <x v="1"/>
    <s v="United States"/>
    <x v="15"/>
    <x v="13"/>
    <n v="98105"/>
    <x v="1"/>
    <s v="FUR-FU-10000023"/>
    <x v="0"/>
    <x v="3"/>
    <s v="Eldon Wave Desk Accessories"/>
    <n v="71"/>
    <n v="12"/>
    <n v="0"/>
    <n v="31"/>
    <x v="2"/>
    <s v="Dec"/>
  </r>
  <r>
    <n v="8889"/>
    <s v="CA-2017-103968"/>
    <x v="451"/>
    <d v="2017-12-07T00:00:00"/>
    <x v="1"/>
    <s v="ML-17755"/>
    <s v="Max Ludwig"/>
    <x v="2"/>
    <s v="United States"/>
    <x v="354"/>
    <x v="2"/>
    <n v="95207"/>
    <x v="1"/>
    <s v="FUR-FU-10003394"/>
    <x v="0"/>
    <x v="3"/>
    <s v="Tenex &quot;The Solids&quot; Textured Chair Mats"/>
    <n v="630"/>
    <n v="9"/>
    <n v="0"/>
    <n v="107"/>
    <x v="6"/>
    <s v="Dec"/>
  </r>
  <r>
    <n v="8892"/>
    <s v="CA-2016-162159"/>
    <x v="751"/>
    <d v="2016-09-18T00:00:00"/>
    <x v="2"/>
    <s v="CR-12625"/>
    <s v="Corey Roper"/>
    <x v="2"/>
    <s v="United States"/>
    <x v="29"/>
    <x v="24"/>
    <n v="31907"/>
    <x v="0"/>
    <s v="FUR-CH-10001146"/>
    <x v="0"/>
    <x v="1"/>
    <s v="Global Value Mid-Back Manager's Chair, Gray"/>
    <n v="122"/>
    <n v="2"/>
    <n v="0"/>
    <n v="30"/>
    <x v="3"/>
    <s v="Sep"/>
  </r>
  <r>
    <n v="8893"/>
    <s v="CA-2015-111038"/>
    <x v="239"/>
    <d v="2015-12-06T00:00:00"/>
    <x v="1"/>
    <s v="LC-16960"/>
    <s v="Lindsay Castell"/>
    <x v="2"/>
    <s v="United States"/>
    <x v="53"/>
    <x v="2"/>
    <n v="92037"/>
    <x v="1"/>
    <s v="FUR-CH-10003973"/>
    <x v="0"/>
    <x v="1"/>
    <s v="GuestStacker Chair with Chrome Finish Legs"/>
    <n v="2677"/>
    <n v="9"/>
    <n v="0.2"/>
    <n v="268"/>
    <x v="2"/>
    <s v="Dec"/>
  </r>
  <r>
    <n v="8894"/>
    <s v="CA-2014-124723"/>
    <x v="31"/>
    <d v="2014-08-12T00:00:00"/>
    <x v="1"/>
    <s v="GZ-14470"/>
    <s v="Gary Zandusky"/>
    <x v="0"/>
    <s v="United States"/>
    <x v="303"/>
    <x v="5"/>
    <n v="77590"/>
    <x v="3"/>
    <s v="FUR-TA-10001307"/>
    <x v="0"/>
    <x v="2"/>
    <s v="SAFCO PlanMaster Heigh-Adjustable Drafting Table Base, 43w x 30d x 30-37h, Black"/>
    <n v="489"/>
    <n v="2"/>
    <n v="0.3"/>
    <n v="42"/>
    <x v="1"/>
    <s v="Aug"/>
  </r>
  <r>
    <n v="8895"/>
    <s v="CA-2016-167241"/>
    <x v="404"/>
    <d v="2016-08-22T00:00:00"/>
    <x v="1"/>
    <s v="BD-11320"/>
    <s v="Bill Donatelli"/>
    <x v="0"/>
    <s v="United States"/>
    <x v="2"/>
    <x v="2"/>
    <n v="90004"/>
    <x v="1"/>
    <s v="FUR-FU-10004071"/>
    <x v="0"/>
    <x v="3"/>
    <s v="Luxo Professional Magnifying Clamp-On Fluorescent Lamps"/>
    <n v="312"/>
    <n v="3"/>
    <n v="0"/>
    <n v="44"/>
    <x v="1"/>
    <s v="Aug"/>
  </r>
  <r>
    <n v="8901"/>
    <s v="CA-2016-150483"/>
    <x v="841"/>
    <d v="2016-06-04T00:00:00"/>
    <x v="1"/>
    <s v="BP-11290"/>
    <s v="Beth Paige"/>
    <x v="0"/>
    <s v="United States"/>
    <x v="42"/>
    <x v="8"/>
    <n v="62521"/>
    <x v="3"/>
    <s v="FUR-FU-10001379"/>
    <x v="0"/>
    <x v="3"/>
    <s v="Executive Impressions 16-1/2&quot; Circular Wall Clock"/>
    <n v="32"/>
    <n v="3"/>
    <n v="0.6"/>
    <n v="-13"/>
    <x v="4"/>
    <s v="May"/>
  </r>
  <r>
    <n v="8903"/>
    <s v="CA-2016-150483"/>
    <x v="841"/>
    <d v="2016-06-04T00:00:00"/>
    <x v="1"/>
    <s v="BP-11290"/>
    <s v="Beth Paige"/>
    <x v="0"/>
    <s v="United States"/>
    <x v="42"/>
    <x v="8"/>
    <n v="62521"/>
    <x v="3"/>
    <s v="FUR-CH-10000422"/>
    <x v="0"/>
    <x v="1"/>
    <s v="Global Highback Leather Tilter in Burgundy"/>
    <n v="191"/>
    <n v="3"/>
    <n v="0.3"/>
    <n v="-38"/>
    <x v="4"/>
    <s v="May"/>
  </r>
  <r>
    <n v="8920"/>
    <s v="CA-2014-160276"/>
    <x v="842"/>
    <d v="2014-04-08T00:00:00"/>
    <x v="1"/>
    <s v="AH-10690"/>
    <s v="Anna HŠberlin"/>
    <x v="1"/>
    <s v="United States"/>
    <x v="304"/>
    <x v="25"/>
    <n v="23464"/>
    <x v="0"/>
    <s v="FUR-FU-10003192"/>
    <x v="0"/>
    <x v="3"/>
    <s v="Luxo Adjustable Task Clamp Lamp"/>
    <n v="178"/>
    <n v="2"/>
    <n v="0"/>
    <n v="46"/>
    <x v="6"/>
    <s v="Apr"/>
  </r>
  <r>
    <n v="8923"/>
    <s v="CA-2016-145709"/>
    <x v="803"/>
    <d v="2016-10-08T00:00:00"/>
    <x v="1"/>
    <s v="AH-10690"/>
    <s v="Anna HŠberlin"/>
    <x v="1"/>
    <s v="United States"/>
    <x v="355"/>
    <x v="1"/>
    <n v="33134"/>
    <x v="0"/>
    <s v="FUR-FU-10002885"/>
    <x v="0"/>
    <x v="3"/>
    <s v="Magna Visual Magnetic Picture Hangers"/>
    <n v="12"/>
    <n v="3"/>
    <n v="0.2"/>
    <n v="3"/>
    <x v="4"/>
    <s v="Oct"/>
  </r>
  <r>
    <n v="8927"/>
    <s v="CA-2016-168032"/>
    <x v="772"/>
    <d v="2016-02-03T00:00:00"/>
    <x v="1"/>
    <s v="DF-13135"/>
    <s v="David Flashing"/>
    <x v="0"/>
    <s v="United States"/>
    <x v="88"/>
    <x v="8"/>
    <n v="61107"/>
    <x v="3"/>
    <s v="FUR-TA-10004256"/>
    <x v="0"/>
    <x v="2"/>
    <s v="Bretford ÒJust In TimeÓ Height-Adjustable Multi-Task Work Tables"/>
    <n v="626"/>
    <n v="3"/>
    <n v="0.5"/>
    <n v="-538"/>
    <x v="4"/>
    <s v="Jan"/>
  </r>
  <r>
    <n v="8929"/>
    <s v="US-2015-168704"/>
    <x v="315"/>
    <d v="2015-04-17T00:00:00"/>
    <x v="1"/>
    <s v="FP-14320"/>
    <s v="Frank Preis"/>
    <x v="0"/>
    <s v="United States"/>
    <x v="156"/>
    <x v="5"/>
    <n v="77340"/>
    <x v="3"/>
    <s v="FUR-TA-10000688"/>
    <x v="0"/>
    <x v="2"/>
    <s v="Chromcraft Bull-Nose Wood Round Conference Table Top, Wood Base"/>
    <n v="610"/>
    <n v="4"/>
    <n v="0.3"/>
    <n v="-113"/>
    <x v="4"/>
    <s v="Apr"/>
  </r>
  <r>
    <n v="8930"/>
    <s v="US-2015-168704"/>
    <x v="315"/>
    <d v="2015-04-17T00:00:00"/>
    <x v="1"/>
    <s v="FP-14320"/>
    <s v="Frank Preis"/>
    <x v="0"/>
    <s v="United States"/>
    <x v="156"/>
    <x v="5"/>
    <n v="77340"/>
    <x v="3"/>
    <s v="FUR-TA-10002530"/>
    <x v="0"/>
    <x v="2"/>
    <s v="Iceberg OfficeWorks 42&quot; Round Tables"/>
    <n v="211"/>
    <n v="2"/>
    <n v="0.3"/>
    <n v="-45"/>
    <x v="4"/>
    <s v="Apr"/>
  </r>
  <r>
    <n v="8932"/>
    <s v="CA-2017-143252"/>
    <x v="186"/>
    <d v="2017-12-24T00:00:00"/>
    <x v="1"/>
    <s v="HE-14800"/>
    <s v="Harold Engle"/>
    <x v="1"/>
    <s v="United States"/>
    <x v="79"/>
    <x v="16"/>
    <n v="53209"/>
    <x v="3"/>
    <s v="FUR-FU-10001057"/>
    <x v="0"/>
    <x v="3"/>
    <s v="Tensor Track Tree Floor Lamp"/>
    <n v="100"/>
    <n v="5"/>
    <n v="0"/>
    <n v="23"/>
    <x v="6"/>
    <s v="Dec"/>
  </r>
  <r>
    <n v="8934"/>
    <s v="CA-2016-102134"/>
    <x v="269"/>
    <d v="2016-03-19T00:00:00"/>
    <x v="1"/>
    <s v="SP-20545"/>
    <s v="Sibella Parks"/>
    <x v="1"/>
    <s v="United States"/>
    <x v="356"/>
    <x v="16"/>
    <n v="54302"/>
    <x v="3"/>
    <s v="FUR-FU-10003724"/>
    <x v="0"/>
    <x v="3"/>
    <s v="Westinghouse Clip-On Gooseneck Lamps"/>
    <n v="17"/>
    <n v="2"/>
    <n v="0"/>
    <n v="4"/>
    <x v="2"/>
    <s v="Mar"/>
  </r>
  <r>
    <n v="8944"/>
    <s v="CA-2017-111717"/>
    <x v="843"/>
    <d v="2017-10-16T00:00:00"/>
    <x v="1"/>
    <s v="SW-20245"/>
    <s v="Scot Wooten"/>
    <x v="0"/>
    <s v="United States"/>
    <x v="14"/>
    <x v="8"/>
    <n v="60505"/>
    <x v="3"/>
    <s v="FUR-CH-10001545"/>
    <x v="0"/>
    <x v="1"/>
    <s v="Hon Comfortask Task/Swivel Chairs"/>
    <n v="239"/>
    <n v="3"/>
    <n v="0.3"/>
    <n v="-48"/>
    <x v="6"/>
    <s v="Oct"/>
  </r>
  <r>
    <n v="8950"/>
    <s v="CA-2017-150910"/>
    <x v="313"/>
    <d v="2017-12-28T00:00:00"/>
    <x v="1"/>
    <s v="JL-15130"/>
    <s v="Jack Lebron"/>
    <x v="0"/>
    <s v="United States"/>
    <x v="38"/>
    <x v="9"/>
    <n v="38301"/>
    <x v="0"/>
    <s v="FUR-TA-10002903"/>
    <x v="0"/>
    <x v="2"/>
    <s v="Bevis Round Bullnose 29&quot; High Table Top"/>
    <n v="935"/>
    <n v="6"/>
    <n v="0.4"/>
    <n v="-249"/>
    <x v="6"/>
    <s v="Dec"/>
  </r>
  <r>
    <n v="8955"/>
    <s v="CA-2014-156790"/>
    <x v="98"/>
    <d v="2014-08-10T00:00:00"/>
    <x v="0"/>
    <s v="VG-21790"/>
    <s v="Vivek Gonzalez"/>
    <x v="0"/>
    <s v="United States"/>
    <x v="51"/>
    <x v="1"/>
    <n v="32216"/>
    <x v="0"/>
    <s v="FUR-BO-10000468"/>
    <x v="0"/>
    <x v="0"/>
    <s v="O'Sullivan 2-Shelf Heavy-Duty Bookcases"/>
    <n v="155"/>
    <n v="4"/>
    <n v="0.2"/>
    <n v="-8"/>
    <x v="3"/>
    <s v="Aug"/>
  </r>
  <r>
    <n v="8957"/>
    <s v="CA-2017-105620"/>
    <x v="19"/>
    <d v="2017-12-28T00:00:00"/>
    <x v="2"/>
    <s v="JH-15430"/>
    <s v="Jennifer Halladay"/>
    <x v="0"/>
    <s v="United States"/>
    <x v="173"/>
    <x v="1"/>
    <n v="33012"/>
    <x v="0"/>
    <s v="FUR-FU-10004963"/>
    <x v="0"/>
    <x v="3"/>
    <s v="Eldon 400 Class Desk Accessories, Black Carbon"/>
    <n v="21"/>
    <n v="3"/>
    <n v="0.2"/>
    <n v="6"/>
    <x v="0"/>
    <s v="Dec"/>
  </r>
  <r>
    <n v="8961"/>
    <s v="CA-2017-150266"/>
    <x v="608"/>
    <d v="2017-11-30T00:00:00"/>
    <x v="1"/>
    <s v="RO-19780"/>
    <s v="Rose O'Brian"/>
    <x v="0"/>
    <s v="United States"/>
    <x v="6"/>
    <x v="5"/>
    <n v="77070"/>
    <x v="3"/>
    <s v="FUR-CH-10002126"/>
    <x v="0"/>
    <x v="1"/>
    <s v="Hon Deluxe Fabric Upholstered Stacking Chairs"/>
    <n v="854"/>
    <n v="5"/>
    <n v="0.3"/>
    <n v="-24"/>
    <x v="2"/>
    <s v="Nov"/>
  </r>
  <r>
    <n v="8963"/>
    <s v="CA-2016-157280"/>
    <x v="541"/>
    <d v="2016-11-07T00:00:00"/>
    <x v="2"/>
    <s v="LW-17125"/>
    <s v="Liz Willingham"/>
    <x v="0"/>
    <s v="United States"/>
    <x v="304"/>
    <x v="25"/>
    <n v="23464"/>
    <x v="0"/>
    <s v="FUR-FU-10004665"/>
    <x v="0"/>
    <x v="3"/>
    <s v="3M Polarizing Task Lamp with Clamp Arm, Light Gray"/>
    <n v="274"/>
    <n v="2"/>
    <n v="0"/>
    <n v="71"/>
    <x v="3"/>
    <s v="Nov"/>
  </r>
  <r>
    <n v="8965"/>
    <s v="CA-2016-157280"/>
    <x v="541"/>
    <d v="2016-11-07T00:00:00"/>
    <x v="2"/>
    <s v="LW-17125"/>
    <s v="Liz Willingham"/>
    <x v="0"/>
    <s v="United States"/>
    <x v="304"/>
    <x v="25"/>
    <n v="23464"/>
    <x v="0"/>
    <s v="FUR-FU-10003806"/>
    <x v="0"/>
    <x v="3"/>
    <s v="Tenex Chairmat w/ Average Lip, 45&quot; x 53&quot;"/>
    <n v="757"/>
    <n v="5"/>
    <n v="0"/>
    <n v="76"/>
    <x v="3"/>
    <s v="Nov"/>
  </r>
  <r>
    <n v="8968"/>
    <s v="CA-2016-134180"/>
    <x v="361"/>
    <d v="2016-11-07T00:00:00"/>
    <x v="1"/>
    <s v="JP-16135"/>
    <s v="Julie Prescott"/>
    <x v="2"/>
    <s v="United States"/>
    <x v="3"/>
    <x v="3"/>
    <n v="19120"/>
    <x v="2"/>
    <s v="FUR-CH-10004886"/>
    <x v="0"/>
    <x v="1"/>
    <s v="Bevis Steel Folding Chairs"/>
    <n v="470"/>
    <n v="7"/>
    <n v="0.3"/>
    <n v="-13"/>
    <x v="4"/>
    <s v="Nov"/>
  </r>
  <r>
    <n v="8972"/>
    <s v="CA-2017-122308"/>
    <x v="781"/>
    <d v="2017-03-28T00:00:00"/>
    <x v="1"/>
    <s v="MV-17485"/>
    <s v="Mark Van Huff"/>
    <x v="0"/>
    <s v="United States"/>
    <x v="13"/>
    <x v="7"/>
    <n v="10011"/>
    <x v="2"/>
    <s v="FUR-CH-10000665"/>
    <x v="0"/>
    <x v="1"/>
    <s v="Global Airflow Leather Mesh Back Chair, Black"/>
    <n v="272"/>
    <n v="2"/>
    <n v="0.1"/>
    <n v="60"/>
    <x v="4"/>
    <s v="Mar"/>
  </r>
  <r>
    <n v="8974"/>
    <s v="CA-2017-159226"/>
    <x v="844"/>
    <d v="2017-04-27T00:00:00"/>
    <x v="0"/>
    <s v="RL-19615"/>
    <s v="Rob Lucas"/>
    <x v="0"/>
    <s v="United States"/>
    <x v="2"/>
    <x v="2"/>
    <n v="90008"/>
    <x v="1"/>
    <s v="FUR-BO-10004709"/>
    <x v="0"/>
    <x v="0"/>
    <s v="Bush Westfield Collection Bookcases, Medium Cherry Finish"/>
    <n v="345"/>
    <n v="7"/>
    <n v="0.15"/>
    <n v="28"/>
    <x v="3"/>
    <s v="Apr"/>
  </r>
  <r>
    <n v="8977"/>
    <s v="CA-2017-156622"/>
    <x v="68"/>
    <d v="2017-11-26T00:00:00"/>
    <x v="2"/>
    <s v="JP-15460"/>
    <s v="Jennifer Patt"/>
    <x v="1"/>
    <s v="United States"/>
    <x v="144"/>
    <x v="5"/>
    <n v="75220"/>
    <x v="3"/>
    <s v="FUR-TA-10003008"/>
    <x v="0"/>
    <x v="2"/>
    <s v="Lesro Round Back Collection Coffee Table, End Table"/>
    <n v="128"/>
    <n v="1"/>
    <n v="0.3"/>
    <n v="-31"/>
    <x v="0"/>
    <s v="Nov"/>
  </r>
  <r>
    <n v="8984"/>
    <s v="CA-2016-110898"/>
    <x v="845"/>
    <d v="2016-03-12T00:00:00"/>
    <x v="1"/>
    <s v="LC-16870"/>
    <s v="Lena Cacioppo"/>
    <x v="0"/>
    <s v="United States"/>
    <x v="9"/>
    <x v="8"/>
    <n v="60623"/>
    <x v="3"/>
    <s v="FUR-FU-10003773"/>
    <x v="0"/>
    <x v="3"/>
    <s v="Eldon Cleatmat Plus Chair Mats for High Pile Carpets"/>
    <n v="159"/>
    <n v="5"/>
    <n v="0.6"/>
    <n v="-195"/>
    <x v="6"/>
    <s v="Mar"/>
  </r>
  <r>
    <n v="8985"/>
    <s v="CA-2016-110898"/>
    <x v="845"/>
    <d v="2016-03-12T00:00:00"/>
    <x v="1"/>
    <s v="LC-16870"/>
    <s v="Lena Cacioppo"/>
    <x v="0"/>
    <s v="United States"/>
    <x v="9"/>
    <x v="8"/>
    <n v="60623"/>
    <x v="3"/>
    <s v="FUR-TA-10000849"/>
    <x v="0"/>
    <x v="2"/>
    <s v="Bevis Rectangular Conference Tables"/>
    <n v="146"/>
    <n v="2"/>
    <n v="0.5"/>
    <n v="-99"/>
    <x v="6"/>
    <s v="Mar"/>
  </r>
  <r>
    <n v="8986"/>
    <s v="CA-2015-123092"/>
    <x v="62"/>
    <d v="2015-12-07T00:00:00"/>
    <x v="1"/>
    <s v="JG-15115"/>
    <s v="Jack Garza"/>
    <x v="0"/>
    <s v="United States"/>
    <x v="51"/>
    <x v="30"/>
    <n v="28540"/>
    <x v="0"/>
    <s v="FUR-FU-10000222"/>
    <x v="0"/>
    <x v="3"/>
    <s v="Seth Thomas 16&quot; Steel Case Clock"/>
    <n v="78"/>
    <n v="3"/>
    <n v="0.2"/>
    <n v="13"/>
    <x v="4"/>
    <s v="Dec"/>
  </r>
  <r>
    <n v="8990"/>
    <s v="US-2015-128587"/>
    <x v="37"/>
    <d v="2015-12-30T00:00:00"/>
    <x v="1"/>
    <s v="HM-14860"/>
    <s v="Harry Marie"/>
    <x v="1"/>
    <s v="United States"/>
    <x v="76"/>
    <x v="23"/>
    <n v="65807"/>
    <x v="3"/>
    <s v="FUR-FU-10003026"/>
    <x v="0"/>
    <x v="3"/>
    <s v="Eldon Regeneration Recycled Desk Accessories, Black"/>
    <n v="10"/>
    <n v="2"/>
    <n v="0"/>
    <n v="4"/>
    <x v="6"/>
    <s v="Dec"/>
  </r>
  <r>
    <n v="8994"/>
    <s v="CA-2017-159100"/>
    <x v="259"/>
    <d v="2017-10-21T00:00:00"/>
    <x v="1"/>
    <s v="VP-21760"/>
    <s v="Victoria Pisteka"/>
    <x v="1"/>
    <s v="United States"/>
    <x v="11"/>
    <x v="9"/>
    <n v="38401"/>
    <x v="0"/>
    <s v="FUR-TA-10001950"/>
    <x v="0"/>
    <x v="2"/>
    <s v="Balt Solid Wood Round Tables"/>
    <n v="1875"/>
    <n v="7"/>
    <n v="0.4"/>
    <n v="-969"/>
    <x v="2"/>
    <s v="Oct"/>
  </r>
  <r>
    <n v="9000"/>
    <s v="CA-2017-137785"/>
    <x v="846"/>
    <d v="2017-05-17T00:00:00"/>
    <x v="1"/>
    <s v="MH-18115"/>
    <s v="Mick Hernandez"/>
    <x v="2"/>
    <s v="United States"/>
    <x v="3"/>
    <x v="3"/>
    <n v="19140"/>
    <x v="2"/>
    <s v="FUR-CH-10001482"/>
    <x v="0"/>
    <x v="1"/>
    <s v="Office Star - Mesh Screen back chair with Vinyl seat"/>
    <n v="458"/>
    <n v="5"/>
    <n v="0.3"/>
    <n v="-124"/>
    <x v="4"/>
    <s v="May"/>
  </r>
  <r>
    <n v="9009"/>
    <s v="CA-2017-107825"/>
    <x v="414"/>
    <d v="2017-11-18T00:00:00"/>
    <x v="3"/>
    <s v="NB-18655"/>
    <s v="Nona Balk"/>
    <x v="1"/>
    <s v="United States"/>
    <x v="79"/>
    <x v="16"/>
    <n v="53209"/>
    <x v="3"/>
    <s v="FUR-FU-10000206"/>
    <x v="0"/>
    <x v="3"/>
    <s v="GE General Purpose, Extra Long Life, Showcase &amp; Floodlight Incandescent Bulbs"/>
    <n v="6"/>
    <n v="2"/>
    <n v="0"/>
    <n v="3"/>
    <x v="7"/>
    <s v="Nov"/>
  </r>
  <r>
    <n v="9013"/>
    <s v="CA-2016-121447"/>
    <x v="629"/>
    <d v="2016-02-22T00:00:00"/>
    <x v="2"/>
    <s v="EA-14035"/>
    <s v="Erin Ashbrook"/>
    <x v="1"/>
    <s v="United States"/>
    <x v="13"/>
    <x v="7"/>
    <n v="10011"/>
    <x v="2"/>
    <s v="FUR-FU-10001861"/>
    <x v="0"/>
    <x v="3"/>
    <s v="Floodlight Indoor Halogen Bulbs, 1 Bulb per Pack, 60 Watts"/>
    <n v="136"/>
    <n v="7"/>
    <n v="0"/>
    <n v="67"/>
    <x v="5"/>
    <s v="Feb"/>
  </r>
  <r>
    <n v="9021"/>
    <s v="CA-2014-100706"/>
    <x v="439"/>
    <d v="2014-12-18T00:00:00"/>
    <x v="0"/>
    <s v="LE-16810"/>
    <s v="Laurel Elliston"/>
    <x v="0"/>
    <s v="United States"/>
    <x v="76"/>
    <x v="25"/>
    <n v="22153"/>
    <x v="0"/>
    <s v="FUR-FU-10002268"/>
    <x v="0"/>
    <x v="3"/>
    <s v="Ultra Door Push Plate"/>
    <n v="29"/>
    <n v="6"/>
    <n v="0"/>
    <n v="10"/>
    <x v="3"/>
    <s v="Dec"/>
  </r>
  <r>
    <n v="9023"/>
    <s v="US-2016-141880"/>
    <x v="847"/>
    <d v="2016-08-23T00:00:00"/>
    <x v="2"/>
    <s v="TC-21475"/>
    <s v="Tony Chapman"/>
    <x v="2"/>
    <s v="United States"/>
    <x v="200"/>
    <x v="12"/>
    <n v="80525"/>
    <x v="1"/>
    <s v="FUR-FU-10001979"/>
    <x v="0"/>
    <x v="3"/>
    <s v="Dana Halogen Swing-Arm Architect Lamp"/>
    <n v="98"/>
    <n v="3"/>
    <n v="0.2"/>
    <n v="10"/>
    <x v="5"/>
    <s v="Aug"/>
  </r>
  <r>
    <n v="9024"/>
    <s v="CA-2015-165799"/>
    <x v="330"/>
    <d v="2015-07-02T00:00:00"/>
    <x v="2"/>
    <s v="SG-20470"/>
    <s v="Sheri Gordon"/>
    <x v="0"/>
    <s v="United States"/>
    <x v="13"/>
    <x v="7"/>
    <n v="10024"/>
    <x v="2"/>
    <s v="FUR-CH-10001482"/>
    <x v="0"/>
    <x v="1"/>
    <s v="Office Star - Mesh Screen back chair with Vinyl seat"/>
    <n v="118"/>
    <n v="1"/>
    <n v="0.1"/>
    <n v="1"/>
    <x v="0"/>
    <s v="Jun"/>
  </r>
  <r>
    <n v="9027"/>
    <s v="CA-2016-102127"/>
    <x v="517"/>
    <d v="2016-07-02T00:00:00"/>
    <x v="1"/>
    <s v="VP-21760"/>
    <s v="Victoria Pisteka"/>
    <x v="1"/>
    <s v="United States"/>
    <x v="13"/>
    <x v="7"/>
    <n v="10035"/>
    <x v="2"/>
    <s v="FUR-FU-10003976"/>
    <x v="0"/>
    <x v="3"/>
    <s v="DAX Executive Solid Wood Document Frame, Desktop or Hang, Mahogany, 5 x 7"/>
    <n v="38"/>
    <n v="3"/>
    <n v="0"/>
    <n v="13"/>
    <x v="6"/>
    <s v="Jun"/>
  </r>
  <r>
    <n v="9028"/>
    <s v="US-2016-152415"/>
    <x v="334"/>
    <d v="2016-09-22T00:00:00"/>
    <x v="1"/>
    <s v="PO-18865"/>
    <s v="Patrick O'Donnell"/>
    <x v="0"/>
    <s v="United States"/>
    <x v="357"/>
    <x v="20"/>
    <n v="1752"/>
    <x v="2"/>
    <s v="FUR-FU-10002597"/>
    <x v="0"/>
    <x v="3"/>
    <s v="C-Line Magnetic Cubicle Keepers, Clear Polypropylene"/>
    <n v="15"/>
    <n v="3"/>
    <n v="0"/>
    <n v="6"/>
    <x v="2"/>
    <s v="Sep"/>
  </r>
  <r>
    <n v="9029"/>
    <s v="US-2016-152415"/>
    <x v="334"/>
    <d v="2016-09-22T00:00:00"/>
    <x v="1"/>
    <s v="PO-18865"/>
    <s v="Patrick O'Donnell"/>
    <x v="0"/>
    <s v="United States"/>
    <x v="357"/>
    <x v="20"/>
    <n v="1752"/>
    <x v="2"/>
    <s v="FUR-FU-10004864"/>
    <x v="0"/>
    <x v="3"/>
    <s v="Howard Miller 14-1/2&quot; Diameter Chrome Round Wall Clock"/>
    <n v="192"/>
    <n v="3"/>
    <n v="0"/>
    <n v="61"/>
    <x v="2"/>
    <s v="Sep"/>
  </r>
  <r>
    <n v="9032"/>
    <s v="CA-2017-128041"/>
    <x v="449"/>
    <d v="2017-09-01T00:00:00"/>
    <x v="3"/>
    <s v="RW-19540"/>
    <s v="Rick Wilson"/>
    <x v="1"/>
    <s v="United States"/>
    <x v="15"/>
    <x v="13"/>
    <n v="98103"/>
    <x v="1"/>
    <s v="FUR-TA-10002607"/>
    <x v="0"/>
    <x v="2"/>
    <s v="KI Conference Tables"/>
    <n v="284"/>
    <n v="4"/>
    <n v="0"/>
    <n v="45"/>
    <x v="7"/>
    <s v="Sep"/>
  </r>
  <r>
    <n v="9033"/>
    <s v="CA-2017-105823"/>
    <x v="848"/>
    <d v="2017-06-26T00:00:00"/>
    <x v="1"/>
    <s v="RB-19465"/>
    <s v="Rick Bensley"/>
    <x v="2"/>
    <s v="United States"/>
    <x v="25"/>
    <x v="17"/>
    <n v="48227"/>
    <x v="3"/>
    <s v="FUR-CH-10000454"/>
    <x v="0"/>
    <x v="1"/>
    <s v="Hon Deluxe Fabric Upholstered Stacking Chairs, Rounded Back"/>
    <n v="488"/>
    <n v="2"/>
    <n v="0"/>
    <n v="146"/>
    <x v="4"/>
    <s v="Jun"/>
  </r>
  <r>
    <n v="9041"/>
    <s v="CA-2014-138177"/>
    <x v="539"/>
    <d v="2014-09-24T00:00:00"/>
    <x v="1"/>
    <s v="ND-18460"/>
    <s v="Neil Ducich"/>
    <x v="1"/>
    <s v="United States"/>
    <x v="262"/>
    <x v="22"/>
    <n v="85224"/>
    <x v="1"/>
    <s v="FUR-TA-10004607"/>
    <x v="0"/>
    <x v="2"/>
    <s v="Hon 2111 Invitation Series Straight Table"/>
    <n v="74"/>
    <n v="1"/>
    <n v="0.5"/>
    <n v="-46"/>
    <x v="2"/>
    <s v="Sep"/>
  </r>
  <r>
    <n v="9042"/>
    <s v="CA-2014-114335"/>
    <x v="849"/>
    <d v="2014-10-03T00:00:00"/>
    <x v="1"/>
    <s v="XP-21865"/>
    <s v="Xylona Preis"/>
    <x v="0"/>
    <s v="United States"/>
    <x v="358"/>
    <x v="1"/>
    <n v="33021"/>
    <x v="0"/>
    <s v="FUR-FU-10000277"/>
    <x v="0"/>
    <x v="3"/>
    <s v="Deflect-o DuraMat Antistatic Studded Beveled Mat for Medium Pile Carpeting"/>
    <n v="337"/>
    <n v="4"/>
    <n v="0.2"/>
    <n v="17"/>
    <x v="2"/>
    <s v="Sep"/>
  </r>
  <r>
    <n v="9057"/>
    <s v="CA-2015-160227"/>
    <x v="46"/>
    <d v="2015-11-04T00:00:00"/>
    <x v="2"/>
    <s v="ED-13885"/>
    <s v="Emily Ducich"/>
    <x v="2"/>
    <s v="United States"/>
    <x v="13"/>
    <x v="7"/>
    <n v="10011"/>
    <x v="2"/>
    <s v="FUR-CH-10002073"/>
    <x v="0"/>
    <x v="1"/>
    <s v="Hon Olson Stacker Chairs"/>
    <n v="2621"/>
    <n v="11"/>
    <n v="0.1"/>
    <n v="553"/>
    <x v="3"/>
    <s v="Nov"/>
  </r>
  <r>
    <n v="9058"/>
    <s v="CA-2015-149097"/>
    <x v="798"/>
    <d v="2015-10-24T00:00:00"/>
    <x v="1"/>
    <s v="SV-20785"/>
    <s v="Stewart Visinsky"/>
    <x v="0"/>
    <s v="United States"/>
    <x v="2"/>
    <x v="2"/>
    <n v="90045"/>
    <x v="1"/>
    <s v="FUR-FU-10003424"/>
    <x v="0"/>
    <x v="3"/>
    <s v="Nu-Dell Oak Frame"/>
    <n v="75"/>
    <n v="7"/>
    <n v="0"/>
    <n v="24"/>
    <x v="4"/>
    <s v="Oct"/>
  </r>
  <r>
    <n v="9059"/>
    <s v="CA-2015-149097"/>
    <x v="798"/>
    <d v="2015-10-24T00:00:00"/>
    <x v="1"/>
    <s v="SV-20785"/>
    <s v="Stewart Visinsky"/>
    <x v="0"/>
    <s v="United States"/>
    <x v="2"/>
    <x v="2"/>
    <n v="90045"/>
    <x v="1"/>
    <s v="FUR-TA-10001086"/>
    <x v="0"/>
    <x v="2"/>
    <s v="SAFCO PlanMaster Boards, 60w x 37-1/2d, White Melamine"/>
    <n v="365"/>
    <n v="3"/>
    <n v="0.2"/>
    <n v="27"/>
    <x v="4"/>
    <s v="Oct"/>
  </r>
  <r>
    <n v="9060"/>
    <s v="CA-2016-132304"/>
    <x v="184"/>
    <d v="2016-06-18T00:00:00"/>
    <x v="1"/>
    <s v="AR-10825"/>
    <s v="Anthony Rawles"/>
    <x v="1"/>
    <s v="United States"/>
    <x v="15"/>
    <x v="13"/>
    <n v="98103"/>
    <x v="1"/>
    <s v="FUR-TA-10004619"/>
    <x v="0"/>
    <x v="2"/>
    <s v="Hon Non-Folding Utility Tables"/>
    <n v="1115"/>
    <n v="7"/>
    <n v="0"/>
    <n v="335"/>
    <x v="4"/>
    <s v="Jun"/>
  </r>
  <r>
    <n v="9069"/>
    <s v="CA-2016-106278"/>
    <x v="227"/>
    <d v="2016-09-05T00:00:00"/>
    <x v="0"/>
    <s v="BM-11140"/>
    <s v="Becky Martin"/>
    <x v="0"/>
    <s v="United States"/>
    <x v="67"/>
    <x v="13"/>
    <n v="98198"/>
    <x v="1"/>
    <s v="FUR-CH-10003061"/>
    <x v="0"/>
    <x v="1"/>
    <s v="Global Leather Task Chair, Black"/>
    <n v="216"/>
    <n v="3"/>
    <n v="0.2"/>
    <n v="-3"/>
    <x v="0"/>
    <s v="Sep"/>
  </r>
  <r>
    <n v="9071"/>
    <s v="CA-2017-147550"/>
    <x v="423"/>
    <d v="2017-12-05T00:00:00"/>
    <x v="2"/>
    <s v="KE-16420"/>
    <s v="Katrina Edelman"/>
    <x v="1"/>
    <s v="United States"/>
    <x v="3"/>
    <x v="3"/>
    <n v="19134"/>
    <x v="2"/>
    <s v="FUR-FU-10001918"/>
    <x v="0"/>
    <x v="3"/>
    <s v="C-Line Cubicle Keepers Polyproplyene Holder With Velcro Backings"/>
    <n v="11"/>
    <n v="3"/>
    <n v="0.2"/>
    <n v="3"/>
    <x v="5"/>
    <s v="Dec"/>
  </r>
  <r>
    <n v="9079"/>
    <s v="CA-2016-108105"/>
    <x v="285"/>
    <d v="2016-02-23T00:00:00"/>
    <x v="1"/>
    <s v="GW-14605"/>
    <s v="Giulietta Weimer"/>
    <x v="0"/>
    <s v="United States"/>
    <x v="0"/>
    <x v="0"/>
    <n v="42420"/>
    <x v="0"/>
    <s v="FUR-FU-10003773"/>
    <x v="0"/>
    <x v="3"/>
    <s v="Eldon Cleatmat Plus Chair Mats for High Pile Carpets"/>
    <n v="318"/>
    <n v="4"/>
    <n v="0"/>
    <n v="35"/>
    <x v="1"/>
    <s v="Feb"/>
  </r>
  <r>
    <n v="9088"/>
    <s v="CA-2016-143406"/>
    <x v="73"/>
    <d v="2016-09-30T00:00:00"/>
    <x v="1"/>
    <s v="LR-17035"/>
    <s v="Lisa Ryan"/>
    <x v="1"/>
    <s v="United States"/>
    <x v="6"/>
    <x v="5"/>
    <n v="77041"/>
    <x v="3"/>
    <s v="FUR-CH-10000513"/>
    <x v="0"/>
    <x v="1"/>
    <s v="High-Back Leather Manager's Chair"/>
    <n v="455"/>
    <n v="5"/>
    <n v="0.3"/>
    <n v="-136"/>
    <x v="4"/>
    <s v="Sep"/>
  </r>
  <r>
    <n v="9093"/>
    <s v="CA-2015-162950"/>
    <x v="741"/>
    <d v="2015-07-03T00:00:00"/>
    <x v="0"/>
    <s v="DW-13585"/>
    <s v="Dorothy Wardle"/>
    <x v="1"/>
    <s v="United States"/>
    <x v="8"/>
    <x v="15"/>
    <n v="45373"/>
    <x v="2"/>
    <s v="FUR-BO-10001918"/>
    <x v="0"/>
    <x v="0"/>
    <s v="Sauder Forest Hills Library with Doors, Woodland Oak Finish"/>
    <n v="483"/>
    <n v="6"/>
    <n v="0.5"/>
    <n v="-377"/>
    <x v="2"/>
    <s v="Jun"/>
  </r>
  <r>
    <n v="9104"/>
    <s v="CA-2015-163181"/>
    <x v="86"/>
    <d v="2015-11-12T00:00:00"/>
    <x v="1"/>
    <s v="AB-10105"/>
    <s v="Adrian Barton"/>
    <x v="0"/>
    <s v="United States"/>
    <x v="6"/>
    <x v="5"/>
    <n v="77041"/>
    <x v="3"/>
    <s v="FUR-FU-10000193"/>
    <x v="0"/>
    <x v="3"/>
    <s v="Tenex Chairmats For Use with Hard Floors"/>
    <n v="65"/>
    <n v="5"/>
    <n v="0.6"/>
    <n v="-84"/>
    <x v="2"/>
    <s v="Nov"/>
  </r>
  <r>
    <n v="9117"/>
    <s v="CA-2017-153045"/>
    <x v="850"/>
    <d v="2017-01-24T00:00:00"/>
    <x v="0"/>
    <s v="NS-18505"/>
    <s v="Neola Schneider"/>
    <x v="0"/>
    <s v="United States"/>
    <x v="3"/>
    <x v="3"/>
    <n v="19140"/>
    <x v="2"/>
    <s v="FUR-FU-10002759"/>
    <x v="0"/>
    <x v="3"/>
    <s v="12-1/2 Diameter Round Wall Clock"/>
    <n v="32"/>
    <n v="2"/>
    <n v="0.2"/>
    <n v="6"/>
    <x v="2"/>
    <s v="Jan"/>
  </r>
  <r>
    <n v="9118"/>
    <s v="CA-2017-153045"/>
    <x v="850"/>
    <d v="2017-01-24T00:00:00"/>
    <x v="0"/>
    <s v="NS-18505"/>
    <s v="Neola Schneider"/>
    <x v="0"/>
    <s v="United States"/>
    <x v="3"/>
    <x v="3"/>
    <n v="19140"/>
    <x v="2"/>
    <s v="FUR-CH-10000309"/>
    <x v="0"/>
    <x v="1"/>
    <s v="Global Comet Stacking Arm Chair"/>
    <n v="887"/>
    <n v="3"/>
    <n v="0.3"/>
    <n v="-63"/>
    <x v="2"/>
    <s v="Jan"/>
  </r>
  <r>
    <n v="9125"/>
    <s v="CA-2016-128916"/>
    <x v="851"/>
    <d v="2016-08-20T00:00:00"/>
    <x v="0"/>
    <s v="MA-17560"/>
    <s v="Matt Abelman"/>
    <x v="2"/>
    <s v="United States"/>
    <x v="6"/>
    <x v="5"/>
    <n v="77070"/>
    <x v="3"/>
    <s v="FUR-FU-10001940"/>
    <x v="0"/>
    <x v="3"/>
    <s v="Staple-based wall hangings"/>
    <n v="10"/>
    <n v="3"/>
    <n v="0.6"/>
    <n v="-4"/>
    <x v="3"/>
    <s v="Aug"/>
  </r>
  <r>
    <n v="9126"/>
    <s v="CA-2016-128916"/>
    <x v="851"/>
    <d v="2016-08-20T00:00:00"/>
    <x v="0"/>
    <s v="MA-17560"/>
    <s v="Matt Abelman"/>
    <x v="2"/>
    <s v="United States"/>
    <x v="6"/>
    <x v="5"/>
    <n v="77070"/>
    <x v="3"/>
    <s v="FUR-FU-10000320"/>
    <x v="0"/>
    <x v="3"/>
    <s v="OIC Stacking Trays"/>
    <n v="5"/>
    <n v="4"/>
    <n v="0.6"/>
    <n v="-2"/>
    <x v="3"/>
    <s v="Aug"/>
  </r>
  <r>
    <n v="9130"/>
    <s v="CA-2016-130911"/>
    <x v="852"/>
    <d v="2016-03-26T00:00:00"/>
    <x v="0"/>
    <s v="DC-12850"/>
    <s v="Dan Campbell"/>
    <x v="0"/>
    <s v="United States"/>
    <x v="59"/>
    <x v="15"/>
    <n v="44105"/>
    <x v="2"/>
    <s v="FUR-BO-10004357"/>
    <x v="0"/>
    <x v="0"/>
    <s v="O'Sullivan Living Dimensions 3-Shelf Bookcases"/>
    <n v="301"/>
    <n v="3"/>
    <n v="0.5"/>
    <n v="-241"/>
    <x v="3"/>
    <s v="Mar"/>
  </r>
  <r>
    <n v="9132"/>
    <s v="CA-2017-100055"/>
    <x v="15"/>
    <d v="2017-06-01T00:00:00"/>
    <x v="1"/>
    <s v="MD-17860"/>
    <s v="Michael Dominguez"/>
    <x v="1"/>
    <s v="United States"/>
    <x v="359"/>
    <x v="32"/>
    <n v="20707"/>
    <x v="2"/>
    <s v="FUR-FU-10001473"/>
    <x v="0"/>
    <x v="3"/>
    <s v="DAX Wood Document Frame"/>
    <n v="27"/>
    <n v="2"/>
    <n v="0"/>
    <n v="10"/>
    <x v="4"/>
    <s v="May"/>
  </r>
  <r>
    <n v="9155"/>
    <s v="CA-2016-132990"/>
    <x v="853"/>
    <d v="2016-08-03T00:00:00"/>
    <x v="0"/>
    <s v="KM-16660"/>
    <s v="Khloe Miller"/>
    <x v="0"/>
    <s v="United States"/>
    <x v="3"/>
    <x v="3"/>
    <n v="19140"/>
    <x v="2"/>
    <s v="FUR-FU-10004864"/>
    <x v="0"/>
    <x v="3"/>
    <s v="Eldon 500 Class Desk Accessories"/>
    <n v="19"/>
    <n v="2"/>
    <n v="0.2"/>
    <n v="3"/>
    <x v="3"/>
    <s v="Aug"/>
  </r>
  <r>
    <n v="9162"/>
    <s v="CA-2016-160108"/>
    <x v="6"/>
    <d v="2016-12-12T00:00:00"/>
    <x v="1"/>
    <s v="AG-10900"/>
    <s v="Arthur Gainer"/>
    <x v="0"/>
    <s v="United States"/>
    <x v="360"/>
    <x v="16"/>
    <n v="54703"/>
    <x v="3"/>
    <s v="FUR-BO-10003450"/>
    <x v="0"/>
    <x v="0"/>
    <s v="Bush Westfield Collection Bookcases, Dark Cherry Finish"/>
    <n v="406"/>
    <n v="7"/>
    <n v="0"/>
    <n v="32"/>
    <x v="4"/>
    <s v="Dec"/>
  </r>
  <r>
    <n v="9163"/>
    <s v="CA-2016-160108"/>
    <x v="6"/>
    <d v="2016-12-12T00:00:00"/>
    <x v="1"/>
    <s v="AG-10900"/>
    <s v="Arthur Gainer"/>
    <x v="0"/>
    <s v="United States"/>
    <x v="360"/>
    <x v="16"/>
    <n v="54703"/>
    <x v="3"/>
    <s v="FUR-CH-10002335"/>
    <x v="0"/>
    <x v="1"/>
    <s v="Hon GuestStacker Chair"/>
    <n v="680"/>
    <n v="3"/>
    <n v="0"/>
    <n v="177"/>
    <x v="4"/>
    <s v="Dec"/>
  </r>
  <r>
    <n v="9171"/>
    <s v="US-2016-155768"/>
    <x v="193"/>
    <d v="2016-12-01T00:00:00"/>
    <x v="3"/>
    <s v="LB-16795"/>
    <s v="Laurel Beltran"/>
    <x v="2"/>
    <s v="United States"/>
    <x v="299"/>
    <x v="2"/>
    <n v="93030"/>
    <x v="1"/>
    <s v="FUR-FU-10000448"/>
    <x v="0"/>
    <x v="3"/>
    <s v="Tenex Chairmats For Use With Carpeted Floors"/>
    <n v="32"/>
    <n v="2"/>
    <n v="0"/>
    <n v="2"/>
    <x v="7"/>
    <s v="Dec"/>
  </r>
  <r>
    <n v="9185"/>
    <s v="CA-2017-156776"/>
    <x v="854"/>
    <d v="2017-08-11T00:00:00"/>
    <x v="1"/>
    <s v="JL-15505"/>
    <s v="Jeremy Lonsdale"/>
    <x v="0"/>
    <s v="United States"/>
    <x v="327"/>
    <x v="2"/>
    <n v="92683"/>
    <x v="1"/>
    <s v="FUR-FU-10004848"/>
    <x v="0"/>
    <x v="3"/>
    <s v="Howard Miller 13-3/4&quot; Diameter Brushed Chrome Round Wall Clock"/>
    <n v="52"/>
    <n v="1"/>
    <n v="0"/>
    <n v="16"/>
    <x v="4"/>
    <s v="Aug"/>
  </r>
  <r>
    <n v="9186"/>
    <s v="CA-2017-156776"/>
    <x v="854"/>
    <d v="2017-08-11T00:00:00"/>
    <x v="1"/>
    <s v="JL-15505"/>
    <s v="Jeremy Lonsdale"/>
    <x v="0"/>
    <s v="United States"/>
    <x v="327"/>
    <x v="2"/>
    <n v="92683"/>
    <x v="1"/>
    <s v="FUR-CH-10002317"/>
    <x v="0"/>
    <x v="1"/>
    <s v="Global Enterprise Series Seating Low-Back Swivel/Tilt Chairs"/>
    <n v="207"/>
    <n v="1"/>
    <n v="0.2"/>
    <n v="26"/>
    <x v="4"/>
    <s v="Aug"/>
  </r>
  <r>
    <n v="9200"/>
    <s v="CA-2014-103310"/>
    <x v="769"/>
    <d v="2014-05-15T00:00:00"/>
    <x v="1"/>
    <s v="GM-14680"/>
    <s v="Greg Matthias"/>
    <x v="0"/>
    <s v="United States"/>
    <x v="124"/>
    <x v="2"/>
    <n v="95123"/>
    <x v="1"/>
    <s v="FUR-CH-10002320"/>
    <x v="0"/>
    <x v="1"/>
    <s v="Hon Pagoda Stacking Chairs"/>
    <n v="257"/>
    <n v="1"/>
    <n v="0.2"/>
    <n v="32"/>
    <x v="2"/>
    <s v="May"/>
  </r>
  <r>
    <n v="9201"/>
    <s v="CA-2016-152688"/>
    <x v="816"/>
    <d v="2016-10-20T00:00:00"/>
    <x v="2"/>
    <s v="NR-18550"/>
    <s v="Nick Radford"/>
    <x v="0"/>
    <s v="United States"/>
    <x v="361"/>
    <x v="18"/>
    <n v="8861"/>
    <x v="2"/>
    <s v="FUR-BO-10001337"/>
    <x v="0"/>
    <x v="0"/>
    <s v="O'Sullivan Living Dimensions 2-Shelf Bookcases"/>
    <n v="121"/>
    <n v="1"/>
    <n v="0"/>
    <n v="12"/>
    <x v="0"/>
    <s v="Oct"/>
  </r>
  <r>
    <n v="9213"/>
    <s v="CA-2014-144071"/>
    <x v="489"/>
    <d v="2014-12-15T00:00:00"/>
    <x v="1"/>
    <s v="DJ-13420"/>
    <s v="Denny Joy"/>
    <x v="1"/>
    <s v="United States"/>
    <x v="28"/>
    <x v="2"/>
    <n v="94110"/>
    <x v="1"/>
    <s v="FUR-FU-10000397"/>
    <x v="0"/>
    <x v="3"/>
    <s v="Luxo Economy Swing Arm Lamp"/>
    <n v="40"/>
    <n v="2"/>
    <n v="0"/>
    <n v="11"/>
    <x v="1"/>
    <s v="Dec"/>
  </r>
  <r>
    <n v="9214"/>
    <s v="CA-2014-144071"/>
    <x v="489"/>
    <d v="2014-12-15T00:00:00"/>
    <x v="1"/>
    <s v="DJ-13420"/>
    <s v="Denny Joy"/>
    <x v="1"/>
    <s v="United States"/>
    <x v="28"/>
    <x v="2"/>
    <n v="94110"/>
    <x v="1"/>
    <s v="FUR-FU-10000758"/>
    <x v="0"/>
    <x v="3"/>
    <s v="DAX Natural Wood-Tone Poster Frame"/>
    <n v="79"/>
    <n v="3"/>
    <n v="0"/>
    <n v="29"/>
    <x v="1"/>
    <s v="Dec"/>
  </r>
  <r>
    <n v="9220"/>
    <s v="US-2015-164238"/>
    <x v="793"/>
    <d v="2015-08-20T00:00:00"/>
    <x v="1"/>
    <s v="JW-15955"/>
    <s v="Joni Wasserman"/>
    <x v="0"/>
    <s v="United States"/>
    <x v="3"/>
    <x v="3"/>
    <n v="19120"/>
    <x v="2"/>
    <s v="FUR-BO-10000780"/>
    <x v="0"/>
    <x v="0"/>
    <s v="O'Sullivan Plantations 2-Door Library in Landvery Oak"/>
    <n v="301"/>
    <n v="3"/>
    <n v="0.5"/>
    <n v="-205"/>
    <x v="4"/>
    <s v="Aug"/>
  </r>
  <r>
    <n v="9222"/>
    <s v="CA-2017-103212"/>
    <x v="540"/>
    <d v="2017-10-14T00:00:00"/>
    <x v="2"/>
    <s v="MH-18025"/>
    <s v="Michelle Huthwaite"/>
    <x v="0"/>
    <s v="United States"/>
    <x v="120"/>
    <x v="35"/>
    <n v="70506"/>
    <x v="0"/>
    <s v="FUR-TA-10003473"/>
    <x v="0"/>
    <x v="2"/>
    <s v="Bretford Rectangular Conference Table Tops"/>
    <n v="1505"/>
    <n v="4"/>
    <n v="0"/>
    <n v="346"/>
    <x v="5"/>
    <s v="Oct"/>
  </r>
  <r>
    <n v="9233"/>
    <s v="CA-2016-126732"/>
    <x v="227"/>
    <d v="2016-09-06T00:00:00"/>
    <x v="1"/>
    <s v="LR-16915"/>
    <s v="Lena Radford"/>
    <x v="0"/>
    <s v="United States"/>
    <x v="2"/>
    <x v="2"/>
    <n v="90036"/>
    <x v="1"/>
    <s v="FUR-FU-10001889"/>
    <x v="0"/>
    <x v="3"/>
    <s v="Ultra Door Pull Handle"/>
    <n v="95"/>
    <n v="9"/>
    <n v="0"/>
    <n v="31"/>
    <x v="4"/>
    <s v="Sep"/>
  </r>
  <r>
    <n v="9237"/>
    <s v="CA-2016-126732"/>
    <x v="227"/>
    <d v="2016-09-06T00:00:00"/>
    <x v="1"/>
    <s v="LR-16915"/>
    <s v="Lena Radford"/>
    <x v="0"/>
    <s v="United States"/>
    <x v="2"/>
    <x v="2"/>
    <n v="90036"/>
    <x v="1"/>
    <s v="FUR-TA-10001539"/>
    <x v="0"/>
    <x v="2"/>
    <s v="Chromcraft Rectangular Conference Tables"/>
    <n v="569"/>
    <n v="3"/>
    <n v="0.2"/>
    <n v="28"/>
    <x v="4"/>
    <s v="Sep"/>
  </r>
  <r>
    <n v="9239"/>
    <s v="CA-2017-138156"/>
    <x v="441"/>
    <d v="2017-02-14T00:00:00"/>
    <x v="2"/>
    <s v="MM-17260"/>
    <s v="Magdelene Morse"/>
    <x v="0"/>
    <s v="United States"/>
    <x v="29"/>
    <x v="15"/>
    <n v="43229"/>
    <x v="2"/>
    <s v="FUR-FU-10003601"/>
    <x v="0"/>
    <x v="3"/>
    <s v="Deflect-o RollaMat Studded, Beveled Mat for Medium Pile Carpeting"/>
    <n v="148"/>
    <n v="2"/>
    <n v="0.2"/>
    <n v="-4"/>
    <x v="0"/>
    <s v="Feb"/>
  </r>
  <r>
    <n v="9244"/>
    <s v="CA-2014-113271"/>
    <x v="855"/>
    <d v="2014-07-14T00:00:00"/>
    <x v="1"/>
    <s v="DS-13030"/>
    <s v="Darrin Sayre"/>
    <x v="2"/>
    <s v="United States"/>
    <x v="28"/>
    <x v="2"/>
    <n v="94122"/>
    <x v="1"/>
    <s v="FUR-BO-10004218"/>
    <x v="0"/>
    <x v="0"/>
    <s v="Bush Heritage Pine Collection 5-Shelf Bookcase, Albany Pine Finish, *Special Order"/>
    <n v="120"/>
    <n v="1"/>
    <n v="0.15"/>
    <n v="7"/>
    <x v="2"/>
    <s v="Jul"/>
  </r>
  <r>
    <n v="9255"/>
    <s v="CA-2014-168368"/>
    <x v="651"/>
    <d v="2014-02-15T00:00:00"/>
    <x v="0"/>
    <s v="GA-14725"/>
    <s v="Guy Armstrong"/>
    <x v="0"/>
    <s v="United States"/>
    <x v="11"/>
    <x v="23"/>
    <n v="65203"/>
    <x v="3"/>
    <s v="FUR-CH-10001146"/>
    <x v="0"/>
    <x v="1"/>
    <s v="Global Value Mid-Back Manager's Chair, Gray"/>
    <n v="61"/>
    <n v="1"/>
    <n v="0"/>
    <n v="15"/>
    <x v="4"/>
    <s v="Feb"/>
  </r>
  <r>
    <n v="9258"/>
    <s v="CA-2014-168368"/>
    <x v="651"/>
    <d v="2014-02-15T00:00:00"/>
    <x v="0"/>
    <s v="GA-14725"/>
    <s v="Guy Armstrong"/>
    <x v="0"/>
    <s v="United States"/>
    <x v="11"/>
    <x v="23"/>
    <n v="65203"/>
    <x v="3"/>
    <s v="FUR-FU-10002298"/>
    <x v="0"/>
    <x v="3"/>
    <s v="Rubbermaid ClusterMat Chairmats, Mat Size- 66&quot; x 60&quot;, Lip 20&quot; x 11&quot; -90 Degree Angle"/>
    <n v="333"/>
    <n v="3"/>
    <n v="0"/>
    <n v="53"/>
    <x v="4"/>
    <s v="Feb"/>
  </r>
  <r>
    <n v="9262"/>
    <s v="CA-2017-111388"/>
    <x v="113"/>
    <d v="2017-09-02T00:00:00"/>
    <x v="3"/>
    <s v="SU-20665"/>
    <s v="Stephanie Ulpright"/>
    <x v="2"/>
    <s v="United States"/>
    <x v="15"/>
    <x v="13"/>
    <n v="98103"/>
    <x v="1"/>
    <s v="FUR-CH-10003061"/>
    <x v="0"/>
    <x v="1"/>
    <s v="Global Leather Task Chair, Black"/>
    <n v="216"/>
    <n v="3"/>
    <n v="0.2"/>
    <n v="-3"/>
    <x v="7"/>
    <s v="Sep"/>
  </r>
  <r>
    <n v="9263"/>
    <s v="CA-2015-124499"/>
    <x v="856"/>
    <d v="2015-10-13T00:00:00"/>
    <x v="1"/>
    <s v="FM-14380"/>
    <s v="Fred McMath"/>
    <x v="0"/>
    <s v="United States"/>
    <x v="25"/>
    <x v="17"/>
    <n v="48227"/>
    <x v="3"/>
    <s v="FUR-CH-10000513"/>
    <x v="0"/>
    <x v="1"/>
    <s v="High-Back Leather Manager's Chair"/>
    <n v="390"/>
    <n v="3"/>
    <n v="0"/>
    <n v="35"/>
    <x v="4"/>
    <s v="Oct"/>
  </r>
  <r>
    <n v="9267"/>
    <s v="CA-2014-125759"/>
    <x v="857"/>
    <d v="2014-02-09T00:00:00"/>
    <x v="2"/>
    <s v="NM-18445"/>
    <s v="Nathan Mautz"/>
    <x v="2"/>
    <s v="United States"/>
    <x v="111"/>
    <x v="34"/>
    <n v="89031"/>
    <x v="1"/>
    <s v="FUR-FU-10002111"/>
    <x v="0"/>
    <x v="3"/>
    <s v="Master Caster Door Stop, Large Brown"/>
    <n v="15"/>
    <n v="2"/>
    <n v="0"/>
    <n v="6"/>
    <x v="5"/>
    <s v="Feb"/>
  </r>
  <r>
    <n v="9268"/>
    <s v="CA-2015-151869"/>
    <x v="4"/>
    <d v="2015-09-25T00:00:00"/>
    <x v="3"/>
    <s v="CS-11950"/>
    <s v="Carlos Soltero"/>
    <x v="0"/>
    <s v="United States"/>
    <x v="234"/>
    <x v="7"/>
    <n v="11520"/>
    <x v="2"/>
    <s v="FUR-CH-10001545"/>
    <x v="0"/>
    <x v="1"/>
    <s v="Hon Comfortask Task/Swivel Chairs"/>
    <n v="103"/>
    <n v="1"/>
    <n v="0.1"/>
    <n v="7"/>
    <x v="7"/>
    <s v="Sep"/>
  </r>
  <r>
    <n v="9272"/>
    <s v="CA-2016-100510"/>
    <x v="858"/>
    <d v="2016-05-17T00:00:00"/>
    <x v="1"/>
    <s v="HM-14860"/>
    <s v="Harry Marie"/>
    <x v="1"/>
    <s v="United States"/>
    <x v="13"/>
    <x v="7"/>
    <n v="10024"/>
    <x v="2"/>
    <s v="FUR-FU-10000320"/>
    <x v="0"/>
    <x v="3"/>
    <s v="OIC Stacking Trays"/>
    <n v="10"/>
    <n v="3"/>
    <n v="0"/>
    <n v="4"/>
    <x v="2"/>
    <s v="May"/>
  </r>
  <r>
    <n v="9280"/>
    <s v="CA-2017-122539"/>
    <x v="451"/>
    <d v="2017-12-05T00:00:00"/>
    <x v="1"/>
    <s v="SC-20305"/>
    <s v="Sean Christensen"/>
    <x v="0"/>
    <s v="United States"/>
    <x v="3"/>
    <x v="3"/>
    <n v="19140"/>
    <x v="2"/>
    <s v="FUR-CH-10003379"/>
    <x v="0"/>
    <x v="1"/>
    <s v="Global Commerce Series High-Back Swivel/Tilt Chairs"/>
    <n v="399"/>
    <n v="2"/>
    <n v="0.3"/>
    <n v="-28"/>
    <x v="4"/>
    <s v="Dec"/>
  </r>
  <r>
    <n v="9281"/>
    <s v="CA-2016-166772"/>
    <x v="649"/>
    <d v="2016-09-24T00:00:00"/>
    <x v="1"/>
    <s v="HJ-14875"/>
    <s v="Heather Jas"/>
    <x v="2"/>
    <s v="United States"/>
    <x v="15"/>
    <x v="13"/>
    <n v="98105"/>
    <x v="1"/>
    <s v="FUR-BO-10002853"/>
    <x v="0"/>
    <x v="0"/>
    <s v="O'Sullivan 5-Shelf Heavy-Duty Bookcases"/>
    <n v="164"/>
    <n v="2"/>
    <n v="0"/>
    <n v="41"/>
    <x v="4"/>
    <s v="Sep"/>
  </r>
  <r>
    <n v="9285"/>
    <s v="CA-2014-161032"/>
    <x v="356"/>
    <d v="2014-11-23T00:00:00"/>
    <x v="1"/>
    <s v="MK-17905"/>
    <s v="Michael Kennedy"/>
    <x v="1"/>
    <s v="United States"/>
    <x v="20"/>
    <x v="16"/>
    <n v="53132"/>
    <x v="3"/>
    <s v="FUR-CH-10001482"/>
    <x v="0"/>
    <x v="1"/>
    <s v="Office Star - Mesh Screen back chair with Vinyl seat"/>
    <n v="393"/>
    <n v="3"/>
    <n v="0"/>
    <n v="43"/>
    <x v="2"/>
    <s v="Nov"/>
  </r>
  <r>
    <n v="9286"/>
    <s v="CA-2015-102778"/>
    <x v="32"/>
    <d v="2015-11-24T00:00:00"/>
    <x v="2"/>
    <s v="JH-15820"/>
    <s v="John Huston"/>
    <x v="0"/>
    <s v="United States"/>
    <x v="91"/>
    <x v="30"/>
    <n v="28110"/>
    <x v="0"/>
    <s v="FUR-FU-10000087"/>
    <x v="0"/>
    <x v="3"/>
    <s v="Executive Impressions 14&quot; Two-Color Numerals Wall Clock"/>
    <n v="18"/>
    <n v="1"/>
    <n v="0.2"/>
    <n v="5"/>
    <x v="0"/>
    <s v="Nov"/>
  </r>
  <r>
    <n v="9288"/>
    <s v="CA-2017-154011"/>
    <x v="744"/>
    <d v="2017-06-26T00:00:00"/>
    <x v="1"/>
    <s v="DB-13270"/>
    <s v="Deborah Brumfield"/>
    <x v="2"/>
    <s v="United States"/>
    <x v="144"/>
    <x v="5"/>
    <n v="75081"/>
    <x v="3"/>
    <s v="FUR-TA-10000688"/>
    <x v="0"/>
    <x v="2"/>
    <s v="Chromcraft Bull-Nose Wood Round Conference Table Top, Wood Base"/>
    <n v="457"/>
    <n v="3"/>
    <n v="0.3"/>
    <n v="-85"/>
    <x v="1"/>
    <s v="Jun"/>
  </r>
  <r>
    <n v="9289"/>
    <s v="US-2017-165456"/>
    <x v="147"/>
    <d v="2017-12-03T00:00:00"/>
    <x v="2"/>
    <s v="TB-21625"/>
    <s v="Trudy Brown"/>
    <x v="0"/>
    <s v="United States"/>
    <x v="3"/>
    <x v="3"/>
    <n v="19134"/>
    <x v="2"/>
    <s v="FUR-CH-10003981"/>
    <x v="0"/>
    <x v="1"/>
    <s v="Global Commerce Series Low-Back Swivel/Tilt Chairs"/>
    <n v="1079"/>
    <n v="6"/>
    <n v="0.3"/>
    <n v="-15"/>
    <x v="0"/>
    <s v="Nov"/>
  </r>
  <r>
    <n v="9296"/>
    <s v="CA-2017-161340"/>
    <x v="15"/>
    <d v="2017-06-01T00:00:00"/>
    <x v="1"/>
    <s v="AM-10360"/>
    <s v="Alice McCarthy"/>
    <x v="1"/>
    <s v="United States"/>
    <x v="59"/>
    <x v="15"/>
    <n v="44105"/>
    <x v="2"/>
    <s v="FUR-BO-10004709"/>
    <x v="0"/>
    <x v="0"/>
    <s v="Bush Westfield Collection Bookcases, Medium Cherry Finish"/>
    <n v="116"/>
    <n v="4"/>
    <n v="0.5"/>
    <n v="-65"/>
    <x v="4"/>
    <s v="May"/>
  </r>
  <r>
    <n v="9301"/>
    <s v="US-2015-163433"/>
    <x v="8"/>
    <d v="2015-04-22T00:00:00"/>
    <x v="0"/>
    <s v="MP-17965"/>
    <s v="Michael Paige"/>
    <x v="1"/>
    <s v="United States"/>
    <x v="362"/>
    <x v="5"/>
    <n v="78501"/>
    <x v="3"/>
    <s v="FUR-CH-10000225"/>
    <x v="0"/>
    <x v="1"/>
    <s v="Global Geo Office Task Chair, Gray"/>
    <n v="57"/>
    <n v="1"/>
    <n v="0.3"/>
    <n v="-20"/>
    <x v="4"/>
    <s v="Apr"/>
  </r>
  <r>
    <n v="9320"/>
    <s v="US-2017-108343"/>
    <x v="96"/>
    <d v="2017-07-25T00:00:00"/>
    <x v="1"/>
    <s v="AR-10825"/>
    <s v="Anthony Rawles"/>
    <x v="1"/>
    <s v="United States"/>
    <x v="13"/>
    <x v="7"/>
    <n v="10009"/>
    <x v="2"/>
    <s v="FUR-CH-10002780"/>
    <x v="0"/>
    <x v="1"/>
    <s v="Office Star - Task Chair with Contemporary Loop Arms"/>
    <n v="164"/>
    <n v="2"/>
    <n v="0.1"/>
    <n v="25"/>
    <x v="2"/>
    <s v="Jul"/>
  </r>
  <r>
    <n v="9321"/>
    <s v="US-2017-108343"/>
    <x v="96"/>
    <d v="2017-07-25T00:00:00"/>
    <x v="1"/>
    <s v="AR-10825"/>
    <s v="Anthony Rawles"/>
    <x v="1"/>
    <s v="United States"/>
    <x v="13"/>
    <x v="7"/>
    <n v="10009"/>
    <x v="2"/>
    <s v="FUR-FU-10000747"/>
    <x v="0"/>
    <x v="3"/>
    <s v="Tenex B1-RE Series Chair Mats for Low Pile Carpets"/>
    <n v="184"/>
    <n v="4"/>
    <n v="0"/>
    <n v="31"/>
    <x v="2"/>
    <s v="Jul"/>
  </r>
  <r>
    <n v="9322"/>
    <s v="US-2016-111563"/>
    <x v="114"/>
    <d v="2016-11-08T00:00:00"/>
    <x v="1"/>
    <s v="SM-20005"/>
    <s v="Sally Matthias"/>
    <x v="0"/>
    <s v="United States"/>
    <x v="6"/>
    <x v="5"/>
    <n v="77041"/>
    <x v="3"/>
    <s v="FUR-FU-10002445"/>
    <x v="0"/>
    <x v="3"/>
    <s v="DAX Two-Tone Rosewood/Black Document Frame, Desktop, 5 x 7"/>
    <n v="11"/>
    <n v="3"/>
    <n v="0.6"/>
    <n v="-6"/>
    <x v="4"/>
    <s v="Nov"/>
  </r>
  <r>
    <n v="9323"/>
    <s v="US-2016-111563"/>
    <x v="114"/>
    <d v="2016-11-08T00:00:00"/>
    <x v="1"/>
    <s v="SM-20005"/>
    <s v="Sally Matthias"/>
    <x v="0"/>
    <s v="United States"/>
    <x v="6"/>
    <x v="5"/>
    <n v="77041"/>
    <x v="3"/>
    <s v="FUR-FU-10000723"/>
    <x v="0"/>
    <x v="3"/>
    <s v="Deflect-o EconoMat Studded, No Bevel Mat for Low Pile Carpeting"/>
    <n v="66"/>
    <n v="4"/>
    <n v="0.6"/>
    <n v="-84"/>
    <x v="4"/>
    <s v="Nov"/>
  </r>
  <r>
    <n v="9325"/>
    <s v="CA-2017-121853"/>
    <x v="204"/>
    <d v="2017-09-29T00:00:00"/>
    <x v="1"/>
    <s v="DB-13660"/>
    <s v="Duane Benoit"/>
    <x v="0"/>
    <s v="United States"/>
    <x v="2"/>
    <x v="2"/>
    <n v="90036"/>
    <x v="1"/>
    <s v="FUR-CH-10003973"/>
    <x v="0"/>
    <x v="1"/>
    <s v="GuestStacker Chair with Chrome Finish Legs"/>
    <n v="595"/>
    <n v="2"/>
    <n v="0.2"/>
    <n v="59"/>
    <x v="6"/>
    <s v="Sep"/>
  </r>
  <r>
    <n v="9327"/>
    <s v="US-2017-130687"/>
    <x v="87"/>
    <d v="2017-09-10T00:00:00"/>
    <x v="2"/>
    <s v="PF-19225"/>
    <s v="Phillip Flathmann"/>
    <x v="0"/>
    <s v="United States"/>
    <x v="71"/>
    <x v="13"/>
    <n v="98026"/>
    <x v="1"/>
    <s v="FUR-FU-10004053"/>
    <x v="0"/>
    <x v="3"/>
    <s v="DAX Two-Tone Silver Metal Document Frame"/>
    <n v="81"/>
    <n v="4"/>
    <n v="0"/>
    <n v="35"/>
    <x v="0"/>
    <s v="Sep"/>
  </r>
  <r>
    <n v="9335"/>
    <s v="CA-2017-110198"/>
    <x v="806"/>
    <d v="2017-05-02T00:00:00"/>
    <x v="2"/>
    <s v="AG-10900"/>
    <s v="Arthur Gainer"/>
    <x v="0"/>
    <s v="United States"/>
    <x v="97"/>
    <x v="1"/>
    <n v="33065"/>
    <x v="0"/>
    <s v="FUR-BO-10001798"/>
    <x v="0"/>
    <x v="0"/>
    <s v="Bush Somerset Collection Bookcase"/>
    <n v="314"/>
    <n v="3"/>
    <n v="0.2"/>
    <n v="-16"/>
    <x v="5"/>
    <s v="May"/>
  </r>
  <r>
    <n v="9344"/>
    <s v="CA-2017-109085"/>
    <x v="506"/>
    <d v="2017-02-20T00:00:00"/>
    <x v="2"/>
    <s v="CK-12325"/>
    <s v="Christine Kargatis"/>
    <x v="2"/>
    <s v="United States"/>
    <x v="8"/>
    <x v="15"/>
    <n v="45373"/>
    <x v="2"/>
    <s v="FUR-TA-10001086"/>
    <x v="0"/>
    <x v="2"/>
    <s v="SAFCO PlanMaster Boards, 60w x 37-1/2d, White Melamine"/>
    <n v="456"/>
    <n v="5"/>
    <n v="0.4"/>
    <n v="-106"/>
    <x v="0"/>
    <s v="Feb"/>
  </r>
  <r>
    <n v="9347"/>
    <s v="CA-2017-109085"/>
    <x v="506"/>
    <d v="2017-02-20T00:00:00"/>
    <x v="2"/>
    <s v="CK-12325"/>
    <s v="Christine Kargatis"/>
    <x v="2"/>
    <s v="United States"/>
    <x v="8"/>
    <x v="15"/>
    <n v="45373"/>
    <x v="2"/>
    <s v="FUR-FU-10004973"/>
    <x v="0"/>
    <x v="3"/>
    <s v="Flat Face Poster Frame"/>
    <n v="30"/>
    <n v="2"/>
    <n v="0.2"/>
    <n v="8"/>
    <x v="0"/>
    <s v="Feb"/>
  </r>
  <r>
    <n v="9348"/>
    <s v="CA-2017-109085"/>
    <x v="506"/>
    <d v="2017-02-20T00:00:00"/>
    <x v="2"/>
    <s v="CK-12325"/>
    <s v="Christine Kargatis"/>
    <x v="2"/>
    <s v="United States"/>
    <x v="8"/>
    <x v="15"/>
    <n v="45373"/>
    <x v="2"/>
    <s v="FUR-CH-10003981"/>
    <x v="0"/>
    <x v="1"/>
    <s v="Global Commerce Series Low-Back Swivel/Tilt Chairs"/>
    <n v="899"/>
    <n v="5"/>
    <n v="0.3"/>
    <n v="-13"/>
    <x v="0"/>
    <s v="Feb"/>
  </r>
  <r>
    <n v="9349"/>
    <s v="CA-2016-114860"/>
    <x v="286"/>
    <d v="2016-12-28T00:00:00"/>
    <x v="1"/>
    <s v="DN-13690"/>
    <s v="Duane Noonan"/>
    <x v="0"/>
    <s v="United States"/>
    <x v="363"/>
    <x v="2"/>
    <n v="92553"/>
    <x v="1"/>
    <s v="FUR-FU-10000277"/>
    <x v="0"/>
    <x v="3"/>
    <s v="Deflect-o DuraMat Antistatic Studded Beveled Mat for Medium Pile Carpeting"/>
    <n v="843"/>
    <n v="8"/>
    <n v="0"/>
    <n v="202"/>
    <x v="6"/>
    <s v="Dec"/>
  </r>
  <r>
    <n v="9350"/>
    <s v="CA-2016-114860"/>
    <x v="286"/>
    <d v="2016-12-28T00:00:00"/>
    <x v="1"/>
    <s v="DN-13690"/>
    <s v="Duane Noonan"/>
    <x v="0"/>
    <s v="United States"/>
    <x v="363"/>
    <x v="2"/>
    <n v="92553"/>
    <x v="1"/>
    <s v="FUR-FU-10001934"/>
    <x v="0"/>
    <x v="3"/>
    <s v="Magnifier Swing Arm Lamp"/>
    <n v="42"/>
    <n v="2"/>
    <n v="0"/>
    <n v="11"/>
    <x v="6"/>
    <s v="Dec"/>
  </r>
  <r>
    <n v="9352"/>
    <s v="CA-2016-159009"/>
    <x v="348"/>
    <d v="2016-09-27T00:00:00"/>
    <x v="1"/>
    <s v="DP-13105"/>
    <s v="Dave Poirier"/>
    <x v="1"/>
    <s v="United States"/>
    <x v="15"/>
    <x v="13"/>
    <n v="98115"/>
    <x v="1"/>
    <s v="FUR-CH-10003396"/>
    <x v="0"/>
    <x v="1"/>
    <s v="Global Deluxe Steno Chair"/>
    <n v="185"/>
    <n v="3"/>
    <n v="0.2"/>
    <n v="-21"/>
    <x v="4"/>
    <s v="Sep"/>
  </r>
  <r>
    <n v="9353"/>
    <s v="CA-2017-148411"/>
    <x v="118"/>
    <d v="2017-09-26T00:00:00"/>
    <x v="2"/>
    <s v="RO-19780"/>
    <s v="Rose O'Brian"/>
    <x v="0"/>
    <s v="United States"/>
    <x v="9"/>
    <x v="8"/>
    <n v="60623"/>
    <x v="3"/>
    <s v="FUR-CH-10003973"/>
    <x v="0"/>
    <x v="1"/>
    <s v="GuestStacker Chair with Chrome Finish Legs"/>
    <n v="520"/>
    <n v="2"/>
    <n v="0.3"/>
    <n v="-15"/>
    <x v="3"/>
    <s v="Sep"/>
  </r>
  <r>
    <n v="9359"/>
    <s v="CA-2016-168046"/>
    <x v="859"/>
    <d v="2016-01-28T00:00:00"/>
    <x v="0"/>
    <s v="JD-15895"/>
    <s v="Jonathan Doherty"/>
    <x v="1"/>
    <s v="United States"/>
    <x v="13"/>
    <x v="7"/>
    <n v="10024"/>
    <x v="2"/>
    <s v="FUR-TA-10001095"/>
    <x v="0"/>
    <x v="2"/>
    <s v="Chromcraft Round Conference Tables"/>
    <n v="314"/>
    <n v="3"/>
    <n v="0.4"/>
    <n v="-99"/>
    <x v="0"/>
    <s v="Jan"/>
  </r>
  <r>
    <n v="9360"/>
    <s v="CA-2016-168046"/>
    <x v="859"/>
    <d v="2016-01-28T00:00:00"/>
    <x v="0"/>
    <s v="JD-15895"/>
    <s v="Jonathan Doherty"/>
    <x v="1"/>
    <s v="United States"/>
    <x v="13"/>
    <x v="7"/>
    <n v="10024"/>
    <x v="2"/>
    <s v="FUR-FU-10000747"/>
    <x v="0"/>
    <x v="3"/>
    <s v="Tenex B1-RE Series Chair Mats for Low Pile Carpets"/>
    <n v="46"/>
    <n v="1"/>
    <n v="0"/>
    <n v="8"/>
    <x v="0"/>
    <s v="Jan"/>
  </r>
  <r>
    <n v="9364"/>
    <s v="CA-2017-111591"/>
    <x v="555"/>
    <d v="2017-03-25T00:00:00"/>
    <x v="1"/>
    <s v="PS-18970"/>
    <s v="Paul Stevenson"/>
    <x v="2"/>
    <s v="United States"/>
    <x v="15"/>
    <x v="13"/>
    <n v="98105"/>
    <x v="1"/>
    <s v="FUR-FU-10002364"/>
    <x v="0"/>
    <x v="3"/>
    <s v="Eldon Expressions Wood Desk Accessories, Oak"/>
    <n v="22"/>
    <n v="3"/>
    <n v="0"/>
    <n v="6"/>
    <x v="4"/>
    <s v="Mar"/>
  </r>
  <r>
    <n v="9370"/>
    <s v="CA-2017-113460"/>
    <x v="388"/>
    <d v="2017-11-09T00:00:00"/>
    <x v="0"/>
    <s v="KN-16390"/>
    <s v="Katherine Nockton"/>
    <x v="1"/>
    <s v="United States"/>
    <x v="218"/>
    <x v="32"/>
    <n v="20735"/>
    <x v="2"/>
    <s v="FUR-CH-10000422"/>
    <x v="0"/>
    <x v="1"/>
    <s v="Global Highback Leather Tilter in Burgundy"/>
    <n v="273"/>
    <n v="3"/>
    <n v="0"/>
    <n v="44"/>
    <x v="3"/>
    <s v="Nov"/>
  </r>
  <r>
    <n v="9371"/>
    <s v="CA-2015-111339"/>
    <x v="860"/>
    <d v="2015-05-31T00:00:00"/>
    <x v="2"/>
    <s v="VP-21760"/>
    <s v="Victoria Pisteka"/>
    <x v="1"/>
    <s v="United States"/>
    <x v="29"/>
    <x v="15"/>
    <n v="43229"/>
    <x v="2"/>
    <s v="FUR-FU-10002506"/>
    <x v="0"/>
    <x v="3"/>
    <s v="Tensor &quot;Hersey Kiss&quot; Styled Floor Lamp"/>
    <n v="42"/>
    <n v="4"/>
    <n v="0.2"/>
    <n v="-4"/>
    <x v="3"/>
    <s v="May"/>
  </r>
  <r>
    <n v="9372"/>
    <s v="CA-2015-111339"/>
    <x v="860"/>
    <d v="2015-05-31T00:00:00"/>
    <x v="2"/>
    <s v="VP-21760"/>
    <s v="Victoria Pisteka"/>
    <x v="1"/>
    <s v="United States"/>
    <x v="29"/>
    <x v="15"/>
    <n v="43229"/>
    <x v="2"/>
    <s v="FUR-CH-10000863"/>
    <x v="0"/>
    <x v="1"/>
    <s v="Novimex Swivel Fabric Task Chair"/>
    <n v="317"/>
    <n v="3"/>
    <n v="0.3"/>
    <n v="-86"/>
    <x v="3"/>
    <s v="May"/>
  </r>
  <r>
    <n v="9381"/>
    <s v="CA-2014-154158"/>
    <x v="520"/>
    <d v="2014-12-27T00:00:00"/>
    <x v="0"/>
    <s v="CC-12670"/>
    <s v="Craig Carreira"/>
    <x v="0"/>
    <s v="United States"/>
    <x v="26"/>
    <x v="1"/>
    <n v="33614"/>
    <x v="0"/>
    <s v="FUR-CH-10004698"/>
    <x v="0"/>
    <x v="1"/>
    <s v="Padded Folding Chairs, Black, 4/Carton"/>
    <n v="65"/>
    <n v="1"/>
    <n v="0.2"/>
    <n v="6"/>
    <x v="4"/>
    <s v="Dec"/>
  </r>
  <r>
    <n v="9386"/>
    <s v="CA-2017-163097"/>
    <x v="60"/>
    <d v="2017-08-31T00:00:00"/>
    <x v="1"/>
    <s v="SF-20200"/>
    <s v="Sarah Foster"/>
    <x v="0"/>
    <s v="United States"/>
    <x v="81"/>
    <x v="22"/>
    <n v="85204"/>
    <x v="1"/>
    <s v="FUR-FU-10004973"/>
    <x v="0"/>
    <x v="3"/>
    <s v="Flat Face Poster Frame"/>
    <n v="121"/>
    <n v="8"/>
    <n v="0.2"/>
    <n v="33"/>
    <x v="4"/>
    <s v="Aug"/>
  </r>
  <r>
    <n v="9393"/>
    <s v="CA-2015-130848"/>
    <x v="551"/>
    <d v="2015-10-25T00:00:00"/>
    <x v="3"/>
    <s v="DG-13300"/>
    <s v="Deirdre Greer"/>
    <x v="1"/>
    <s v="United States"/>
    <x v="22"/>
    <x v="12"/>
    <n v="80219"/>
    <x v="1"/>
    <s v="FUR-CH-10000422"/>
    <x v="0"/>
    <x v="1"/>
    <s v="Global Highback Leather Tilter in Burgundy"/>
    <n v="582"/>
    <n v="8"/>
    <n v="0.2"/>
    <n v="-29"/>
    <x v="7"/>
    <s v="Oct"/>
  </r>
  <r>
    <n v="9395"/>
    <s v="CA-2014-125997"/>
    <x v="23"/>
    <d v="2014-09-23T00:00:00"/>
    <x v="2"/>
    <s v="MW-18220"/>
    <s v="Mitch Webber"/>
    <x v="0"/>
    <s v="United States"/>
    <x v="13"/>
    <x v="7"/>
    <n v="10011"/>
    <x v="2"/>
    <s v="FUR-CH-10001394"/>
    <x v="0"/>
    <x v="1"/>
    <s v="Global Leather Executive Chair"/>
    <n v="632"/>
    <n v="2"/>
    <n v="0.1"/>
    <n v="140"/>
    <x v="0"/>
    <s v="Sep"/>
  </r>
  <r>
    <n v="9396"/>
    <s v="CA-2014-125997"/>
    <x v="23"/>
    <d v="2014-09-23T00:00:00"/>
    <x v="2"/>
    <s v="MW-18220"/>
    <s v="Mitch Webber"/>
    <x v="0"/>
    <s v="United States"/>
    <x v="13"/>
    <x v="7"/>
    <n v="10011"/>
    <x v="2"/>
    <s v="FUR-BO-10002213"/>
    <x v="0"/>
    <x v="0"/>
    <s v="DMI Eclipse Executive Suite Bookcases"/>
    <n v="802"/>
    <n v="2"/>
    <n v="0.2"/>
    <n v="-10"/>
    <x v="0"/>
    <s v="Sep"/>
  </r>
  <r>
    <n v="9402"/>
    <s v="CA-2014-159814"/>
    <x v="861"/>
    <d v="2014-06-28T00:00:00"/>
    <x v="1"/>
    <s v="LP-17080"/>
    <s v="Liz Pelletier"/>
    <x v="0"/>
    <s v="United States"/>
    <x v="104"/>
    <x v="22"/>
    <n v="85705"/>
    <x v="1"/>
    <s v="FUR-FU-10001731"/>
    <x v="0"/>
    <x v="3"/>
    <s v="Acrylic Self-Standing Desk Frames"/>
    <n v="4"/>
    <n v="2"/>
    <n v="0.2"/>
    <n v="1"/>
    <x v="4"/>
    <s v="Jun"/>
  </r>
  <r>
    <n v="9403"/>
    <s v="CA-2016-105459"/>
    <x v="577"/>
    <d v="2016-08-17T00:00:00"/>
    <x v="0"/>
    <s v="NP-18700"/>
    <s v="Nora Preis"/>
    <x v="0"/>
    <s v="United States"/>
    <x v="13"/>
    <x v="7"/>
    <n v="10024"/>
    <x v="2"/>
    <s v="FUR-TA-10001095"/>
    <x v="0"/>
    <x v="2"/>
    <s v="Chromcraft Round Conference Tables"/>
    <n v="209"/>
    <n v="2"/>
    <n v="0.4"/>
    <n v="-66"/>
    <x v="2"/>
    <s v="Aug"/>
  </r>
  <r>
    <n v="9409"/>
    <s v="CA-2017-162789"/>
    <x v="320"/>
    <d v="2017-09-24T00:00:00"/>
    <x v="0"/>
    <s v="LC-17140"/>
    <s v="Logan Currie"/>
    <x v="0"/>
    <s v="United States"/>
    <x v="13"/>
    <x v="7"/>
    <n v="10035"/>
    <x v="2"/>
    <s v="FUR-FU-10004864"/>
    <x v="0"/>
    <x v="3"/>
    <s v="Eldon 500 Class Desk Accessories"/>
    <n v="12"/>
    <n v="1"/>
    <n v="0"/>
    <n v="4"/>
    <x v="3"/>
    <s v="Sep"/>
  </r>
  <r>
    <n v="9411"/>
    <s v="US-2017-110149"/>
    <x v="247"/>
    <d v="2017-12-13T00:00:00"/>
    <x v="2"/>
    <s v="WB-21850"/>
    <s v="William Brown"/>
    <x v="0"/>
    <s v="United States"/>
    <x v="3"/>
    <x v="3"/>
    <n v="19143"/>
    <x v="2"/>
    <s v="FUR-FU-10001475"/>
    <x v="0"/>
    <x v="3"/>
    <s v="Contract Clock, 14&quot;, Brown"/>
    <n v="88"/>
    <n v="5"/>
    <n v="0.2"/>
    <n v="15"/>
    <x v="0"/>
    <s v="Dec"/>
  </r>
  <r>
    <n v="9413"/>
    <s v="CA-2015-164777"/>
    <x v="369"/>
    <d v="2015-01-29T00:00:00"/>
    <x v="2"/>
    <s v="SC-20305"/>
    <s v="Sean Christensen"/>
    <x v="0"/>
    <s v="United States"/>
    <x v="2"/>
    <x v="2"/>
    <n v="90036"/>
    <x v="1"/>
    <s v="FUR-CH-10002024"/>
    <x v="0"/>
    <x v="1"/>
    <s v="HON 5400 Series Task Chairs for Big and Tall"/>
    <n v="2804"/>
    <n v="5"/>
    <n v="0.2"/>
    <n v="0"/>
    <x v="3"/>
    <s v="Jan"/>
  </r>
  <r>
    <n v="9417"/>
    <s v="CA-2015-127824"/>
    <x v="862"/>
    <d v="2015-10-22T00:00:00"/>
    <x v="1"/>
    <s v="JC-15775"/>
    <s v="John Castell"/>
    <x v="0"/>
    <s v="United States"/>
    <x v="15"/>
    <x v="13"/>
    <n v="98115"/>
    <x v="1"/>
    <s v="FUR-FU-10002505"/>
    <x v="0"/>
    <x v="3"/>
    <s v="Eldon 100 Class Desk Accessories"/>
    <n v="10"/>
    <n v="3"/>
    <n v="0"/>
    <n v="3"/>
    <x v="4"/>
    <s v="Oct"/>
  </r>
  <r>
    <n v="9426"/>
    <s v="CA-2014-116246"/>
    <x v="639"/>
    <d v="2014-09-17T00:00:00"/>
    <x v="0"/>
    <s v="LW-17215"/>
    <s v="Luke Weiss"/>
    <x v="0"/>
    <s v="United States"/>
    <x v="13"/>
    <x v="7"/>
    <n v="10035"/>
    <x v="2"/>
    <s v="FUR-CH-10002024"/>
    <x v="0"/>
    <x v="1"/>
    <s v="HON 5400 Series Task Chairs for Big and Tall"/>
    <n v="3785"/>
    <n v="6"/>
    <n v="0.1"/>
    <n v="421"/>
    <x v="2"/>
    <s v="Sep"/>
  </r>
  <r>
    <n v="9428"/>
    <s v="CA-2014-167486"/>
    <x v="863"/>
    <d v="2014-12-01T00:00:00"/>
    <x v="1"/>
    <s v="JO-15145"/>
    <s v="Jack O'Briant"/>
    <x v="1"/>
    <s v="United States"/>
    <x v="252"/>
    <x v="7"/>
    <n v="14215"/>
    <x v="2"/>
    <s v="FUR-FU-10003268"/>
    <x v="0"/>
    <x v="3"/>
    <s v="Eldon Radial Chair Mat for Low to Medium Pile Carpets"/>
    <n v="200"/>
    <n v="5"/>
    <n v="0"/>
    <n v="40"/>
    <x v="4"/>
    <s v="Nov"/>
  </r>
  <r>
    <n v="9429"/>
    <s v="CA-2014-152100"/>
    <x v="89"/>
    <d v="2014-05-16T00:00:00"/>
    <x v="1"/>
    <s v="VW-21775"/>
    <s v="Victoria Wilson"/>
    <x v="1"/>
    <s v="United States"/>
    <x v="156"/>
    <x v="5"/>
    <n v="77340"/>
    <x v="3"/>
    <s v="FUR-CH-10000015"/>
    <x v="0"/>
    <x v="1"/>
    <s v="Hon Multipurpose Stacking Arm Chairs"/>
    <n v="1213"/>
    <n v="8"/>
    <n v="0.3"/>
    <n v="-69"/>
    <x v="2"/>
    <s v="May"/>
  </r>
  <r>
    <n v="9431"/>
    <s v="CA-2015-166219"/>
    <x v="797"/>
    <d v="2015-09-01T00:00:00"/>
    <x v="1"/>
    <s v="BP-11185"/>
    <s v="Ben Peterman"/>
    <x v="1"/>
    <s v="United States"/>
    <x v="144"/>
    <x v="5"/>
    <n v="75081"/>
    <x v="3"/>
    <s v="FUR-TA-10004607"/>
    <x v="0"/>
    <x v="2"/>
    <s v="Hon 2111 Invitation Series Straight Table"/>
    <n v="103"/>
    <n v="1"/>
    <n v="0.3"/>
    <n v="-16"/>
    <x v="4"/>
    <s v="Aug"/>
  </r>
  <r>
    <n v="9448"/>
    <s v="CA-2017-136882"/>
    <x v="706"/>
    <d v="2017-06-03T00:00:00"/>
    <x v="1"/>
    <s v="DN-13690"/>
    <s v="Duane Noonan"/>
    <x v="0"/>
    <s v="United States"/>
    <x v="169"/>
    <x v="37"/>
    <n v="74133"/>
    <x v="3"/>
    <s v="FUR-FU-10003664"/>
    <x v="0"/>
    <x v="3"/>
    <s v="Electrix Architect's Clamp-On Swing Arm Lamp, Black"/>
    <n v="477"/>
    <n v="5"/>
    <n v="0"/>
    <n v="138"/>
    <x v="1"/>
    <s v="May"/>
  </r>
  <r>
    <n v="9463"/>
    <s v="US-2017-109610"/>
    <x v="608"/>
    <d v="2017-11-30T00:00:00"/>
    <x v="0"/>
    <s v="BS-11590"/>
    <s v="Brendan Sweed"/>
    <x v="1"/>
    <s v="United States"/>
    <x v="74"/>
    <x v="0"/>
    <n v="40214"/>
    <x v="0"/>
    <s v="FUR-CH-10001854"/>
    <x v="0"/>
    <x v="1"/>
    <s v="Office Star - Professional Matrix Back Chair with 2-to-1 Synchro Tilt and Mesh Fabric Seat"/>
    <n v="702"/>
    <n v="2"/>
    <n v="0"/>
    <n v="168"/>
    <x v="2"/>
    <s v="Nov"/>
  </r>
  <r>
    <n v="9466"/>
    <s v="CA-2016-126858"/>
    <x v="185"/>
    <d v="2016-11-23T00:00:00"/>
    <x v="1"/>
    <s v="JM-15265"/>
    <s v="Janet Molinari"/>
    <x v="1"/>
    <s v="United States"/>
    <x v="15"/>
    <x v="13"/>
    <n v="98115"/>
    <x v="1"/>
    <s v="FUR-FU-10000448"/>
    <x v="0"/>
    <x v="3"/>
    <s v="Tenex Chairmats For Use With Carpeted Floors"/>
    <n v="32"/>
    <n v="2"/>
    <n v="0"/>
    <n v="2"/>
    <x v="4"/>
    <s v="Nov"/>
  </r>
  <r>
    <n v="9468"/>
    <s v="CA-2017-102925"/>
    <x v="864"/>
    <d v="2017-11-10T00:00:00"/>
    <x v="0"/>
    <s v="CD-12280"/>
    <s v="Christina DeMoss"/>
    <x v="0"/>
    <s v="United States"/>
    <x v="13"/>
    <x v="7"/>
    <n v="10024"/>
    <x v="2"/>
    <s v="FUR-TA-10003469"/>
    <x v="0"/>
    <x v="2"/>
    <s v="Balt Split Level Computer Training Table"/>
    <n v="166"/>
    <n v="2"/>
    <n v="0.4"/>
    <n v="-67"/>
    <x v="2"/>
    <s v="Nov"/>
  </r>
  <r>
    <n v="9473"/>
    <s v="CA-2017-102925"/>
    <x v="864"/>
    <d v="2017-11-10T00:00:00"/>
    <x v="0"/>
    <s v="CD-12280"/>
    <s v="Christina DeMoss"/>
    <x v="0"/>
    <s v="United States"/>
    <x v="13"/>
    <x v="7"/>
    <n v="10024"/>
    <x v="2"/>
    <s v="FUR-CH-10004875"/>
    <x v="0"/>
    <x v="1"/>
    <s v="Harbour Creations 67200 Series Stacking Chairs"/>
    <n v="128"/>
    <n v="2"/>
    <n v="0.1"/>
    <n v="24"/>
    <x v="2"/>
    <s v="Nov"/>
  </r>
  <r>
    <n v="9474"/>
    <s v="CA-2017-102925"/>
    <x v="864"/>
    <d v="2017-11-10T00:00:00"/>
    <x v="0"/>
    <s v="CD-12280"/>
    <s v="Christina DeMoss"/>
    <x v="0"/>
    <s v="United States"/>
    <x v="13"/>
    <x v="7"/>
    <n v="10024"/>
    <x v="2"/>
    <s v="FUR-FU-10004245"/>
    <x v="0"/>
    <x v="3"/>
    <s v="Career Cubicle Clock, 8 1/4&quot;, Black"/>
    <n v="101"/>
    <n v="5"/>
    <n v="0"/>
    <n v="39"/>
    <x v="2"/>
    <s v="Nov"/>
  </r>
  <r>
    <n v="9477"/>
    <s v="CA-2015-100818"/>
    <x v="151"/>
    <d v="2015-06-05T00:00:00"/>
    <x v="0"/>
    <s v="JM-15265"/>
    <s v="Janet Molinari"/>
    <x v="1"/>
    <s v="United States"/>
    <x v="9"/>
    <x v="8"/>
    <n v="60653"/>
    <x v="3"/>
    <s v="FUR-FU-10002703"/>
    <x v="0"/>
    <x v="3"/>
    <s v="Tenex Traditional Chairmats for Hard Floors, Average Lip, 36&quot; x 48&quot;"/>
    <n v="52"/>
    <n v="2"/>
    <n v="0.6"/>
    <n v="-62"/>
    <x v="2"/>
    <s v="May"/>
  </r>
  <r>
    <n v="9485"/>
    <s v="CA-2016-164770"/>
    <x v="674"/>
    <d v="2016-12-04T00:00:00"/>
    <x v="0"/>
    <s v="MY-18295"/>
    <s v="Muhammed Yedwab"/>
    <x v="1"/>
    <s v="United States"/>
    <x v="6"/>
    <x v="5"/>
    <n v="77036"/>
    <x v="3"/>
    <s v="FUR-BO-10003893"/>
    <x v="0"/>
    <x v="0"/>
    <s v="Sauder Camden County Collection Library"/>
    <n v="782"/>
    <n v="10"/>
    <n v="0.32"/>
    <n v="-138"/>
    <x v="3"/>
    <s v="Dec"/>
  </r>
  <r>
    <n v="9487"/>
    <s v="CA-2017-130505"/>
    <x v="176"/>
    <d v="2017-10-12T00:00:00"/>
    <x v="3"/>
    <s v="NF-18385"/>
    <s v="Natalie Fritzler"/>
    <x v="0"/>
    <s v="United States"/>
    <x v="167"/>
    <x v="47"/>
    <n v="26003"/>
    <x v="2"/>
    <s v="FUR-TA-10001932"/>
    <x v="0"/>
    <x v="2"/>
    <s v="Chromcraft 48&quot; x 96&quot; Racetrack Double Pedestal Table"/>
    <n v="673"/>
    <n v="3"/>
    <n v="0.3"/>
    <n v="-77"/>
    <x v="7"/>
    <s v="Oct"/>
  </r>
  <r>
    <n v="9494"/>
    <s v="CA-2016-105207"/>
    <x v="865"/>
    <d v="2016-01-08T00:00:00"/>
    <x v="1"/>
    <s v="BO-11350"/>
    <s v="Bill Overfelt"/>
    <x v="1"/>
    <s v="United States"/>
    <x v="364"/>
    <x v="37"/>
    <n v="74012"/>
    <x v="3"/>
    <s v="FUR-TA-10000617"/>
    <x v="0"/>
    <x v="2"/>
    <s v="Hon Practical Foundations 30 x 60 Training Table, Light Gray/Charcoal"/>
    <n v="1593"/>
    <n v="7"/>
    <n v="0"/>
    <n v="350"/>
    <x v="2"/>
    <s v="Jan"/>
  </r>
  <r>
    <n v="9501"/>
    <s v="CA-2016-149237"/>
    <x v="205"/>
    <d v="2016-05-30T00:00:00"/>
    <x v="1"/>
    <s v="CM-12235"/>
    <s v="Chris McAfee"/>
    <x v="0"/>
    <s v="United States"/>
    <x v="79"/>
    <x v="16"/>
    <n v="53209"/>
    <x v="3"/>
    <s v="FUR-FU-10002088"/>
    <x v="0"/>
    <x v="3"/>
    <s v="Nu-Dell Float Frame 11 x 14 1/2"/>
    <n v="27"/>
    <n v="3"/>
    <n v="0"/>
    <n v="11"/>
    <x v="4"/>
    <s v="May"/>
  </r>
  <r>
    <n v="9502"/>
    <s v="US-2015-158589"/>
    <x v="141"/>
    <d v="2015-11-24T00:00:00"/>
    <x v="1"/>
    <s v="KW-16570"/>
    <s v="Kelly Williams"/>
    <x v="0"/>
    <s v="United States"/>
    <x v="28"/>
    <x v="2"/>
    <n v="94109"/>
    <x v="1"/>
    <s v="FUR-FU-10001546"/>
    <x v="0"/>
    <x v="3"/>
    <s v="Dana Swing-Arm Lamps"/>
    <n v="32"/>
    <n v="3"/>
    <n v="0"/>
    <n v="8"/>
    <x v="4"/>
    <s v="Nov"/>
  </r>
  <r>
    <n v="9513"/>
    <s v="CA-2017-142461"/>
    <x v="703"/>
    <d v="2017-06-03T00:00:00"/>
    <x v="0"/>
    <s v="KT-16480"/>
    <s v="Kean Thornton"/>
    <x v="0"/>
    <s v="United States"/>
    <x v="144"/>
    <x v="5"/>
    <n v="75217"/>
    <x v="3"/>
    <s v="FUR-BO-10001811"/>
    <x v="0"/>
    <x v="0"/>
    <s v="Atlantic Metals Mobile 5-Shelf Bookcases, Custom Colors"/>
    <n v="205"/>
    <n v="1"/>
    <n v="0.32"/>
    <n v="-6"/>
    <x v="4"/>
    <s v="May"/>
  </r>
  <r>
    <n v="9526"/>
    <s v="CA-2017-156958"/>
    <x v="446"/>
    <d v="2017-12-06T00:00:00"/>
    <x v="2"/>
    <s v="PB-18805"/>
    <s v="Patrick Bzostek"/>
    <x v="2"/>
    <s v="United States"/>
    <x v="15"/>
    <x v="13"/>
    <n v="98115"/>
    <x v="1"/>
    <s v="FUR-FU-10003268"/>
    <x v="0"/>
    <x v="3"/>
    <s v="Eldon Radial Chair Mat for Low to Medium Pile Carpets"/>
    <n v="200"/>
    <n v="5"/>
    <n v="0"/>
    <n v="40"/>
    <x v="5"/>
    <s v="Dec"/>
  </r>
  <r>
    <n v="9533"/>
    <s v="CA-2016-116596"/>
    <x v="78"/>
    <d v="2016-10-31T00:00:00"/>
    <x v="1"/>
    <s v="BW-11200"/>
    <s v="Ben Wallace"/>
    <x v="0"/>
    <s v="United States"/>
    <x v="13"/>
    <x v="7"/>
    <n v="10011"/>
    <x v="2"/>
    <s v="FUR-CH-10000553"/>
    <x v="0"/>
    <x v="1"/>
    <s v="Metal Folding Chairs, Beige, 4/Carton"/>
    <n v="428"/>
    <n v="14"/>
    <n v="0.1"/>
    <n v="81"/>
    <x v="4"/>
    <s v="Oct"/>
  </r>
  <r>
    <n v="9537"/>
    <s v="CA-2017-124191"/>
    <x v="235"/>
    <d v="2017-06-14T00:00:00"/>
    <x v="0"/>
    <s v="TS-21610"/>
    <s v="Troy Staebel"/>
    <x v="0"/>
    <s v="United States"/>
    <x v="9"/>
    <x v="8"/>
    <n v="60610"/>
    <x v="3"/>
    <s v="FUR-FU-10002364"/>
    <x v="0"/>
    <x v="3"/>
    <s v="Eldon Expressions Wood Desk Accessories, Oak"/>
    <n v="9"/>
    <n v="3"/>
    <n v="0.6"/>
    <n v="-7"/>
    <x v="3"/>
    <s v="Jun"/>
  </r>
  <r>
    <n v="9538"/>
    <s v="CA-2016-148747"/>
    <x v="228"/>
    <d v="2016-09-27T00:00:00"/>
    <x v="2"/>
    <s v="AS-10045"/>
    <s v="Aaron Smayling"/>
    <x v="1"/>
    <s v="United States"/>
    <x v="28"/>
    <x v="2"/>
    <n v="94110"/>
    <x v="1"/>
    <s v="FUR-BO-10002613"/>
    <x v="0"/>
    <x v="0"/>
    <s v="Atlantic Metals Mobile 4-Shelf Bookcases, Custom Colors"/>
    <n v="478"/>
    <n v="2"/>
    <n v="0.15"/>
    <n v="84"/>
    <x v="3"/>
    <s v="Sep"/>
  </r>
  <r>
    <n v="9541"/>
    <s v="CA-2015-135727"/>
    <x v="866"/>
    <d v="2015-05-16T00:00:00"/>
    <x v="0"/>
    <s v="PS-18970"/>
    <s v="Paul Stevenson"/>
    <x v="2"/>
    <s v="United States"/>
    <x v="43"/>
    <x v="22"/>
    <n v="85023"/>
    <x v="1"/>
    <s v="FUR-CH-10004540"/>
    <x v="0"/>
    <x v="1"/>
    <s v="Global Chrome Stack Chair"/>
    <n v="192"/>
    <n v="7"/>
    <n v="0.2"/>
    <n v="17"/>
    <x v="2"/>
    <s v="May"/>
  </r>
  <r>
    <n v="9545"/>
    <s v="CA-2015-135251"/>
    <x v="867"/>
    <d v="2015-08-10T00:00:00"/>
    <x v="1"/>
    <s v="RP-19270"/>
    <s v="Rachel Payne"/>
    <x v="1"/>
    <s v="United States"/>
    <x v="6"/>
    <x v="5"/>
    <n v="77095"/>
    <x v="3"/>
    <s v="FUR-BO-10003965"/>
    <x v="0"/>
    <x v="0"/>
    <s v="O'Sullivan Manor Hill 2-Door Library in Brianna Oak"/>
    <n v="369"/>
    <n v="3"/>
    <n v="0.32"/>
    <n v="-114"/>
    <x v="4"/>
    <s v="Aug"/>
  </r>
  <r>
    <n v="9554"/>
    <s v="CA-2016-125724"/>
    <x v="710"/>
    <d v="2016-09-27T00:00:00"/>
    <x v="1"/>
    <s v="SM-20950"/>
    <s v="Suzanne McNair"/>
    <x v="1"/>
    <s v="United States"/>
    <x v="131"/>
    <x v="12"/>
    <n v="80020"/>
    <x v="1"/>
    <s v="FUR-FU-10000246"/>
    <x v="0"/>
    <x v="3"/>
    <s v="Aluminum Document Frame"/>
    <n v="68"/>
    <n v="7"/>
    <n v="0.2"/>
    <n v="9"/>
    <x v="2"/>
    <s v="Sep"/>
  </r>
  <r>
    <n v="9555"/>
    <s v="CA-2015-111612"/>
    <x v="44"/>
    <d v="2015-12-02T00:00:00"/>
    <x v="1"/>
    <s v="EB-14110"/>
    <s v="Eugene Barchas"/>
    <x v="0"/>
    <s v="United States"/>
    <x v="29"/>
    <x v="15"/>
    <n v="43229"/>
    <x v="2"/>
    <s v="FUR-FU-10003799"/>
    <x v="0"/>
    <x v="3"/>
    <s v="Seth Thomas 13 1/2&quot; Wall Clock"/>
    <n v="71"/>
    <n v="5"/>
    <n v="0.2"/>
    <n v="10"/>
    <x v="4"/>
    <s v="Nov"/>
  </r>
  <r>
    <n v="9558"/>
    <s v="CA-2014-103086"/>
    <x v="868"/>
    <d v="2014-10-19T00:00:00"/>
    <x v="0"/>
    <s v="EB-14170"/>
    <s v="Evan Bailliet"/>
    <x v="0"/>
    <s v="United States"/>
    <x v="6"/>
    <x v="5"/>
    <n v="77095"/>
    <x v="3"/>
    <s v="FUR-FU-10004586"/>
    <x v="0"/>
    <x v="3"/>
    <s v="G.E. Longer-Life Indoor Recessed Floodlight Bulbs"/>
    <n v="5"/>
    <n v="2"/>
    <n v="0.6"/>
    <n v="-2"/>
    <x v="3"/>
    <s v="Oct"/>
  </r>
  <r>
    <n v="9561"/>
    <s v="CA-2016-129280"/>
    <x v="869"/>
    <d v="2016-05-05T00:00:00"/>
    <x v="2"/>
    <s v="SM-20905"/>
    <s v="Susan MacKendrick"/>
    <x v="0"/>
    <s v="United States"/>
    <x v="19"/>
    <x v="15"/>
    <n v="43055"/>
    <x v="2"/>
    <s v="FUR-FU-10001876"/>
    <x v="0"/>
    <x v="3"/>
    <s v="Computer Room Manger, 14&quot;"/>
    <n v="52"/>
    <n v="2"/>
    <n v="0.2"/>
    <n v="10"/>
    <x v="3"/>
    <s v="May"/>
  </r>
  <r>
    <n v="9566"/>
    <s v="CA-2014-130428"/>
    <x v="870"/>
    <d v="2014-03-31T00:00:00"/>
    <x v="3"/>
    <s v="TG-21640"/>
    <s v="Trudy Glocke"/>
    <x v="0"/>
    <s v="United States"/>
    <x v="26"/>
    <x v="1"/>
    <n v="33614"/>
    <x v="0"/>
    <s v="FUR-CH-10002965"/>
    <x v="0"/>
    <x v="1"/>
    <s v="Global Leather Highback Executive Chair with Pneumatic Height Adjustment, Black"/>
    <n v="1125"/>
    <n v="7"/>
    <n v="0.2"/>
    <n v="98"/>
    <x v="7"/>
    <s v="Mar"/>
  </r>
  <r>
    <n v="9575"/>
    <s v="CA-2015-148495"/>
    <x v="871"/>
    <d v="2015-08-13T00:00:00"/>
    <x v="3"/>
    <s v="SF-20065"/>
    <s v="Sandra Flanagan"/>
    <x v="0"/>
    <s v="United States"/>
    <x v="135"/>
    <x v="2"/>
    <n v="91767"/>
    <x v="1"/>
    <s v="FUR-FU-10001889"/>
    <x v="0"/>
    <x v="3"/>
    <s v="Ultra Door Pull Handle"/>
    <n v="32"/>
    <n v="3"/>
    <n v="0"/>
    <n v="10"/>
    <x v="7"/>
    <s v="Aug"/>
  </r>
  <r>
    <n v="9576"/>
    <s v="CA-2015-143147"/>
    <x v="753"/>
    <d v="2015-05-28T00:00:00"/>
    <x v="0"/>
    <s v="PS-18760"/>
    <s v="Pamela Stobb"/>
    <x v="0"/>
    <s v="United States"/>
    <x v="21"/>
    <x v="5"/>
    <n v="78207"/>
    <x v="3"/>
    <s v="FUR-CH-10000863"/>
    <x v="0"/>
    <x v="1"/>
    <s v="Novimex Swivel Fabric Task Chair"/>
    <n v="106"/>
    <n v="1"/>
    <n v="0.3"/>
    <n v="-29"/>
    <x v="3"/>
    <s v="May"/>
  </r>
  <r>
    <n v="9578"/>
    <s v="CA-2015-143147"/>
    <x v="753"/>
    <d v="2015-05-28T00:00:00"/>
    <x v="0"/>
    <s v="PS-18760"/>
    <s v="Pamela Stobb"/>
    <x v="0"/>
    <s v="United States"/>
    <x v="21"/>
    <x v="5"/>
    <n v="78207"/>
    <x v="3"/>
    <s v="FUR-CH-10004754"/>
    <x v="0"/>
    <x v="1"/>
    <s v="Global Stack Chair with Arms, Black"/>
    <n v="105"/>
    <n v="5"/>
    <n v="0.3"/>
    <n v="-4"/>
    <x v="3"/>
    <s v="May"/>
  </r>
  <r>
    <n v="9582"/>
    <s v="CA-2017-152975"/>
    <x v="732"/>
    <d v="2017-09-16T00:00:00"/>
    <x v="2"/>
    <s v="RB-19705"/>
    <s v="Roger Barcio"/>
    <x v="2"/>
    <s v="United States"/>
    <x v="13"/>
    <x v="7"/>
    <n v="10035"/>
    <x v="2"/>
    <s v="FUR-CH-10003298"/>
    <x v="0"/>
    <x v="1"/>
    <s v="Office Star - Contemporary Task Swivel chair with Loop Arms, Charcoal"/>
    <n v="589"/>
    <n v="5"/>
    <n v="0.1"/>
    <n v="-7"/>
    <x v="3"/>
    <s v="Sep"/>
  </r>
  <r>
    <n v="9584"/>
    <s v="CA-2017-116127"/>
    <x v="542"/>
    <d v="2017-06-27T00:00:00"/>
    <x v="0"/>
    <s v="SB-20185"/>
    <s v="Sarah Brown"/>
    <x v="0"/>
    <s v="United States"/>
    <x v="13"/>
    <x v="7"/>
    <n v="10024"/>
    <x v="2"/>
    <s v="FUR-BO-10002213"/>
    <x v="0"/>
    <x v="0"/>
    <s v="DMI Eclipse Executive Suite Bookcases"/>
    <n v="401"/>
    <n v="1"/>
    <n v="0.2"/>
    <n v="-5"/>
    <x v="3"/>
    <s v="Jun"/>
  </r>
  <r>
    <n v="9592"/>
    <s v="US-2016-105452"/>
    <x v="830"/>
    <d v="2016-08-01T00:00:00"/>
    <x v="1"/>
    <s v="BF-11005"/>
    <s v="Barry Franz"/>
    <x v="2"/>
    <s v="United States"/>
    <x v="102"/>
    <x v="5"/>
    <n v="77506"/>
    <x v="3"/>
    <s v="FUR-FU-10003691"/>
    <x v="0"/>
    <x v="3"/>
    <s v="Eldon Image Series Desk Accessories, Ebony"/>
    <n v="25"/>
    <n v="5"/>
    <n v="0.6"/>
    <n v="-10"/>
    <x v="4"/>
    <s v="Jul"/>
  </r>
  <r>
    <n v="9593"/>
    <s v="US-2016-105452"/>
    <x v="830"/>
    <d v="2016-08-01T00:00:00"/>
    <x v="1"/>
    <s v="BF-11005"/>
    <s v="Barry Franz"/>
    <x v="2"/>
    <s v="United States"/>
    <x v="102"/>
    <x v="5"/>
    <n v="77506"/>
    <x v="3"/>
    <s v="FUR-FU-10003806"/>
    <x v="0"/>
    <x v="3"/>
    <s v="Tenex Chairmat w/ Average Lip, 45&quot; x 53&quot;"/>
    <n v="303"/>
    <n v="5"/>
    <n v="0.6"/>
    <n v="-378"/>
    <x v="4"/>
    <s v="Jul"/>
  </r>
  <r>
    <n v="9599"/>
    <s v="CA-2015-149517"/>
    <x v="208"/>
    <d v="2015-09-23T00:00:00"/>
    <x v="1"/>
    <s v="FC-14245"/>
    <s v="Frank Carlisle"/>
    <x v="2"/>
    <s v="United States"/>
    <x v="155"/>
    <x v="2"/>
    <n v="95823"/>
    <x v="1"/>
    <s v="FUR-FU-10003464"/>
    <x v="0"/>
    <x v="3"/>
    <s v="Seth Thomas 8 1/2&quot; Cubicle Clock"/>
    <n v="61"/>
    <n v="3"/>
    <n v="0"/>
    <n v="19"/>
    <x v="4"/>
    <s v="Sep"/>
  </r>
  <r>
    <n v="9604"/>
    <s v="CA-2016-129861"/>
    <x v="9"/>
    <d v="2016-06-23T00:00:00"/>
    <x v="1"/>
    <s v="DM-13345"/>
    <s v="Denise Monton"/>
    <x v="1"/>
    <s v="United States"/>
    <x v="77"/>
    <x v="7"/>
    <n v="14609"/>
    <x v="2"/>
    <s v="FUR-TA-10003715"/>
    <x v="0"/>
    <x v="2"/>
    <s v="Hon 2111 Invitation Series Corner Table"/>
    <n v="377"/>
    <n v="3"/>
    <n v="0.4"/>
    <n v="-214"/>
    <x v="6"/>
    <s v="Jun"/>
  </r>
  <r>
    <n v="9610"/>
    <s v="CA-2016-130638"/>
    <x v="872"/>
    <d v="2016-05-19T00:00:00"/>
    <x v="0"/>
    <s v="SC-20095"/>
    <s v="Sanjit Chand"/>
    <x v="0"/>
    <s v="United States"/>
    <x v="2"/>
    <x v="2"/>
    <n v="90045"/>
    <x v="1"/>
    <s v="FUR-FU-10002116"/>
    <x v="0"/>
    <x v="3"/>
    <s v="Tenex Carpeted, Granite-Look or Clear Contemporary Contour Shape Chair Mats"/>
    <n v="283"/>
    <n v="4"/>
    <n v="0"/>
    <n v="20"/>
    <x v="0"/>
    <s v="May"/>
  </r>
  <r>
    <n v="9625"/>
    <s v="CA-2017-137449"/>
    <x v="656"/>
    <d v="2017-06-30T00:00:00"/>
    <x v="2"/>
    <s v="ME-17725"/>
    <s v="Max Engle"/>
    <x v="0"/>
    <s v="United States"/>
    <x v="144"/>
    <x v="5"/>
    <n v="75220"/>
    <x v="3"/>
    <s v="FUR-TA-10002855"/>
    <x v="0"/>
    <x v="2"/>
    <s v="Bevis Round Conference Table Top &amp; Single Column Base"/>
    <n v="307"/>
    <n v="3"/>
    <n v="0.3"/>
    <n v="-40"/>
    <x v="5"/>
    <s v="Jun"/>
  </r>
  <r>
    <n v="9626"/>
    <s v="CA-2017-137449"/>
    <x v="656"/>
    <d v="2017-06-30T00:00:00"/>
    <x v="2"/>
    <s v="ME-17725"/>
    <s v="Max Engle"/>
    <x v="0"/>
    <s v="United States"/>
    <x v="144"/>
    <x v="5"/>
    <n v="75220"/>
    <x v="3"/>
    <s v="FUR-BO-10000780"/>
    <x v="0"/>
    <x v="0"/>
    <s v="O'Sullivan Plantations 2-Door Library in Landvery Oak"/>
    <n v="410"/>
    <n v="3"/>
    <n v="0.32"/>
    <n v="-96"/>
    <x v="5"/>
    <s v="Jun"/>
  </r>
  <r>
    <n v="9636"/>
    <s v="CA-2014-151330"/>
    <x v="873"/>
    <d v="2014-10-17T00:00:00"/>
    <x v="2"/>
    <s v="TC-21295"/>
    <s v="Toby Carlisle"/>
    <x v="0"/>
    <s v="United States"/>
    <x v="114"/>
    <x v="20"/>
    <n v="2149"/>
    <x v="2"/>
    <s v="FUR-CH-10000749"/>
    <x v="0"/>
    <x v="1"/>
    <s v="Office Star - Ergonomic Mid Back Chair with 2-Way Adjustable Arms"/>
    <n v="1629"/>
    <n v="9"/>
    <n v="0"/>
    <n v="261"/>
    <x v="0"/>
    <s v="Oct"/>
  </r>
  <r>
    <n v="9637"/>
    <s v="CA-2014-124702"/>
    <x v="356"/>
    <d v="2014-11-25T00:00:00"/>
    <x v="1"/>
    <s v="MH-17785"/>
    <s v="Maya Herman"/>
    <x v="1"/>
    <s v="United States"/>
    <x v="15"/>
    <x v="13"/>
    <n v="98105"/>
    <x v="1"/>
    <s v="FUR-FU-10003553"/>
    <x v="0"/>
    <x v="3"/>
    <s v="Howard Miller 13-1/2&quot; Diameter Rosebrook Wall Clock"/>
    <n v="138"/>
    <n v="2"/>
    <n v="0"/>
    <n v="55"/>
    <x v="1"/>
    <s v="Nov"/>
  </r>
  <r>
    <n v="9638"/>
    <s v="CA-2014-124702"/>
    <x v="356"/>
    <d v="2014-11-25T00:00:00"/>
    <x v="1"/>
    <s v="MH-17785"/>
    <s v="Maya Herman"/>
    <x v="1"/>
    <s v="United States"/>
    <x v="15"/>
    <x v="13"/>
    <n v="98105"/>
    <x v="1"/>
    <s v="FUR-TA-10003008"/>
    <x v="0"/>
    <x v="2"/>
    <s v="Lesro Round Back Collection Coffee Table, End Table"/>
    <n v="730"/>
    <n v="4"/>
    <n v="0"/>
    <n v="95"/>
    <x v="1"/>
    <s v="Nov"/>
  </r>
  <r>
    <n v="9640"/>
    <s v="CA-2015-116638"/>
    <x v="874"/>
    <d v="2015-01-31T00:00:00"/>
    <x v="0"/>
    <s v="JH-15985"/>
    <s v="Joseph Holt"/>
    <x v="0"/>
    <s v="United States"/>
    <x v="41"/>
    <x v="30"/>
    <n v="28027"/>
    <x v="0"/>
    <s v="FUR-TA-10000198"/>
    <x v="0"/>
    <x v="2"/>
    <s v="Chromcraft Bull-Nose Wood Oval Conference Tables &amp; Bases"/>
    <n v="4298"/>
    <n v="13"/>
    <n v="0.4"/>
    <n v="-1862"/>
    <x v="0"/>
    <s v="Jan"/>
  </r>
  <r>
    <n v="9643"/>
    <s v="CA-2014-104563"/>
    <x v="600"/>
    <d v="2014-03-12T00:00:00"/>
    <x v="1"/>
    <s v="CM-12715"/>
    <s v="Craig Molinari"/>
    <x v="1"/>
    <s v="United States"/>
    <x v="15"/>
    <x v="13"/>
    <n v="98103"/>
    <x v="1"/>
    <s v="FUR-CH-10002780"/>
    <x v="0"/>
    <x v="1"/>
    <s v="Office Star - Task Chair with Contemporary Loop Arms"/>
    <n v="437"/>
    <n v="6"/>
    <n v="0.2"/>
    <n v="22"/>
    <x v="2"/>
    <s v="Mar"/>
  </r>
  <r>
    <n v="9644"/>
    <s v="CA-2014-104563"/>
    <x v="600"/>
    <d v="2014-03-12T00:00:00"/>
    <x v="1"/>
    <s v="CM-12715"/>
    <s v="Craig Molinari"/>
    <x v="1"/>
    <s v="United States"/>
    <x v="15"/>
    <x v="13"/>
    <n v="98103"/>
    <x v="1"/>
    <s v="FUR-CH-10004495"/>
    <x v="0"/>
    <x v="1"/>
    <s v="Global Leather and Oak Executive Chair, Black"/>
    <n v="482"/>
    <n v="2"/>
    <n v="0.2"/>
    <n v="54"/>
    <x v="2"/>
    <s v="Mar"/>
  </r>
  <r>
    <n v="9650"/>
    <s v="CA-2016-107104"/>
    <x v="675"/>
    <d v="2016-11-30T00:00:00"/>
    <x v="1"/>
    <s v="MS-17365"/>
    <s v="Maribeth Schnelling"/>
    <x v="0"/>
    <s v="United States"/>
    <x v="2"/>
    <x v="2"/>
    <n v="90045"/>
    <x v="1"/>
    <s v="FUR-BO-10002213"/>
    <x v="0"/>
    <x v="0"/>
    <s v="DMI Eclipse Executive Suite Bookcases"/>
    <n v="3407"/>
    <n v="8"/>
    <n v="0.15"/>
    <n v="160"/>
    <x v="4"/>
    <s v="Nov"/>
  </r>
  <r>
    <n v="9653"/>
    <s v="CA-2016-107104"/>
    <x v="675"/>
    <d v="2016-11-30T00:00:00"/>
    <x v="1"/>
    <s v="MS-17365"/>
    <s v="Maribeth Schnelling"/>
    <x v="0"/>
    <s v="United States"/>
    <x v="2"/>
    <x v="2"/>
    <n v="90045"/>
    <x v="1"/>
    <s v="FUR-FU-10002937"/>
    <x v="0"/>
    <x v="3"/>
    <s v="GE 48&quot; Fluorescent Tube, Cool White Energy Saver, 34 Watts, 30/Box"/>
    <n v="595"/>
    <n v="6"/>
    <n v="0"/>
    <n v="298"/>
    <x v="4"/>
    <s v="Nov"/>
  </r>
  <r>
    <n v="9656"/>
    <s v="CA-2014-156160"/>
    <x v="875"/>
    <d v="2014-09-29T00:00:00"/>
    <x v="1"/>
    <s v="AS-10090"/>
    <s v="Adam Shillingsburg"/>
    <x v="0"/>
    <s v="United States"/>
    <x v="13"/>
    <x v="7"/>
    <n v="10035"/>
    <x v="2"/>
    <s v="FUR-FU-10001876"/>
    <x v="0"/>
    <x v="3"/>
    <s v="Computer Room Manger, 14&quot;"/>
    <n v="97"/>
    <n v="3"/>
    <n v="0"/>
    <n v="35"/>
    <x v="1"/>
    <s v="Sep"/>
  </r>
  <r>
    <n v="9659"/>
    <s v="CA-2014-156160"/>
    <x v="875"/>
    <d v="2014-09-29T00:00:00"/>
    <x v="1"/>
    <s v="AS-10090"/>
    <s v="Adam Shillingsburg"/>
    <x v="0"/>
    <s v="United States"/>
    <x v="13"/>
    <x v="7"/>
    <n v="10035"/>
    <x v="2"/>
    <s v="FUR-CH-10004983"/>
    <x v="0"/>
    <x v="1"/>
    <s v="Office Star - Mid Back Dual function Ergonomic High Back Chair with 2-Way Adjustable Arms"/>
    <n v="580"/>
    <n v="4"/>
    <n v="0.1"/>
    <n v="84"/>
    <x v="1"/>
    <s v="Sep"/>
  </r>
  <r>
    <n v="9666"/>
    <s v="CA-2017-157448"/>
    <x v="716"/>
    <d v="2017-11-20T00:00:00"/>
    <x v="1"/>
    <s v="LC-16885"/>
    <s v="Lena Creighton"/>
    <x v="0"/>
    <s v="United States"/>
    <x v="2"/>
    <x v="2"/>
    <n v="90049"/>
    <x v="1"/>
    <s v="FUR-FU-10003268"/>
    <x v="0"/>
    <x v="3"/>
    <s v="Eldon Radial Chair Mat for Low to Medium Pile Carpets"/>
    <n v="120"/>
    <n v="3"/>
    <n v="0"/>
    <n v="24"/>
    <x v="4"/>
    <s v="Nov"/>
  </r>
  <r>
    <n v="9667"/>
    <s v="CA-2017-157448"/>
    <x v="716"/>
    <d v="2017-11-20T00:00:00"/>
    <x v="1"/>
    <s v="LC-16885"/>
    <s v="Lena Creighton"/>
    <x v="0"/>
    <s v="United States"/>
    <x v="2"/>
    <x v="2"/>
    <n v="90049"/>
    <x v="1"/>
    <s v="FUR-FU-10001847"/>
    <x v="0"/>
    <x v="3"/>
    <s v="Eldon Image Series Black Desk Accessories"/>
    <n v="12"/>
    <n v="3"/>
    <n v="0"/>
    <n v="4"/>
    <x v="4"/>
    <s v="Nov"/>
  </r>
  <r>
    <n v="9676"/>
    <s v="CA-2016-137393"/>
    <x v="349"/>
    <d v="2016-05-10T00:00:00"/>
    <x v="1"/>
    <s v="GM-14500"/>
    <s v="Gene McClure"/>
    <x v="0"/>
    <s v="United States"/>
    <x v="175"/>
    <x v="2"/>
    <n v="93309"/>
    <x v="1"/>
    <s v="FUR-FU-10001617"/>
    <x v="0"/>
    <x v="3"/>
    <s v="Executive Impressions 8-1/2&quot; Career Panel/Partition Cubicle Clock"/>
    <n v="42"/>
    <n v="4"/>
    <n v="0"/>
    <n v="14"/>
    <x v="4"/>
    <s v="May"/>
  </r>
  <r>
    <n v="9684"/>
    <s v="CA-2017-122770"/>
    <x v="838"/>
    <d v="2017-12-18T00:00:00"/>
    <x v="1"/>
    <s v="EP-13915"/>
    <s v="Emily Phan"/>
    <x v="0"/>
    <s v="United States"/>
    <x v="28"/>
    <x v="2"/>
    <n v="94122"/>
    <x v="1"/>
    <s v="FUR-FU-10001473"/>
    <x v="0"/>
    <x v="3"/>
    <s v="Eldon Executive Woodline II Desk Accessories, Mahogany"/>
    <n v="201"/>
    <n v="8"/>
    <n v="0"/>
    <n v="54"/>
    <x v="2"/>
    <s v="Dec"/>
  </r>
  <r>
    <n v="9692"/>
    <s v="CA-2015-130183"/>
    <x v="18"/>
    <d v="2015-11-17T00:00:00"/>
    <x v="1"/>
    <s v="PO-18850"/>
    <s v="Patrick O'Brill"/>
    <x v="0"/>
    <s v="United States"/>
    <x v="6"/>
    <x v="5"/>
    <n v="77041"/>
    <x v="3"/>
    <s v="FUR-BO-10001811"/>
    <x v="0"/>
    <x v="0"/>
    <s v="Atlantic Metals Mobile 5-Shelf Bookcases, Custom Colors"/>
    <n v="614"/>
    <n v="3"/>
    <n v="0.32"/>
    <n v="-18"/>
    <x v="4"/>
    <s v="Nov"/>
  </r>
  <r>
    <n v="9698"/>
    <s v="CA-2016-122511"/>
    <x v="237"/>
    <d v="2016-03-11T00:00:00"/>
    <x v="3"/>
    <s v="BT-11485"/>
    <s v="Brad Thomas"/>
    <x v="2"/>
    <s v="United States"/>
    <x v="3"/>
    <x v="3"/>
    <n v="19140"/>
    <x v="2"/>
    <s v="FUR-FU-10001037"/>
    <x v="0"/>
    <x v="3"/>
    <s v="DAX Charcoal/Nickel-Tone Document Frame, 5 x 7"/>
    <n v="30"/>
    <n v="4"/>
    <n v="0.2"/>
    <n v="9"/>
    <x v="7"/>
    <s v="Mar"/>
  </r>
  <r>
    <n v="9707"/>
    <s v="CA-2016-161746"/>
    <x v="59"/>
    <d v="2016-10-27T00:00:00"/>
    <x v="1"/>
    <s v="CS-11950"/>
    <s v="Carlos Soltero"/>
    <x v="0"/>
    <s v="United States"/>
    <x v="2"/>
    <x v="2"/>
    <n v="90045"/>
    <x v="1"/>
    <s v="FUR-CH-10004626"/>
    <x v="0"/>
    <x v="1"/>
    <s v="Office Star Flex Back Scooter Chair with Aluminum Finish Frame"/>
    <n v="242"/>
    <n v="3"/>
    <n v="0.2"/>
    <n v="12"/>
    <x v="6"/>
    <s v="Oct"/>
  </r>
  <r>
    <n v="9709"/>
    <s v="CA-2016-161746"/>
    <x v="59"/>
    <d v="2016-10-27T00:00:00"/>
    <x v="1"/>
    <s v="CS-11950"/>
    <s v="Carlos Soltero"/>
    <x v="0"/>
    <s v="United States"/>
    <x v="2"/>
    <x v="2"/>
    <n v="90045"/>
    <x v="1"/>
    <s v="FUR-FU-10003731"/>
    <x v="0"/>
    <x v="3"/>
    <s v="Eldon Expressions Wood and Plastic Desk Accessories, Oak"/>
    <n v="20"/>
    <n v="2"/>
    <n v="0"/>
    <n v="6"/>
    <x v="6"/>
    <s v="Oct"/>
  </r>
  <r>
    <n v="9711"/>
    <s v="CA-2014-114251"/>
    <x v="726"/>
    <d v="2014-11-10T00:00:00"/>
    <x v="1"/>
    <s v="MD-17350"/>
    <s v="Maribeth Dona"/>
    <x v="0"/>
    <s v="United States"/>
    <x v="3"/>
    <x v="3"/>
    <n v="19143"/>
    <x v="2"/>
    <s v="FUR-FU-10001468"/>
    <x v="0"/>
    <x v="3"/>
    <s v="Tenex Antistatic Computer Chair Mats"/>
    <n v="274"/>
    <n v="2"/>
    <n v="0.2"/>
    <n v="-34"/>
    <x v="2"/>
    <s v="Nov"/>
  </r>
  <r>
    <n v="9721"/>
    <s v="CA-2016-119641"/>
    <x v="710"/>
    <d v="2016-09-26T00:00:00"/>
    <x v="1"/>
    <s v="CS-12250"/>
    <s v="Chris Selesnick"/>
    <x v="1"/>
    <s v="United States"/>
    <x v="356"/>
    <x v="16"/>
    <n v="54302"/>
    <x v="3"/>
    <s v="FUR-FU-10002445"/>
    <x v="0"/>
    <x v="3"/>
    <s v="DAX Two-Tone Rosewood/Black Document Frame, Desktop, 5 x 7"/>
    <n v="19"/>
    <n v="2"/>
    <n v="0"/>
    <n v="8"/>
    <x v="4"/>
    <s v="Sep"/>
  </r>
  <r>
    <n v="9722"/>
    <s v="CA-2016-105781"/>
    <x v="285"/>
    <d v="2016-02-20T00:00:00"/>
    <x v="1"/>
    <s v="JF-15565"/>
    <s v="Jill Fjeld"/>
    <x v="0"/>
    <s v="United States"/>
    <x v="13"/>
    <x v="7"/>
    <n v="10024"/>
    <x v="2"/>
    <s v="FUR-CH-10001802"/>
    <x v="0"/>
    <x v="1"/>
    <s v="Hon Every-Day Chair Series Swivel Task Chairs"/>
    <n v="327"/>
    <n v="3"/>
    <n v="0.1"/>
    <n v="40"/>
    <x v="4"/>
    <s v="Feb"/>
  </r>
  <r>
    <n v="9733"/>
    <s v="CA-2014-114321"/>
    <x v="663"/>
    <d v="2014-08-25T00:00:00"/>
    <x v="1"/>
    <s v="NC-18535"/>
    <s v="Nick Crebassa"/>
    <x v="1"/>
    <s v="United States"/>
    <x v="247"/>
    <x v="25"/>
    <n v="23666"/>
    <x v="0"/>
    <s v="FUR-CH-10001797"/>
    <x v="0"/>
    <x v="1"/>
    <s v="Safco Chair Connectors, 6/Carton"/>
    <n v="500"/>
    <n v="13"/>
    <n v="0"/>
    <n v="145"/>
    <x v="2"/>
    <s v="Aug"/>
  </r>
  <r>
    <n v="9742"/>
    <s v="CA-2015-117086"/>
    <x v="428"/>
    <d v="2015-11-12T00:00:00"/>
    <x v="1"/>
    <s v="QJ-19255"/>
    <s v="Quincy Jones"/>
    <x v="1"/>
    <s v="United States"/>
    <x v="259"/>
    <x v="43"/>
    <n v="5408"/>
    <x v="2"/>
    <s v="FUR-BO-10004834"/>
    <x v="0"/>
    <x v="0"/>
    <s v="Riverside Palais Royal Lawyers Bookcase, Royale Cherry Finish"/>
    <n v="4405"/>
    <n v="5"/>
    <n v="0"/>
    <n v="1013"/>
    <x v="4"/>
    <s v="Nov"/>
  </r>
  <r>
    <n v="9746"/>
    <s v="CA-2017-137505"/>
    <x v="241"/>
    <d v="2017-11-24T00:00:00"/>
    <x v="3"/>
    <s v="BP-11290"/>
    <s v="Beth Paige"/>
    <x v="0"/>
    <s v="United States"/>
    <x v="2"/>
    <x v="2"/>
    <n v="90008"/>
    <x v="1"/>
    <s v="FUR-TA-10000617"/>
    <x v="0"/>
    <x v="2"/>
    <s v="Hon Practical Foundations 30 x 60 Training Table, Light Gray/Charcoal"/>
    <n v="364"/>
    <n v="2"/>
    <n v="0.2"/>
    <n v="9"/>
    <x v="7"/>
    <s v="Nov"/>
  </r>
  <r>
    <n v="9747"/>
    <s v="CA-2017-137505"/>
    <x v="241"/>
    <d v="2017-11-24T00:00:00"/>
    <x v="3"/>
    <s v="BP-11290"/>
    <s v="Beth Paige"/>
    <x v="0"/>
    <s v="United States"/>
    <x v="2"/>
    <x v="2"/>
    <n v="90008"/>
    <x v="1"/>
    <s v="FUR-TA-10001676"/>
    <x v="0"/>
    <x v="2"/>
    <s v="Hon 61000 Series Interactive Training Tables"/>
    <n v="71"/>
    <n v="2"/>
    <n v="0.2"/>
    <n v="-2"/>
    <x v="7"/>
    <s v="Nov"/>
  </r>
  <r>
    <n v="9748"/>
    <s v="US-2014-140914"/>
    <x v="163"/>
    <d v="2014-11-15T00:00:00"/>
    <x v="1"/>
    <s v="BH-11710"/>
    <s v="Brosina Hoffman"/>
    <x v="0"/>
    <s v="United States"/>
    <x v="9"/>
    <x v="8"/>
    <n v="60653"/>
    <x v="3"/>
    <s v="FUR-FU-10000175"/>
    <x v="0"/>
    <x v="3"/>
    <s v="DAX Wood Document Frame."/>
    <n v="11"/>
    <n v="2"/>
    <n v="0.6"/>
    <n v="-8"/>
    <x v="4"/>
    <s v="Nov"/>
  </r>
  <r>
    <n v="9749"/>
    <s v="US-2014-140914"/>
    <x v="163"/>
    <d v="2014-11-15T00:00:00"/>
    <x v="1"/>
    <s v="BH-11710"/>
    <s v="Brosina Hoffman"/>
    <x v="0"/>
    <s v="United States"/>
    <x v="9"/>
    <x v="8"/>
    <n v="60653"/>
    <x v="3"/>
    <s v="FUR-CH-10003379"/>
    <x v="0"/>
    <x v="1"/>
    <s v="Global Commerce Series High-Back Swivel/Tilt Chairs"/>
    <n v="798"/>
    <n v="4"/>
    <n v="0.3"/>
    <n v="-57"/>
    <x v="4"/>
    <s v="Nov"/>
  </r>
  <r>
    <n v="9757"/>
    <s v="CA-2017-113705"/>
    <x v="582"/>
    <d v="2017-03-29T00:00:00"/>
    <x v="0"/>
    <s v="LC-16870"/>
    <s v="Lena Cacioppo"/>
    <x v="0"/>
    <s v="United States"/>
    <x v="52"/>
    <x v="25"/>
    <n v="23223"/>
    <x v="0"/>
    <s v="FUR-TA-10002533"/>
    <x v="0"/>
    <x v="2"/>
    <s v="BPI Conference Tables"/>
    <n v="292"/>
    <n v="2"/>
    <n v="0"/>
    <n v="58"/>
    <x v="3"/>
    <s v="Mar"/>
  </r>
  <r>
    <n v="9760"/>
    <s v="CA-2016-146913"/>
    <x v="359"/>
    <d v="2016-11-05T00:00:00"/>
    <x v="1"/>
    <s v="SF-20965"/>
    <s v="Sylvia Foulston"/>
    <x v="1"/>
    <s v="United States"/>
    <x v="28"/>
    <x v="2"/>
    <n v="94109"/>
    <x v="1"/>
    <s v="FUR-CH-10001854"/>
    <x v="0"/>
    <x v="1"/>
    <s v="Office Star - Professional Matrix Back Chair with 2-to-1 Synchro Tilt and Mesh Fabric Seat"/>
    <n v="1404"/>
    <n v="5"/>
    <n v="0.2"/>
    <n v="70"/>
    <x v="2"/>
    <s v="Oct"/>
  </r>
  <r>
    <n v="9770"/>
    <s v="CA-2016-123533"/>
    <x v="243"/>
    <d v="2016-11-30T00:00:00"/>
    <x v="1"/>
    <s v="SC-20050"/>
    <s v="Sample Company A"/>
    <x v="2"/>
    <s v="United States"/>
    <x v="173"/>
    <x v="1"/>
    <n v="33012"/>
    <x v="0"/>
    <s v="FUR-BO-10001619"/>
    <x v="0"/>
    <x v="0"/>
    <s v="O'Sullivan Cherrywood Estates Traditional Bookcase"/>
    <n v="340"/>
    <n v="5"/>
    <n v="0.2"/>
    <n v="8"/>
    <x v="6"/>
    <s v="Nov"/>
  </r>
  <r>
    <n v="9776"/>
    <s v="CA-2014-169019"/>
    <x v="503"/>
    <d v="2014-07-30T00:00:00"/>
    <x v="1"/>
    <s v="LF-17185"/>
    <s v="Luke Foster"/>
    <x v="0"/>
    <s v="United States"/>
    <x v="21"/>
    <x v="5"/>
    <n v="78207"/>
    <x v="3"/>
    <s v="FUR-FU-10004666"/>
    <x v="0"/>
    <x v="3"/>
    <s v="DAX Clear Channel Poster Frame"/>
    <n v="17"/>
    <n v="3"/>
    <n v="0.6"/>
    <n v="-10"/>
    <x v="4"/>
    <s v="Jul"/>
  </r>
  <r>
    <n v="9785"/>
    <s v="CA-2015-149748"/>
    <x v="151"/>
    <d v="2015-06-02T00:00:00"/>
    <x v="0"/>
    <s v="EM-13825"/>
    <s v="Elizabeth Moffitt"/>
    <x v="1"/>
    <s v="United States"/>
    <x v="309"/>
    <x v="18"/>
    <n v="7501"/>
    <x v="2"/>
    <s v="FUR-FU-10001847"/>
    <x v="0"/>
    <x v="3"/>
    <s v="Eldon Image Series Black Desk Accessories"/>
    <n v="8"/>
    <n v="2"/>
    <n v="0"/>
    <n v="3"/>
    <x v="3"/>
    <s v="May"/>
  </r>
  <r>
    <n v="9787"/>
    <s v="US-2014-114377"/>
    <x v="726"/>
    <d v="2014-11-05T00:00:00"/>
    <x v="3"/>
    <s v="BG-11035"/>
    <s v="Barry Gonzalez"/>
    <x v="0"/>
    <s v="United States"/>
    <x v="247"/>
    <x v="25"/>
    <n v="23666"/>
    <x v="0"/>
    <s v="FUR-CH-10004754"/>
    <x v="0"/>
    <x v="1"/>
    <s v="Global Stack Chair with Arms, Black"/>
    <n v="150"/>
    <n v="5"/>
    <n v="0"/>
    <n v="40"/>
    <x v="7"/>
    <s v="Nov"/>
  </r>
  <r>
    <n v="9788"/>
    <s v="CA-2017-144491"/>
    <x v="582"/>
    <d v="2017-04-01T00:00:00"/>
    <x v="1"/>
    <s v="CJ-12010"/>
    <s v="Caroline Jumper"/>
    <x v="0"/>
    <s v="United States"/>
    <x v="6"/>
    <x v="5"/>
    <n v="77070"/>
    <x v="3"/>
    <s v="FUR-BO-10001811"/>
    <x v="0"/>
    <x v="0"/>
    <s v="Atlantic Metals Mobile 5-Shelf Bookcases, Custom Colors"/>
    <n v="1023"/>
    <n v="5"/>
    <n v="0.32"/>
    <n v="-30"/>
    <x v="2"/>
    <s v="Mar"/>
  </r>
  <r>
    <n v="9789"/>
    <s v="CA-2017-144491"/>
    <x v="582"/>
    <d v="2017-04-01T00:00:00"/>
    <x v="1"/>
    <s v="CJ-12010"/>
    <s v="Caroline Jumper"/>
    <x v="0"/>
    <s v="United States"/>
    <x v="6"/>
    <x v="5"/>
    <n v="77070"/>
    <x v="3"/>
    <s v="FUR-CH-10004063"/>
    <x v="0"/>
    <x v="1"/>
    <s v="Global Deluxe High-Back Manager's Chair"/>
    <n v="601"/>
    <n v="3"/>
    <n v="0.3"/>
    <n v="-9"/>
    <x v="2"/>
    <s v="Mar"/>
  </r>
  <r>
    <n v="9791"/>
    <s v="CA-2017-144491"/>
    <x v="582"/>
    <d v="2017-04-01T00:00:00"/>
    <x v="1"/>
    <s v="CJ-12010"/>
    <s v="Caroline Jumper"/>
    <x v="0"/>
    <s v="United States"/>
    <x v="6"/>
    <x v="5"/>
    <n v="77070"/>
    <x v="3"/>
    <s v="FUR-CH-10001714"/>
    <x v="0"/>
    <x v="1"/>
    <s v="Global Leather &amp; Oak Executive Chair, Burgundy"/>
    <n v="211"/>
    <n v="2"/>
    <n v="0.3"/>
    <n v="-66"/>
    <x v="2"/>
    <s v="Mar"/>
  </r>
  <r>
    <n v="9793"/>
    <s v="CA-2014-127166"/>
    <x v="876"/>
    <d v="2014-05-23T00:00:00"/>
    <x v="0"/>
    <s v="KH-16360"/>
    <s v="Katherine Hughes"/>
    <x v="0"/>
    <s v="United States"/>
    <x v="6"/>
    <x v="5"/>
    <n v="77070"/>
    <x v="3"/>
    <s v="FUR-CH-10003396"/>
    <x v="0"/>
    <x v="1"/>
    <s v="Global Deluxe Steno Chair"/>
    <n v="108"/>
    <n v="2"/>
    <n v="0.3"/>
    <n v="-29"/>
    <x v="3"/>
    <s v="May"/>
  </r>
  <r>
    <n v="9805"/>
    <s v="CA-2015-122973"/>
    <x v="877"/>
    <d v="2015-07-20T00:00:00"/>
    <x v="0"/>
    <s v="PJ-19015"/>
    <s v="Pauline Johnson"/>
    <x v="0"/>
    <s v="United States"/>
    <x v="13"/>
    <x v="7"/>
    <n v="10024"/>
    <x v="2"/>
    <s v="FUR-FU-10002364"/>
    <x v="0"/>
    <x v="3"/>
    <s v="Eldon Expressions Wood Desk Accessories, Oak"/>
    <n v="7"/>
    <n v="1"/>
    <n v="0"/>
    <n v="2"/>
    <x v="3"/>
    <s v="Jul"/>
  </r>
  <r>
    <n v="9806"/>
    <s v="CA-2016-136322"/>
    <x v="59"/>
    <d v="2016-10-26T00:00:00"/>
    <x v="1"/>
    <s v="AP-10720"/>
    <s v="Anne Pryor"/>
    <x v="2"/>
    <s v="United States"/>
    <x v="1"/>
    <x v="1"/>
    <n v="33311"/>
    <x v="0"/>
    <s v="FUR-FU-10002878"/>
    <x v="0"/>
    <x v="3"/>
    <s v="Seth Thomas 14&quot; Day/Date Wall Clock"/>
    <n v="46"/>
    <n v="2"/>
    <n v="0.2"/>
    <n v="10"/>
    <x v="2"/>
    <s v="Oct"/>
  </r>
  <r>
    <n v="9808"/>
    <s v="CA-2017-107209"/>
    <x v="534"/>
    <d v="2017-08-01T00:00:00"/>
    <x v="0"/>
    <s v="JW-15955"/>
    <s v="Joni Wasserman"/>
    <x v="0"/>
    <s v="United States"/>
    <x v="168"/>
    <x v="30"/>
    <n v="27604"/>
    <x v="0"/>
    <s v="FUR-CH-10001146"/>
    <x v="0"/>
    <x v="1"/>
    <s v="Global Value Mid-Back Manager's Chair, Gray"/>
    <n v="195"/>
    <n v="4"/>
    <n v="0.2"/>
    <n v="12"/>
    <x v="2"/>
    <s v="Jul"/>
  </r>
  <r>
    <n v="9818"/>
    <s v="CA-2015-162201"/>
    <x v="878"/>
    <d v="2015-06-12T00:00:00"/>
    <x v="1"/>
    <s v="AG-10495"/>
    <s v="Andrew Gjertsen"/>
    <x v="1"/>
    <s v="United States"/>
    <x v="66"/>
    <x v="1"/>
    <n v="33710"/>
    <x v="0"/>
    <s v="FUR-FU-10001185"/>
    <x v="0"/>
    <x v="3"/>
    <s v="Advantus Employee of the Month Certificate Frame, 11 x 13-1/2"/>
    <n v="173"/>
    <n v="7"/>
    <n v="0.2"/>
    <n v="45"/>
    <x v="4"/>
    <s v="Jun"/>
  </r>
  <r>
    <n v="9827"/>
    <s v="US-2014-164406"/>
    <x v="879"/>
    <d v="2014-08-19T00:00:00"/>
    <x v="1"/>
    <s v="BD-11605"/>
    <s v="Brian Dahlen"/>
    <x v="0"/>
    <s v="United States"/>
    <x v="28"/>
    <x v="2"/>
    <n v="94122"/>
    <x v="1"/>
    <s v="FUR-CH-10003833"/>
    <x v="0"/>
    <x v="1"/>
    <s v="Novimex Fabric Task Chair"/>
    <n v="195"/>
    <n v="4"/>
    <n v="0.2"/>
    <n v="-12"/>
    <x v="4"/>
    <s v="Aug"/>
  </r>
  <r>
    <n v="9830"/>
    <s v="US-2017-152842"/>
    <x v="3"/>
    <d v="2017-07-23T00:00:00"/>
    <x v="1"/>
    <s v="NF-18385"/>
    <s v="Natalie Fritzler"/>
    <x v="0"/>
    <s v="United States"/>
    <x v="127"/>
    <x v="30"/>
    <n v="28205"/>
    <x v="0"/>
    <s v="FUR-CH-10004218"/>
    <x v="0"/>
    <x v="1"/>
    <s v="Global Fabric Manager's Chair, Dark Gray"/>
    <n v="242"/>
    <n v="3"/>
    <n v="0.2"/>
    <n v="15"/>
    <x v="1"/>
    <s v="Jul"/>
  </r>
  <r>
    <n v="9832"/>
    <s v="CA-2014-113257"/>
    <x v="439"/>
    <d v="2014-12-18T00:00:00"/>
    <x v="0"/>
    <s v="SC-20305"/>
    <s v="Sean Christensen"/>
    <x v="0"/>
    <s v="United States"/>
    <x v="365"/>
    <x v="5"/>
    <n v="77705"/>
    <x v="3"/>
    <s v="FUR-FU-10001706"/>
    <x v="0"/>
    <x v="3"/>
    <s v="Longer-Life Soft White Bulbs"/>
    <n v="9"/>
    <n v="7"/>
    <n v="0.6"/>
    <n v="-3"/>
    <x v="3"/>
    <s v="Dec"/>
  </r>
  <r>
    <n v="9835"/>
    <s v="CA-2016-126627"/>
    <x v="792"/>
    <d v="2016-10-12T00:00:00"/>
    <x v="2"/>
    <s v="WB-21850"/>
    <s v="William Brown"/>
    <x v="0"/>
    <s v="United States"/>
    <x v="101"/>
    <x v="5"/>
    <n v="77571"/>
    <x v="3"/>
    <s v="FUR-FU-10004963"/>
    <x v="0"/>
    <x v="3"/>
    <s v="Eldon 400 Class Desk Accessories, Black Carbon"/>
    <n v="14"/>
    <n v="4"/>
    <n v="0.6"/>
    <n v="-6"/>
    <x v="3"/>
    <s v="Oct"/>
  </r>
  <r>
    <n v="9843"/>
    <s v="US-2016-125402"/>
    <x v="228"/>
    <d v="2016-10-01T00:00:00"/>
    <x v="1"/>
    <s v="DL-12865"/>
    <s v="Dan Lawera"/>
    <x v="0"/>
    <s v="United States"/>
    <x v="62"/>
    <x v="2"/>
    <n v="90805"/>
    <x v="1"/>
    <s v="FUR-CH-10000665"/>
    <x v="0"/>
    <x v="1"/>
    <s v="Global Airflow Leather Mesh Back Chair, Black"/>
    <n v="483"/>
    <n v="4"/>
    <n v="0.2"/>
    <n v="60"/>
    <x v="6"/>
    <s v="Sep"/>
  </r>
  <r>
    <n v="9845"/>
    <s v="CA-2014-163867"/>
    <x v="270"/>
    <d v="2014-06-06T00:00:00"/>
    <x v="2"/>
    <s v="RE-19450"/>
    <s v="Richard Eichhorn"/>
    <x v="0"/>
    <s v="United States"/>
    <x v="42"/>
    <x v="8"/>
    <n v="62521"/>
    <x v="3"/>
    <s v="FUR-FU-10001475"/>
    <x v="0"/>
    <x v="3"/>
    <s v="Contract Clock, 14&quot;, Brown"/>
    <n v="62"/>
    <n v="7"/>
    <n v="0.6"/>
    <n v="-40"/>
    <x v="0"/>
    <s v="Jun"/>
  </r>
  <r>
    <n v="9848"/>
    <s v="CA-2017-169327"/>
    <x v="113"/>
    <d v="2017-09-04T00:00:00"/>
    <x v="0"/>
    <s v="MH-17290"/>
    <s v="Marc Harrigan"/>
    <x v="2"/>
    <s v="United States"/>
    <x v="2"/>
    <x v="2"/>
    <n v="90008"/>
    <x v="1"/>
    <s v="FUR-FU-10004188"/>
    <x v="0"/>
    <x v="3"/>
    <s v="Luxo Professional Combination Clamp-On Lamps"/>
    <n v="512"/>
    <n v="5"/>
    <n v="0"/>
    <n v="133"/>
    <x v="3"/>
    <s v="Sep"/>
  </r>
  <r>
    <n v="9851"/>
    <s v="CA-2016-158155"/>
    <x v="630"/>
    <d v="2016-05-06T00:00:00"/>
    <x v="1"/>
    <s v="EH-13765"/>
    <s v="Edward Hooks"/>
    <x v="1"/>
    <s v="United States"/>
    <x v="13"/>
    <x v="7"/>
    <n v="10009"/>
    <x v="2"/>
    <s v="FUR-FU-10000732"/>
    <x v="0"/>
    <x v="3"/>
    <s v="Eldon 200 Class Desk Accessories"/>
    <n v="13"/>
    <n v="2"/>
    <n v="0"/>
    <n v="4"/>
    <x v="4"/>
    <s v="May"/>
  </r>
  <r>
    <n v="9854"/>
    <s v="CA-2016-158155"/>
    <x v="630"/>
    <d v="2016-05-06T00:00:00"/>
    <x v="1"/>
    <s v="EH-13765"/>
    <s v="Edward Hooks"/>
    <x v="1"/>
    <s v="United States"/>
    <x v="13"/>
    <x v="7"/>
    <n v="10009"/>
    <x v="2"/>
    <s v="FUR-FU-10002253"/>
    <x v="0"/>
    <x v="3"/>
    <s v="Howard Miller 13&quot; Diameter Pewter Finish Round Wall Clock"/>
    <n v="215"/>
    <n v="5"/>
    <n v="0"/>
    <n v="84"/>
    <x v="4"/>
    <s v="May"/>
  </r>
  <r>
    <n v="9855"/>
    <s v="CA-2017-138870"/>
    <x v="744"/>
    <d v="2017-06-23T00:00:00"/>
    <x v="1"/>
    <s v="GA-14515"/>
    <s v="George Ashbrook"/>
    <x v="0"/>
    <s v="United States"/>
    <x v="28"/>
    <x v="2"/>
    <n v="94109"/>
    <x v="1"/>
    <s v="FUR-FU-10002396"/>
    <x v="0"/>
    <x v="3"/>
    <s v="DAX Copper Panel Document Frame, 5 x 7 Size"/>
    <n v="50"/>
    <n v="4"/>
    <n v="0"/>
    <n v="21"/>
    <x v="4"/>
    <s v="Jun"/>
  </r>
  <r>
    <n v="9858"/>
    <s v="CA-2015-164301"/>
    <x v="880"/>
    <d v="2015-03-30T00:00:00"/>
    <x v="1"/>
    <s v="EB-13840"/>
    <s v="Ellis Ballard"/>
    <x v="1"/>
    <s v="United States"/>
    <x v="15"/>
    <x v="13"/>
    <n v="98103"/>
    <x v="1"/>
    <s v="FUR-TA-10001889"/>
    <x v="0"/>
    <x v="2"/>
    <s v="Bush Advantage Collection Racetrack Conference Table"/>
    <n v="3394"/>
    <n v="8"/>
    <n v="0"/>
    <n v="611"/>
    <x v="4"/>
    <s v="Mar"/>
  </r>
  <r>
    <n v="9866"/>
    <s v="CA-2017-113278"/>
    <x v="881"/>
    <d v="2017-01-20T00:00:00"/>
    <x v="1"/>
    <s v="HR-14770"/>
    <s v="Hallie Redmond"/>
    <x v="2"/>
    <s v="United States"/>
    <x v="52"/>
    <x v="6"/>
    <n v="47374"/>
    <x v="3"/>
    <s v="FUR-FU-10001037"/>
    <x v="0"/>
    <x v="3"/>
    <s v="DAX Charcoal/Nickel-Tone Document Frame, 5 x 7"/>
    <n v="19"/>
    <n v="2"/>
    <n v="0"/>
    <n v="9"/>
    <x v="6"/>
    <s v="Jan"/>
  </r>
  <r>
    <n v="9869"/>
    <s v="CA-2014-114195"/>
    <x v="770"/>
    <d v="2014-11-03T00:00:00"/>
    <x v="2"/>
    <s v="EA-14035"/>
    <s v="Erin Ashbrook"/>
    <x v="1"/>
    <s v="United States"/>
    <x v="366"/>
    <x v="15"/>
    <n v="45040"/>
    <x v="2"/>
    <s v="FUR-FU-10002253"/>
    <x v="0"/>
    <x v="3"/>
    <s v="Howard Miller 13&quot; Diameter Pewter Finish Round Wall Clock"/>
    <n v="69"/>
    <n v="2"/>
    <n v="0.2"/>
    <n v="16"/>
    <x v="3"/>
    <s v="Nov"/>
  </r>
  <r>
    <n v="9880"/>
    <s v="CA-2016-122581"/>
    <x v="650"/>
    <d v="2016-08-25T00:00:00"/>
    <x v="1"/>
    <s v="JK-15370"/>
    <s v="Jay Kimmel"/>
    <x v="0"/>
    <s v="United States"/>
    <x v="13"/>
    <x v="7"/>
    <n v="10035"/>
    <x v="2"/>
    <s v="FUR-CH-10002961"/>
    <x v="0"/>
    <x v="1"/>
    <s v="Leather Task Chair, Black"/>
    <n v="573"/>
    <n v="7"/>
    <n v="0.1"/>
    <n v="64"/>
    <x v="4"/>
    <s v="Aug"/>
  </r>
  <r>
    <n v="9894"/>
    <s v="US-2016-115441"/>
    <x v="81"/>
    <d v="2016-07-28T00:00:00"/>
    <x v="0"/>
    <s v="SH-19975"/>
    <s v="Sally Hughsby"/>
    <x v="1"/>
    <s v="United States"/>
    <x v="79"/>
    <x v="16"/>
    <n v="53209"/>
    <x v="3"/>
    <s v="FUR-CH-10004626"/>
    <x v="0"/>
    <x v="1"/>
    <s v="Office Star Flex Back Scooter Chair with Aluminum Finish Frame"/>
    <n v="404"/>
    <n v="4"/>
    <n v="0"/>
    <n v="97"/>
    <x v="0"/>
    <s v="Jul"/>
  </r>
  <r>
    <n v="9895"/>
    <s v="US-2016-115441"/>
    <x v="81"/>
    <d v="2016-07-28T00:00:00"/>
    <x v="0"/>
    <s v="SH-19975"/>
    <s v="Sally Hughsby"/>
    <x v="1"/>
    <s v="United States"/>
    <x v="79"/>
    <x v="16"/>
    <n v="53209"/>
    <x v="3"/>
    <s v="FUR-FU-10001756"/>
    <x v="0"/>
    <x v="3"/>
    <s v="Eldon Expressions Desk Accessory, Wood Photo Frame, Mahogany"/>
    <n v="95"/>
    <n v="5"/>
    <n v="0"/>
    <n v="28"/>
    <x v="0"/>
    <s v="Jul"/>
  </r>
  <r>
    <n v="9898"/>
    <s v="CA-2016-112830"/>
    <x v="882"/>
    <d v="2016-06-10T00:00:00"/>
    <x v="1"/>
    <s v="LP-17095"/>
    <s v="Liz Preis"/>
    <x v="0"/>
    <s v="United States"/>
    <x v="130"/>
    <x v="15"/>
    <n v="45014"/>
    <x v="2"/>
    <s v="FUR-FU-10004306"/>
    <x v="0"/>
    <x v="3"/>
    <s v="Electrix Halogen Magnifier Lamp"/>
    <n v="466"/>
    <n v="3"/>
    <n v="0.2"/>
    <n v="35"/>
    <x v="4"/>
    <s v="Jun"/>
  </r>
  <r>
    <n v="9899"/>
    <s v="CA-2016-112830"/>
    <x v="882"/>
    <d v="2016-06-10T00:00:00"/>
    <x v="1"/>
    <s v="LP-17095"/>
    <s v="Liz Preis"/>
    <x v="0"/>
    <s v="United States"/>
    <x v="130"/>
    <x v="15"/>
    <n v="45014"/>
    <x v="2"/>
    <s v="FUR-FU-10004845"/>
    <x v="0"/>
    <x v="3"/>
    <s v="Deflect-o EconoMat Nonstudded, No Bevel Mat"/>
    <n v="83"/>
    <n v="2"/>
    <n v="0.2"/>
    <n v="0"/>
    <x v="4"/>
    <s v="Jun"/>
  </r>
  <r>
    <n v="9900"/>
    <s v="US-2014-117380"/>
    <x v="786"/>
    <d v="2014-04-03T00:00:00"/>
    <x v="1"/>
    <s v="MP-18175"/>
    <s v="Mike Pelletier"/>
    <x v="2"/>
    <s v="United States"/>
    <x v="76"/>
    <x v="15"/>
    <n v="45503"/>
    <x v="2"/>
    <s v="FUR-TA-10000198"/>
    <x v="0"/>
    <x v="2"/>
    <s v="Chromcraft Bull-Nose Wood Oval Conference Tables &amp; Bases"/>
    <n v="331"/>
    <n v="1"/>
    <n v="0.4"/>
    <n v="-143"/>
    <x v="6"/>
    <s v="Mar"/>
  </r>
  <r>
    <n v="9902"/>
    <s v="CA-2017-117646"/>
    <x v="67"/>
    <d v="2017-08-25T00:00:00"/>
    <x v="1"/>
    <s v="SC-20845"/>
    <s v="Sung Chung"/>
    <x v="0"/>
    <s v="United States"/>
    <x v="74"/>
    <x v="12"/>
    <n v="80027"/>
    <x v="1"/>
    <s v="FUR-FU-10001037"/>
    <x v="0"/>
    <x v="3"/>
    <s v="DAX Charcoal/Nickel-Tone Document Frame, 5 x 7"/>
    <n v="23"/>
    <n v="3"/>
    <n v="0.2"/>
    <n v="7"/>
    <x v="4"/>
    <s v="Aug"/>
  </r>
  <r>
    <n v="9904"/>
    <s v="CA-2014-122609"/>
    <x v="352"/>
    <d v="2014-11-18T00:00:00"/>
    <x v="1"/>
    <s v="DP-13000"/>
    <s v="Darren Powers"/>
    <x v="0"/>
    <s v="United States"/>
    <x v="118"/>
    <x v="5"/>
    <n v="75007"/>
    <x v="3"/>
    <s v="FUR-FU-10004587"/>
    <x v="0"/>
    <x v="3"/>
    <s v="GE General Use Halogen Bulbs, 100 Watts, 1 Bulb per Pack"/>
    <n v="25"/>
    <n v="3"/>
    <n v="0.6"/>
    <n v="-7"/>
    <x v="6"/>
    <s v="Nov"/>
  </r>
  <r>
    <n v="9906"/>
    <s v="US-2015-129007"/>
    <x v="615"/>
    <d v="2015-09-15T00:00:00"/>
    <x v="2"/>
    <s v="KD-16615"/>
    <s v="Ken Dana"/>
    <x v="1"/>
    <s v="United States"/>
    <x v="261"/>
    <x v="2"/>
    <n v="92804"/>
    <x v="1"/>
    <s v="FUR-FU-10004973"/>
    <x v="0"/>
    <x v="3"/>
    <s v="Flat Face Poster Frame"/>
    <n v="132"/>
    <n v="7"/>
    <n v="0"/>
    <n v="55"/>
    <x v="3"/>
    <s v="Sep"/>
  </r>
  <r>
    <n v="9908"/>
    <s v="US-2015-129007"/>
    <x v="615"/>
    <d v="2015-09-15T00:00:00"/>
    <x v="2"/>
    <s v="KD-16615"/>
    <s v="Ken Dana"/>
    <x v="1"/>
    <s v="United States"/>
    <x v="261"/>
    <x v="2"/>
    <n v="92804"/>
    <x v="1"/>
    <s v="FUR-CH-10000155"/>
    <x v="0"/>
    <x v="1"/>
    <s v="Global Comet Stacking Armless Chair"/>
    <n v="718"/>
    <n v="3"/>
    <n v="0.2"/>
    <n v="72"/>
    <x v="3"/>
    <s v="Sep"/>
  </r>
  <r>
    <n v="9909"/>
    <s v="US-2015-129007"/>
    <x v="615"/>
    <d v="2015-09-15T00:00:00"/>
    <x v="2"/>
    <s v="KD-16615"/>
    <s v="Ken Dana"/>
    <x v="1"/>
    <s v="United States"/>
    <x v="261"/>
    <x v="2"/>
    <n v="92804"/>
    <x v="1"/>
    <s v="FUR-FU-10002379"/>
    <x v="0"/>
    <x v="3"/>
    <s v="Eldon Econocleat Chair Mats for Low Pile Carpets"/>
    <n v="207"/>
    <n v="5"/>
    <n v="0"/>
    <n v="25"/>
    <x v="3"/>
    <s v="Sep"/>
  </r>
  <r>
    <n v="9910"/>
    <s v="US-2015-129007"/>
    <x v="615"/>
    <d v="2015-09-15T00:00:00"/>
    <x v="2"/>
    <s v="KD-16615"/>
    <s v="Ken Dana"/>
    <x v="1"/>
    <s v="United States"/>
    <x v="261"/>
    <x v="2"/>
    <n v="92804"/>
    <x v="1"/>
    <s v="FUR-FU-10004018"/>
    <x v="0"/>
    <x v="3"/>
    <s v="Tensor Computer Mounted Lamp"/>
    <n v="45"/>
    <n v="3"/>
    <n v="0"/>
    <n v="12"/>
    <x v="3"/>
    <s v="Sep"/>
  </r>
  <r>
    <n v="9913"/>
    <s v="CA-2015-132388"/>
    <x v="883"/>
    <d v="2015-10-12T00:00:00"/>
    <x v="2"/>
    <s v="KN-16390"/>
    <s v="Katherine Nockton"/>
    <x v="1"/>
    <s v="United States"/>
    <x v="367"/>
    <x v="2"/>
    <n v="93101"/>
    <x v="1"/>
    <s v="FUR-CH-10001714"/>
    <x v="0"/>
    <x v="1"/>
    <s v="Global Leather &amp; Oak Executive Chair, Burgundy"/>
    <n v="362"/>
    <n v="3"/>
    <n v="0.2"/>
    <n v="-54"/>
    <x v="3"/>
    <s v="Oct"/>
  </r>
  <r>
    <n v="9918"/>
    <s v="CA-2017-160927"/>
    <x v="884"/>
    <d v="2017-01-31T00:00:00"/>
    <x v="0"/>
    <s v="TM-21010"/>
    <s v="Tamara Manning"/>
    <x v="0"/>
    <s v="United States"/>
    <x v="149"/>
    <x v="26"/>
    <n v="52302"/>
    <x v="3"/>
    <s v="FUR-FU-10000010"/>
    <x v="0"/>
    <x v="3"/>
    <s v="DAX Value U-Channel Document Frames, Easel Back"/>
    <n v="15"/>
    <n v="3"/>
    <n v="0"/>
    <n v="5"/>
    <x v="3"/>
    <s v="Jan"/>
  </r>
  <r>
    <n v="9920"/>
    <s v="CA-2016-149272"/>
    <x v="775"/>
    <d v="2016-03-19T00:00:00"/>
    <x v="1"/>
    <s v="MY-18295"/>
    <s v="Muhammed Yedwab"/>
    <x v="1"/>
    <s v="United States"/>
    <x v="368"/>
    <x v="5"/>
    <n v="77803"/>
    <x v="3"/>
    <s v="FUR-CH-10000863"/>
    <x v="0"/>
    <x v="1"/>
    <s v="Novimex Swivel Fabric Task Chair"/>
    <n v="528"/>
    <n v="5"/>
    <n v="0.3"/>
    <n v="-143"/>
    <x v="4"/>
    <s v="Mar"/>
  </r>
  <r>
    <n v="9929"/>
    <s v="CA-2016-129630"/>
    <x v="631"/>
    <d v="2016-09-04T00:00:00"/>
    <x v="3"/>
    <s v="IM-15055"/>
    <s v="Ionia McGrath"/>
    <x v="0"/>
    <s v="United States"/>
    <x v="28"/>
    <x v="2"/>
    <n v="94122"/>
    <x v="1"/>
    <s v="FUR-FU-10000260"/>
    <x v="0"/>
    <x v="3"/>
    <s v="6&quot; Cubicle Wall Clock, Black"/>
    <n v="24"/>
    <n v="3"/>
    <n v="0"/>
    <n v="9"/>
    <x v="7"/>
    <s v="Sep"/>
  </r>
  <r>
    <n v="9932"/>
    <s v="CA-2015-104948"/>
    <x v="18"/>
    <d v="2015-11-17T00:00:00"/>
    <x v="1"/>
    <s v="KH-16510"/>
    <s v="Keith Herrera"/>
    <x v="0"/>
    <s v="United States"/>
    <x v="369"/>
    <x v="2"/>
    <n v="92404"/>
    <x v="1"/>
    <s v="FUR-BO-10004357"/>
    <x v="0"/>
    <x v="0"/>
    <s v="O'Sullivan Living Dimensions 3-Shelf Bookcases"/>
    <n v="683"/>
    <n v="4"/>
    <n v="0.15"/>
    <n v="-40"/>
    <x v="4"/>
    <s v="Nov"/>
  </r>
  <r>
    <n v="9938"/>
    <s v="CA-2016-164889"/>
    <x v="885"/>
    <d v="2016-06-06T00:00:00"/>
    <x v="0"/>
    <s v="CP-12340"/>
    <s v="Christine Phan"/>
    <x v="1"/>
    <s v="United States"/>
    <x v="2"/>
    <x v="2"/>
    <n v="90049"/>
    <x v="1"/>
    <s v="FUR-TA-10001676"/>
    <x v="0"/>
    <x v="2"/>
    <s v="Hon 61000 Series Interactive Training Tables"/>
    <n v="71"/>
    <n v="2"/>
    <n v="0.2"/>
    <n v="-2"/>
    <x v="0"/>
    <s v="Jun"/>
  </r>
  <r>
    <n v="9939"/>
    <s v="CA-2016-169824"/>
    <x v="574"/>
    <d v="2016-12-17T00:00:00"/>
    <x v="1"/>
    <s v="NS-18640"/>
    <s v="Noel Staavos"/>
    <x v="1"/>
    <s v="United States"/>
    <x v="13"/>
    <x v="7"/>
    <n v="10009"/>
    <x v="2"/>
    <s v="FUR-FU-10004864"/>
    <x v="0"/>
    <x v="3"/>
    <s v="Eldon 500 Class Desk Accessories"/>
    <n v="60"/>
    <n v="5"/>
    <n v="0"/>
    <n v="20"/>
    <x v="2"/>
    <s v="Dec"/>
  </r>
  <r>
    <n v="9948"/>
    <s v="CA-2017-121559"/>
    <x v="886"/>
    <d v="2017-06-03T00:00:00"/>
    <x v="0"/>
    <s v="HW-14935"/>
    <s v="Helen Wasserman"/>
    <x v="1"/>
    <s v="United States"/>
    <x v="370"/>
    <x v="6"/>
    <n v="46203"/>
    <x v="3"/>
    <s v="FUR-CH-10003746"/>
    <x v="0"/>
    <x v="1"/>
    <s v="Hon 4070 Series Pagoda Round Back Stacking Chairs"/>
    <n v="1926"/>
    <n v="6"/>
    <n v="0"/>
    <n v="539"/>
    <x v="3"/>
    <s v="Jun"/>
  </r>
  <r>
    <n v="9956"/>
    <s v="CA-2015-141593"/>
    <x v="646"/>
    <d v="2015-12-16T00:00:00"/>
    <x v="0"/>
    <s v="DB-12970"/>
    <s v="Darren Budd"/>
    <x v="1"/>
    <s v="United States"/>
    <x v="2"/>
    <x v="2"/>
    <n v="90045"/>
    <x v="1"/>
    <s v="FUR-TA-10002622"/>
    <x v="0"/>
    <x v="2"/>
    <s v="Bush Andora Conference Table, Maple/Graphite Gray Finish"/>
    <n v="274"/>
    <n v="2"/>
    <n v="0.2"/>
    <n v="10"/>
    <x v="3"/>
    <s v="Dec"/>
  </r>
  <r>
    <n v="9963"/>
    <s v="CA-2015-168088"/>
    <x v="887"/>
    <d v="2015-03-22T00:00:00"/>
    <x v="2"/>
    <s v="CM-12655"/>
    <s v="Corinna Mitchell"/>
    <x v="2"/>
    <s v="United States"/>
    <x v="6"/>
    <x v="5"/>
    <n v="77041"/>
    <x v="3"/>
    <s v="FUR-BO-10004218"/>
    <x v="0"/>
    <x v="0"/>
    <s v="Bush Heritage Pine Collection 5-Shelf Bookcase, Albany Pine Finish, *Special Order"/>
    <n v="383"/>
    <n v="4"/>
    <n v="0.32"/>
    <n v="-68"/>
    <x v="0"/>
    <s v="Mar"/>
  </r>
  <r>
    <n v="9965"/>
    <s v="CA-2016-146374"/>
    <x v="28"/>
    <d v="2016-12-10T00:00:00"/>
    <x v="0"/>
    <s v="HE-14800"/>
    <s v="Harold Engle"/>
    <x v="1"/>
    <s v="United States"/>
    <x v="19"/>
    <x v="14"/>
    <n v="19711"/>
    <x v="2"/>
    <s v="FUR-FU-10002671"/>
    <x v="0"/>
    <x v="3"/>
    <s v="Electrix 20W Halogen Replacement Bulb for Zoom-In Desk Lamp"/>
    <n v="13"/>
    <n v="1"/>
    <n v="0"/>
    <n v="6"/>
    <x v="2"/>
    <s v="Dec"/>
  </r>
  <r>
    <n v="9981"/>
    <s v="US-2015-151435"/>
    <x v="329"/>
    <d v="2015-09-09T00:00:00"/>
    <x v="0"/>
    <s v="SW-20455"/>
    <s v="Shaun Weien"/>
    <x v="0"/>
    <s v="United States"/>
    <x v="120"/>
    <x v="35"/>
    <n v="70506"/>
    <x v="0"/>
    <s v="FUR-TA-10001039"/>
    <x v="0"/>
    <x v="2"/>
    <s v="KI Adjustable-Height Table"/>
    <n v="86"/>
    <n v="1"/>
    <n v="0"/>
    <n v="22"/>
    <x v="0"/>
    <s v="Sep"/>
  </r>
  <r>
    <n v="9990"/>
    <s v="CA-2014-110422"/>
    <x v="888"/>
    <d v="2014-01-23T00:00:00"/>
    <x v="0"/>
    <s v="TB-21400"/>
    <s v="Tom Boeckenhauer"/>
    <x v="0"/>
    <s v="United States"/>
    <x v="89"/>
    <x v="1"/>
    <n v="33180"/>
    <x v="0"/>
    <s v="FUR-FU-10001889"/>
    <x v="0"/>
    <x v="3"/>
    <s v="Ultra Door Pull Handle"/>
    <n v="25"/>
    <n v="3"/>
    <n v="0.2"/>
    <n v="4"/>
    <x v="3"/>
    <s v="Jan"/>
  </r>
  <r>
    <n v="9991"/>
    <s v="CA-2017-121258"/>
    <x v="194"/>
    <d v="2017-03-03T00:00:00"/>
    <x v="1"/>
    <s v="DB-13060"/>
    <s v="Dave Brooks"/>
    <x v="0"/>
    <s v="United States"/>
    <x v="46"/>
    <x v="2"/>
    <n v="92627"/>
    <x v="1"/>
    <s v="FUR-FU-10000747"/>
    <x v="0"/>
    <x v="3"/>
    <s v="Tenex B1-RE Series Chair Mats for Low Pile Carpets"/>
    <n v="92"/>
    <n v="2"/>
    <n v="0"/>
    <n v="16"/>
    <x v="2"/>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34D08-2FF3-40A9-A3F9-325BBF153E7D}" name="PivotTable9"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G51:H56"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items count="5">
        <item h="1" x="3"/>
        <item h="1" x="2"/>
        <item x="0"/>
        <item h="1"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5">
    <i>
      <x/>
    </i>
    <i>
      <x v="1"/>
    </i>
    <i>
      <x v="2"/>
    </i>
    <i>
      <x v="3"/>
    </i>
    <i t="grand">
      <x/>
    </i>
  </rowItems>
  <colItems count="1">
    <i/>
  </colItems>
  <dataFields count="1">
    <dataField name="Sum of Sales" fld="17" baseField="0" baseItem="0" numFmtId="170"/>
  </dataFields>
  <formats count="3">
    <format dxfId="4">
      <pivotArea grandRow="1" outline="0" collapsedLevelsAreSubtotals="1" fieldPosition="0"/>
    </format>
    <format dxfId="3">
      <pivotArea collapsedLevelsAreSubtotals="1" fieldPosition="0">
        <references count="1">
          <reference field="15" count="1">
            <x v="1"/>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105C7-8B2A-4604-87FF-9286152AE768}" name="PivotTable8"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
  <location ref="G41:H46" firstHeaderRow="1" firstDataRow="1" firstDataCol="1"/>
  <pivotFields count="26">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x="0"/>
        <item h="1"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items count="5">
        <item h="1" x="3"/>
        <item h="1" x="2"/>
        <item x="0"/>
        <item h="1" x="1"/>
        <item t="default"/>
      </items>
    </pivotField>
    <pivotField showAll="0"/>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Count of Order ID" fld="1" subtotal="count" showDataAs="percentOfTotal" baseField="0" baseItem="0" numFmtId="9"/>
  </dataFields>
  <formats count="3">
    <format dxfId="6">
      <pivotArea outline="0" fieldPosition="0">
        <references count="1">
          <reference field="4294967294" count="1">
            <x v="0"/>
          </reference>
        </references>
      </pivotArea>
    </format>
    <format dxfId="7">
      <pivotArea grandRow="1" outline="0" collapsedLevelsAreSubtotals="1" fieldPosition="0"/>
    </format>
    <format dxfId="5">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F16C0-00B6-453C-9C51-BBFF9EBCEE85}" name="PivotTable7"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B38:C50"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items count="5">
        <item h="1" x="3"/>
        <item h="1" x="2"/>
        <item x="0"/>
        <item h="1"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2">
    <i>
      <x/>
    </i>
    <i>
      <x v="2"/>
    </i>
    <i>
      <x v="8"/>
    </i>
    <i>
      <x v="9"/>
    </i>
    <i>
      <x v="15"/>
    </i>
    <i>
      <x v="16"/>
    </i>
    <i>
      <x v="22"/>
    </i>
    <i>
      <x v="31"/>
    </i>
    <i>
      <x v="37"/>
    </i>
    <i>
      <x v="39"/>
    </i>
    <i>
      <x v="43"/>
    </i>
    <i t="grand">
      <x/>
    </i>
  </rowItems>
  <colItems count="1">
    <i/>
  </colItems>
  <dataFields count="1">
    <dataField name="Sum of Sales" fld="17" baseField="0" baseItem="0" numFmtId="170"/>
  </dataFields>
  <formats count="2">
    <format dxfId="8">
      <pivotArea grandRow="1"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16BE40-319E-4A00-ADD3-02C5F5627B3A}" name="PivotTable6"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G27:H36" firstHeaderRow="1" firstDataRow="1" firstDataCol="1"/>
  <pivotFields count="26">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items count="5">
        <item h="1" x="3"/>
        <item h="1" x="2"/>
        <item x="0"/>
        <item h="1" x="1"/>
        <item t="default"/>
      </items>
    </pivotField>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9">
    <i>
      <x/>
    </i>
    <i>
      <x v="1"/>
    </i>
    <i>
      <x v="2"/>
    </i>
    <i>
      <x v="3"/>
    </i>
    <i>
      <x v="4"/>
    </i>
    <i>
      <x v="5"/>
    </i>
    <i>
      <x v="6"/>
    </i>
    <i>
      <x v="7"/>
    </i>
    <i t="grand">
      <x/>
    </i>
  </rowItems>
  <colItems count="1">
    <i/>
  </colItems>
  <dataFields count="1">
    <dataField name="Count of Order ID" fld="1" subtotal="count" showDataAs="percentOfTotal" baseField="0" baseItem="0" numFmtId="10"/>
  </dataFields>
  <formats count="4">
    <format dxfId="12">
      <pivotArea outline="0" fieldPosition="0">
        <references count="1">
          <reference field="4294967294" count="1">
            <x v="0"/>
          </reference>
        </references>
      </pivotArea>
    </format>
    <format dxfId="11">
      <pivotArea collapsedLevelsAreSubtotals="1" fieldPosition="0">
        <references count="1">
          <reference field="21" count="1">
            <x v="0"/>
          </reference>
        </references>
      </pivotArea>
    </format>
    <format dxfId="10">
      <pivotArea collapsedLevelsAreSubtotals="1" fieldPosition="0">
        <references count="1">
          <reference field="21" count="7">
            <x v="1"/>
            <x v="2"/>
            <x v="3"/>
            <x v="4"/>
            <x v="5"/>
            <x v="6"/>
            <x v="7"/>
          </reference>
        </references>
      </pivotArea>
    </format>
    <format dxfId="9">
      <pivotArea grandRow="1"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7CA344-E546-4E99-BB4D-B626FC8C4623}" name="PivotTable5"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G17:H23"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items count="5">
        <item h="1" x="3"/>
        <item h="1" x="2"/>
        <item x="0"/>
        <item h="1"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51"/>
    </i>
    <i>
      <x v="67"/>
    </i>
    <i>
      <x v="137"/>
    </i>
    <i>
      <x v="150"/>
    </i>
    <i>
      <x v="151"/>
    </i>
    <i t="grand">
      <x/>
    </i>
  </rowItems>
  <colItems count="1">
    <i/>
  </colItems>
  <dataFields count="1">
    <dataField name="Sum of Sales" fld="17" baseField="0" baseItem="0"/>
  </dataFields>
  <formats count="2">
    <format dxfId="13">
      <pivotArea grandRow="1" outline="0" collapsedLevelsAreSubtotals="1" fieldPosition="0"/>
    </format>
    <format dxfId="2">
      <pivotArea collapsedLevelsAreSubtotals="1" fieldPosition="0">
        <references count="1">
          <reference field="9" count="5">
            <x v="184"/>
            <x v="232"/>
            <x v="264"/>
            <x v="307"/>
            <x v="316"/>
          </reference>
        </references>
      </pivotArea>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D82CDC-6EC1-45FD-B1E4-B9A70F18DBBA}" name="PivotTable3"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
  <location ref="B17:C30"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3"/>
        <item h="1" x="2"/>
        <item x="0"/>
        <item h="1" x="1"/>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2">
    <format dxfId="15">
      <pivotArea grandRow="1" outline="0" collapsedLevelsAreSubtotals="1" fieldPosition="0"/>
    </format>
    <format dxfId="14">
      <pivotArea collapsedLevelsAreSubtotals="1" fieldPosition="0">
        <references count="1">
          <reference field="23" count="12">
            <x v="1"/>
            <x v="2"/>
            <x v="3"/>
            <x v="4"/>
            <x v="5"/>
            <x v="6"/>
            <x v="7"/>
            <x v="8"/>
            <x v="9"/>
            <x v="10"/>
            <x v="1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59B4EE-BCD5-4CBF-8FED-A67A3AE7FC0A}"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E13" firstHeaderRow="0"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3"/>
        <item h="1" x="2"/>
        <item x="0"/>
        <item h="1"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5"/>
  </rowFields>
  <rowItems count="5">
    <i>
      <x v="1"/>
    </i>
    <i>
      <x v="2"/>
    </i>
    <i>
      <x v="3"/>
    </i>
    <i>
      <x v="4"/>
    </i>
    <i t="grand">
      <x/>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formats count="1">
    <format dxfId="3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1707D5-AF8F-41E6-9115-D392F006DC47}"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5" firstHeaderRow="0" firstDataRow="1" firstDataCol="0"/>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3"/>
        <item h="1" x="2"/>
        <item x="0"/>
        <item h="1"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3ADDE5-10BC-45C7-878D-56530E9535F3}"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uration" tableColumnId="22"/>
      <queryTableField id="23" name="Month Nam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18935BD-C99E-4812-8658-25D714357234}" sourceName="Segment">
  <pivotTables>
    <pivotTable tabId="1" name="PivotTable8"/>
    <pivotTable tabId="1" name="PivotTable1"/>
    <pivotTable tabId="1" name="PivotTable2"/>
    <pivotTable tabId="1" name="PivotTable3"/>
    <pivotTable tabId="1" name="PivotTable5"/>
    <pivotTable tabId="1" name="PivotTable6"/>
    <pivotTable tabId="1" name="PivotTable7"/>
    <pivotTable tabId="1" name="PivotTable9"/>
  </pivotTables>
  <data>
    <tabular pivotCacheId="16758633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DBC0C9-002F-4D67-939F-A062DF8F8E2C}" sourceName="Region">
  <pivotTables>
    <pivotTable tabId="1" name="PivotTable8"/>
    <pivotTable tabId="1" name="PivotTable1"/>
    <pivotTable tabId="1" name="PivotTable2"/>
    <pivotTable tabId="1" name="PivotTable3"/>
    <pivotTable tabId="1" name="PivotTable5"/>
    <pivotTable tabId="1" name="PivotTable6"/>
    <pivotTable tabId="1" name="PivotTable7"/>
    <pivotTable tabId="1" name="PivotTable9"/>
  </pivotTables>
  <data>
    <tabular pivotCacheId="167586333">
      <items count="4">
        <i x="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F898280-1E6E-4CEA-AC56-A94037D34E4C}" cache="Slicer_Segment" caption="Segment" columnCount="3" showCaption="0" style="SlicerStyleOther2" rowHeight="251883"/>
  <slicer name="Region" xr10:uid="{6E63C62A-84A0-4E97-B686-E0DD72D422ED}" cache="Slicer_Region" caption="Region" columnCount="4" showCaption="0"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9B1355-6BD2-45D9-A910-D3DB62A4DC7E}" name="Furniture_Sales" displayName="Furniture_Sales" ref="A1:W2122" tableType="queryTable" totalsRowShown="0">
  <autoFilter ref="A1:W2122" xr:uid="{819B1355-6BD2-45D9-A910-D3DB62A4DC7E}"/>
  <tableColumns count="23">
    <tableColumn id="1" xr3:uid="{30BB17A9-901C-4D77-BC78-0346C5360CDF}" uniqueName="1" name="Row ID" queryTableFieldId="1"/>
    <tableColumn id="2" xr3:uid="{983DD7D1-E835-4062-AFDB-E9D93A2B73C7}" uniqueName="2" name="Order ID" queryTableFieldId="2" dataDxfId="32"/>
    <tableColumn id="3" xr3:uid="{E5DDBE80-5C69-4465-94EB-53770BA745A5}" uniqueName="3" name="Order Date" queryTableFieldId="3" dataDxfId="31"/>
    <tableColumn id="4" xr3:uid="{CB4C9320-A6F4-44C2-B6B0-0C2FA225B545}" uniqueName="4" name="Ship Date" queryTableFieldId="4" dataDxfId="30"/>
    <tableColumn id="5" xr3:uid="{CD2BEFEB-F4B8-415D-B51E-F9ABD2923094}" uniqueName="5" name="Ship Mode" queryTableFieldId="5" dataDxfId="29"/>
    <tableColumn id="6" xr3:uid="{E04AA083-B44F-4AF3-AA7A-2ED1CC6904C1}" uniqueName="6" name="Customer ID" queryTableFieldId="6" dataDxfId="28"/>
    <tableColumn id="7" xr3:uid="{E5DC2849-C765-4DE7-A44C-BE4594FC2D60}" uniqueName="7" name="Customer Name" queryTableFieldId="7" dataDxfId="27"/>
    <tableColumn id="8" xr3:uid="{3075C2BF-0645-4EEC-BAFF-0F6C70CAC9BF}" uniqueName="8" name="Segment" queryTableFieldId="8" dataDxfId="26"/>
    <tableColumn id="9" xr3:uid="{E2B594D4-D263-4D8F-B111-13325611B74A}" uniqueName="9" name="Country" queryTableFieldId="9" dataDxfId="25"/>
    <tableColumn id="10" xr3:uid="{2B324F83-2DF2-4922-BC4F-DF0DB85D58ED}" uniqueName="10" name="City" queryTableFieldId="10" dataDxfId="24"/>
    <tableColumn id="11" xr3:uid="{97CA84F3-7D38-4D7B-9FB8-ED5B6A90B6DB}" uniqueName="11" name="State" queryTableFieldId="11" dataDxfId="23"/>
    <tableColumn id="12" xr3:uid="{201EE81F-2031-4ABD-8266-39410F83A909}" uniqueName="12" name="Postal Code" queryTableFieldId="12"/>
    <tableColumn id="13" xr3:uid="{7B681140-C68B-4AE8-8682-1FA05A134659}" uniqueName="13" name="Region" queryTableFieldId="13" dataDxfId="22"/>
    <tableColumn id="14" xr3:uid="{EFD1F524-7AC8-41DC-BC80-C8EA6F6AAF07}" uniqueName="14" name="Product ID" queryTableFieldId="14" dataDxfId="21"/>
    <tableColumn id="15" xr3:uid="{EED303EA-0CF9-461D-BF4A-48DE830F792B}" uniqueName="15" name="Category" queryTableFieldId="15" dataDxfId="20"/>
    <tableColumn id="16" xr3:uid="{2E645FF1-DD93-4A38-93FD-BE819D14013B}" uniqueName="16" name="Sub-Category" queryTableFieldId="16" dataDxfId="19"/>
    <tableColumn id="17" xr3:uid="{23638C69-FE5E-4043-ACAD-7D4641252CE4}" uniqueName="17" name="Product Name" queryTableFieldId="17" dataDxfId="18"/>
    <tableColumn id="18" xr3:uid="{A61345BE-37FA-419D-BA88-2EA3E5653D45}" uniqueName="18" name="Sales" queryTableFieldId="18"/>
    <tableColumn id="19" xr3:uid="{FD2FA524-6DC6-4C0B-A54F-14A2572B7B48}" uniqueName="19" name="Quantity" queryTableFieldId="19"/>
    <tableColumn id="20" xr3:uid="{3D5B219E-0563-4B1C-8819-E9C9757DEEAF}" uniqueName="20" name="Discount" queryTableFieldId="20"/>
    <tableColumn id="21" xr3:uid="{BB0BA3BA-6C07-424C-BD0E-88B05EC7FFEC}" uniqueName="21" name="Profit" queryTableFieldId="21"/>
    <tableColumn id="22" xr3:uid="{4597437C-DA24-46A9-8C19-84BE30450AC4}" uniqueName="22" name="Duration" queryTableFieldId="22" dataDxfId="17"/>
    <tableColumn id="23" xr3:uid="{B3410809-9078-45CA-B6FF-D4620081FF6C}" uniqueName="23" name="Month Name" queryTableFieldId="23"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B4979-8627-45B9-ABC3-AA4373FE325D}">
  <dimension ref="A1:W2122"/>
  <sheetViews>
    <sheetView topLeftCell="A1972" workbookViewId="0">
      <selection activeCell="G1981" sqref="G1981"/>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5" bestFit="1" customWidth="1"/>
    <col min="11" max="11" width="17" bestFit="1" customWidth="1"/>
    <col min="12" max="12" width="13" bestFit="1" customWidth="1"/>
    <col min="13" max="13" width="8.81640625" bestFit="1" customWidth="1"/>
    <col min="14" max="14" width="16.08984375" bestFit="1" customWidth="1"/>
    <col min="15" max="15" width="10.453125" bestFit="1" customWidth="1"/>
    <col min="16" max="16" width="14.36328125" bestFit="1" customWidth="1"/>
    <col min="17" max="17" width="75.90625" bestFit="1" customWidth="1"/>
    <col min="18" max="18" width="7.6328125" bestFit="1" customWidth="1"/>
    <col min="19" max="19" width="10.26953125" bestFit="1" customWidth="1"/>
    <col min="20" max="20" width="10.6328125" bestFit="1" customWidth="1"/>
    <col min="21" max="21" width="7.6328125" bestFit="1" customWidth="1"/>
    <col min="22" max="22" width="10.36328125" bestFit="1" customWidth="1"/>
    <col min="23" max="23" width="13.63281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1</v>
      </c>
      <c r="B2" s="1" t="s">
        <v>23</v>
      </c>
      <c r="C2" s="2">
        <v>42682</v>
      </c>
      <c r="D2" s="2">
        <v>42685</v>
      </c>
      <c r="E2" s="1" t="s">
        <v>24</v>
      </c>
      <c r="F2" s="1" t="s">
        <v>25</v>
      </c>
      <c r="G2" s="1" t="s">
        <v>26</v>
      </c>
      <c r="H2" s="1" t="s">
        <v>27</v>
      </c>
      <c r="I2" s="1" t="s">
        <v>28</v>
      </c>
      <c r="J2" s="1" t="s">
        <v>29</v>
      </c>
      <c r="K2" s="1" t="s">
        <v>30</v>
      </c>
      <c r="L2">
        <v>42420</v>
      </c>
      <c r="M2" s="1" t="s">
        <v>31</v>
      </c>
      <c r="N2" s="1" t="s">
        <v>32</v>
      </c>
      <c r="O2" s="1" t="s">
        <v>33</v>
      </c>
      <c r="P2" s="1" t="s">
        <v>34</v>
      </c>
      <c r="Q2" s="1" t="s">
        <v>35</v>
      </c>
      <c r="R2">
        <v>262</v>
      </c>
      <c r="S2">
        <v>2</v>
      </c>
      <c r="T2">
        <v>0</v>
      </c>
      <c r="U2">
        <v>42</v>
      </c>
      <c r="V2" s="1" t="s">
        <v>36</v>
      </c>
      <c r="W2" s="1" t="s">
        <v>37</v>
      </c>
    </row>
    <row r="3" spans="1:23" x14ac:dyDescent="0.35">
      <c r="A3">
        <v>2</v>
      </c>
      <c r="B3" s="1" t="s">
        <v>23</v>
      </c>
      <c r="C3" s="2">
        <v>42682</v>
      </c>
      <c r="D3" s="2">
        <v>42685</v>
      </c>
      <c r="E3" s="1" t="s">
        <v>24</v>
      </c>
      <c r="F3" s="1" t="s">
        <v>25</v>
      </c>
      <c r="G3" s="1" t="s">
        <v>26</v>
      </c>
      <c r="H3" s="1" t="s">
        <v>27</v>
      </c>
      <c r="I3" s="1" t="s">
        <v>28</v>
      </c>
      <c r="J3" s="1" t="s">
        <v>29</v>
      </c>
      <c r="K3" s="1" t="s">
        <v>30</v>
      </c>
      <c r="L3">
        <v>42420</v>
      </c>
      <c r="M3" s="1" t="s">
        <v>31</v>
      </c>
      <c r="N3" s="1" t="s">
        <v>38</v>
      </c>
      <c r="O3" s="1" t="s">
        <v>33</v>
      </c>
      <c r="P3" s="1" t="s">
        <v>39</v>
      </c>
      <c r="Q3" s="1" t="s">
        <v>40</v>
      </c>
      <c r="R3">
        <v>732</v>
      </c>
      <c r="S3">
        <v>3</v>
      </c>
      <c r="T3">
        <v>0</v>
      </c>
      <c r="U3">
        <v>220</v>
      </c>
      <c r="V3" s="1" t="s">
        <v>36</v>
      </c>
      <c r="W3" s="1" t="s">
        <v>37</v>
      </c>
    </row>
    <row r="4" spans="1:23" x14ac:dyDescent="0.35">
      <c r="A4">
        <v>4</v>
      </c>
      <c r="B4" s="1" t="s">
        <v>41</v>
      </c>
      <c r="C4" s="2">
        <v>42288</v>
      </c>
      <c r="D4" s="2">
        <v>42295</v>
      </c>
      <c r="E4" s="1" t="s">
        <v>42</v>
      </c>
      <c r="F4" s="1" t="s">
        <v>43</v>
      </c>
      <c r="G4" s="1" t="s">
        <v>44</v>
      </c>
      <c r="H4" s="1" t="s">
        <v>27</v>
      </c>
      <c r="I4" s="1" t="s">
        <v>28</v>
      </c>
      <c r="J4" s="1" t="s">
        <v>45</v>
      </c>
      <c r="K4" s="1" t="s">
        <v>46</v>
      </c>
      <c r="L4">
        <v>33311</v>
      </c>
      <c r="M4" s="1" t="s">
        <v>31</v>
      </c>
      <c r="N4" s="1" t="s">
        <v>47</v>
      </c>
      <c r="O4" s="1" t="s">
        <v>33</v>
      </c>
      <c r="P4" s="1" t="s">
        <v>48</v>
      </c>
      <c r="Q4" s="1" t="s">
        <v>49</v>
      </c>
      <c r="R4">
        <v>958</v>
      </c>
      <c r="S4">
        <v>5</v>
      </c>
      <c r="T4">
        <v>0.45</v>
      </c>
      <c r="U4">
        <v>-383</v>
      </c>
      <c r="V4" s="1" t="s">
        <v>50</v>
      </c>
      <c r="W4" s="1" t="s">
        <v>51</v>
      </c>
    </row>
    <row r="5" spans="1:23" x14ac:dyDescent="0.35">
      <c r="A5">
        <v>6</v>
      </c>
      <c r="B5" s="1" t="s">
        <v>52</v>
      </c>
      <c r="C5" s="2">
        <v>41799</v>
      </c>
      <c r="D5" s="2">
        <v>41804</v>
      </c>
      <c r="E5" s="1" t="s">
        <v>42</v>
      </c>
      <c r="F5" s="1" t="s">
        <v>53</v>
      </c>
      <c r="G5" s="1" t="s">
        <v>54</v>
      </c>
      <c r="H5" s="1" t="s">
        <v>27</v>
      </c>
      <c r="I5" s="1" t="s">
        <v>28</v>
      </c>
      <c r="J5" s="1" t="s">
        <v>55</v>
      </c>
      <c r="K5" s="1" t="s">
        <v>56</v>
      </c>
      <c r="L5">
        <v>90032</v>
      </c>
      <c r="M5" s="1" t="s">
        <v>57</v>
      </c>
      <c r="N5" s="1" t="s">
        <v>58</v>
      </c>
      <c r="O5" s="1" t="s">
        <v>33</v>
      </c>
      <c r="P5" s="1" t="s">
        <v>59</v>
      </c>
      <c r="Q5" s="1" t="s">
        <v>60</v>
      </c>
      <c r="R5">
        <v>49</v>
      </c>
      <c r="S5">
        <v>7</v>
      </c>
      <c r="T5">
        <v>0</v>
      </c>
      <c r="U5">
        <v>14</v>
      </c>
      <c r="V5" s="1" t="s">
        <v>61</v>
      </c>
      <c r="W5" s="1" t="s">
        <v>62</v>
      </c>
    </row>
    <row r="6" spans="1:23" x14ac:dyDescent="0.35">
      <c r="A6">
        <v>11</v>
      </c>
      <c r="B6" s="1" t="s">
        <v>52</v>
      </c>
      <c r="C6" s="2">
        <v>41799</v>
      </c>
      <c r="D6" s="2">
        <v>41804</v>
      </c>
      <c r="E6" s="1" t="s">
        <v>42</v>
      </c>
      <c r="F6" s="1" t="s">
        <v>53</v>
      </c>
      <c r="G6" s="1" t="s">
        <v>54</v>
      </c>
      <c r="H6" s="1" t="s">
        <v>27</v>
      </c>
      <c r="I6" s="1" t="s">
        <v>28</v>
      </c>
      <c r="J6" s="1" t="s">
        <v>55</v>
      </c>
      <c r="K6" s="1" t="s">
        <v>56</v>
      </c>
      <c r="L6">
        <v>90032</v>
      </c>
      <c r="M6" s="1" t="s">
        <v>57</v>
      </c>
      <c r="N6" s="1" t="s">
        <v>63</v>
      </c>
      <c r="O6" s="1" t="s">
        <v>33</v>
      </c>
      <c r="P6" s="1" t="s">
        <v>48</v>
      </c>
      <c r="Q6" s="1" t="s">
        <v>64</v>
      </c>
      <c r="R6">
        <v>1706</v>
      </c>
      <c r="S6">
        <v>9</v>
      </c>
      <c r="T6">
        <v>0.2</v>
      </c>
      <c r="U6">
        <v>85</v>
      </c>
      <c r="V6" s="1" t="s">
        <v>61</v>
      </c>
      <c r="W6" s="1" t="s">
        <v>62</v>
      </c>
    </row>
    <row r="7" spans="1:23" x14ac:dyDescent="0.35">
      <c r="A7">
        <v>24</v>
      </c>
      <c r="B7" s="1" t="s">
        <v>65</v>
      </c>
      <c r="C7" s="2">
        <v>42932</v>
      </c>
      <c r="D7" s="2">
        <v>42934</v>
      </c>
      <c r="E7" s="1" t="s">
        <v>24</v>
      </c>
      <c r="F7" s="1" t="s">
        <v>66</v>
      </c>
      <c r="G7" s="1" t="s">
        <v>67</v>
      </c>
      <c r="H7" s="1" t="s">
        <v>27</v>
      </c>
      <c r="I7" s="1" t="s">
        <v>28</v>
      </c>
      <c r="J7" s="1" t="s">
        <v>68</v>
      </c>
      <c r="K7" s="1" t="s">
        <v>69</v>
      </c>
      <c r="L7">
        <v>19140</v>
      </c>
      <c r="M7" s="1" t="s">
        <v>70</v>
      </c>
      <c r="N7" s="1" t="s">
        <v>71</v>
      </c>
      <c r="O7" s="1" t="s">
        <v>33</v>
      </c>
      <c r="P7" s="1" t="s">
        <v>39</v>
      </c>
      <c r="Q7" s="1" t="s">
        <v>72</v>
      </c>
      <c r="R7">
        <v>71</v>
      </c>
      <c r="S7">
        <v>2</v>
      </c>
      <c r="T7">
        <v>0.3</v>
      </c>
      <c r="U7">
        <v>-1</v>
      </c>
      <c r="V7" s="1" t="s">
        <v>73</v>
      </c>
      <c r="W7" s="1" t="s">
        <v>74</v>
      </c>
    </row>
    <row r="8" spans="1:23" x14ac:dyDescent="0.35">
      <c r="A8">
        <v>25</v>
      </c>
      <c r="B8" s="1" t="s">
        <v>75</v>
      </c>
      <c r="C8" s="2">
        <v>42272</v>
      </c>
      <c r="D8" s="2">
        <v>42277</v>
      </c>
      <c r="E8" s="1" t="s">
        <v>42</v>
      </c>
      <c r="F8" s="1" t="s">
        <v>76</v>
      </c>
      <c r="G8" s="1" t="s">
        <v>77</v>
      </c>
      <c r="H8" s="1" t="s">
        <v>27</v>
      </c>
      <c r="I8" s="1" t="s">
        <v>28</v>
      </c>
      <c r="J8" s="1" t="s">
        <v>78</v>
      </c>
      <c r="K8" s="1" t="s">
        <v>79</v>
      </c>
      <c r="L8">
        <v>84057</v>
      </c>
      <c r="M8" s="1" t="s">
        <v>57</v>
      </c>
      <c r="N8" s="1" t="s">
        <v>47</v>
      </c>
      <c r="O8" s="1" t="s">
        <v>33</v>
      </c>
      <c r="P8" s="1" t="s">
        <v>48</v>
      </c>
      <c r="Q8" s="1" t="s">
        <v>49</v>
      </c>
      <c r="R8">
        <v>1045</v>
      </c>
      <c r="S8">
        <v>3</v>
      </c>
      <c r="T8">
        <v>0</v>
      </c>
      <c r="U8">
        <v>240</v>
      </c>
      <c r="V8" s="1" t="s">
        <v>61</v>
      </c>
      <c r="W8" s="1" t="s">
        <v>80</v>
      </c>
    </row>
    <row r="9" spans="1:23" x14ac:dyDescent="0.35">
      <c r="A9">
        <v>28</v>
      </c>
      <c r="B9" s="1" t="s">
        <v>81</v>
      </c>
      <c r="C9" s="2">
        <v>42264</v>
      </c>
      <c r="D9" s="2">
        <v>42268</v>
      </c>
      <c r="E9" s="1" t="s">
        <v>42</v>
      </c>
      <c r="F9" s="1" t="s">
        <v>82</v>
      </c>
      <c r="G9" s="1" t="s">
        <v>83</v>
      </c>
      <c r="H9" s="1" t="s">
        <v>27</v>
      </c>
      <c r="I9" s="1" t="s">
        <v>28</v>
      </c>
      <c r="J9" s="1" t="s">
        <v>68</v>
      </c>
      <c r="K9" s="1" t="s">
        <v>69</v>
      </c>
      <c r="L9">
        <v>19140</v>
      </c>
      <c r="M9" s="1" t="s">
        <v>70</v>
      </c>
      <c r="N9" s="1" t="s">
        <v>84</v>
      </c>
      <c r="O9" s="1" t="s">
        <v>33</v>
      </c>
      <c r="P9" s="1" t="s">
        <v>34</v>
      </c>
      <c r="Q9" s="1" t="s">
        <v>85</v>
      </c>
      <c r="R9">
        <v>3083</v>
      </c>
      <c r="S9">
        <v>7</v>
      </c>
      <c r="T9">
        <v>0.5</v>
      </c>
      <c r="U9">
        <v>-1665</v>
      </c>
      <c r="V9" s="1" t="s">
        <v>86</v>
      </c>
      <c r="W9" s="1" t="s">
        <v>80</v>
      </c>
    </row>
    <row r="10" spans="1:23" x14ac:dyDescent="0.35">
      <c r="A10">
        <v>30</v>
      </c>
      <c r="B10" s="1" t="s">
        <v>81</v>
      </c>
      <c r="C10" s="2">
        <v>42264</v>
      </c>
      <c r="D10" s="2">
        <v>42268</v>
      </c>
      <c r="E10" s="1" t="s">
        <v>42</v>
      </c>
      <c r="F10" s="1" t="s">
        <v>82</v>
      </c>
      <c r="G10" s="1" t="s">
        <v>83</v>
      </c>
      <c r="H10" s="1" t="s">
        <v>27</v>
      </c>
      <c r="I10" s="1" t="s">
        <v>28</v>
      </c>
      <c r="J10" s="1" t="s">
        <v>68</v>
      </c>
      <c r="K10" s="1" t="s">
        <v>69</v>
      </c>
      <c r="L10">
        <v>19140</v>
      </c>
      <c r="M10" s="1" t="s">
        <v>70</v>
      </c>
      <c r="N10" s="1" t="s">
        <v>87</v>
      </c>
      <c r="O10" s="1" t="s">
        <v>33</v>
      </c>
      <c r="P10" s="1" t="s">
        <v>59</v>
      </c>
      <c r="Q10" s="1" t="s">
        <v>88</v>
      </c>
      <c r="R10">
        <v>124</v>
      </c>
      <c r="S10">
        <v>3</v>
      </c>
      <c r="T10">
        <v>0.2</v>
      </c>
      <c r="U10">
        <v>16</v>
      </c>
      <c r="V10" s="1" t="s">
        <v>86</v>
      </c>
      <c r="W10" s="1" t="s">
        <v>80</v>
      </c>
    </row>
    <row r="11" spans="1:23" x14ac:dyDescent="0.35">
      <c r="A11">
        <v>37</v>
      </c>
      <c r="B11" s="1" t="s">
        <v>89</v>
      </c>
      <c r="C11" s="2">
        <v>42712</v>
      </c>
      <c r="D11" s="2">
        <v>42714</v>
      </c>
      <c r="E11" s="1" t="s">
        <v>90</v>
      </c>
      <c r="F11" s="1" t="s">
        <v>91</v>
      </c>
      <c r="G11" s="1" t="s">
        <v>92</v>
      </c>
      <c r="H11" s="1" t="s">
        <v>93</v>
      </c>
      <c r="I11" s="1" t="s">
        <v>28</v>
      </c>
      <c r="J11" s="1" t="s">
        <v>94</v>
      </c>
      <c r="K11" s="1" t="s">
        <v>95</v>
      </c>
      <c r="L11">
        <v>75080</v>
      </c>
      <c r="M11" s="1" t="s">
        <v>96</v>
      </c>
      <c r="N11" s="1" t="s">
        <v>97</v>
      </c>
      <c r="O11" s="1" t="s">
        <v>33</v>
      </c>
      <c r="P11" s="1" t="s">
        <v>59</v>
      </c>
      <c r="Q11" s="1" t="s">
        <v>98</v>
      </c>
      <c r="R11">
        <v>191</v>
      </c>
      <c r="S11">
        <v>5</v>
      </c>
      <c r="T11">
        <v>0.6</v>
      </c>
      <c r="U11">
        <v>-148</v>
      </c>
      <c r="V11" s="1" t="s">
        <v>73</v>
      </c>
      <c r="W11" s="1" t="s">
        <v>99</v>
      </c>
    </row>
    <row r="12" spans="1:23" x14ac:dyDescent="0.35">
      <c r="A12">
        <v>39</v>
      </c>
      <c r="B12" s="1" t="s">
        <v>100</v>
      </c>
      <c r="C12" s="2">
        <v>42365</v>
      </c>
      <c r="D12" s="2">
        <v>42369</v>
      </c>
      <c r="E12" s="1" t="s">
        <v>42</v>
      </c>
      <c r="F12" s="1" t="s">
        <v>101</v>
      </c>
      <c r="G12" s="1" t="s">
        <v>102</v>
      </c>
      <c r="H12" s="1" t="s">
        <v>103</v>
      </c>
      <c r="I12" s="1" t="s">
        <v>28</v>
      </c>
      <c r="J12" s="1" t="s">
        <v>104</v>
      </c>
      <c r="K12" s="1" t="s">
        <v>95</v>
      </c>
      <c r="L12">
        <v>77041</v>
      </c>
      <c r="M12" s="1" t="s">
        <v>96</v>
      </c>
      <c r="N12" s="1" t="s">
        <v>105</v>
      </c>
      <c r="O12" s="1" t="s">
        <v>33</v>
      </c>
      <c r="P12" s="1" t="s">
        <v>34</v>
      </c>
      <c r="Q12" s="1" t="s">
        <v>106</v>
      </c>
      <c r="R12">
        <v>532</v>
      </c>
      <c r="S12">
        <v>3</v>
      </c>
      <c r="T12">
        <v>0.32</v>
      </c>
      <c r="U12">
        <v>-47</v>
      </c>
      <c r="V12" s="1" t="s">
        <v>86</v>
      </c>
      <c r="W12" s="1" t="s">
        <v>99</v>
      </c>
    </row>
    <row r="13" spans="1:23" x14ac:dyDescent="0.35">
      <c r="A13">
        <v>40</v>
      </c>
      <c r="B13" s="1" t="s">
        <v>100</v>
      </c>
      <c r="C13" s="2">
        <v>42365</v>
      </c>
      <c r="D13" s="2">
        <v>42369</v>
      </c>
      <c r="E13" s="1" t="s">
        <v>42</v>
      </c>
      <c r="F13" s="1" t="s">
        <v>101</v>
      </c>
      <c r="G13" s="1" t="s">
        <v>102</v>
      </c>
      <c r="H13" s="1" t="s">
        <v>103</v>
      </c>
      <c r="I13" s="1" t="s">
        <v>28</v>
      </c>
      <c r="J13" s="1" t="s">
        <v>104</v>
      </c>
      <c r="K13" s="1" t="s">
        <v>95</v>
      </c>
      <c r="L13">
        <v>77041</v>
      </c>
      <c r="M13" s="1" t="s">
        <v>96</v>
      </c>
      <c r="N13" s="1" t="s">
        <v>107</v>
      </c>
      <c r="O13" s="1" t="s">
        <v>33</v>
      </c>
      <c r="P13" s="1" t="s">
        <v>39</v>
      </c>
      <c r="Q13" s="1" t="s">
        <v>108</v>
      </c>
      <c r="R13">
        <v>212</v>
      </c>
      <c r="S13">
        <v>3</v>
      </c>
      <c r="T13">
        <v>0.3</v>
      </c>
      <c r="U13">
        <v>-15</v>
      </c>
      <c r="V13" s="1" t="s">
        <v>86</v>
      </c>
      <c r="W13" s="1" t="s">
        <v>99</v>
      </c>
    </row>
    <row r="14" spans="1:23" x14ac:dyDescent="0.35">
      <c r="A14">
        <v>52</v>
      </c>
      <c r="B14" s="1" t="s">
        <v>109</v>
      </c>
      <c r="C14" s="2">
        <v>42112</v>
      </c>
      <c r="D14" s="2">
        <v>42116</v>
      </c>
      <c r="E14" s="1" t="s">
        <v>42</v>
      </c>
      <c r="F14" s="1" t="s">
        <v>110</v>
      </c>
      <c r="G14" s="1" t="s">
        <v>111</v>
      </c>
      <c r="H14" s="1" t="s">
        <v>27</v>
      </c>
      <c r="I14" s="1" t="s">
        <v>28</v>
      </c>
      <c r="J14" s="1" t="s">
        <v>112</v>
      </c>
      <c r="K14" s="1" t="s">
        <v>113</v>
      </c>
      <c r="L14">
        <v>47150</v>
      </c>
      <c r="M14" s="1" t="s">
        <v>96</v>
      </c>
      <c r="N14" s="1" t="s">
        <v>114</v>
      </c>
      <c r="O14" s="1" t="s">
        <v>33</v>
      </c>
      <c r="P14" s="1" t="s">
        <v>59</v>
      </c>
      <c r="Q14" s="1" t="s">
        <v>115</v>
      </c>
      <c r="R14">
        <v>6</v>
      </c>
      <c r="S14">
        <v>2</v>
      </c>
      <c r="T14">
        <v>0</v>
      </c>
      <c r="U14">
        <v>3</v>
      </c>
      <c r="V14" s="1" t="s">
        <v>86</v>
      </c>
      <c r="W14" s="1" t="s">
        <v>116</v>
      </c>
    </row>
    <row r="15" spans="1:23" x14ac:dyDescent="0.35">
      <c r="A15">
        <v>53</v>
      </c>
      <c r="B15" s="1" t="s">
        <v>109</v>
      </c>
      <c r="C15" s="2">
        <v>42112</v>
      </c>
      <c r="D15" s="2">
        <v>42116</v>
      </c>
      <c r="E15" s="1" t="s">
        <v>42</v>
      </c>
      <c r="F15" s="1" t="s">
        <v>110</v>
      </c>
      <c r="G15" s="1" t="s">
        <v>111</v>
      </c>
      <c r="H15" s="1" t="s">
        <v>27</v>
      </c>
      <c r="I15" s="1" t="s">
        <v>28</v>
      </c>
      <c r="J15" s="1" t="s">
        <v>112</v>
      </c>
      <c r="K15" s="1" t="s">
        <v>113</v>
      </c>
      <c r="L15">
        <v>47150</v>
      </c>
      <c r="M15" s="1" t="s">
        <v>96</v>
      </c>
      <c r="N15" s="1" t="s">
        <v>117</v>
      </c>
      <c r="O15" s="1" t="s">
        <v>33</v>
      </c>
      <c r="P15" s="1" t="s">
        <v>39</v>
      </c>
      <c r="Q15" s="1" t="s">
        <v>118</v>
      </c>
      <c r="R15">
        <v>90</v>
      </c>
      <c r="S15">
        <v>1</v>
      </c>
      <c r="T15">
        <v>0</v>
      </c>
      <c r="U15">
        <v>17</v>
      </c>
      <c r="V15" s="1" t="s">
        <v>86</v>
      </c>
      <c r="W15" s="1" t="s">
        <v>116</v>
      </c>
    </row>
    <row r="16" spans="1:23" x14ac:dyDescent="0.35">
      <c r="A16">
        <v>58</v>
      </c>
      <c r="B16" s="1" t="s">
        <v>119</v>
      </c>
      <c r="C16" s="2">
        <v>42538</v>
      </c>
      <c r="D16" s="2">
        <v>42539</v>
      </c>
      <c r="E16" s="1" t="s">
        <v>90</v>
      </c>
      <c r="F16" s="1" t="s">
        <v>120</v>
      </c>
      <c r="G16" s="1" t="s">
        <v>121</v>
      </c>
      <c r="H16" s="1" t="s">
        <v>27</v>
      </c>
      <c r="I16" s="1" t="s">
        <v>28</v>
      </c>
      <c r="J16" s="1" t="s">
        <v>122</v>
      </c>
      <c r="K16" s="1" t="s">
        <v>123</v>
      </c>
      <c r="L16">
        <v>12180</v>
      </c>
      <c r="M16" s="1" t="s">
        <v>70</v>
      </c>
      <c r="N16" s="1" t="s">
        <v>124</v>
      </c>
      <c r="O16" s="1" t="s">
        <v>33</v>
      </c>
      <c r="P16" s="1" t="s">
        <v>39</v>
      </c>
      <c r="Q16" s="1" t="s">
        <v>125</v>
      </c>
      <c r="R16">
        <v>319</v>
      </c>
      <c r="S16">
        <v>5</v>
      </c>
      <c r="T16">
        <v>0.1</v>
      </c>
      <c r="U16">
        <v>7</v>
      </c>
      <c r="V16" s="1" t="s">
        <v>126</v>
      </c>
      <c r="W16" s="1" t="s">
        <v>62</v>
      </c>
    </row>
    <row r="17" spans="1:23" x14ac:dyDescent="0.35">
      <c r="A17">
        <v>66</v>
      </c>
      <c r="B17" s="1" t="s">
        <v>127</v>
      </c>
      <c r="C17" s="2">
        <v>42332</v>
      </c>
      <c r="D17" s="2">
        <v>42338</v>
      </c>
      <c r="E17" s="1" t="s">
        <v>42</v>
      </c>
      <c r="F17" s="1" t="s">
        <v>128</v>
      </c>
      <c r="G17" s="1" t="s">
        <v>129</v>
      </c>
      <c r="H17" s="1" t="s">
        <v>27</v>
      </c>
      <c r="I17" s="1" t="s">
        <v>28</v>
      </c>
      <c r="J17" s="1" t="s">
        <v>55</v>
      </c>
      <c r="K17" s="1" t="s">
        <v>56</v>
      </c>
      <c r="L17">
        <v>90004</v>
      </c>
      <c r="M17" s="1" t="s">
        <v>57</v>
      </c>
      <c r="N17" s="1" t="s">
        <v>130</v>
      </c>
      <c r="O17" s="1" t="s">
        <v>33</v>
      </c>
      <c r="P17" s="1" t="s">
        <v>59</v>
      </c>
      <c r="Q17" s="1" t="s">
        <v>131</v>
      </c>
      <c r="R17">
        <v>80</v>
      </c>
      <c r="S17">
        <v>4</v>
      </c>
      <c r="T17">
        <v>0</v>
      </c>
      <c r="U17">
        <v>22</v>
      </c>
      <c r="V17" s="1" t="s">
        <v>132</v>
      </c>
      <c r="W17" s="1" t="s">
        <v>37</v>
      </c>
    </row>
    <row r="18" spans="1:23" x14ac:dyDescent="0.35">
      <c r="A18">
        <v>67</v>
      </c>
      <c r="B18" s="1" t="s">
        <v>133</v>
      </c>
      <c r="C18" s="2">
        <v>42124</v>
      </c>
      <c r="D18" s="2">
        <v>42129</v>
      </c>
      <c r="E18" s="1" t="s">
        <v>42</v>
      </c>
      <c r="F18" s="1" t="s">
        <v>134</v>
      </c>
      <c r="G18" s="1" t="s">
        <v>135</v>
      </c>
      <c r="H18" s="1" t="s">
        <v>103</v>
      </c>
      <c r="I18" s="1" t="s">
        <v>28</v>
      </c>
      <c r="J18" s="1" t="s">
        <v>136</v>
      </c>
      <c r="K18" s="1" t="s">
        <v>137</v>
      </c>
      <c r="L18">
        <v>60610</v>
      </c>
      <c r="M18" s="1" t="s">
        <v>96</v>
      </c>
      <c r="N18" s="1" t="s">
        <v>138</v>
      </c>
      <c r="O18" s="1" t="s">
        <v>33</v>
      </c>
      <c r="P18" s="1" t="s">
        <v>39</v>
      </c>
      <c r="Q18" s="1" t="s">
        <v>139</v>
      </c>
      <c r="R18">
        <v>213</v>
      </c>
      <c r="S18">
        <v>5</v>
      </c>
      <c r="T18">
        <v>0.3</v>
      </c>
      <c r="U18">
        <v>-15</v>
      </c>
      <c r="V18" s="1" t="s">
        <v>61</v>
      </c>
      <c r="W18" s="1" t="s">
        <v>116</v>
      </c>
    </row>
    <row r="19" spans="1:23" x14ac:dyDescent="0.35">
      <c r="A19">
        <v>73</v>
      </c>
      <c r="B19" s="1" t="s">
        <v>140</v>
      </c>
      <c r="C19" s="2">
        <v>42120</v>
      </c>
      <c r="D19" s="2">
        <v>42126</v>
      </c>
      <c r="E19" s="1" t="s">
        <v>42</v>
      </c>
      <c r="F19" s="1" t="s">
        <v>141</v>
      </c>
      <c r="G19" s="1" t="s">
        <v>142</v>
      </c>
      <c r="H19" s="1" t="s">
        <v>27</v>
      </c>
      <c r="I19" s="1" t="s">
        <v>28</v>
      </c>
      <c r="J19" s="1" t="s">
        <v>143</v>
      </c>
      <c r="K19" s="1" t="s">
        <v>144</v>
      </c>
      <c r="L19">
        <v>38109</v>
      </c>
      <c r="M19" s="1" t="s">
        <v>31</v>
      </c>
      <c r="N19" s="1" t="s">
        <v>145</v>
      </c>
      <c r="O19" s="1" t="s">
        <v>33</v>
      </c>
      <c r="P19" s="1" t="s">
        <v>39</v>
      </c>
      <c r="Q19" s="1" t="s">
        <v>146</v>
      </c>
      <c r="R19">
        <v>832</v>
      </c>
      <c r="S19">
        <v>8</v>
      </c>
      <c r="T19">
        <v>0.2</v>
      </c>
      <c r="U19">
        <v>-114</v>
      </c>
      <c r="V19" s="1" t="s">
        <v>132</v>
      </c>
      <c r="W19" s="1" t="s">
        <v>116</v>
      </c>
    </row>
    <row r="20" spans="1:23" x14ac:dyDescent="0.35">
      <c r="A20">
        <v>74</v>
      </c>
      <c r="B20" s="1" t="s">
        <v>140</v>
      </c>
      <c r="C20" s="2">
        <v>42120</v>
      </c>
      <c r="D20" s="2">
        <v>42126</v>
      </c>
      <c r="E20" s="1" t="s">
        <v>42</v>
      </c>
      <c r="F20" s="1" t="s">
        <v>141</v>
      </c>
      <c r="G20" s="1" t="s">
        <v>142</v>
      </c>
      <c r="H20" s="1" t="s">
        <v>27</v>
      </c>
      <c r="I20" s="1" t="s">
        <v>28</v>
      </c>
      <c r="J20" s="1" t="s">
        <v>143</v>
      </c>
      <c r="K20" s="1" t="s">
        <v>144</v>
      </c>
      <c r="L20">
        <v>38109</v>
      </c>
      <c r="M20" s="1" t="s">
        <v>31</v>
      </c>
      <c r="N20" s="1" t="s">
        <v>147</v>
      </c>
      <c r="O20" s="1" t="s">
        <v>33</v>
      </c>
      <c r="P20" s="1" t="s">
        <v>59</v>
      </c>
      <c r="Q20" s="1" t="s">
        <v>148</v>
      </c>
      <c r="R20">
        <v>97</v>
      </c>
      <c r="S20">
        <v>2</v>
      </c>
      <c r="T20">
        <v>0.2</v>
      </c>
      <c r="U20">
        <v>1</v>
      </c>
      <c r="V20" s="1" t="s">
        <v>132</v>
      </c>
      <c r="W20" s="1" t="s">
        <v>116</v>
      </c>
    </row>
    <row r="21" spans="1:23" x14ac:dyDescent="0.35">
      <c r="A21">
        <v>77</v>
      </c>
      <c r="B21" s="1" t="s">
        <v>149</v>
      </c>
      <c r="C21" s="2">
        <v>43078</v>
      </c>
      <c r="D21" s="2">
        <v>43080</v>
      </c>
      <c r="E21" s="1" t="s">
        <v>90</v>
      </c>
      <c r="F21" s="1" t="s">
        <v>150</v>
      </c>
      <c r="G21" s="1" t="s">
        <v>151</v>
      </c>
      <c r="H21" s="1" t="s">
        <v>93</v>
      </c>
      <c r="I21" s="1" t="s">
        <v>28</v>
      </c>
      <c r="J21" s="1" t="s">
        <v>104</v>
      </c>
      <c r="K21" s="1" t="s">
        <v>95</v>
      </c>
      <c r="L21">
        <v>77041</v>
      </c>
      <c r="M21" s="1" t="s">
        <v>96</v>
      </c>
      <c r="N21" s="1" t="s">
        <v>152</v>
      </c>
      <c r="O21" s="1" t="s">
        <v>33</v>
      </c>
      <c r="P21" s="1" t="s">
        <v>59</v>
      </c>
      <c r="Q21" s="1" t="s">
        <v>153</v>
      </c>
      <c r="R21">
        <v>10</v>
      </c>
      <c r="S21">
        <v>3</v>
      </c>
      <c r="T21">
        <v>0.6</v>
      </c>
      <c r="U21">
        <v>-6</v>
      </c>
      <c r="V21" s="1" t="s">
        <v>73</v>
      </c>
      <c r="W21" s="1" t="s">
        <v>99</v>
      </c>
    </row>
    <row r="22" spans="1:23" x14ac:dyDescent="0.35">
      <c r="A22">
        <v>79</v>
      </c>
      <c r="B22" s="1" t="s">
        <v>154</v>
      </c>
      <c r="C22" s="2">
        <v>41969</v>
      </c>
      <c r="D22" s="2">
        <v>41974</v>
      </c>
      <c r="E22" s="1" t="s">
        <v>24</v>
      </c>
      <c r="F22" s="1" t="s">
        <v>141</v>
      </c>
      <c r="G22" s="1" t="s">
        <v>142</v>
      </c>
      <c r="H22" s="1" t="s">
        <v>27</v>
      </c>
      <c r="I22" s="1" t="s">
        <v>28</v>
      </c>
      <c r="J22" s="1" t="s">
        <v>104</v>
      </c>
      <c r="K22" s="1" t="s">
        <v>95</v>
      </c>
      <c r="L22">
        <v>77070</v>
      </c>
      <c r="M22" s="1" t="s">
        <v>96</v>
      </c>
      <c r="N22" s="1" t="s">
        <v>155</v>
      </c>
      <c r="O22" s="1" t="s">
        <v>33</v>
      </c>
      <c r="P22" s="1" t="s">
        <v>59</v>
      </c>
      <c r="Q22" s="1" t="s">
        <v>156</v>
      </c>
      <c r="R22">
        <v>19</v>
      </c>
      <c r="S22">
        <v>5</v>
      </c>
      <c r="T22">
        <v>0.6</v>
      </c>
      <c r="U22">
        <v>-14</v>
      </c>
      <c r="V22" s="1" t="s">
        <v>61</v>
      </c>
      <c r="W22" s="1" t="s">
        <v>37</v>
      </c>
    </row>
    <row r="23" spans="1:23" x14ac:dyDescent="0.35">
      <c r="A23">
        <v>86</v>
      </c>
      <c r="B23" s="1" t="s">
        <v>157</v>
      </c>
      <c r="C23" s="2">
        <v>42883</v>
      </c>
      <c r="D23" s="2">
        <v>42885</v>
      </c>
      <c r="E23" s="1" t="s">
        <v>24</v>
      </c>
      <c r="F23" s="1" t="s">
        <v>158</v>
      </c>
      <c r="G23" s="1" t="s">
        <v>159</v>
      </c>
      <c r="H23" s="1" t="s">
        <v>27</v>
      </c>
      <c r="I23" s="1" t="s">
        <v>28</v>
      </c>
      <c r="J23" s="1" t="s">
        <v>160</v>
      </c>
      <c r="K23" s="1" t="s">
        <v>161</v>
      </c>
      <c r="L23">
        <v>29203</v>
      </c>
      <c r="M23" s="1" t="s">
        <v>31</v>
      </c>
      <c r="N23" s="1" t="s">
        <v>162</v>
      </c>
      <c r="O23" s="1" t="s">
        <v>33</v>
      </c>
      <c r="P23" s="1" t="s">
        <v>39</v>
      </c>
      <c r="Q23" s="1" t="s">
        <v>163</v>
      </c>
      <c r="R23">
        <v>302</v>
      </c>
      <c r="S23">
        <v>2</v>
      </c>
      <c r="T23">
        <v>0</v>
      </c>
      <c r="U23">
        <v>33</v>
      </c>
      <c r="V23" s="1" t="s">
        <v>73</v>
      </c>
      <c r="W23" s="1" t="s">
        <v>164</v>
      </c>
    </row>
    <row r="24" spans="1:23" x14ac:dyDescent="0.35">
      <c r="A24">
        <v>94</v>
      </c>
      <c r="B24" s="1" t="s">
        <v>165</v>
      </c>
      <c r="C24" s="2">
        <v>42035</v>
      </c>
      <c r="D24" s="2">
        <v>42040</v>
      </c>
      <c r="E24" s="1" t="s">
        <v>24</v>
      </c>
      <c r="F24" s="1" t="s">
        <v>166</v>
      </c>
      <c r="G24" s="1" t="s">
        <v>167</v>
      </c>
      <c r="H24" s="1" t="s">
        <v>27</v>
      </c>
      <c r="I24" s="1" t="s">
        <v>28</v>
      </c>
      <c r="J24" s="1" t="s">
        <v>168</v>
      </c>
      <c r="K24" s="1" t="s">
        <v>169</v>
      </c>
      <c r="L24">
        <v>55407</v>
      </c>
      <c r="M24" s="1" t="s">
        <v>96</v>
      </c>
      <c r="N24" s="1" t="s">
        <v>170</v>
      </c>
      <c r="O24" s="1" t="s">
        <v>33</v>
      </c>
      <c r="P24" s="1" t="s">
        <v>59</v>
      </c>
      <c r="Q24" s="1" t="s">
        <v>171</v>
      </c>
      <c r="R24">
        <v>53</v>
      </c>
      <c r="S24">
        <v>3</v>
      </c>
      <c r="T24">
        <v>0</v>
      </c>
      <c r="U24">
        <v>17</v>
      </c>
      <c r="V24" s="1" t="s">
        <v>61</v>
      </c>
      <c r="W24" s="1" t="s">
        <v>172</v>
      </c>
    </row>
    <row r="25" spans="1:23" x14ac:dyDescent="0.35">
      <c r="A25">
        <v>97</v>
      </c>
      <c r="B25" s="1" t="s">
        <v>173</v>
      </c>
      <c r="C25" s="2">
        <v>43048</v>
      </c>
      <c r="D25" s="2">
        <v>43050</v>
      </c>
      <c r="E25" s="1" t="s">
        <v>24</v>
      </c>
      <c r="F25" s="1" t="s">
        <v>174</v>
      </c>
      <c r="G25" s="1" t="s">
        <v>175</v>
      </c>
      <c r="H25" s="1" t="s">
        <v>103</v>
      </c>
      <c r="I25" s="1" t="s">
        <v>28</v>
      </c>
      <c r="J25" s="1" t="s">
        <v>176</v>
      </c>
      <c r="K25" s="1" t="s">
        <v>123</v>
      </c>
      <c r="L25">
        <v>10009</v>
      </c>
      <c r="M25" s="1" t="s">
        <v>70</v>
      </c>
      <c r="N25" s="1" t="s">
        <v>177</v>
      </c>
      <c r="O25" s="1" t="s">
        <v>33</v>
      </c>
      <c r="P25" s="1" t="s">
        <v>59</v>
      </c>
      <c r="Q25" s="1" t="s">
        <v>178</v>
      </c>
      <c r="R25">
        <v>97</v>
      </c>
      <c r="S25">
        <v>7</v>
      </c>
      <c r="T25">
        <v>0</v>
      </c>
      <c r="U25">
        <v>41</v>
      </c>
      <c r="V25" s="1" t="s">
        <v>73</v>
      </c>
      <c r="W25" s="1" t="s">
        <v>37</v>
      </c>
    </row>
    <row r="26" spans="1:23" x14ac:dyDescent="0.35">
      <c r="A26">
        <v>105</v>
      </c>
      <c r="B26" s="1" t="s">
        <v>179</v>
      </c>
      <c r="C26" s="2">
        <v>42321</v>
      </c>
      <c r="D26" s="2">
        <v>42325</v>
      </c>
      <c r="E26" s="1" t="s">
        <v>42</v>
      </c>
      <c r="F26" s="1" t="s">
        <v>180</v>
      </c>
      <c r="G26" s="1" t="s">
        <v>181</v>
      </c>
      <c r="H26" s="1" t="s">
        <v>27</v>
      </c>
      <c r="I26" s="1" t="s">
        <v>28</v>
      </c>
      <c r="J26" s="1" t="s">
        <v>182</v>
      </c>
      <c r="K26" s="1" t="s">
        <v>183</v>
      </c>
      <c r="L26">
        <v>80013</v>
      </c>
      <c r="M26" s="1" t="s">
        <v>57</v>
      </c>
      <c r="N26" s="1" t="s">
        <v>184</v>
      </c>
      <c r="O26" s="1" t="s">
        <v>33</v>
      </c>
      <c r="P26" s="1" t="s">
        <v>59</v>
      </c>
      <c r="Q26" s="1" t="s">
        <v>185</v>
      </c>
      <c r="R26">
        <v>102</v>
      </c>
      <c r="S26">
        <v>3</v>
      </c>
      <c r="T26">
        <v>0.2</v>
      </c>
      <c r="U26">
        <v>-4</v>
      </c>
      <c r="V26" s="1" t="s">
        <v>86</v>
      </c>
      <c r="W26" s="1" t="s">
        <v>37</v>
      </c>
    </row>
    <row r="27" spans="1:23" x14ac:dyDescent="0.35">
      <c r="A27">
        <v>111</v>
      </c>
      <c r="B27" s="1" t="s">
        <v>186</v>
      </c>
      <c r="C27" s="2">
        <v>43094</v>
      </c>
      <c r="D27" s="2">
        <v>43099</v>
      </c>
      <c r="E27" s="1" t="s">
        <v>42</v>
      </c>
      <c r="F27" s="1" t="s">
        <v>187</v>
      </c>
      <c r="G27" s="1" t="s">
        <v>188</v>
      </c>
      <c r="H27" s="1" t="s">
        <v>93</v>
      </c>
      <c r="I27" s="1" t="s">
        <v>28</v>
      </c>
      <c r="J27" s="1" t="s">
        <v>176</v>
      </c>
      <c r="K27" s="1" t="s">
        <v>123</v>
      </c>
      <c r="L27">
        <v>10035</v>
      </c>
      <c r="M27" s="1" t="s">
        <v>70</v>
      </c>
      <c r="N27" s="1" t="s">
        <v>189</v>
      </c>
      <c r="O27" s="1" t="s">
        <v>33</v>
      </c>
      <c r="P27" s="1" t="s">
        <v>59</v>
      </c>
      <c r="Q27" s="1" t="s">
        <v>190</v>
      </c>
      <c r="R27">
        <v>42</v>
      </c>
      <c r="S27">
        <v>2</v>
      </c>
      <c r="T27">
        <v>0</v>
      </c>
      <c r="U27">
        <v>11</v>
      </c>
      <c r="V27" s="1" t="s">
        <v>61</v>
      </c>
      <c r="W27" s="1" t="s">
        <v>99</v>
      </c>
    </row>
    <row r="28" spans="1:23" x14ac:dyDescent="0.35">
      <c r="A28">
        <v>118</v>
      </c>
      <c r="B28" s="1" t="s">
        <v>191</v>
      </c>
      <c r="C28" s="2">
        <v>42065</v>
      </c>
      <c r="D28" s="2">
        <v>42069</v>
      </c>
      <c r="E28" s="1" t="s">
        <v>42</v>
      </c>
      <c r="F28" s="1" t="s">
        <v>192</v>
      </c>
      <c r="G28" s="1" t="s">
        <v>193</v>
      </c>
      <c r="H28" s="1" t="s">
        <v>27</v>
      </c>
      <c r="I28" s="1" t="s">
        <v>28</v>
      </c>
      <c r="J28" s="1" t="s">
        <v>194</v>
      </c>
      <c r="K28" s="1" t="s">
        <v>195</v>
      </c>
      <c r="L28">
        <v>98103</v>
      </c>
      <c r="M28" s="1" t="s">
        <v>57</v>
      </c>
      <c r="N28" s="1" t="s">
        <v>196</v>
      </c>
      <c r="O28" s="1" t="s">
        <v>33</v>
      </c>
      <c r="P28" s="1" t="s">
        <v>48</v>
      </c>
      <c r="Q28" s="1" t="s">
        <v>197</v>
      </c>
      <c r="R28">
        <v>788</v>
      </c>
      <c r="S28">
        <v>3</v>
      </c>
      <c r="T28">
        <v>0</v>
      </c>
      <c r="U28">
        <v>165</v>
      </c>
      <c r="V28" s="1" t="s">
        <v>86</v>
      </c>
      <c r="W28" s="1" t="s">
        <v>198</v>
      </c>
    </row>
    <row r="29" spans="1:23" x14ac:dyDescent="0.35">
      <c r="A29">
        <v>120</v>
      </c>
      <c r="B29" s="1" t="s">
        <v>199</v>
      </c>
      <c r="C29" s="2">
        <v>42533</v>
      </c>
      <c r="D29" s="2">
        <v>42536</v>
      </c>
      <c r="E29" s="1" t="s">
        <v>90</v>
      </c>
      <c r="F29" s="1" t="s">
        <v>200</v>
      </c>
      <c r="G29" s="1" t="s">
        <v>201</v>
      </c>
      <c r="H29" s="1" t="s">
        <v>27</v>
      </c>
      <c r="I29" s="1" t="s">
        <v>28</v>
      </c>
      <c r="J29" s="1" t="s">
        <v>202</v>
      </c>
      <c r="K29" s="1" t="s">
        <v>203</v>
      </c>
      <c r="L29">
        <v>19805</v>
      </c>
      <c r="M29" s="1" t="s">
        <v>70</v>
      </c>
      <c r="N29" s="1" t="s">
        <v>204</v>
      </c>
      <c r="O29" s="1" t="s">
        <v>33</v>
      </c>
      <c r="P29" s="1" t="s">
        <v>59</v>
      </c>
      <c r="Q29" s="1" t="s">
        <v>205</v>
      </c>
      <c r="R29">
        <v>47</v>
      </c>
      <c r="S29">
        <v>3</v>
      </c>
      <c r="T29">
        <v>0</v>
      </c>
      <c r="U29">
        <v>18</v>
      </c>
      <c r="V29" s="1" t="s">
        <v>36</v>
      </c>
      <c r="W29" s="1" t="s">
        <v>62</v>
      </c>
    </row>
    <row r="30" spans="1:23" x14ac:dyDescent="0.35">
      <c r="A30">
        <v>125</v>
      </c>
      <c r="B30" s="1" t="s">
        <v>206</v>
      </c>
      <c r="C30" s="2">
        <v>41999</v>
      </c>
      <c r="D30" s="2">
        <v>42001</v>
      </c>
      <c r="E30" s="1" t="s">
        <v>24</v>
      </c>
      <c r="F30" s="1" t="s">
        <v>207</v>
      </c>
      <c r="G30" s="1" t="s">
        <v>208</v>
      </c>
      <c r="H30" s="1" t="s">
        <v>103</v>
      </c>
      <c r="I30" s="1" t="s">
        <v>28</v>
      </c>
      <c r="J30" s="1" t="s">
        <v>104</v>
      </c>
      <c r="K30" s="1" t="s">
        <v>95</v>
      </c>
      <c r="L30">
        <v>77041</v>
      </c>
      <c r="M30" s="1" t="s">
        <v>96</v>
      </c>
      <c r="N30" s="1" t="s">
        <v>209</v>
      </c>
      <c r="O30" s="1" t="s">
        <v>33</v>
      </c>
      <c r="P30" s="1" t="s">
        <v>39</v>
      </c>
      <c r="Q30" s="1" t="s">
        <v>210</v>
      </c>
      <c r="R30">
        <v>601</v>
      </c>
      <c r="S30">
        <v>3</v>
      </c>
      <c r="T30">
        <v>0.3</v>
      </c>
      <c r="U30">
        <v>-9</v>
      </c>
      <c r="V30" s="1" t="s">
        <v>73</v>
      </c>
      <c r="W30" s="1" t="s">
        <v>99</v>
      </c>
    </row>
    <row r="31" spans="1:23" x14ac:dyDescent="0.35">
      <c r="A31">
        <v>126</v>
      </c>
      <c r="B31" s="1" t="s">
        <v>211</v>
      </c>
      <c r="C31" s="2">
        <v>41902</v>
      </c>
      <c r="D31" s="2">
        <v>41907</v>
      </c>
      <c r="E31" s="1" t="s">
        <v>42</v>
      </c>
      <c r="F31" s="1" t="s">
        <v>212</v>
      </c>
      <c r="G31" s="1" t="s">
        <v>213</v>
      </c>
      <c r="H31" s="1" t="s">
        <v>27</v>
      </c>
      <c r="I31" s="1" t="s">
        <v>28</v>
      </c>
      <c r="J31" s="1" t="s">
        <v>214</v>
      </c>
      <c r="K31" s="1" t="s">
        <v>137</v>
      </c>
      <c r="L31">
        <v>61701</v>
      </c>
      <c r="M31" s="1" t="s">
        <v>96</v>
      </c>
      <c r="N31" s="1" t="s">
        <v>215</v>
      </c>
      <c r="O31" s="1" t="s">
        <v>33</v>
      </c>
      <c r="P31" s="1" t="s">
        <v>48</v>
      </c>
      <c r="Q31" s="1" t="s">
        <v>216</v>
      </c>
      <c r="R31">
        <v>618</v>
      </c>
      <c r="S31">
        <v>6</v>
      </c>
      <c r="T31">
        <v>0.5</v>
      </c>
      <c r="U31">
        <v>-408</v>
      </c>
      <c r="V31" s="1" t="s">
        <v>61</v>
      </c>
      <c r="W31" s="1" t="s">
        <v>80</v>
      </c>
    </row>
    <row r="32" spans="1:23" x14ac:dyDescent="0.35">
      <c r="A32">
        <v>129</v>
      </c>
      <c r="B32" s="1" t="s">
        <v>217</v>
      </c>
      <c r="C32" s="2">
        <v>42680</v>
      </c>
      <c r="D32" s="2">
        <v>42684</v>
      </c>
      <c r="E32" s="1" t="s">
        <v>24</v>
      </c>
      <c r="F32" s="1" t="s">
        <v>218</v>
      </c>
      <c r="G32" s="1" t="s">
        <v>219</v>
      </c>
      <c r="H32" s="1" t="s">
        <v>103</v>
      </c>
      <c r="I32" s="1" t="s">
        <v>28</v>
      </c>
      <c r="J32" s="1" t="s">
        <v>55</v>
      </c>
      <c r="K32" s="1" t="s">
        <v>56</v>
      </c>
      <c r="L32">
        <v>90004</v>
      </c>
      <c r="M32" s="1" t="s">
        <v>57</v>
      </c>
      <c r="N32" s="1" t="s">
        <v>138</v>
      </c>
      <c r="O32" s="1" t="s">
        <v>33</v>
      </c>
      <c r="P32" s="1" t="s">
        <v>39</v>
      </c>
      <c r="Q32" s="1" t="s">
        <v>220</v>
      </c>
      <c r="R32">
        <v>81</v>
      </c>
      <c r="S32">
        <v>2</v>
      </c>
      <c r="T32">
        <v>0.2</v>
      </c>
      <c r="U32">
        <v>-9</v>
      </c>
      <c r="V32" s="1" t="s">
        <v>86</v>
      </c>
      <c r="W32" s="1" t="s">
        <v>37</v>
      </c>
    </row>
    <row r="33" spans="1:23" x14ac:dyDescent="0.35">
      <c r="A33">
        <v>130</v>
      </c>
      <c r="B33" s="1" t="s">
        <v>217</v>
      </c>
      <c r="C33" s="2">
        <v>42680</v>
      </c>
      <c r="D33" s="2">
        <v>42684</v>
      </c>
      <c r="E33" s="1" t="s">
        <v>24</v>
      </c>
      <c r="F33" s="1" t="s">
        <v>218</v>
      </c>
      <c r="G33" s="1" t="s">
        <v>219</v>
      </c>
      <c r="H33" s="1" t="s">
        <v>103</v>
      </c>
      <c r="I33" s="1" t="s">
        <v>28</v>
      </c>
      <c r="J33" s="1" t="s">
        <v>55</v>
      </c>
      <c r="K33" s="1" t="s">
        <v>56</v>
      </c>
      <c r="L33">
        <v>90004</v>
      </c>
      <c r="M33" s="1" t="s">
        <v>57</v>
      </c>
      <c r="N33" s="1" t="s">
        <v>221</v>
      </c>
      <c r="O33" s="1" t="s">
        <v>33</v>
      </c>
      <c r="P33" s="1" t="s">
        <v>59</v>
      </c>
      <c r="Q33" s="1" t="s">
        <v>222</v>
      </c>
      <c r="R33">
        <v>239</v>
      </c>
      <c r="S33">
        <v>3</v>
      </c>
      <c r="T33">
        <v>0</v>
      </c>
      <c r="U33">
        <v>26</v>
      </c>
      <c r="V33" s="1" t="s">
        <v>86</v>
      </c>
      <c r="W33" s="1" t="s">
        <v>37</v>
      </c>
    </row>
    <row r="34" spans="1:23" x14ac:dyDescent="0.35">
      <c r="A34">
        <v>140</v>
      </c>
      <c r="B34" s="1" t="s">
        <v>223</v>
      </c>
      <c r="C34" s="2">
        <v>42656</v>
      </c>
      <c r="D34" s="2">
        <v>42662</v>
      </c>
      <c r="E34" s="1" t="s">
        <v>42</v>
      </c>
      <c r="F34" s="1" t="s">
        <v>224</v>
      </c>
      <c r="G34" s="1" t="s">
        <v>225</v>
      </c>
      <c r="H34" s="1" t="s">
        <v>27</v>
      </c>
      <c r="I34" s="1" t="s">
        <v>28</v>
      </c>
      <c r="J34" s="1" t="s">
        <v>226</v>
      </c>
      <c r="K34" s="1" t="s">
        <v>56</v>
      </c>
      <c r="L34">
        <v>95661</v>
      </c>
      <c r="M34" s="1" t="s">
        <v>57</v>
      </c>
      <c r="N34" s="1" t="s">
        <v>114</v>
      </c>
      <c r="O34" s="1" t="s">
        <v>33</v>
      </c>
      <c r="P34" s="1" t="s">
        <v>59</v>
      </c>
      <c r="Q34" s="1" t="s">
        <v>115</v>
      </c>
      <c r="R34">
        <v>43</v>
      </c>
      <c r="S34">
        <v>14</v>
      </c>
      <c r="T34">
        <v>0</v>
      </c>
      <c r="U34">
        <v>21</v>
      </c>
      <c r="V34" s="1" t="s">
        <v>132</v>
      </c>
      <c r="W34" s="1" t="s">
        <v>51</v>
      </c>
    </row>
    <row r="35" spans="1:23" x14ac:dyDescent="0.35">
      <c r="A35">
        <v>141</v>
      </c>
      <c r="B35" s="1" t="s">
        <v>227</v>
      </c>
      <c r="C35" s="2">
        <v>42618</v>
      </c>
      <c r="D35" s="2">
        <v>42620</v>
      </c>
      <c r="E35" s="1" t="s">
        <v>24</v>
      </c>
      <c r="F35" s="1" t="s">
        <v>228</v>
      </c>
      <c r="G35" s="1" t="s">
        <v>229</v>
      </c>
      <c r="H35" s="1" t="s">
        <v>93</v>
      </c>
      <c r="I35" s="1" t="s">
        <v>28</v>
      </c>
      <c r="J35" s="1" t="s">
        <v>68</v>
      </c>
      <c r="K35" s="1" t="s">
        <v>69</v>
      </c>
      <c r="L35">
        <v>19140</v>
      </c>
      <c r="M35" s="1" t="s">
        <v>70</v>
      </c>
      <c r="N35" s="1" t="s">
        <v>87</v>
      </c>
      <c r="O35" s="1" t="s">
        <v>33</v>
      </c>
      <c r="P35" s="1" t="s">
        <v>59</v>
      </c>
      <c r="Q35" s="1" t="s">
        <v>88</v>
      </c>
      <c r="R35">
        <v>83</v>
      </c>
      <c r="S35">
        <v>2</v>
      </c>
      <c r="T35">
        <v>0.2</v>
      </c>
      <c r="U35">
        <v>10</v>
      </c>
      <c r="V35" s="1" t="s">
        <v>73</v>
      </c>
      <c r="W35" s="1" t="s">
        <v>80</v>
      </c>
    </row>
    <row r="36" spans="1:23" x14ac:dyDescent="0.35">
      <c r="A36">
        <v>147</v>
      </c>
      <c r="B36" s="1" t="s">
        <v>230</v>
      </c>
      <c r="C36" s="2">
        <v>41934</v>
      </c>
      <c r="D36" s="2">
        <v>41940</v>
      </c>
      <c r="E36" s="1" t="s">
        <v>42</v>
      </c>
      <c r="F36" s="1" t="s">
        <v>231</v>
      </c>
      <c r="G36" s="1" t="s">
        <v>232</v>
      </c>
      <c r="H36" s="1" t="s">
        <v>103</v>
      </c>
      <c r="I36" s="1" t="s">
        <v>28</v>
      </c>
      <c r="J36" s="1" t="s">
        <v>233</v>
      </c>
      <c r="K36" s="1" t="s">
        <v>234</v>
      </c>
      <c r="L36">
        <v>43055</v>
      </c>
      <c r="M36" s="1" t="s">
        <v>70</v>
      </c>
      <c r="N36" s="1" t="s">
        <v>235</v>
      </c>
      <c r="O36" s="1" t="s">
        <v>33</v>
      </c>
      <c r="P36" s="1" t="s">
        <v>59</v>
      </c>
      <c r="Q36" s="1" t="s">
        <v>236</v>
      </c>
      <c r="R36">
        <v>94</v>
      </c>
      <c r="S36">
        <v>4</v>
      </c>
      <c r="T36">
        <v>0.2</v>
      </c>
      <c r="U36">
        <v>13</v>
      </c>
      <c r="V36" s="1" t="s">
        <v>132</v>
      </c>
      <c r="W36" s="1" t="s">
        <v>51</v>
      </c>
    </row>
    <row r="37" spans="1:23" x14ac:dyDescent="0.35">
      <c r="A37">
        <v>150</v>
      </c>
      <c r="B37" s="1" t="s">
        <v>237</v>
      </c>
      <c r="C37" s="2">
        <v>42709</v>
      </c>
      <c r="D37" s="2">
        <v>42713</v>
      </c>
      <c r="E37" s="1" t="s">
        <v>42</v>
      </c>
      <c r="F37" s="1" t="s">
        <v>238</v>
      </c>
      <c r="G37" s="1" t="s">
        <v>239</v>
      </c>
      <c r="H37" s="1" t="s">
        <v>93</v>
      </c>
      <c r="I37" s="1" t="s">
        <v>28</v>
      </c>
      <c r="J37" s="1" t="s">
        <v>240</v>
      </c>
      <c r="K37" s="1" t="s">
        <v>241</v>
      </c>
      <c r="L37">
        <v>53132</v>
      </c>
      <c r="M37" s="1" t="s">
        <v>96</v>
      </c>
      <c r="N37" s="1" t="s">
        <v>38</v>
      </c>
      <c r="O37" s="1" t="s">
        <v>33</v>
      </c>
      <c r="P37" s="1" t="s">
        <v>39</v>
      </c>
      <c r="Q37" s="1" t="s">
        <v>40</v>
      </c>
      <c r="R37">
        <v>1952</v>
      </c>
      <c r="S37">
        <v>8</v>
      </c>
      <c r="T37">
        <v>0</v>
      </c>
      <c r="U37">
        <v>586</v>
      </c>
      <c r="V37" s="1" t="s">
        <v>86</v>
      </c>
      <c r="W37" s="1" t="s">
        <v>99</v>
      </c>
    </row>
    <row r="38" spans="1:23" x14ac:dyDescent="0.35">
      <c r="A38">
        <v>158</v>
      </c>
      <c r="B38" s="1" t="s">
        <v>242</v>
      </c>
      <c r="C38" s="2">
        <v>41699</v>
      </c>
      <c r="D38" s="2">
        <v>41704</v>
      </c>
      <c r="E38" s="1" t="s">
        <v>24</v>
      </c>
      <c r="F38" s="1" t="s">
        <v>243</v>
      </c>
      <c r="G38" s="1" t="s">
        <v>244</v>
      </c>
      <c r="H38" s="1" t="s">
        <v>27</v>
      </c>
      <c r="I38" s="1" t="s">
        <v>28</v>
      </c>
      <c r="J38" s="1" t="s">
        <v>194</v>
      </c>
      <c r="K38" s="1" t="s">
        <v>195</v>
      </c>
      <c r="L38">
        <v>98115</v>
      </c>
      <c r="M38" s="1" t="s">
        <v>57</v>
      </c>
      <c r="N38" s="1" t="s">
        <v>209</v>
      </c>
      <c r="O38" s="1" t="s">
        <v>33</v>
      </c>
      <c r="P38" s="1" t="s">
        <v>39</v>
      </c>
      <c r="Q38" s="1" t="s">
        <v>210</v>
      </c>
      <c r="R38">
        <v>458</v>
      </c>
      <c r="S38">
        <v>2</v>
      </c>
      <c r="T38">
        <v>0.2</v>
      </c>
      <c r="U38">
        <v>51</v>
      </c>
      <c r="V38" s="1" t="s">
        <v>61</v>
      </c>
      <c r="W38" s="1" t="s">
        <v>198</v>
      </c>
    </row>
    <row r="39" spans="1:23" x14ac:dyDescent="0.35">
      <c r="A39">
        <v>168</v>
      </c>
      <c r="B39" s="1" t="s">
        <v>245</v>
      </c>
      <c r="C39" s="2">
        <v>41890</v>
      </c>
      <c r="D39" s="2">
        <v>41894</v>
      </c>
      <c r="E39" s="1" t="s">
        <v>42</v>
      </c>
      <c r="F39" s="1" t="s">
        <v>246</v>
      </c>
      <c r="G39" s="1" t="s">
        <v>247</v>
      </c>
      <c r="H39" s="1" t="s">
        <v>27</v>
      </c>
      <c r="I39" s="1" t="s">
        <v>28</v>
      </c>
      <c r="J39" s="1" t="s">
        <v>248</v>
      </c>
      <c r="K39" s="1" t="s">
        <v>95</v>
      </c>
      <c r="L39">
        <v>78207</v>
      </c>
      <c r="M39" s="1" t="s">
        <v>96</v>
      </c>
      <c r="N39" s="1" t="s">
        <v>249</v>
      </c>
      <c r="O39" s="1" t="s">
        <v>33</v>
      </c>
      <c r="P39" s="1" t="s">
        <v>39</v>
      </c>
      <c r="Q39" s="1" t="s">
        <v>250</v>
      </c>
      <c r="R39">
        <v>1740</v>
      </c>
      <c r="S39">
        <v>9</v>
      </c>
      <c r="T39">
        <v>0.3</v>
      </c>
      <c r="U39">
        <v>-25</v>
      </c>
      <c r="V39" s="1" t="s">
        <v>86</v>
      </c>
      <c r="W39" s="1" t="s">
        <v>80</v>
      </c>
    </row>
    <row r="40" spans="1:23" x14ac:dyDescent="0.35">
      <c r="A40">
        <v>174</v>
      </c>
      <c r="B40" s="1" t="s">
        <v>251</v>
      </c>
      <c r="C40" s="2">
        <v>41856</v>
      </c>
      <c r="D40" s="2">
        <v>41860</v>
      </c>
      <c r="E40" s="1" t="s">
        <v>42</v>
      </c>
      <c r="F40" s="1" t="s">
        <v>252</v>
      </c>
      <c r="G40" s="1" t="s">
        <v>253</v>
      </c>
      <c r="H40" s="1" t="s">
        <v>27</v>
      </c>
      <c r="I40" s="1" t="s">
        <v>28</v>
      </c>
      <c r="J40" s="1" t="s">
        <v>55</v>
      </c>
      <c r="K40" s="1" t="s">
        <v>56</v>
      </c>
      <c r="L40">
        <v>90004</v>
      </c>
      <c r="M40" s="1" t="s">
        <v>57</v>
      </c>
      <c r="N40" s="1" t="s">
        <v>254</v>
      </c>
      <c r="O40" s="1" t="s">
        <v>33</v>
      </c>
      <c r="P40" s="1" t="s">
        <v>39</v>
      </c>
      <c r="Q40" s="1" t="s">
        <v>255</v>
      </c>
      <c r="R40">
        <v>340</v>
      </c>
      <c r="S40">
        <v>7</v>
      </c>
      <c r="T40">
        <v>0.2</v>
      </c>
      <c r="U40">
        <v>21</v>
      </c>
      <c r="V40" s="1" t="s">
        <v>86</v>
      </c>
      <c r="W40" s="1" t="s">
        <v>256</v>
      </c>
    </row>
    <row r="41" spans="1:23" x14ac:dyDescent="0.35">
      <c r="A41">
        <v>178</v>
      </c>
      <c r="B41" s="1" t="s">
        <v>257</v>
      </c>
      <c r="C41" s="2">
        <v>42329</v>
      </c>
      <c r="D41" s="2">
        <v>42331</v>
      </c>
      <c r="E41" s="1" t="s">
        <v>24</v>
      </c>
      <c r="F41" s="1" t="s">
        <v>141</v>
      </c>
      <c r="G41" s="1" t="s">
        <v>142</v>
      </c>
      <c r="H41" s="1" t="s">
        <v>27</v>
      </c>
      <c r="I41" s="1" t="s">
        <v>28</v>
      </c>
      <c r="J41" s="1" t="s">
        <v>233</v>
      </c>
      <c r="K41" s="1" t="s">
        <v>234</v>
      </c>
      <c r="L41">
        <v>43055</v>
      </c>
      <c r="M41" s="1" t="s">
        <v>70</v>
      </c>
      <c r="N41" s="1" t="s">
        <v>258</v>
      </c>
      <c r="O41" s="1" t="s">
        <v>33</v>
      </c>
      <c r="P41" s="1" t="s">
        <v>39</v>
      </c>
      <c r="Q41" s="1" t="s">
        <v>259</v>
      </c>
      <c r="R41">
        <v>397</v>
      </c>
      <c r="S41">
        <v>7</v>
      </c>
      <c r="T41">
        <v>0.3</v>
      </c>
      <c r="U41">
        <v>-11</v>
      </c>
      <c r="V41" s="1" t="s">
        <v>73</v>
      </c>
      <c r="W41" s="1" t="s">
        <v>37</v>
      </c>
    </row>
    <row r="42" spans="1:23" x14ac:dyDescent="0.35">
      <c r="A42">
        <v>190</v>
      </c>
      <c r="B42" s="1" t="s">
        <v>260</v>
      </c>
      <c r="C42" s="2">
        <v>42289</v>
      </c>
      <c r="D42" s="2">
        <v>42291</v>
      </c>
      <c r="E42" s="1" t="s">
        <v>90</v>
      </c>
      <c r="F42" s="1" t="s">
        <v>261</v>
      </c>
      <c r="G42" s="1" t="s">
        <v>262</v>
      </c>
      <c r="H42" s="1" t="s">
        <v>103</v>
      </c>
      <c r="I42" s="1" t="s">
        <v>28</v>
      </c>
      <c r="J42" s="1" t="s">
        <v>176</v>
      </c>
      <c r="K42" s="1" t="s">
        <v>123</v>
      </c>
      <c r="L42">
        <v>10035</v>
      </c>
      <c r="M42" s="1" t="s">
        <v>70</v>
      </c>
      <c r="N42" s="1" t="s">
        <v>263</v>
      </c>
      <c r="O42" s="1" t="s">
        <v>33</v>
      </c>
      <c r="P42" s="1" t="s">
        <v>34</v>
      </c>
      <c r="Q42" s="1" t="s">
        <v>264</v>
      </c>
      <c r="R42">
        <v>899</v>
      </c>
      <c r="S42">
        <v>4</v>
      </c>
      <c r="T42">
        <v>0.2</v>
      </c>
      <c r="U42">
        <v>112</v>
      </c>
      <c r="V42" s="1" t="s">
        <v>73</v>
      </c>
      <c r="W42" s="1" t="s">
        <v>51</v>
      </c>
    </row>
    <row r="43" spans="1:23" x14ac:dyDescent="0.35">
      <c r="A43">
        <v>193</v>
      </c>
      <c r="B43" s="1" t="s">
        <v>260</v>
      </c>
      <c r="C43" s="2">
        <v>42289</v>
      </c>
      <c r="D43" s="2">
        <v>42291</v>
      </c>
      <c r="E43" s="1" t="s">
        <v>90</v>
      </c>
      <c r="F43" s="1" t="s">
        <v>261</v>
      </c>
      <c r="G43" s="1" t="s">
        <v>262</v>
      </c>
      <c r="H43" s="1" t="s">
        <v>103</v>
      </c>
      <c r="I43" s="1" t="s">
        <v>28</v>
      </c>
      <c r="J43" s="1" t="s">
        <v>176</v>
      </c>
      <c r="K43" s="1" t="s">
        <v>123</v>
      </c>
      <c r="L43">
        <v>10035</v>
      </c>
      <c r="M43" s="1" t="s">
        <v>70</v>
      </c>
      <c r="N43" s="1" t="s">
        <v>105</v>
      </c>
      <c r="O43" s="1" t="s">
        <v>33</v>
      </c>
      <c r="P43" s="1" t="s">
        <v>34</v>
      </c>
      <c r="Q43" s="1" t="s">
        <v>106</v>
      </c>
      <c r="R43">
        <v>626</v>
      </c>
      <c r="S43">
        <v>3</v>
      </c>
      <c r="T43">
        <v>0.2</v>
      </c>
      <c r="U43">
        <v>47</v>
      </c>
      <c r="V43" s="1" t="s">
        <v>73</v>
      </c>
      <c r="W43" s="1" t="s">
        <v>51</v>
      </c>
    </row>
    <row r="44" spans="1:23" x14ac:dyDescent="0.35">
      <c r="A44">
        <v>202</v>
      </c>
      <c r="B44" s="1" t="s">
        <v>265</v>
      </c>
      <c r="C44" s="2">
        <v>41854</v>
      </c>
      <c r="D44" s="2">
        <v>41856</v>
      </c>
      <c r="E44" s="1" t="s">
        <v>90</v>
      </c>
      <c r="F44" s="1" t="s">
        <v>266</v>
      </c>
      <c r="G44" s="1" t="s">
        <v>267</v>
      </c>
      <c r="H44" s="1" t="s">
        <v>27</v>
      </c>
      <c r="I44" s="1" t="s">
        <v>28</v>
      </c>
      <c r="J44" s="1" t="s">
        <v>268</v>
      </c>
      <c r="K44" s="1" t="s">
        <v>183</v>
      </c>
      <c r="L44">
        <v>80219</v>
      </c>
      <c r="M44" s="1" t="s">
        <v>57</v>
      </c>
      <c r="N44" s="1" t="s">
        <v>269</v>
      </c>
      <c r="O44" s="1" t="s">
        <v>33</v>
      </c>
      <c r="P44" s="1" t="s">
        <v>48</v>
      </c>
      <c r="Q44" s="1" t="s">
        <v>270</v>
      </c>
      <c r="R44">
        <v>219</v>
      </c>
      <c r="S44">
        <v>2</v>
      </c>
      <c r="T44">
        <v>0.5</v>
      </c>
      <c r="U44">
        <v>-162</v>
      </c>
      <c r="V44" s="1" t="s">
        <v>73</v>
      </c>
      <c r="W44" s="1" t="s">
        <v>256</v>
      </c>
    </row>
    <row r="45" spans="1:23" x14ac:dyDescent="0.35">
      <c r="A45">
        <v>205</v>
      </c>
      <c r="B45" s="1" t="s">
        <v>271</v>
      </c>
      <c r="C45" s="2">
        <v>42889</v>
      </c>
      <c r="D45" s="2">
        <v>42893</v>
      </c>
      <c r="E45" s="1" t="s">
        <v>42</v>
      </c>
      <c r="F45" s="1" t="s">
        <v>272</v>
      </c>
      <c r="G45" s="1" t="s">
        <v>273</v>
      </c>
      <c r="H45" s="1" t="s">
        <v>93</v>
      </c>
      <c r="I45" s="1" t="s">
        <v>28</v>
      </c>
      <c r="J45" s="1" t="s">
        <v>240</v>
      </c>
      <c r="K45" s="1" t="s">
        <v>144</v>
      </c>
      <c r="L45">
        <v>37064</v>
      </c>
      <c r="M45" s="1" t="s">
        <v>31</v>
      </c>
      <c r="N45" s="1" t="s">
        <v>274</v>
      </c>
      <c r="O45" s="1" t="s">
        <v>33</v>
      </c>
      <c r="P45" s="1" t="s">
        <v>59</v>
      </c>
      <c r="Q45" s="1" t="s">
        <v>275</v>
      </c>
      <c r="R45">
        <v>35</v>
      </c>
      <c r="S45">
        <v>7</v>
      </c>
      <c r="T45">
        <v>0.2</v>
      </c>
      <c r="U45">
        <v>10</v>
      </c>
      <c r="V45" s="1" t="s">
        <v>86</v>
      </c>
      <c r="W45" s="1" t="s">
        <v>62</v>
      </c>
    </row>
    <row r="46" spans="1:23" x14ac:dyDescent="0.35">
      <c r="A46">
        <v>214</v>
      </c>
      <c r="B46" s="1" t="s">
        <v>276</v>
      </c>
      <c r="C46" s="2">
        <v>42006</v>
      </c>
      <c r="D46" s="2">
        <v>42013</v>
      </c>
      <c r="E46" s="1" t="s">
        <v>42</v>
      </c>
      <c r="F46" s="1" t="s">
        <v>277</v>
      </c>
      <c r="G46" s="1" t="s">
        <v>278</v>
      </c>
      <c r="H46" s="1" t="s">
        <v>93</v>
      </c>
      <c r="I46" s="1" t="s">
        <v>28</v>
      </c>
      <c r="J46" s="1" t="s">
        <v>279</v>
      </c>
      <c r="K46" s="1" t="s">
        <v>234</v>
      </c>
      <c r="L46">
        <v>44256</v>
      </c>
      <c r="M46" s="1" t="s">
        <v>70</v>
      </c>
      <c r="N46" s="1" t="s">
        <v>280</v>
      </c>
      <c r="O46" s="1" t="s">
        <v>33</v>
      </c>
      <c r="P46" s="1" t="s">
        <v>34</v>
      </c>
      <c r="Q46" s="1" t="s">
        <v>281</v>
      </c>
      <c r="R46">
        <v>452</v>
      </c>
      <c r="S46">
        <v>5</v>
      </c>
      <c r="T46">
        <v>0.5</v>
      </c>
      <c r="U46">
        <v>-244</v>
      </c>
      <c r="V46" s="1" t="s">
        <v>50</v>
      </c>
      <c r="W46" s="1" t="s">
        <v>172</v>
      </c>
    </row>
    <row r="47" spans="1:23" x14ac:dyDescent="0.35">
      <c r="A47">
        <v>223</v>
      </c>
      <c r="B47" s="1" t="s">
        <v>282</v>
      </c>
      <c r="C47" s="2">
        <v>42362</v>
      </c>
      <c r="D47" s="2">
        <v>42365</v>
      </c>
      <c r="E47" s="1" t="s">
        <v>90</v>
      </c>
      <c r="F47" s="1" t="s">
        <v>283</v>
      </c>
      <c r="G47" s="1" t="s">
        <v>284</v>
      </c>
      <c r="H47" s="1" t="s">
        <v>27</v>
      </c>
      <c r="I47" s="1" t="s">
        <v>28</v>
      </c>
      <c r="J47" s="1" t="s">
        <v>285</v>
      </c>
      <c r="K47" s="1" t="s">
        <v>234</v>
      </c>
      <c r="L47">
        <v>43017</v>
      </c>
      <c r="M47" s="1" t="s">
        <v>70</v>
      </c>
      <c r="N47" s="1" t="s">
        <v>286</v>
      </c>
      <c r="O47" s="1" t="s">
        <v>33</v>
      </c>
      <c r="P47" s="1" t="s">
        <v>59</v>
      </c>
      <c r="Q47" s="1" t="s">
        <v>287</v>
      </c>
      <c r="R47">
        <v>73</v>
      </c>
      <c r="S47">
        <v>4</v>
      </c>
      <c r="T47">
        <v>0.2</v>
      </c>
      <c r="U47">
        <v>19</v>
      </c>
      <c r="V47" s="1" t="s">
        <v>36</v>
      </c>
      <c r="W47" s="1" t="s">
        <v>99</v>
      </c>
    </row>
    <row r="48" spans="1:23" x14ac:dyDescent="0.35">
      <c r="A48">
        <v>227</v>
      </c>
      <c r="B48" s="1" t="s">
        <v>288</v>
      </c>
      <c r="C48" s="2">
        <v>42225</v>
      </c>
      <c r="D48" s="2">
        <v>42232</v>
      </c>
      <c r="E48" s="1" t="s">
        <v>42</v>
      </c>
      <c r="F48" s="1" t="s">
        <v>289</v>
      </c>
      <c r="G48" s="1" t="s">
        <v>290</v>
      </c>
      <c r="H48" s="1" t="s">
        <v>93</v>
      </c>
      <c r="I48" s="1" t="s">
        <v>28</v>
      </c>
      <c r="J48" s="1" t="s">
        <v>291</v>
      </c>
      <c r="K48" s="1" t="s">
        <v>292</v>
      </c>
      <c r="L48">
        <v>48227</v>
      </c>
      <c r="M48" s="1" t="s">
        <v>96</v>
      </c>
      <c r="N48" s="1" t="s">
        <v>293</v>
      </c>
      <c r="O48" s="1" t="s">
        <v>33</v>
      </c>
      <c r="P48" s="1" t="s">
        <v>48</v>
      </c>
      <c r="Q48" s="1" t="s">
        <v>294</v>
      </c>
      <c r="R48">
        <v>622</v>
      </c>
      <c r="S48">
        <v>5</v>
      </c>
      <c r="T48">
        <v>0</v>
      </c>
      <c r="U48">
        <v>137</v>
      </c>
      <c r="V48" s="1" t="s">
        <v>50</v>
      </c>
      <c r="W48" s="1" t="s">
        <v>256</v>
      </c>
    </row>
    <row r="49" spans="1:23" x14ac:dyDescent="0.35">
      <c r="A49">
        <v>229</v>
      </c>
      <c r="B49" s="1" t="s">
        <v>295</v>
      </c>
      <c r="C49" s="2">
        <v>42063</v>
      </c>
      <c r="D49" s="2">
        <v>42067</v>
      </c>
      <c r="E49" s="1" t="s">
        <v>42</v>
      </c>
      <c r="F49" s="1" t="s">
        <v>296</v>
      </c>
      <c r="G49" s="1" t="s">
        <v>297</v>
      </c>
      <c r="H49" s="1" t="s">
        <v>27</v>
      </c>
      <c r="I49" s="1" t="s">
        <v>28</v>
      </c>
      <c r="J49" s="1" t="s">
        <v>160</v>
      </c>
      <c r="K49" s="1" t="s">
        <v>144</v>
      </c>
      <c r="L49">
        <v>38401</v>
      </c>
      <c r="M49" s="1" t="s">
        <v>31</v>
      </c>
      <c r="N49" s="1" t="s">
        <v>298</v>
      </c>
      <c r="O49" s="1" t="s">
        <v>33</v>
      </c>
      <c r="P49" s="1" t="s">
        <v>39</v>
      </c>
      <c r="Q49" s="1" t="s">
        <v>299</v>
      </c>
      <c r="R49">
        <v>162</v>
      </c>
      <c r="S49">
        <v>2</v>
      </c>
      <c r="T49">
        <v>0.2</v>
      </c>
      <c r="U49">
        <v>-28</v>
      </c>
      <c r="V49" s="1" t="s">
        <v>86</v>
      </c>
      <c r="W49" s="1" t="s">
        <v>300</v>
      </c>
    </row>
    <row r="50" spans="1:23" x14ac:dyDescent="0.35">
      <c r="A50">
        <v>230</v>
      </c>
      <c r="B50" s="1" t="s">
        <v>295</v>
      </c>
      <c r="C50" s="2">
        <v>42063</v>
      </c>
      <c r="D50" s="2">
        <v>42067</v>
      </c>
      <c r="E50" s="1" t="s">
        <v>42</v>
      </c>
      <c r="F50" s="1" t="s">
        <v>296</v>
      </c>
      <c r="G50" s="1" t="s">
        <v>297</v>
      </c>
      <c r="H50" s="1" t="s">
        <v>27</v>
      </c>
      <c r="I50" s="1" t="s">
        <v>28</v>
      </c>
      <c r="J50" s="1" t="s">
        <v>160</v>
      </c>
      <c r="K50" s="1" t="s">
        <v>144</v>
      </c>
      <c r="L50">
        <v>38401</v>
      </c>
      <c r="M50" s="1" t="s">
        <v>31</v>
      </c>
      <c r="N50" s="1" t="s">
        <v>301</v>
      </c>
      <c r="O50" s="1" t="s">
        <v>33</v>
      </c>
      <c r="P50" s="1" t="s">
        <v>39</v>
      </c>
      <c r="Q50" s="1" t="s">
        <v>302</v>
      </c>
      <c r="R50">
        <v>390</v>
      </c>
      <c r="S50">
        <v>8</v>
      </c>
      <c r="T50">
        <v>0.2</v>
      </c>
      <c r="U50">
        <v>44</v>
      </c>
      <c r="V50" s="1" t="s">
        <v>86</v>
      </c>
      <c r="W50" s="1" t="s">
        <v>300</v>
      </c>
    </row>
    <row r="51" spans="1:23" x14ac:dyDescent="0.35">
      <c r="A51">
        <v>232</v>
      </c>
      <c r="B51" s="1" t="s">
        <v>303</v>
      </c>
      <c r="C51" s="2">
        <v>42832</v>
      </c>
      <c r="D51" s="2">
        <v>42837</v>
      </c>
      <c r="E51" s="1" t="s">
        <v>42</v>
      </c>
      <c r="F51" s="1" t="s">
        <v>304</v>
      </c>
      <c r="G51" s="1" t="s">
        <v>305</v>
      </c>
      <c r="H51" s="1" t="s">
        <v>103</v>
      </c>
      <c r="I51" s="1" t="s">
        <v>28</v>
      </c>
      <c r="J51" s="1" t="s">
        <v>306</v>
      </c>
      <c r="K51" s="1" t="s">
        <v>46</v>
      </c>
      <c r="L51">
        <v>33614</v>
      </c>
      <c r="M51" s="1" t="s">
        <v>31</v>
      </c>
      <c r="N51" s="1" t="s">
        <v>307</v>
      </c>
      <c r="O51" s="1" t="s">
        <v>33</v>
      </c>
      <c r="P51" s="1" t="s">
        <v>48</v>
      </c>
      <c r="Q51" s="1" t="s">
        <v>308</v>
      </c>
      <c r="R51">
        <v>234</v>
      </c>
      <c r="S51">
        <v>2</v>
      </c>
      <c r="T51">
        <v>0.45</v>
      </c>
      <c r="U51">
        <v>-102</v>
      </c>
      <c r="V51" s="1" t="s">
        <v>61</v>
      </c>
      <c r="W51" s="1" t="s">
        <v>116</v>
      </c>
    </row>
    <row r="52" spans="1:23" x14ac:dyDescent="0.35">
      <c r="A52">
        <v>233</v>
      </c>
      <c r="B52" s="1" t="s">
        <v>303</v>
      </c>
      <c r="C52" s="2">
        <v>42832</v>
      </c>
      <c r="D52" s="2">
        <v>42837</v>
      </c>
      <c r="E52" s="1" t="s">
        <v>42</v>
      </c>
      <c r="F52" s="1" t="s">
        <v>304</v>
      </c>
      <c r="G52" s="1" t="s">
        <v>305</v>
      </c>
      <c r="H52" s="1" t="s">
        <v>103</v>
      </c>
      <c r="I52" s="1" t="s">
        <v>28</v>
      </c>
      <c r="J52" s="1" t="s">
        <v>306</v>
      </c>
      <c r="K52" s="1" t="s">
        <v>46</v>
      </c>
      <c r="L52">
        <v>33614</v>
      </c>
      <c r="M52" s="1" t="s">
        <v>31</v>
      </c>
      <c r="N52" s="1" t="s">
        <v>309</v>
      </c>
      <c r="O52" s="1" t="s">
        <v>33</v>
      </c>
      <c r="P52" s="1" t="s">
        <v>48</v>
      </c>
      <c r="Q52" s="1" t="s">
        <v>310</v>
      </c>
      <c r="R52">
        <v>621</v>
      </c>
      <c r="S52">
        <v>3</v>
      </c>
      <c r="T52">
        <v>0.45</v>
      </c>
      <c r="U52">
        <v>-248</v>
      </c>
      <c r="V52" s="1" t="s">
        <v>61</v>
      </c>
      <c r="W52" s="1" t="s">
        <v>116</v>
      </c>
    </row>
    <row r="53" spans="1:23" x14ac:dyDescent="0.35">
      <c r="A53">
        <v>235</v>
      </c>
      <c r="B53" s="1" t="s">
        <v>303</v>
      </c>
      <c r="C53" s="2">
        <v>42832</v>
      </c>
      <c r="D53" s="2">
        <v>42837</v>
      </c>
      <c r="E53" s="1" t="s">
        <v>42</v>
      </c>
      <c r="F53" s="1" t="s">
        <v>304</v>
      </c>
      <c r="G53" s="1" t="s">
        <v>305</v>
      </c>
      <c r="H53" s="1" t="s">
        <v>103</v>
      </c>
      <c r="I53" s="1" t="s">
        <v>28</v>
      </c>
      <c r="J53" s="1" t="s">
        <v>306</v>
      </c>
      <c r="K53" s="1" t="s">
        <v>46</v>
      </c>
      <c r="L53">
        <v>33614</v>
      </c>
      <c r="M53" s="1" t="s">
        <v>31</v>
      </c>
      <c r="N53" s="1" t="s">
        <v>311</v>
      </c>
      <c r="O53" s="1" t="s">
        <v>33</v>
      </c>
      <c r="P53" s="1" t="s">
        <v>59</v>
      </c>
      <c r="Q53" s="1" t="s">
        <v>312</v>
      </c>
      <c r="R53">
        <v>258</v>
      </c>
      <c r="S53">
        <v>3</v>
      </c>
      <c r="T53">
        <v>0.2</v>
      </c>
      <c r="U53">
        <v>0</v>
      </c>
      <c r="V53" s="1" t="s">
        <v>61</v>
      </c>
      <c r="W53" s="1" t="s">
        <v>116</v>
      </c>
    </row>
    <row r="54" spans="1:23" x14ac:dyDescent="0.35">
      <c r="A54">
        <v>239</v>
      </c>
      <c r="B54" s="1" t="s">
        <v>313</v>
      </c>
      <c r="C54" s="2">
        <v>42525</v>
      </c>
      <c r="D54" s="2">
        <v>42530</v>
      </c>
      <c r="E54" s="1" t="s">
        <v>24</v>
      </c>
      <c r="F54" s="1" t="s">
        <v>314</v>
      </c>
      <c r="G54" s="1" t="s">
        <v>315</v>
      </c>
      <c r="H54" s="1" t="s">
        <v>27</v>
      </c>
      <c r="I54" s="1" t="s">
        <v>28</v>
      </c>
      <c r="J54" s="1" t="s">
        <v>136</v>
      </c>
      <c r="K54" s="1" t="s">
        <v>137</v>
      </c>
      <c r="L54">
        <v>60610</v>
      </c>
      <c r="M54" s="1" t="s">
        <v>96</v>
      </c>
      <c r="N54" s="1" t="s">
        <v>316</v>
      </c>
      <c r="O54" s="1" t="s">
        <v>33</v>
      </c>
      <c r="P54" s="1" t="s">
        <v>59</v>
      </c>
      <c r="Q54" s="1" t="s">
        <v>317</v>
      </c>
      <c r="R54">
        <v>420</v>
      </c>
      <c r="S54">
        <v>5</v>
      </c>
      <c r="T54">
        <v>0.6</v>
      </c>
      <c r="U54">
        <v>-357</v>
      </c>
      <c r="V54" s="1" t="s">
        <v>61</v>
      </c>
      <c r="W54" s="1" t="s">
        <v>62</v>
      </c>
    </row>
    <row r="55" spans="1:23" x14ac:dyDescent="0.35">
      <c r="A55">
        <v>240</v>
      </c>
      <c r="B55" s="1" t="s">
        <v>313</v>
      </c>
      <c r="C55" s="2">
        <v>42525</v>
      </c>
      <c r="D55" s="2">
        <v>42530</v>
      </c>
      <c r="E55" s="1" t="s">
        <v>24</v>
      </c>
      <c r="F55" s="1" t="s">
        <v>314</v>
      </c>
      <c r="G55" s="1" t="s">
        <v>315</v>
      </c>
      <c r="H55" s="1" t="s">
        <v>27</v>
      </c>
      <c r="I55" s="1" t="s">
        <v>28</v>
      </c>
      <c r="J55" s="1" t="s">
        <v>136</v>
      </c>
      <c r="K55" s="1" t="s">
        <v>137</v>
      </c>
      <c r="L55">
        <v>60610</v>
      </c>
      <c r="M55" s="1" t="s">
        <v>96</v>
      </c>
      <c r="N55" s="1" t="s">
        <v>318</v>
      </c>
      <c r="O55" s="1" t="s">
        <v>33</v>
      </c>
      <c r="P55" s="1" t="s">
        <v>59</v>
      </c>
      <c r="Q55" s="1" t="s">
        <v>319</v>
      </c>
      <c r="R55">
        <v>12</v>
      </c>
      <c r="S55">
        <v>3</v>
      </c>
      <c r="T55">
        <v>0.6</v>
      </c>
      <c r="U55">
        <v>-5</v>
      </c>
      <c r="V55" s="1" t="s">
        <v>61</v>
      </c>
      <c r="W55" s="1" t="s">
        <v>62</v>
      </c>
    </row>
    <row r="56" spans="1:23" x14ac:dyDescent="0.35">
      <c r="A56">
        <v>242</v>
      </c>
      <c r="B56" s="1" t="s">
        <v>313</v>
      </c>
      <c r="C56" s="2">
        <v>42525</v>
      </c>
      <c r="D56" s="2">
        <v>42530</v>
      </c>
      <c r="E56" s="1" t="s">
        <v>24</v>
      </c>
      <c r="F56" s="1" t="s">
        <v>314</v>
      </c>
      <c r="G56" s="1" t="s">
        <v>315</v>
      </c>
      <c r="H56" s="1" t="s">
        <v>27</v>
      </c>
      <c r="I56" s="1" t="s">
        <v>28</v>
      </c>
      <c r="J56" s="1" t="s">
        <v>136</v>
      </c>
      <c r="K56" s="1" t="s">
        <v>137</v>
      </c>
      <c r="L56">
        <v>60610</v>
      </c>
      <c r="M56" s="1" t="s">
        <v>96</v>
      </c>
      <c r="N56" s="1" t="s">
        <v>320</v>
      </c>
      <c r="O56" s="1" t="s">
        <v>33</v>
      </c>
      <c r="P56" s="1" t="s">
        <v>48</v>
      </c>
      <c r="Q56" s="1" t="s">
        <v>321</v>
      </c>
      <c r="R56">
        <v>177</v>
      </c>
      <c r="S56">
        <v>5</v>
      </c>
      <c r="T56">
        <v>0.5</v>
      </c>
      <c r="U56">
        <v>-121</v>
      </c>
      <c r="V56" s="1" t="s">
        <v>61</v>
      </c>
      <c r="W56" s="1" t="s">
        <v>62</v>
      </c>
    </row>
    <row r="57" spans="1:23" x14ac:dyDescent="0.35">
      <c r="A57">
        <v>243</v>
      </c>
      <c r="B57" s="1" t="s">
        <v>313</v>
      </c>
      <c r="C57" s="2">
        <v>42525</v>
      </c>
      <c r="D57" s="2">
        <v>42530</v>
      </c>
      <c r="E57" s="1" t="s">
        <v>24</v>
      </c>
      <c r="F57" s="1" t="s">
        <v>314</v>
      </c>
      <c r="G57" s="1" t="s">
        <v>315</v>
      </c>
      <c r="H57" s="1" t="s">
        <v>27</v>
      </c>
      <c r="I57" s="1" t="s">
        <v>28</v>
      </c>
      <c r="J57" s="1" t="s">
        <v>136</v>
      </c>
      <c r="K57" s="1" t="s">
        <v>137</v>
      </c>
      <c r="L57">
        <v>60610</v>
      </c>
      <c r="M57" s="1" t="s">
        <v>96</v>
      </c>
      <c r="N57" s="1" t="s">
        <v>322</v>
      </c>
      <c r="O57" s="1" t="s">
        <v>33</v>
      </c>
      <c r="P57" s="1" t="s">
        <v>59</v>
      </c>
      <c r="Q57" s="1" t="s">
        <v>323</v>
      </c>
      <c r="R57">
        <v>4</v>
      </c>
      <c r="S57">
        <v>3</v>
      </c>
      <c r="T57">
        <v>0.6</v>
      </c>
      <c r="U57">
        <v>-3</v>
      </c>
      <c r="V57" s="1" t="s">
        <v>61</v>
      </c>
      <c r="W57" s="1" t="s">
        <v>62</v>
      </c>
    </row>
    <row r="58" spans="1:23" x14ac:dyDescent="0.35">
      <c r="A58">
        <v>245</v>
      </c>
      <c r="B58" s="1" t="s">
        <v>324</v>
      </c>
      <c r="C58" s="2">
        <v>41791</v>
      </c>
      <c r="D58" s="2">
        <v>41796</v>
      </c>
      <c r="E58" s="1" t="s">
        <v>24</v>
      </c>
      <c r="F58" s="1" t="s">
        <v>325</v>
      </c>
      <c r="G58" s="1" t="s">
        <v>326</v>
      </c>
      <c r="H58" s="1" t="s">
        <v>103</v>
      </c>
      <c r="I58" s="1" t="s">
        <v>28</v>
      </c>
      <c r="J58" s="1" t="s">
        <v>327</v>
      </c>
      <c r="K58" s="1" t="s">
        <v>169</v>
      </c>
      <c r="L58">
        <v>55044</v>
      </c>
      <c r="M58" s="1" t="s">
        <v>96</v>
      </c>
      <c r="N58" s="1" t="s">
        <v>209</v>
      </c>
      <c r="O58" s="1" t="s">
        <v>33</v>
      </c>
      <c r="P58" s="1" t="s">
        <v>39</v>
      </c>
      <c r="Q58" s="1" t="s">
        <v>210</v>
      </c>
      <c r="R58">
        <v>2002</v>
      </c>
      <c r="S58">
        <v>7</v>
      </c>
      <c r="T58">
        <v>0</v>
      </c>
      <c r="U58">
        <v>581</v>
      </c>
      <c r="V58" s="1" t="s">
        <v>61</v>
      </c>
      <c r="W58" s="1" t="s">
        <v>62</v>
      </c>
    </row>
    <row r="59" spans="1:23" x14ac:dyDescent="0.35">
      <c r="A59">
        <v>250</v>
      </c>
      <c r="B59" s="1" t="s">
        <v>328</v>
      </c>
      <c r="C59" s="2">
        <v>42714</v>
      </c>
      <c r="D59" s="2">
        <v>42719</v>
      </c>
      <c r="E59" s="1" t="s">
        <v>24</v>
      </c>
      <c r="F59" s="1" t="s">
        <v>329</v>
      </c>
      <c r="G59" s="1" t="s">
        <v>330</v>
      </c>
      <c r="H59" s="1" t="s">
        <v>27</v>
      </c>
      <c r="I59" s="1" t="s">
        <v>28</v>
      </c>
      <c r="J59" s="1" t="s">
        <v>331</v>
      </c>
      <c r="K59" s="1" t="s">
        <v>56</v>
      </c>
      <c r="L59">
        <v>94109</v>
      </c>
      <c r="M59" s="1" t="s">
        <v>57</v>
      </c>
      <c r="N59" s="1" t="s">
        <v>332</v>
      </c>
      <c r="O59" s="1" t="s">
        <v>33</v>
      </c>
      <c r="P59" s="1" t="s">
        <v>39</v>
      </c>
      <c r="Q59" s="1" t="s">
        <v>333</v>
      </c>
      <c r="R59">
        <v>322</v>
      </c>
      <c r="S59">
        <v>2</v>
      </c>
      <c r="T59">
        <v>0.2</v>
      </c>
      <c r="U59">
        <v>28</v>
      </c>
      <c r="V59" s="1" t="s">
        <v>61</v>
      </c>
      <c r="W59" s="1" t="s">
        <v>99</v>
      </c>
    </row>
    <row r="60" spans="1:23" x14ac:dyDescent="0.35">
      <c r="A60">
        <v>255</v>
      </c>
      <c r="B60" s="1" t="s">
        <v>334</v>
      </c>
      <c r="C60" s="2">
        <v>42336</v>
      </c>
      <c r="D60" s="2">
        <v>42342</v>
      </c>
      <c r="E60" s="1" t="s">
        <v>42</v>
      </c>
      <c r="F60" s="1" t="s">
        <v>335</v>
      </c>
      <c r="G60" s="1" t="s">
        <v>336</v>
      </c>
      <c r="H60" s="1" t="s">
        <v>93</v>
      </c>
      <c r="I60" s="1" t="s">
        <v>28</v>
      </c>
      <c r="J60" s="1" t="s">
        <v>136</v>
      </c>
      <c r="K60" s="1" t="s">
        <v>137</v>
      </c>
      <c r="L60">
        <v>60623</v>
      </c>
      <c r="M60" s="1" t="s">
        <v>96</v>
      </c>
      <c r="N60" s="1" t="s">
        <v>322</v>
      </c>
      <c r="O60" s="1" t="s">
        <v>33</v>
      </c>
      <c r="P60" s="1" t="s">
        <v>59</v>
      </c>
      <c r="Q60" s="1" t="s">
        <v>323</v>
      </c>
      <c r="R60">
        <v>12</v>
      </c>
      <c r="S60">
        <v>9</v>
      </c>
      <c r="T60">
        <v>0.6</v>
      </c>
      <c r="U60">
        <v>-8</v>
      </c>
      <c r="V60" s="1" t="s">
        <v>132</v>
      </c>
      <c r="W60" s="1" t="s">
        <v>37</v>
      </c>
    </row>
    <row r="61" spans="1:23" x14ac:dyDescent="0.35">
      <c r="A61">
        <v>273</v>
      </c>
      <c r="B61" s="1" t="s">
        <v>337</v>
      </c>
      <c r="C61" s="2">
        <v>42215</v>
      </c>
      <c r="D61" s="2">
        <v>42216</v>
      </c>
      <c r="E61" s="1" t="s">
        <v>90</v>
      </c>
      <c r="F61" s="1" t="s">
        <v>338</v>
      </c>
      <c r="G61" s="1" t="s">
        <v>339</v>
      </c>
      <c r="H61" s="1" t="s">
        <v>27</v>
      </c>
      <c r="I61" s="1" t="s">
        <v>28</v>
      </c>
      <c r="J61" s="1" t="s">
        <v>331</v>
      </c>
      <c r="K61" s="1" t="s">
        <v>56</v>
      </c>
      <c r="L61">
        <v>94109</v>
      </c>
      <c r="M61" s="1" t="s">
        <v>57</v>
      </c>
      <c r="N61" s="1" t="s">
        <v>340</v>
      </c>
      <c r="O61" s="1" t="s">
        <v>33</v>
      </c>
      <c r="P61" s="1" t="s">
        <v>59</v>
      </c>
      <c r="Q61" s="1" t="s">
        <v>341</v>
      </c>
      <c r="R61">
        <v>5</v>
      </c>
      <c r="S61">
        <v>3</v>
      </c>
      <c r="T61">
        <v>0</v>
      </c>
      <c r="U61">
        <v>2</v>
      </c>
      <c r="V61" s="1" t="s">
        <v>126</v>
      </c>
      <c r="W61" s="1" t="s">
        <v>74</v>
      </c>
    </row>
    <row r="62" spans="1:23" x14ac:dyDescent="0.35">
      <c r="A62">
        <v>283</v>
      </c>
      <c r="B62" s="1" t="s">
        <v>342</v>
      </c>
      <c r="C62" s="2">
        <v>42310</v>
      </c>
      <c r="D62" s="2">
        <v>42314</v>
      </c>
      <c r="E62" s="1" t="s">
        <v>42</v>
      </c>
      <c r="F62" s="1" t="s">
        <v>343</v>
      </c>
      <c r="G62" s="1" t="s">
        <v>344</v>
      </c>
      <c r="H62" s="1" t="s">
        <v>27</v>
      </c>
      <c r="I62" s="1" t="s">
        <v>28</v>
      </c>
      <c r="J62" s="1" t="s">
        <v>55</v>
      </c>
      <c r="K62" s="1" t="s">
        <v>56</v>
      </c>
      <c r="L62">
        <v>90004</v>
      </c>
      <c r="M62" s="1" t="s">
        <v>57</v>
      </c>
      <c r="N62" s="1" t="s">
        <v>345</v>
      </c>
      <c r="O62" s="1" t="s">
        <v>33</v>
      </c>
      <c r="P62" s="1" t="s">
        <v>48</v>
      </c>
      <c r="Q62" s="1" t="s">
        <v>346</v>
      </c>
      <c r="R62">
        <v>1039</v>
      </c>
      <c r="S62">
        <v>5</v>
      </c>
      <c r="T62">
        <v>0.2</v>
      </c>
      <c r="U62">
        <v>52</v>
      </c>
      <c r="V62" s="1" t="s">
        <v>86</v>
      </c>
      <c r="W62" s="1" t="s">
        <v>37</v>
      </c>
    </row>
    <row r="63" spans="1:23" x14ac:dyDescent="0.35">
      <c r="A63">
        <v>293</v>
      </c>
      <c r="B63" s="1" t="s">
        <v>347</v>
      </c>
      <c r="C63" s="2">
        <v>42694</v>
      </c>
      <c r="D63" s="2">
        <v>42698</v>
      </c>
      <c r="E63" s="1" t="s">
        <v>24</v>
      </c>
      <c r="F63" s="1" t="s">
        <v>348</v>
      </c>
      <c r="G63" s="1" t="s">
        <v>349</v>
      </c>
      <c r="H63" s="1" t="s">
        <v>103</v>
      </c>
      <c r="I63" s="1" t="s">
        <v>28</v>
      </c>
      <c r="J63" s="1" t="s">
        <v>350</v>
      </c>
      <c r="K63" s="1" t="s">
        <v>234</v>
      </c>
      <c r="L63">
        <v>43229</v>
      </c>
      <c r="M63" s="1" t="s">
        <v>70</v>
      </c>
      <c r="N63" s="1" t="s">
        <v>351</v>
      </c>
      <c r="O63" s="1" t="s">
        <v>33</v>
      </c>
      <c r="P63" s="1" t="s">
        <v>34</v>
      </c>
      <c r="Q63" s="1" t="s">
        <v>352</v>
      </c>
      <c r="R63">
        <v>87</v>
      </c>
      <c r="S63">
        <v>3</v>
      </c>
      <c r="T63">
        <v>0.5</v>
      </c>
      <c r="U63">
        <v>-49</v>
      </c>
      <c r="V63" s="1" t="s">
        <v>86</v>
      </c>
      <c r="W63" s="1" t="s">
        <v>37</v>
      </c>
    </row>
    <row r="64" spans="1:23" x14ac:dyDescent="0.35">
      <c r="A64">
        <v>294</v>
      </c>
      <c r="B64" s="1" t="s">
        <v>353</v>
      </c>
      <c r="C64" s="2">
        <v>41999</v>
      </c>
      <c r="D64" s="2">
        <v>42001</v>
      </c>
      <c r="E64" s="1" t="s">
        <v>90</v>
      </c>
      <c r="F64" s="1" t="s">
        <v>354</v>
      </c>
      <c r="G64" s="1" t="s">
        <v>355</v>
      </c>
      <c r="H64" s="1" t="s">
        <v>93</v>
      </c>
      <c r="I64" s="1" t="s">
        <v>28</v>
      </c>
      <c r="J64" s="1" t="s">
        <v>356</v>
      </c>
      <c r="K64" s="1" t="s">
        <v>183</v>
      </c>
      <c r="L64">
        <v>80906</v>
      </c>
      <c r="M64" s="1" t="s">
        <v>57</v>
      </c>
      <c r="N64" s="1" t="s">
        <v>357</v>
      </c>
      <c r="O64" s="1" t="s">
        <v>33</v>
      </c>
      <c r="P64" s="1" t="s">
        <v>59</v>
      </c>
      <c r="Q64" s="1" t="s">
        <v>358</v>
      </c>
      <c r="R64">
        <v>300</v>
      </c>
      <c r="S64">
        <v>8</v>
      </c>
      <c r="T64">
        <v>0.2</v>
      </c>
      <c r="U64">
        <v>79</v>
      </c>
      <c r="V64" s="1" t="s">
        <v>73</v>
      </c>
      <c r="W64" s="1" t="s">
        <v>99</v>
      </c>
    </row>
    <row r="65" spans="1:23" x14ac:dyDescent="0.35">
      <c r="A65">
        <v>295</v>
      </c>
      <c r="B65" s="1" t="s">
        <v>353</v>
      </c>
      <c r="C65" s="2">
        <v>41999</v>
      </c>
      <c r="D65" s="2">
        <v>42001</v>
      </c>
      <c r="E65" s="1" t="s">
        <v>90</v>
      </c>
      <c r="F65" s="1" t="s">
        <v>354</v>
      </c>
      <c r="G65" s="1" t="s">
        <v>355</v>
      </c>
      <c r="H65" s="1" t="s">
        <v>93</v>
      </c>
      <c r="I65" s="1" t="s">
        <v>28</v>
      </c>
      <c r="J65" s="1" t="s">
        <v>356</v>
      </c>
      <c r="K65" s="1" t="s">
        <v>183</v>
      </c>
      <c r="L65">
        <v>80906</v>
      </c>
      <c r="M65" s="1" t="s">
        <v>57</v>
      </c>
      <c r="N65" s="1" t="s">
        <v>359</v>
      </c>
      <c r="O65" s="1" t="s">
        <v>33</v>
      </c>
      <c r="P65" s="1" t="s">
        <v>39</v>
      </c>
      <c r="Q65" s="1" t="s">
        <v>360</v>
      </c>
      <c r="R65">
        <v>230</v>
      </c>
      <c r="S65">
        <v>3</v>
      </c>
      <c r="T65">
        <v>0.2</v>
      </c>
      <c r="U65">
        <v>20</v>
      </c>
      <c r="V65" s="1" t="s">
        <v>73</v>
      </c>
      <c r="W65" s="1" t="s">
        <v>99</v>
      </c>
    </row>
    <row r="66" spans="1:23" x14ac:dyDescent="0.35">
      <c r="A66">
        <v>296</v>
      </c>
      <c r="B66" s="1" t="s">
        <v>353</v>
      </c>
      <c r="C66" s="2">
        <v>41999</v>
      </c>
      <c r="D66" s="2">
        <v>42001</v>
      </c>
      <c r="E66" s="1" t="s">
        <v>90</v>
      </c>
      <c r="F66" s="1" t="s">
        <v>354</v>
      </c>
      <c r="G66" s="1" t="s">
        <v>355</v>
      </c>
      <c r="H66" s="1" t="s">
        <v>93</v>
      </c>
      <c r="I66" s="1" t="s">
        <v>28</v>
      </c>
      <c r="J66" s="1" t="s">
        <v>356</v>
      </c>
      <c r="K66" s="1" t="s">
        <v>183</v>
      </c>
      <c r="L66">
        <v>80906</v>
      </c>
      <c r="M66" s="1" t="s">
        <v>57</v>
      </c>
      <c r="N66" s="1" t="s">
        <v>361</v>
      </c>
      <c r="O66" s="1" t="s">
        <v>33</v>
      </c>
      <c r="P66" s="1" t="s">
        <v>59</v>
      </c>
      <c r="Q66" s="1" t="s">
        <v>362</v>
      </c>
      <c r="R66">
        <v>218</v>
      </c>
      <c r="S66">
        <v>3</v>
      </c>
      <c r="T66">
        <v>0.2</v>
      </c>
      <c r="U66">
        <v>-25</v>
      </c>
      <c r="V66" s="1" t="s">
        <v>73</v>
      </c>
      <c r="W66" s="1" t="s">
        <v>99</v>
      </c>
    </row>
    <row r="67" spans="1:23" x14ac:dyDescent="0.35">
      <c r="A67">
        <v>302</v>
      </c>
      <c r="B67" s="1" t="s">
        <v>363</v>
      </c>
      <c r="C67" s="2">
        <v>42671</v>
      </c>
      <c r="D67" s="2">
        <v>42677</v>
      </c>
      <c r="E67" s="1" t="s">
        <v>42</v>
      </c>
      <c r="F67" s="1" t="s">
        <v>228</v>
      </c>
      <c r="G67" s="1" t="s">
        <v>229</v>
      </c>
      <c r="H67" s="1" t="s">
        <v>93</v>
      </c>
      <c r="I67" s="1" t="s">
        <v>28</v>
      </c>
      <c r="J67" s="1" t="s">
        <v>364</v>
      </c>
      <c r="K67" s="1" t="s">
        <v>365</v>
      </c>
      <c r="L67">
        <v>7109</v>
      </c>
      <c r="M67" s="1" t="s">
        <v>70</v>
      </c>
      <c r="N67" s="1" t="s">
        <v>366</v>
      </c>
      <c r="O67" s="1" t="s">
        <v>33</v>
      </c>
      <c r="P67" s="1" t="s">
        <v>59</v>
      </c>
      <c r="Q67" s="1" t="s">
        <v>367</v>
      </c>
      <c r="R67">
        <v>78</v>
      </c>
      <c r="S67">
        <v>4</v>
      </c>
      <c r="T67">
        <v>0</v>
      </c>
      <c r="U67">
        <v>38</v>
      </c>
      <c r="V67" s="1" t="s">
        <v>132</v>
      </c>
      <c r="W67" s="1" t="s">
        <v>51</v>
      </c>
    </row>
    <row r="68" spans="1:23" x14ac:dyDescent="0.35">
      <c r="A68">
        <v>304</v>
      </c>
      <c r="B68" s="1" t="s">
        <v>368</v>
      </c>
      <c r="C68" s="2">
        <v>43058</v>
      </c>
      <c r="D68" s="2">
        <v>43062</v>
      </c>
      <c r="E68" s="1" t="s">
        <v>42</v>
      </c>
      <c r="F68" s="1" t="s">
        <v>369</v>
      </c>
      <c r="G68" s="1" t="s">
        <v>370</v>
      </c>
      <c r="H68" s="1" t="s">
        <v>27</v>
      </c>
      <c r="I68" s="1" t="s">
        <v>28</v>
      </c>
      <c r="J68" s="1" t="s">
        <v>136</v>
      </c>
      <c r="K68" s="1" t="s">
        <v>137</v>
      </c>
      <c r="L68">
        <v>60623</v>
      </c>
      <c r="M68" s="1" t="s">
        <v>96</v>
      </c>
      <c r="N68" s="1" t="s">
        <v>371</v>
      </c>
      <c r="O68" s="1" t="s">
        <v>33</v>
      </c>
      <c r="P68" s="1" t="s">
        <v>48</v>
      </c>
      <c r="Q68" s="1" t="s">
        <v>372</v>
      </c>
      <c r="R68">
        <v>219</v>
      </c>
      <c r="S68">
        <v>3</v>
      </c>
      <c r="T68">
        <v>0.5</v>
      </c>
      <c r="U68">
        <v>-131</v>
      </c>
      <c r="V68" s="1" t="s">
        <v>86</v>
      </c>
      <c r="W68" s="1" t="s">
        <v>37</v>
      </c>
    </row>
    <row r="69" spans="1:23" x14ac:dyDescent="0.35">
      <c r="A69">
        <v>305</v>
      </c>
      <c r="B69" s="1" t="s">
        <v>373</v>
      </c>
      <c r="C69" s="2">
        <v>42128</v>
      </c>
      <c r="D69" s="2">
        <v>42133</v>
      </c>
      <c r="E69" s="1" t="s">
        <v>24</v>
      </c>
      <c r="F69" s="1" t="s">
        <v>374</v>
      </c>
      <c r="G69" s="1" t="s">
        <v>375</v>
      </c>
      <c r="H69" s="1" t="s">
        <v>93</v>
      </c>
      <c r="I69" s="1" t="s">
        <v>28</v>
      </c>
      <c r="J69" s="1" t="s">
        <v>176</v>
      </c>
      <c r="K69" s="1" t="s">
        <v>123</v>
      </c>
      <c r="L69">
        <v>10024</v>
      </c>
      <c r="M69" s="1" t="s">
        <v>70</v>
      </c>
      <c r="N69" s="1" t="s">
        <v>376</v>
      </c>
      <c r="O69" s="1" t="s">
        <v>33</v>
      </c>
      <c r="P69" s="1" t="s">
        <v>59</v>
      </c>
      <c r="Q69" s="1" t="s">
        <v>377</v>
      </c>
      <c r="R69">
        <v>27</v>
      </c>
      <c r="S69">
        <v>2</v>
      </c>
      <c r="T69">
        <v>0</v>
      </c>
      <c r="U69">
        <v>13</v>
      </c>
      <c r="V69" s="1" t="s">
        <v>61</v>
      </c>
      <c r="W69" s="1" t="s">
        <v>164</v>
      </c>
    </row>
    <row r="70" spans="1:23" x14ac:dyDescent="0.35">
      <c r="A70">
        <v>310</v>
      </c>
      <c r="B70" s="1" t="s">
        <v>378</v>
      </c>
      <c r="C70" s="2">
        <v>42625</v>
      </c>
      <c r="D70" s="2">
        <v>42627</v>
      </c>
      <c r="E70" s="1" t="s">
        <v>24</v>
      </c>
      <c r="F70" s="1" t="s">
        <v>379</v>
      </c>
      <c r="G70" s="1" t="s">
        <v>380</v>
      </c>
      <c r="H70" s="1" t="s">
        <v>93</v>
      </c>
      <c r="I70" s="1" t="s">
        <v>28</v>
      </c>
      <c r="J70" s="1" t="s">
        <v>381</v>
      </c>
      <c r="K70" s="1" t="s">
        <v>183</v>
      </c>
      <c r="L70">
        <v>80004</v>
      </c>
      <c r="M70" s="1" t="s">
        <v>57</v>
      </c>
      <c r="N70" s="1" t="s">
        <v>382</v>
      </c>
      <c r="O70" s="1" t="s">
        <v>33</v>
      </c>
      <c r="P70" s="1" t="s">
        <v>59</v>
      </c>
      <c r="Q70" s="1" t="s">
        <v>383</v>
      </c>
      <c r="R70">
        <v>15</v>
      </c>
      <c r="S70">
        <v>4</v>
      </c>
      <c r="T70">
        <v>0.2</v>
      </c>
      <c r="U70">
        <v>4</v>
      </c>
      <c r="V70" s="1" t="s">
        <v>73</v>
      </c>
      <c r="W70" s="1" t="s">
        <v>80</v>
      </c>
    </row>
    <row r="71" spans="1:23" x14ac:dyDescent="0.35">
      <c r="A71">
        <v>311</v>
      </c>
      <c r="B71" s="1" t="s">
        <v>378</v>
      </c>
      <c r="C71" s="2">
        <v>42625</v>
      </c>
      <c r="D71" s="2">
        <v>42627</v>
      </c>
      <c r="E71" s="1" t="s">
        <v>24</v>
      </c>
      <c r="F71" s="1" t="s">
        <v>379</v>
      </c>
      <c r="G71" s="1" t="s">
        <v>380</v>
      </c>
      <c r="H71" s="1" t="s">
        <v>93</v>
      </c>
      <c r="I71" s="1" t="s">
        <v>28</v>
      </c>
      <c r="J71" s="1" t="s">
        <v>381</v>
      </c>
      <c r="K71" s="1" t="s">
        <v>183</v>
      </c>
      <c r="L71">
        <v>80004</v>
      </c>
      <c r="M71" s="1" t="s">
        <v>57</v>
      </c>
      <c r="N71" s="1" t="s">
        <v>384</v>
      </c>
      <c r="O71" s="1" t="s">
        <v>33</v>
      </c>
      <c r="P71" s="1" t="s">
        <v>39</v>
      </c>
      <c r="Q71" s="1" t="s">
        <v>385</v>
      </c>
      <c r="R71">
        <v>467</v>
      </c>
      <c r="S71">
        <v>2</v>
      </c>
      <c r="T71">
        <v>0.2</v>
      </c>
      <c r="U71">
        <v>53</v>
      </c>
      <c r="V71" s="1" t="s">
        <v>73</v>
      </c>
      <c r="W71" s="1" t="s">
        <v>80</v>
      </c>
    </row>
    <row r="72" spans="1:23" x14ac:dyDescent="0.35">
      <c r="A72">
        <v>312</v>
      </c>
      <c r="B72" s="1" t="s">
        <v>378</v>
      </c>
      <c r="C72" s="2">
        <v>42625</v>
      </c>
      <c r="D72" s="2">
        <v>42627</v>
      </c>
      <c r="E72" s="1" t="s">
        <v>24</v>
      </c>
      <c r="F72" s="1" t="s">
        <v>379</v>
      </c>
      <c r="G72" s="1" t="s">
        <v>380</v>
      </c>
      <c r="H72" s="1" t="s">
        <v>93</v>
      </c>
      <c r="I72" s="1" t="s">
        <v>28</v>
      </c>
      <c r="J72" s="1" t="s">
        <v>381</v>
      </c>
      <c r="K72" s="1" t="s">
        <v>183</v>
      </c>
      <c r="L72">
        <v>80004</v>
      </c>
      <c r="M72" s="1" t="s">
        <v>57</v>
      </c>
      <c r="N72" s="1" t="s">
        <v>386</v>
      </c>
      <c r="O72" s="1" t="s">
        <v>33</v>
      </c>
      <c r="P72" s="1" t="s">
        <v>59</v>
      </c>
      <c r="Q72" s="1" t="s">
        <v>387</v>
      </c>
      <c r="R72">
        <v>15</v>
      </c>
      <c r="S72">
        <v>1</v>
      </c>
      <c r="T72">
        <v>0.2</v>
      </c>
      <c r="U72">
        <v>2</v>
      </c>
      <c r="V72" s="1" t="s">
        <v>73</v>
      </c>
      <c r="W72" s="1" t="s">
        <v>80</v>
      </c>
    </row>
    <row r="73" spans="1:23" x14ac:dyDescent="0.35">
      <c r="A73">
        <v>314</v>
      </c>
      <c r="B73" s="1" t="s">
        <v>388</v>
      </c>
      <c r="C73" s="2">
        <v>41909</v>
      </c>
      <c r="D73" s="2">
        <v>41915</v>
      </c>
      <c r="E73" s="1" t="s">
        <v>42</v>
      </c>
      <c r="F73" s="1" t="s">
        <v>389</v>
      </c>
      <c r="G73" s="1" t="s">
        <v>390</v>
      </c>
      <c r="H73" s="1" t="s">
        <v>93</v>
      </c>
      <c r="I73" s="1" t="s">
        <v>28</v>
      </c>
      <c r="J73" s="1" t="s">
        <v>391</v>
      </c>
      <c r="K73" s="1" t="s">
        <v>365</v>
      </c>
      <c r="L73">
        <v>7601</v>
      </c>
      <c r="M73" s="1" t="s">
        <v>70</v>
      </c>
      <c r="N73" s="1" t="s">
        <v>392</v>
      </c>
      <c r="O73" s="1" t="s">
        <v>33</v>
      </c>
      <c r="P73" s="1" t="s">
        <v>59</v>
      </c>
      <c r="Q73" s="1" t="s">
        <v>393</v>
      </c>
      <c r="R73">
        <v>88</v>
      </c>
      <c r="S73">
        <v>3</v>
      </c>
      <c r="T73">
        <v>0</v>
      </c>
      <c r="U73">
        <v>38</v>
      </c>
      <c r="V73" s="1" t="s">
        <v>132</v>
      </c>
      <c r="W73" s="1" t="s">
        <v>80</v>
      </c>
    </row>
    <row r="74" spans="1:23" x14ac:dyDescent="0.35">
      <c r="A74">
        <v>318</v>
      </c>
      <c r="B74" s="1" t="s">
        <v>394</v>
      </c>
      <c r="C74" s="2">
        <v>41947</v>
      </c>
      <c r="D74" s="2">
        <v>41952</v>
      </c>
      <c r="E74" s="1" t="s">
        <v>42</v>
      </c>
      <c r="F74" s="1" t="s">
        <v>395</v>
      </c>
      <c r="G74" s="1" t="s">
        <v>396</v>
      </c>
      <c r="H74" s="1" t="s">
        <v>103</v>
      </c>
      <c r="I74" s="1" t="s">
        <v>28</v>
      </c>
      <c r="J74" s="1" t="s">
        <v>176</v>
      </c>
      <c r="K74" s="1" t="s">
        <v>123</v>
      </c>
      <c r="L74">
        <v>10024</v>
      </c>
      <c r="M74" s="1" t="s">
        <v>70</v>
      </c>
      <c r="N74" s="1" t="s">
        <v>397</v>
      </c>
      <c r="O74" s="1" t="s">
        <v>33</v>
      </c>
      <c r="P74" s="1" t="s">
        <v>39</v>
      </c>
      <c r="Q74" s="1" t="s">
        <v>398</v>
      </c>
      <c r="R74">
        <v>136</v>
      </c>
      <c r="S74">
        <v>1</v>
      </c>
      <c r="T74">
        <v>0.1</v>
      </c>
      <c r="U74">
        <v>24</v>
      </c>
      <c r="V74" s="1" t="s">
        <v>61</v>
      </c>
      <c r="W74" s="1" t="s">
        <v>37</v>
      </c>
    </row>
    <row r="75" spans="1:23" x14ac:dyDescent="0.35">
      <c r="A75">
        <v>326</v>
      </c>
      <c r="B75" s="1" t="s">
        <v>399</v>
      </c>
      <c r="C75" s="2">
        <v>43042</v>
      </c>
      <c r="D75" s="2">
        <v>43044</v>
      </c>
      <c r="E75" s="1" t="s">
        <v>24</v>
      </c>
      <c r="F75" s="1" t="s">
        <v>400</v>
      </c>
      <c r="G75" s="1" t="s">
        <v>401</v>
      </c>
      <c r="H75" s="1" t="s">
        <v>93</v>
      </c>
      <c r="I75" s="1" t="s">
        <v>28</v>
      </c>
      <c r="J75" s="1" t="s">
        <v>402</v>
      </c>
      <c r="K75" s="1" t="s">
        <v>144</v>
      </c>
      <c r="L75">
        <v>37130</v>
      </c>
      <c r="M75" s="1" t="s">
        <v>31</v>
      </c>
      <c r="N75" s="1" t="s">
        <v>403</v>
      </c>
      <c r="O75" s="1" t="s">
        <v>33</v>
      </c>
      <c r="P75" s="1" t="s">
        <v>59</v>
      </c>
      <c r="Q75" s="1" t="s">
        <v>404</v>
      </c>
      <c r="R75">
        <v>16</v>
      </c>
      <c r="S75">
        <v>1</v>
      </c>
      <c r="T75">
        <v>0.2</v>
      </c>
      <c r="U75">
        <v>1</v>
      </c>
      <c r="V75" s="1" t="s">
        <v>73</v>
      </c>
      <c r="W75" s="1" t="s">
        <v>37</v>
      </c>
    </row>
    <row r="76" spans="1:23" x14ac:dyDescent="0.35">
      <c r="A76">
        <v>329</v>
      </c>
      <c r="B76" s="1" t="s">
        <v>405</v>
      </c>
      <c r="C76" s="2">
        <v>42612</v>
      </c>
      <c r="D76" s="2">
        <v>42614</v>
      </c>
      <c r="E76" s="1" t="s">
        <v>90</v>
      </c>
      <c r="F76" s="1" t="s">
        <v>406</v>
      </c>
      <c r="G76" s="1" t="s">
        <v>407</v>
      </c>
      <c r="H76" s="1" t="s">
        <v>27</v>
      </c>
      <c r="I76" s="1" t="s">
        <v>28</v>
      </c>
      <c r="J76" s="1" t="s">
        <v>68</v>
      </c>
      <c r="K76" s="1" t="s">
        <v>69</v>
      </c>
      <c r="L76">
        <v>19143</v>
      </c>
      <c r="M76" s="1" t="s">
        <v>70</v>
      </c>
      <c r="N76" s="1" t="s">
        <v>408</v>
      </c>
      <c r="O76" s="1" t="s">
        <v>33</v>
      </c>
      <c r="P76" s="1" t="s">
        <v>39</v>
      </c>
      <c r="Q76" s="1" t="s">
        <v>409</v>
      </c>
      <c r="R76">
        <v>787</v>
      </c>
      <c r="S76">
        <v>4</v>
      </c>
      <c r="T76">
        <v>0.3</v>
      </c>
      <c r="U76">
        <v>-259</v>
      </c>
      <c r="V76" s="1" t="s">
        <v>73</v>
      </c>
      <c r="W76" s="1" t="s">
        <v>256</v>
      </c>
    </row>
    <row r="77" spans="1:23" x14ac:dyDescent="0.35">
      <c r="A77">
        <v>339</v>
      </c>
      <c r="B77" s="1" t="s">
        <v>410</v>
      </c>
      <c r="C77" s="2">
        <v>41832</v>
      </c>
      <c r="D77" s="2">
        <v>41837</v>
      </c>
      <c r="E77" s="1" t="s">
        <v>42</v>
      </c>
      <c r="F77" s="1" t="s">
        <v>411</v>
      </c>
      <c r="G77" s="1" t="s">
        <v>412</v>
      </c>
      <c r="H77" s="1" t="s">
        <v>93</v>
      </c>
      <c r="I77" s="1" t="s">
        <v>28</v>
      </c>
      <c r="J77" s="1" t="s">
        <v>331</v>
      </c>
      <c r="K77" s="1" t="s">
        <v>56</v>
      </c>
      <c r="L77">
        <v>94122</v>
      </c>
      <c r="M77" s="1" t="s">
        <v>57</v>
      </c>
      <c r="N77" s="1" t="s">
        <v>413</v>
      </c>
      <c r="O77" s="1" t="s">
        <v>33</v>
      </c>
      <c r="P77" s="1" t="s">
        <v>48</v>
      </c>
      <c r="Q77" s="1" t="s">
        <v>414</v>
      </c>
      <c r="R77">
        <v>698</v>
      </c>
      <c r="S77">
        <v>3</v>
      </c>
      <c r="T77">
        <v>0.2</v>
      </c>
      <c r="U77">
        <v>-17</v>
      </c>
      <c r="V77" s="1" t="s">
        <v>61</v>
      </c>
      <c r="W77" s="1" t="s">
        <v>74</v>
      </c>
    </row>
    <row r="78" spans="1:23" x14ac:dyDescent="0.35">
      <c r="A78">
        <v>355</v>
      </c>
      <c r="B78" s="1" t="s">
        <v>415</v>
      </c>
      <c r="C78" s="2">
        <v>42468</v>
      </c>
      <c r="D78" s="2">
        <v>42473</v>
      </c>
      <c r="E78" s="1" t="s">
        <v>42</v>
      </c>
      <c r="F78" s="1" t="s">
        <v>416</v>
      </c>
      <c r="G78" s="1" t="s">
        <v>417</v>
      </c>
      <c r="H78" s="1" t="s">
        <v>27</v>
      </c>
      <c r="I78" s="1" t="s">
        <v>28</v>
      </c>
      <c r="J78" s="1" t="s">
        <v>176</v>
      </c>
      <c r="K78" s="1" t="s">
        <v>123</v>
      </c>
      <c r="L78">
        <v>10035</v>
      </c>
      <c r="M78" s="1" t="s">
        <v>70</v>
      </c>
      <c r="N78" s="1" t="s">
        <v>418</v>
      </c>
      <c r="O78" s="1" t="s">
        <v>33</v>
      </c>
      <c r="P78" s="1" t="s">
        <v>34</v>
      </c>
      <c r="Q78" s="1" t="s">
        <v>419</v>
      </c>
      <c r="R78">
        <v>389</v>
      </c>
      <c r="S78">
        <v>6</v>
      </c>
      <c r="T78">
        <v>0.2</v>
      </c>
      <c r="U78">
        <v>-5</v>
      </c>
      <c r="V78" s="1" t="s">
        <v>61</v>
      </c>
      <c r="W78" s="1" t="s">
        <v>116</v>
      </c>
    </row>
    <row r="79" spans="1:23" x14ac:dyDescent="0.35">
      <c r="A79">
        <v>363</v>
      </c>
      <c r="B79" s="1" t="s">
        <v>420</v>
      </c>
      <c r="C79" s="2">
        <v>43003</v>
      </c>
      <c r="D79" s="2">
        <v>43009</v>
      </c>
      <c r="E79" s="1" t="s">
        <v>42</v>
      </c>
      <c r="F79" s="1" t="s">
        <v>421</v>
      </c>
      <c r="G79" s="1" t="s">
        <v>422</v>
      </c>
      <c r="H79" s="1" t="s">
        <v>27</v>
      </c>
      <c r="I79" s="1" t="s">
        <v>28</v>
      </c>
      <c r="J79" s="1" t="s">
        <v>176</v>
      </c>
      <c r="K79" s="1" t="s">
        <v>123</v>
      </c>
      <c r="L79">
        <v>10009</v>
      </c>
      <c r="M79" s="1" t="s">
        <v>70</v>
      </c>
      <c r="N79" s="1" t="s">
        <v>423</v>
      </c>
      <c r="O79" s="1" t="s">
        <v>33</v>
      </c>
      <c r="P79" s="1" t="s">
        <v>39</v>
      </c>
      <c r="Q79" s="1" t="s">
        <v>424</v>
      </c>
      <c r="R79">
        <v>489</v>
      </c>
      <c r="S79">
        <v>3</v>
      </c>
      <c r="T79">
        <v>0.1</v>
      </c>
      <c r="U79">
        <v>87</v>
      </c>
      <c r="V79" s="1" t="s">
        <v>132</v>
      </c>
      <c r="W79" s="1" t="s">
        <v>80</v>
      </c>
    </row>
    <row r="80" spans="1:23" x14ac:dyDescent="0.35">
      <c r="A80">
        <v>365</v>
      </c>
      <c r="B80" s="1" t="s">
        <v>420</v>
      </c>
      <c r="C80" s="2">
        <v>43003</v>
      </c>
      <c r="D80" s="2">
        <v>43009</v>
      </c>
      <c r="E80" s="1" t="s">
        <v>42</v>
      </c>
      <c r="F80" s="1" t="s">
        <v>421</v>
      </c>
      <c r="G80" s="1" t="s">
        <v>422</v>
      </c>
      <c r="H80" s="1" t="s">
        <v>27</v>
      </c>
      <c r="I80" s="1" t="s">
        <v>28</v>
      </c>
      <c r="J80" s="1" t="s">
        <v>176</v>
      </c>
      <c r="K80" s="1" t="s">
        <v>123</v>
      </c>
      <c r="L80">
        <v>10009</v>
      </c>
      <c r="M80" s="1" t="s">
        <v>70</v>
      </c>
      <c r="N80" s="1" t="s">
        <v>425</v>
      </c>
      <c r="O80" s="1" t="s">
        <v>33</v>
      </c>
      <c r="P80" s="1" t="s">
        <v>59</v>
      </c>
      <c r="Q80" s="1" t="s">
        <v>426</v>
      </c>
      <c r="R80">
        <v>47</v>
      </c>
      <c r="S80">
        <v>8</v>
      </c>
      <c r="T80">
        <v>0</v>
      </c>
      <c r="U80">
        <v>21</v>
      </c>
      <c r="V80" s="1" t="s">
        <v>132</v>
      </c>
      <c r="W80" s="1" t="s">
        <v>80</v>
      </c>
    </row>
    <row r="81" spans="1:23" x14ac:dyDescent="0.35">
      <c r="A81">
        <v>370</v>
      </c>
      <c r="B81" s="1" t="s">
        <v>427</v>
      </c>
      <c r="C81" s="2">
        <v>42664</v>
      </c>
      <c r="D81" s="2">
        <v>42664</v>
      </c>
      <c r="E81" s="1" t="s">
        <v>428</v>
      </c>
      <c r="F81" s="1" t="s">
        <v>429</v>
      </c>
      <c r="G81" s="1" t="s">
        <v>430</v>
      </c>
      <c r="H81" s="1" t="s">
        <v>93</v>
      </c>
      <c r="I81" s="1" t="s">
        <v>28</v>
      </c>
      <c r="J81" s="1" t="s">
        <v>431</v>
      </c>
      <c r="K81" s="1" t="s">
        <v>432</v>
      </c>
      <c r="L81">
        <v>6040</v>
      </c>
      <c r="M81" s="1" t="s">
        <v>70</v>
      </c>
      <c r="N81" s="1" t="s">
        <v>105</v>
      </c>
      <c r="O81" s="1" t="s">
        <v>33</v>
      </c>
      <c r="P81" s="1" t="s">
        <v>34</v>
      </c>
      <c r="Q81" s="1" t="s">
        <v>106</v>
      </c>
      <c r="R81">
        <v>1044</v>
      </c>
      <c r="S81">
        <v>4</v>
      </c>
      <c r="T81">
        <v>0</v>
      </c>
      <c r="U81">
        <v>271</v>
      </c>
      <c r="V81" s="1" t="s">
        <v>433</v>
      </c>
      <c r="W81" s="1" t="s">
        <v>51</v>
      </c>
    </row>
    <row r="82" spans="1:23" x14ac:dyDescent="0.35">
      <c r="A82">
        <v>378</v>
      </c>
      <c r="B82" s="1" t="s">
        <v>434</v>
      </c>
      <c r="C82" s="2">
        <v>42974</v>
      </c>
      <c r="D82" s="2">
        <v>42979</v>
      </c>
      <c r="E82" s="1" t="s">
        <v>42</v>
      </c>
      <c r="F82" s="1" t="s">
        <v>435</v>
      </c>
      <c r="G82" s="1" t="s">
        <v>436</v>
      </c>
      <c r="H82" s="1" t="s">
        <v>93</v>
      </c>
      <c r="I82" s="1" t="s">
        <v>28</v>
      </c>
      <c r="J82" s="1" t="s">
        <v>240</v>
      </c>
      <c r="K82" s="1" t="s">
        <v>437</v>
      </c>
      <c r="L82">
        <v>2038</v>
      </c>
      <c r="M82" s="1" t="s">
        <v>70</v>
      </c>
      <c r="N82" s="1" t="s">
        <v>438</v>
      </c>
      <c r="O82" s="1" t="s">
        <v>33</v>
      </c>
      <c r="P82" s="1" t="s">
        <v>48</v>
      </c>
      <c r="Q82" s="1" t="s">
        <v>439</v>
      </c>
      <c r="R82">
        <v>1488</v>
      </c>
      <c r="S82">
        <v>7</v>
      </c>
      <c r="T82">
        <v>0.3</v>
      </c>
      <c r="U82">
        <v>-298</v>
      </c>
      <c r="V82" s="1" t="s">
        <v>61</v>
      </c>
      <c r="W82" s="1" t="s">
        <v>256</v>
      </c>
    </row>
    <row r="83" spans="1:23" x14ac:dyDescent="0.35">
      <c r="A83">
        <v>385</v>
      </c>
      <c r="B83" s="1" t="s">
        <v>440</v>
      </c>
      <c r="C83" s="2">
        <v>42335</v>
      </c>
      <c r="D83" s="2">
        <v>42340</v>
      </c>
      <c r="E83" s="1" t="s">
        <v>42</v>
      </c>
      <c r="F83" s="1" t="s">
        <v>441</v>
      </c>
      <c r="G83" s="1" t="s">
        <v>442</v>
      </c>
      <c r="H83" s="1" t="s">
        <v>27</v>
      </c>
      <c r="I83" s="1" t="s">
        <v>28</v>
      </c>
      <c r="J83" s="1" t="s">
        <v>443</v>
      </c>
      <c r="K83" s="1" t="s">
        <v>46</v>
      </c>
      <c r="L83">
        <v>33024</v>
      </c>
      <c r="M83" s="1" t="s">
        <v>31</v>
      </c>
      <c r="N83" s="1" t="s">
        <v>444</v>
      </c>
      <c r="O83" s="1" t="s">
        <v>33</v>
      </c>
      <c r="P83" s="1" t="s">
        <v>48</v>
      </c>
      <c r="Q83" s="1" t="s">
        <v>445</v>
      </c>
      <c r="R83">
        <v>375</v>
      </c>
      <c r="S83">
        <v>3</v>
      </c>
      <c r="T83">
        <v>0.45</v>
      </c>
      <c r="U83">
        <v>-157</v>
      </c>
      <c r="V83" s="1" t="s">
        <v>61</v>
      </c>
      <c r="W83" s="1" t="s">
        <v>37</v>
      </c>
    </row>
    <row r="84" spans="1:23" x14ac:dyDescent="0.35">
      <c r="A84">
        <v>388</v>
      </c>
      <c r="B84" s="1" t="s">
        <v>446</v>
      </c>
      <c r="C84" s="2">
        <v>42341</v>
      </c>
      <c r="D84" s="2">
        <v>42345</v>
      </c>
      <c r="E84" s="1" t="s">
        <v>42</v>
      </c>
      <c r="F84" s="1" t="s">
        <v>447</v>
      </c>
      <c r="G84" s="1" t="s">
        <v>448</v>
      </c>
      <c r="H84" s="1" t="s">
        <v>93</v>
      </c>
      <c r="I84" s="1" t="s">
        <v>28</v>
      </c>
      <c r="J84" s="1" t="s">
        <v>68</v>
      </c>
      <c r="K84" s="1" t="s">
        <v>69</v>
      </c>
      <c r="L84">
        <v>19140</v>
      </c>
      <c r="M84" s="1" t="s">
        <v>70</v>
      </c>
      <c r="N84" s="1" t="s">
        <v>449</v>
      </c>
      <c r="O84" s="1" t="s">
        <v>33</v>
      </c>
      <c r="P84" s="1" t="s">
        <v>59</v>
      </c>
      <c r="Q84" s="1" t="s">
        <v>450</v>
      </c>
      <c r="R84">
        <v>3</v>
      </c>
      <c r="S84">
        <v>1</v>
      </c>
      <c r="T84">
        <v>0.2</v>
      </c>
      <c r="U84">
        <v>1</v>
      </c>
      <c r="V84" s="1" t="s">
        <v>86</v>
      </c>
      <c r="W84" s="1" t="s">
        <v>99</v>
      </c>
    </row>
    <row r="85" spans="1:23" x14ac:dyDescent="0.35">
      <c r="A85">
        <v>400</v>
      </c>
      <c r="B85" s="1" t="s">
        <v>451</v>
      </c>
      <c r="C85" s="2">
        <v>42621</v>
      </c>
      <c r="D85" s="2">
        <v>42623</v>
      </c>
      <c r="E85" s="1" t="s">
        <v>24</v>
      </c>
      <c r="F85" s="1" t="s">
        <v>452</v>
      </c>
      <c r="G85" s="1" t="s">
        <v>453</v>
      </c>
      <c r="H85" s="1" t="s">
        <v>27</v>
      </c>
      <c r="I85" s="1" t="s">
        <v>28</v>
      </c>
      <c r="J85" s="1" t="s">
        <v>104</v>
      </c>
      <c r="K85" s="1" t="s">
        <v>95</v>
      </c>
      <c r="L85">
        <v>77036</v>
      </c>
      <c r="M85" s="1" t="s">
        <v>96</v>
      </c>
      <c r="N85" s="1" t="s">
        <v>84</v>
      </c>
      <c r="O85" s="1" t="s">
        <v>33</v>
      </c>
      <c r="P85" s="1" t="s">
        <v>34</v>
      </c>
      <c r="Q85" s="1" t="s">
        <v>85</v>
      </c>
      <c r="R85">
        <v>2396</v>
      </c>
      <c r="S85">
        <v>4</v>
      </c>
      <c r="T85">
        <v>0.32</v>
      </c>
      <c r="U85">
        <v>-317</v>
      </c>
      <c r="V85" s="1" t="s">
        <v>73</v>
      </c>
      <c r="W85" s="1" t="s">
        <v>80</v>
      </c>
    </row>
    <row r="86" spans="1:23" x14ac:dyDescent="0.35">
      <c r="A86">
        <v>409</v>
      </c>
      <c r="B86" s="1" t="s">
        <v>454</v>
      </c>
      <c r="C86" s="2">
        <v>43077</v>
      </c>
      <c r="D86" s="2">
        <v>43081</v>
      </c>
      <c r="E86" s="1" t="s">
        <v>42</v>
      </c>
      <c r="F86" s="1" t="s">
        <v>455</v>
      </c>
      <c r="G86" s="1" t="s">
        <v>456</v>
      </c>
      <c r="H86" s="1" t="s">
        <v>27</v>
      </c>
      <c r="I86" s="1" t="s">
        <v>28</v>
      </c>
      <c r="J86" s="1" t="s">
        <v>331</v>
      </c>
      <c r="K86" s="1" t="s">
        <v>56</v>
      </c>
      <c r="L86">
        <v>94110</v>
      </c>
      <c r="M86" s="1" t="s">
        <v>57</v>
      </c>
      <c r="N86" s="1" t="s">
        <v>457</v>
      </c>
      <c r="O86" s="1" t="s">
        <v>33</v>
      </c>
      <c r="P86" s="1" t="s">
        <v>48</v>
      </c>
      <c r="Q86" s="1" t="s">
        <v>458</v>
      </c>
      <c r="R86">
        <v>1004</v>
      </c>
      <c r="S86">
        <v>7</v>
      </c>
      <c r="T86">
        <v>0.2</v>
      </c>
      <c r="U86">
        <v>-113</v>
      </c>
      <c r="V86" s="1" t="s">
        <v>86</v>
      </c>
      <c r="W86" s="1" t="s">
        <v>99</v>
      </c>
    </row>
    <row r="87" spans="1:23" x14ac:dyDescent="0.35">
      <c r="A87">
        <v>413</v>
      </c>
      <c r="B87" s="1" t="s">
        <v>454</v>
      </c>
      <c r="C87" s="2">
        <v>43077</v>
      </c>
      <c r="D87" s="2">
        <v>43081</v>
      </c>
      <c r="E87" s="1" t="s">
        <v>42</v>
      </c>
      <c r="F87" s="1" t="s">
        <v>455</v>
      </c>
      <c r="G87" s="1" t="s">
        <v>456</v>
      </c>
      <c r="H87" s="1" t="s">
        <v>27</v>
      </c>
      <c r="I87" s="1" t="s">
        <v>28</v>
      </c>
      <c r="J87" s="1" t="s">
        <v>331</v>
      </c>
      <c r="K87" s="1" t="s">
        <v>56</v>
      </c>
      <c r="L87">
        <v>94110</v>
      </c>
      <c r="M87" s="1" t="s">
        <v>57</v>
      </c>
      <c r="N87" s="1" t="s">
        <v>459</v>
      </c>
      <c r="O87" s="1" t="s">
        <v>33</v>
      </c>
      <c r="P87" s="1" t="s">
        <v>34</v>
      </c>
      <c r="Q87" s="1" t="s">
        <v>460</v>
      </c>
      <c r="R87">
        <v>1337</v>
      </c>
      <c r="S87">
        <v>13</v>
      </c>
      <c r="T87">
        <v>0.15</v>
      </c>
      <c r="U87">
        <v>31</v>
      </c>
      <c r="V87" s="1" t="s">
        <v>86</v>
      </c>
      <c r="W87" s="1" t="s">
        <v>99</v>
      </c>
    </row>
    <row r="88" spans="1:23" x14ac:dyDescent="0.35">
      <c r="A88">
        <v>414</v>
      </c>
      <c r="B88" s="1" t="s">
        <v>454</v>
      </c>
      <c r="C88" s="2">
        <v>43077</v>
      </c>
      <c r="D88" s="2">
        <v>43081</v>
      </c>
      <c r="E88" s="1" t="s">
        <v>42</v>
      </c>
      <c r="F88" s="1" t="s">
        <v>455</v>
      </c>
      <c r="G88" s="1" t="s">
        <v>456</v>
      </c>
      <c r="H88" s="1" t="s">
        <v>27</v>
      </c>
      <c r="I88" s="1" t="s">
        <v>28</v>
      </c>
      <c r="J88" s="1" t="s">
        <v>331</v>
      </c>
      <c r="K88" s="1" t="s">
        <v>56</v>
      </c>
      <c r="L88">
        <v>94110</v>
      </c>
      <c r="M88" s="1" t="s">
        <v>57</v>
      </c>
      <c r="N88" s="1" t="s">
        <v>461</v>
      </c>
      <c r="O88" s="1" t="s">
        <v>33</v>
      </c>
      <c r="P88" s="1" t="s">
        <v>39</v>
      </c>
      <c r="Q88" s="1" t="s">
        <v>462</v>
      </c>
      <c r="R88">
        <v>114</v>
      </c>
      <c r="S88">
        <v>2</v>
      </c>
      <c r="T88">
        <v>0.2</v>
      </c>
      <c r="U88">
        <v>-18</v>
      </c>
      <c r="V88" s="1" t="s">
        <v>86</v>
      </c>
      <c r="W88" s="1" t="s">
        <v>99</v>
      </c>
    </row>
    <row r="89" spans="1:23" x14ac:dyDescent="0.35">
      <c r="A89">
        <v>416</v>
      </c>
      <c r="B89" s="1" t="s">
        <v>463</v>
      </c>
      <c r="C89" s="2">
        <v>43042</v>
      </c>
      <c r="D89" s="2">
        <v>43046</v>
      </c>
      <c r="E89" s="1" t="s">
        <v>42</v>
      </c>
      <c r="F89" s="1" t="s">
        <v>464</v>
      </c>
      <c r="G89" s="1" t="s">
        <v>465</v>
      </c>
      <c r="H89" s="1" t="s">
        <v>93</v>
      </c>
      <c r="I89" s="1" t="s">
        <v>28</v>
      </c>
      <c r="J89" s="1" t="s">
        <v>194</v>
      </c>
      <c r="K89" s="1" t="s">
        <v>195</v>
      </c>
      <c r="L89">
        <v>98105</v>
      </c>
      <c r="M89" s="1" t="s">
        <v>57</v>
      </c>
      <c r="N89" s="1" t="s">
        <v>359</v>
      </c>
      <c r="O89" s="1" t="s">
        <v>33</v>
      </c>
      <c r="P89" s="1" t="s">
        <v>39</v>
      </c>
      <c r="Q89" s="1" t="s">
        <v>360</v>
      </c>
      <c r="R89">
        <v>307</v>
      </c>
      <c r="S89">
        <v>4</v>
      </c>
      <c r="T89">
        <v>0.2</v>
      </c>
      <c r="U89">
        <v>27</v>
      </c>
      <c r="V89" s="1" t="s">
        <v>86</v>
      </c>
      <c r="W89" s="1" t="s">
        <v>37</v>
      </c>
    </row>
    <row r="90" spans="1:23" x14ac:dyDescent="0.35">
      <c r="A90">
        <v>418</v>
      </c>
      <c r="B90" s="1" t="s">
        <v>466</v>
      </c>
      <c r="C90" s="2">
        <v>42474</v>
      </c>
      <c r="D90" s="2">
        <v>42478</v>
      </c>
      <c r="E90" s="1" t="s">
        <v>42</v>
      </c>
      <c r="F90" s="1" t="s">
        <v>467</v>
      </c>
      <c r="G90" s="1" t="s">
        <v>468</v>
      </c>
      <c r="H90" s="1" t="s">
        <v>27</v>
      </c>
      <c r="I90" s="1" t="s">
        <v>28</v>
      </c>
      <c r="J90" s="1" t="s">
        <v>55</v>
      </c>
      <c r="K90" s="1" t="s">
        <v>56</v>
      </c>
      <c r="L90">
        <v>90004</v>
      </c>
      <c r="M90" s="1" t="s">
        <v>57</v>
      </c>
      <c r="N90" s="1" t="s">
        <v>469</v>
      </c>
      <c r="O90" s="1" t="s">
        <v>33</v>
      </c>
      <c r="P90" s="1" t="s">
        <v>39</v>
      </c>
      <c r="Q90" s="1" t="s">
        <v>470</v>
      </c>
      <c r="R90">
        <v>384</v>
      </c>
      <c r="S90">
        <v>5</v>
      </c>
      <c r="T90">
        <v>0.2</v>
      </c>
      <c r="U90">
        <v>38</v>
      </c>
      <c r="V90" s="1" t="s">
        <v>86</v>
      </c>
      <c r="W90" s="1" t="s">
        <v>116</v>
      </c>
    </row>
    <row r="91" spans="1:23" x14ac:dyDescent="0.35">
      <c r="A91">
        <v>423</v>
      </c>
      <c r="B91" s="1" t="s">
        <v>471</v>
      </c>
      <c r="C91" s="2">
        <v>43027</v>
      </c>
      <c r="D91" s="2">
        <v>43031</v>
      </c>
      <c r="E91" s="1" t="s">
        <v>42</v>
      </c>
      <c r="F91" s="1" t="s">
        <v>472</v>
      </c>
      <c r="G91" s="1" t="s">
        <v>473</v>
      </c>
      <c r="H91" s="1" t="s">
        <v>93</v>
      </c>
      <c r="I91" s="1" t="s">
        <v>28</v>
      </c>
      <c r="J91" s="1" t="s">
        <v>474</v>
      </c>
      <c r="K91" s="1" t="s">
        <v>437</v>
      </c>
      <c r="L91">
        <v>1841</v>
      </c>
      <c r="M91" s="1" t="s">
        <v>70</v>
      </c>
      <c r="N91" s="1" t="s">
        <v>475</v>
      </c>
      <c r="O91" s="1" t="s">
        <v>33</v>
      </c>
      <c r="P91" s="1" t="s">
        <v>59</v>
      </c>
      <c r="Q91" s="1" t="s">
        <v>476</v>
      </c>
      <c r="R91">
        <v>57</v>
      </c>
      <c r="S91">
        <v>4</v>
      </c>
      <c r="T91">
        <v>0</v>
      </c>
      <c r="U91">
        <v>15</v>
      </c>
      <c r="V91" s="1" t="s">
        <v>86</v>
      </c>
      <c r="W91" s="1" t="s">
        <v>51</v>
      </c>
    </row>
    <row r="92" spans="1:23" x14ac:dyDescent="0.35">
      <c r="A92">
        <v>425</v>
      </c>
      <c r="B92" s="1" t="s">
        <v>477</v>
      </c>
      <c r="C92" s="2">
        <v>42968</v>
      </c>
      <c r="D92" s="2">
        <v>42970</v>
      </c>
      <c r="E92" s="1" t="s">
        <v>24</v>
      </c>
      <c r="F92" s="1" t="s">
        <v>478</v>
      </c>
      <c r="G92" s="1" t="s">
        <v>479</v>
      </c>
      <c r="H92" s="1" t="s">
        <v>27</v>
      </c>
      <c r="I92" s="1" t="s">
        <v>28</v>
      </c>
      <c r="J92" s="1" t="s">
        <v>480</v>
      </c>
      <c r="K92" s="1" t="s">
        <v>481</v>
      </c>
      <c r="L92">
        <v>39212</v>
      </c>
      <c r="M92" s="1" t="s">
        <v>31</v>
      </c>
      <c r="N92" s="1" t="s">
        <v>482</v>
      </c>
      <c r="O92" s="1" t="s">
        <v>33</v>
      </c>
      <c r="P92" s="1" t="s">
        <v>39</v>
      </c>
      <c r="Q92" s="1" t="s">
        <v>483</v>
      </c>
      <c r="R92">
        <v>866</v>
      </c>
      <c r="S92">
        <v>4</v>
      </c>
      <c r="T92">
        <v>0</v>
      </c>
      <c r="U92">
        <v>225</v>
      </c>
      <c r="V92" s="1" t="s">
        <v>73</v>
      </c>
      <c r="W92" s="1" t="s">
        <v>256</v>
      </c>
    </row>
    <row r="93" spans="1:23" x14ac:dyDescent="0.35">
      <c r="A93">
        <v>426</v>
      </c>
      <c r="B93" s="1" t="s">
        <v>484</v>
      </c>
      <c r="C93" s="2">
        <v>43062</v>
      </c>
      <c r="D93" s="2">
        <v>43065</v>
      </c>
      <c r="E93" s="1" t="s">
        <v>24</v>
      </c>
      <c r="F93" s="1" t="s">
        <v>485</v>
      </c>
      <c r="G93" s="1" t="s">
        <v>486</v>
      </c>
      <c r="H93" s="1" t="s">
        <v>93</v>
      </c>
      <c r="I93" s="1" t="s">
        <v>28</v>
      </c>
      <c r="J93" s="1" t="s">
        <v>487</v>
      </c>
      <c r="K93" s="1" t="s">
        <v>292</v>
      </c>
      <c r="L93">
        <v>48187</v>
      </c>
      <c r="M93" s="1" t="s">
        <v>96</v>
      </c>
      <c r="N93" s="1" t="s">
        <v>488</v>
      </c>
      <c r="O93" s="1" t="s">
        <v>33</v>
      </c>
      <c r="P93" s="1" t="s">
        <v>59</v>
      </c>
      <c r="Q93" s="1" t="s">
        <v>489</v>
      </c>
      <c r="R93">
        <v>28</v>
      </c>
      <c r="S93">
        <v>2</v>
      </c>
      <c r="T93">
        <v>0</v>
      </c>
      <c r="U93">
        <v>11</v>
      </c>
      <c r="V93" s="1" t="s">
        <v>36</v>
      </c>
      <c r="W93" s="1" t="s">
        <v>37</v>
      </c>
    </row>
    <row r="94" spans="1:23" x14ac:dyDescent="0.35">
      <c r="A94">
        <v>440</v>
      </c>
      <c r="B94" s="1" t="s">
        <v>490</v>
      </c>
      <c r="C94" s="2">
        <v>42755</v>
      </c>
      <c r="D94" s="2">
        <v>42758</v>
      </c>
      <c r="E94" s="1" t="s">
        <v>24</v>
      </c>
      <c r="F94" s="1" t="s">
        <v>187</v>
      </c>
      <c r="G94" s="1" t="s">
        <v>188</v>
      </c>
      <c r="H94" s="1" t="s">
        <v>93</v>
      </c>
      <c r="I94" s="1" t="s">
        <v>28</v>
      </c>
      <c r="J94" s="1" t="s">
        <v>176</v>
      </c>
      <c r="K94" s="1" t="s">
        <v>123</v>
      </c>
      <c r="L94">
        <v>10024</v>
      </c>
      <c r="M94" s="1" t="s">
        <v>70</v>
      </c>
      <c r="N94" s="1" t="s">
        <v>491</v>
      </c>
      <c r="O94" s="1" t="s">
        <v>33</v>
      </c>
      <c r="P94" s="1" t="s">
        <v>39</v>
      </c>
      <c r="Q94" s="1" t="s">
        <v>492</v>
      </c>
      <c r="R94">
        <v>208</v>
      </c>
      <c r="S94">
        <v>3</v>
      </c>
      <c r="T94">
        <v>0.1</v>
      </c>
      <c r="U94">
        <v>2</v>
      </c>
      <c r="V94" s="1" t="s">
        <v>36</v>
      </c>
      <c r="W94" s="1" t="s">
        <v>172</v>
      </c>
    </row>
    <row r="95" spans="1:23" x14ac:dyDescent="0.35">
      <c r="A95">
        <v>441</v>
      </c>
      <c r="B95" s="1" t="s">
        <v>493</v>
      </c>
      <c r="C95" s="2">
        <v>42618</v>
      </c>
      <c r="D95" s="2">
        <v>42620</v>
      </c>
      <c r="E95" s="1" t="s">
        <v>24</v>
      </c>
      <c r="F95" s="1" t="s">
        <v>494</v>
      </c>
      <c r="G95" s="1" t="s">
        <v>495</v>
      </c>
      <c r="H95" s="1" t="s">
        <v>27</v>
      </c>
      <c r="I95" s="1" t="s">
        <v>28</v>
      </c>
      <c r="J95" s="1" t="s">
        <v>291</v>
      </c>
      <c r="K95" s="1" t="s">
        <v>292</v>
      </c>
      <c r="L95">
        <v>48227</v>
      </c>
      <c r="M95" s="1" t="s">
        <v>96</v>
      </c>
      <c r="N95" s="1" t="s">
        <v>496</v>
      </c>
      <c r="O95" s="1" t="s">
        <v>33</v>
      </c>
      <c r="P95" s="1" t="s">
        <v>59</v>
      </c>
      <c r="Q95" s="1" t="s">
        <v>497</v>
      </c>
      <c r="R95">
        <v>12</v>
      </c>
      <c r="S95">
        <v>1</v>
      </c>
      <c r="T95">
        <v>0</v>
      </c>
      <c r="U95">
        <v>4</v>
      </c>
      <c r="V95" s="1" t="s">
        <v>73</v>
      </c>
      <c r="W95" s="1" t="s">
        <v>80</v>
      </c>
    </row>
    <row r="96" spans="1:23" x14ac:dyDescent="0.35">
      <c r="A96">
        <v>445</v>
      </c>
      <c r="B96" s="1" t="s">
        <v>493</v>
      </c>
      <c r="C96" s="2">
        <v>42618</v>
      </c>
      <c r="D96" s="2">
        <v>42620</v>
      </c>
      <c r="E96" s="1" t="s">
        <v>24</v>
      </c>
      <c r="F96" s="1" t="s">
        <v>494</v>
      </c>
      <c r="G96" s="1" t="s">
        <v>495</v>
      </c>
      <c r="H96" s="1" t="s">
        <v>27</v>
      </c>
      <c r="I96" s="1" t="s">
        <v>28</v>
      </c>
      <c r="J96" s="1" t="s">
        <v>291</v>
      </c>
      <c r="K96" s="1" t="s">
        <v>292</v>
      </c>
      <c r="L96">
        <v>48227</v>
      </c>
      <c r="M96" s="1" t="s">
        <v>96</v>
      </c>
      <c r="N96" s="1" t="s">
        <v>498</v>
      </c>
      <c r="O96" s="1" t="s">
        <v>33</v>
      </c>
      <c r="P96" s="1" t="s">
        <v>39</v>
      </c>
      <c r="Q96" s="1" t="s">
        <v>499</v>
      </c>
      <c r="R96">
        <v>243</v>
      </c>
      <c r="S96">
        <v>3</v>
      </c>
      <c r="T96">
        <v>0</v>
      </c>
      <c r="U96">
        <v>29</v>
      </c>
      <c r="V96" s="1" t="s">
        <v>73</v>
      </c>
      <c r="W96" s="1" t="s">
        <v>80</v>
      </c>
    </row>
    <row r="97" spans="1:23" x14ac:dyDescent="0.35">
      <c r="A97">
        <v>447</v>
      </c>
      <c r="B97" s="1" t="s">
        <v>500</v>
      </c>
      <c r="C97" s="2">
        <v>42814</v>
      </c>
      <c r="D97" s="2">
        <v>42819</v>
      </c>
      <c r="E97" s="1" t="s">
        <v>24</v>
      </c>
      <c r="F97" s="1" t="s">
        <v>501</v>
      </c>
      <c r="G97" s="1" t="s">
        <v>502</v>
      </c>
      <c r="H97" s="1" t="s">
        <v>27</v>
      </c>
      <c r="I97" s="1" t="s">
        <v>28</v>
      </c>
      <c r="J97" s="1" t="s">
        <v>350</v>
      </c>
      <c r="K97" s="1" t="s">
        <v>113</v>
      </c>
      <c r="L97">
        <v>47201</v>
      </c>
      <c r="M97" s="1" t="s">
        <v>96</v>
      </c>
      <c r="N97" s="1" t="s">
        <v>503</v>
      </c>
      <c r="O97" s="1" t="s">
        <v>33</v>
      </c>
      <c r="P97" s="1" t="s">
        <v>59</v>
      </c>
      <c r="Q97" s="1" t="s">
        <v>504</v>
      </c>
      <c r="R97">
        <v>3</v>
      </c>
      <c r="S97">
        <v>1</v>
      </c>
      <c r="T97">
        <v>0</v>
      </c>
      <c r="U97">
        <v>1</v>
      </c>
      <c r="V97" s="1" t="s">
        <v>61</v>
      </c>
      <c r="W97" s="1" t="s">
        <v>198</v>
      </c>
    </row>
    <row r="98" spans="1:23" x14ac:dyDescent="0.35">
      <c r="A98">
        <v>454</v>
      </c>
      <c r="B98" s="1" t="s">
        <v>505</v>
      </c>
      <c r="C98" s="2">
        <v>43028</v>
      </c>
      <c r="D98" s="2">
        <v>43032</v>
      </c>
      <c r="E98" s="1" t="s">
        <v>42</v>
      </c>
      <c r="F98" s="1" t="s">
        <v>506</v>
      </c>
      <c r="G98" s="1" t="s">
        <v>507</v>
      </c>
      <c r="H98" s="1" t="s">
        <v>93</v>
      </c>
      <c r="I98" s="1" t="s">
        <v>28</v>
      </c>
      <c r="J98" s="1" t="s">
        <v>508</v>
      </c>
      <c r="K98" s="1" t="s">
        <v>234</v>
      </c>
      <c r="L98">
        <v>44312</v>
      </c>
      <c r="M98" s="1" t="s">
        <v>70</v>
      </c>
      <c r="N98" s="1" t="s">
        <v>63</v>
      </c>
      <c r="O98" s="1" t="s">
        <v>33</v>
      </c>
      <c r="P98" s="1" t="s">
        <v>48</v>
      </c>
      <c r="Q98" s="1" t="s">
        <v>64</v>
      </c>
      <c r="R98">
        <v>284</v>
      </c>
      <c r="S98">
        <v>2</v>
      </c>
      <c r="T98">
        <v>0.4</v>
      </c>
      <c r="U98">
        <v>-76</v>
      </c>
      <c r="V98" s="1" t="s">
        <v>86</v>
      </c>
      <c r="W98" s="1" t="s">
        <v>51</v>
      </c>
    </row>
    <row r="99" spans="1:23" x14ac:dyDescent="0.35">
      <c r="A99">
        <v>457</v>
      </c>
      <c r="B99" s="1" t="s">
        <v>509</v>
      </c>
      <c r="C99" s="2">
        <v>41682</v>
      </c>
      <c r="D99" s="2">
        <v>41688</v>
      </c>
      <c r="E99" s="1" t="s">
        <v>42</v>
      </c>
      <c r="F99" s="1" t="s">
        <v>510</v>
      </c>
      <c r="G99" s="1" t="s">
        <v>511</v>
      </c>
      <c r="H99" s="1" t="s">
        <v>27</v>
      </c>
      <c r="I99" s="1" t="s">
        <v>28</v>
      </c>
      <c r="J99" s="1" t="s">
        <v>512</v>
      </c>
      <c r="K99" s="1" t="s">
        <v>56</v>
      </c>
      <c r="L99">
        <v>94521</v>
      </c>
      <c r="M99" s="1" t="s">
        <v>57</v>
      </c>
      <c r="N99" s="1" t="s">
        <v>513</v>
      </c>
      <c r="O99" s="1" t="s">
        <v>33</v>
      </c>
      <c r="P99" s="1" t="s">
        <v>39</v>
      </c>
      <c r="Q99" s="1" t="s">
        <v>514</v>
      </c>
      <c r="R99">
        <v>130</v>
      </c>
      <c r="S99">
        <v>2</v>
      </c>
      <c r="T99">
        <v>0.2</v>
      </c>
      <c r="U99">
        <v>-24</v>
      </c>
      <c r="V99" s="1" t="s">
        <v>132</v>
      </c>
      <c r="W99" s="1" t="s">
        <v>300</v>
      </c>
    </row>
    <row r="100" spans="1:23" x14ac:dyDescent="0.35">
      <c r="A100">
        <v>458</v>
      </c>
      <c r="B100" s="1" t="s">
        <v>515</v>
      </c>
      <c r="C100" s="2">
        <v>42639</v>
      </c>
      <c r="D100" s="2">
        <v>42644</v>
      </c>
      <c r="E100" s="1" t="s">
        <v>42</v>
      </c>
      <c r="F100" s="1" t="s">
        <v>478</v>
      </c>
      <c r="G100" s="1" t="s">
        <v>479</v>
      </c>
      <c r="H100" s="1" t="s">
        <v>27</v>
      </c>
      <c r="I100" s="1" t="s">
        <v>28</v>
      </c>
      <c r="J100" s="1" t="s">
        <v>516</v>
      </c>
      <c r="K100" s="1" t="s">
        <v>137</v>
      </c>
      <c r="L100">
        <v>62521</v>
      </c>
      <c r="M100" s="1" t="s">
        <v>96</v>
      </c>
      <c r="N100" s="1" t="s">
        <v>517</v>
      </c>
      <c r="O100" s="1" t="s">
        <v>33</v>
      </c>
      <c r="P100" s="1" t="s">
        <v>39</v>
      </c>
      <c r="Q100" s="1" t="s">
        <v>518</v>
      </c>
      <c r="R100">
        <v>748</v>
      </c>
      <c r="S100">
        <v>3</v>
      </c>
      <c r="T100">
        <v>0.3</v>
      </c>
      <c r="U100">
        <v>-96</v>
      </c>
      <c r="V100" s="1" t="s">
        <v>61</v>
      </c>
      <c r="W100" s="1" t="s">
        <v>80</v>
      </c>
    </row>
    <row r="101" spans="1:23" x14ac:dyDescent="0.35">
      <c r="A101">
        <v>463</v>
      </c>
      <c r="B101" s="1" t="s">
        <v>519</v>
      </c>
      <c r="C101" s="2">
        <v>42482</v>
      </c>
      <c r="D101" s="2">
        <v>42489</v>
      </c>
      <c r="E101" s="1" t="s">
        <v>42</v>
      </c>
      <c r="F101" s="1" t="s">
        <v>520</v>
      </c>
      <c r="G101" s="1" t="s">
        <v>521</v>
      </c>
      <c r="H101" s="1" t="s">
        <v>103</v>
      </c>
      <c r="I101" s="1" t="s">
        <v>28</v>
      </c>
      <c r="J101" s="1" t="s">
        <v>522</v>
      </c>
      <c r="K101" s="1" t="s">
        <v>523</v>
      </c>
      <c r="L101">
        <v>85023</v>
      </c>
      <c r="M101" s="1" t="s">
        <v>57</v>
      </c>
      <c r="N101" s="1" t="s">
        <v>425</v>
      </c>
      <c r="O101" s="1" t="s">
        <v>33</v>
      </c>
      <c r="P101" s="1" t="s">
        <v>59</v>
      </c>
      <c r="Q101" s="1" t="s">
        <v>426</v>
      </c>
      <c r="R101">
        <v>24</v>
      </c>
      <c r="S101">
        <v>5</v>
      </c>
      <c r="T101">
        <v>0.2</v>
      </c>
      <c r="U101">
        <v>7</v>
      </c>
      <c r="V101" s="1" t="s">
        <v>50</v>
      </c>
      <c r="W101" s="1" t="s">
        <v>116</v>
      </c>
    </row>
    <row r="102" spans="1:23" x14ac:dyDescent="0.35">
      <c r="A102">
        <v>464</v>
      </c>
      <c r="B102" s="1" t="s">
        <v>519</v>
      </c>
      <c r="C102" s="2">
        <v>42482</v>
      </c>
      <c r="D102" s="2">
        <v>42489</v>
      </c>
      <c r="E102" s="1" t="s">
        <v>42</v>
      </c>
      <c r="F102" s="1" t="s">
        <v>520</v>
      </c>
      <c r="G102" s="1" t="s">
        <v>521</v>
      </c>
      <c r="H102" s="1" t="s">
        <v>103</v>
      </c>
      <c r="I102" s="1" t="s">
        <v>28</v>
      </c>
      <c r="J102" s="1" t="s">
        <v>522</v>
      </c>
      <c r="K102" s="1" t="s">
        <v>523</v>
      </c>
      <c r="L102">
        <v>85023</v>
      </c>
      <c r="M102" s="1" t="s">
        <v>57</v>
      </c>
      <c r="N102" s="1" t="s">
        <v>524</v>
      </c>
      <c r="O102" s="1" t="s">
        <v>33</v>
      </c>
      <c r="P102" s="1" t="s">
        <v>48</v>
      </c>
      <c r="Q102" s="1" t="s">
        <v>525</v>
      </c>
      <c r="R102">
        <v>1273</v>
      </c>
      <c r="S102">
        <v>6</v>
      </c>
      <c r="T102">
        <v>0.5</v>
      </c>
      <c r="U102">
        <v>-814</v>
      </c>
      <c r="V102" s="1" t="s">
        <v>50</v>
      </c>
      <c r="W102" s="1" t="s">
        <v>116</v>
      </c>
    </row>
    <row r="103" spans="1:23" x14ac:dyDescent="0.35">
      <c r="A103">
        <v>468</v>
      </c>
      <c r="B103" s="1" t="s">
        <v>526</v>
      </c>
      <c r="C103" s="2">
        <v>42021</v>
      </c>
      <c r="D103" s="2">
        <v>42028</v>
      </c>
      <c r="E103" s="1" t="s">
        <v>42</v>
      </c>
      <c r="F103" s="1" t="s">
        <v>527</v>
      </c>
      <c r="G103" s="1" t="s">
        <v>528</v>
      </c>
      <c r="H103" s="1" t="s">
        <v>103</v>
      </c>
      <c r="I103" s="1" t="s">
        <v>28</v>
      </c>
      <c r="J103" s="1" t="s">
        <v>529</v>
      </c>
      <c r="K103" s="1" t="s">
        <v>137</v>
      </c>
      <c r="L103">
        <v>60068</v>
      </c>
      <c r="M103" s="1" t="s">
        <v>96</v>
      </c>
      <c r="N103" s="1" t="s">
        <v>361</v>
      </c>
      <c r="O103" s="1" t="s">
        <v>33</v>
      </c>
      <c r="P103" s="1" t="s">
        <v>59</v>
      </c>
      <c r="Q103" s="1" t="s">
        <v>362</v>
      </c>
      <c r="R103">
        <v>255</v>
      </c>
      <c r="S103">
        <v>7</v>
      </c>
      <c r="T103">
        <v>0.6</v>
      </c>
      <c r="U103">
        <v>-312</v>
      </c>
      <c r="V103" s="1" t="s">
        <v>50</v>
      </c>
      <c r="W103" s="1" t="s">
        <v>172</v>
      </c>
    </row>
    <row r="104" spans="1:23" x14ac:dyDescent="0.35">
      <c r="A104">
        <v>469</v>
      </c>
      <c r="B104" s="1" t="s">
        <v>530</v>
      </c>
      <c r="C104" s="2">
        <v>42825</v>
      </c>
      <c r="D104" s="2">
        <v>42829</v>
      </c>
      <c r="E104" s="1" t="s">
        <v>42</v>
      </c>
      <c r="F104" s="1" t="s">
        <v>289</v>
      </c>
      <c r="G104" s="1" t="s">
        <v>290</v>
      </c>
      <c r="H104" s="1" t="s">
        <v>93</v>
      </c>
      <c r="I104" s="1" t="s">
        <v>28</v>
      </c>
      <c r="J104" s="1" t="s">
        <v>531</v>
      </c>
      <c r="K104" s="1" t="s">
        <v>95</v>
      </c>
      <c r="L104">
        <v>79109</v>
      </c>
      <c r="M104" s="1" t="s">
        <v>96</v>
      </c>
      <c r="N104" s="1" t="s">
        <v>532</v>
      </c>
      <c r="O104" s="1" t="s">
        <v>33</v>
      </c>
      <c r="P104" s="1" t="s">
        <v>34</v>
      </c>
      <c r="Q104" s="1" t="s">
        <v>533</v>
      </c>
      <c r="R104">
        <v>205</v>
      </c>
      <c r="S104">
        <v>2</v>
      </c>
      <c r="T104">
        <v>0.32</v>
      </c>
      <c r="U104">
        <v>-36</v>
      </c>
      <c r="V104" s="1" t="s">
        <v>86</v>
      </c>
      <c r="W104" s="1" t="s">
        <v>198</v>
      </c>
    </row>
    <row r="105" spans="1:23" x14ac:dyDescent="0.35">
      <c r="A105">
        <v>473</v>
      </c>
      <c r="B105" s="1" t="s">
        <v>534</v>
      </c>
      <c r="C105" s="2">
        <v>41952</v>
      </c>
      <c r="D105" s="2">
        <v>41954</v>
      </c>
      <c r="E105" s="1" t="s">
        <v>24</v>
      </c>
      <c r="F105" s="1" t="s">
        <v>535</v>
      </c>
      <c r="G105" s="1" t="s">
        <v>536</v>
      </c>
      <c r="H105" s="1" t="s">
        <v>27</v>
      </c>
      <c r="I105" s="1" t="s">
        <v>28</v>
      </c>
      <c r="J105" s="1" t="s">
        <v>331</v>
      </c>
      <c r="K105" s="1" t="s">
        <v>56</v>
      </c>
      <c r="L105">
        <v>94110</v>
      </c>
      <c r="M105" s="1" t="s">
        <v>57</v>
      </c>
      <c r="N105" s="1" t="s">
        <v>537</v>
      </c>
      <c r="O105" s="1" t="s">
        <v>33</v>
      </c>
      <c r="P105" s="1" t="s">
        <v>34</v>
      </c>
      <c r="Q105" s="1" t="s">
        <v>538</v>
      </c>
      <c r="R105">
        <v>223</v>
      </c>
      <c r="S105">
        <v>2</v>
      </c>
      <c r="T105">
        <v>0.15</v>
      </c>
      <c r="U105">
        <v>10</v>
      </c>
      <c r="V105" s="1" t="s">
        <v>73</v>
      </c>
      <c r="W105" s="1" t="s">
        <v>37</v>
      </c>
    </row>
    <row r="106" spans="1:23" x14ac:dyDescent="0.35">
      <c r="A106">
        <v>479</v>
      </c>
      <c r="B106" s="1" t="s">
        <v>539</v>
      </c>
      <c r="C106" s="2">
        <v>42670</v>
      </c>
      <c r="D106" s="2">
        <v>42676</v>
      </c>
      <c r="E106" s="1" t="s">
        <v>42</v>
      </c>
      <c r="F106" s="1" t="s">
        <v>540</v>
      </c>
      <c r="G106" s="1" t="s">
        <v>541</v>
      </c>
      <c r="H106" s="1" t="s">
        <v>27</v>
      </c>
      <c r="I106" s="1" t="s">
        <v>28</v>
      </c>
      <c r="J106" s="1" t="s">
        <v>122</v>
      </c>
      <c r="K106" s="1" t="s">
        <v>123</v>
      </c>
      <c r="L106">
        <v>12180</v>
      </c>
      <c r="M106" s="1" t="s">
        <v>70</v>
      </c>
      <c r="N106" s="1" t="s">
        <v>376</v>
      </c>
      <c r="O106" s="1" t="s">
        <v>33</v>
      </c>
      <c r="P106" s="1" t="s">
        <v>59</v>
      </c>
      <c r="Q106" s="1" t="s">
        <v>377</v>
      </c>
      <c r="R106">
        <v>40</v>
      </c>
      <c r="S106">
        <v>3</v>
      </c>
      <c r="T106">
        <v>0</v>
      </c>
      <c r="U106">
        <v>19</v>
      </c>
      <c r="V106" s="1" t="s">
        <v>132</v>
      </c>
      <c r="W106" s="1" t="s">
        <v>51</v>
      </c>
    </row>
    <row r="107" spans="1:23" x14ac:dyDescent="0.35">
      <c r="A107">
        <v>486</v>
      </c>
      <c r="B107" s="1" t="s">
        <v>542</v>
      </c>
      <c r="C107" s="2">
        <v>42896</v>
      </c>
      <c r="D107" s="2">
        <v>42899</v>
      </c>
      <c r="E107" s="1" t="s">
        <v>90</v>
      </c>
      <c r="F107" s="1" t="s">
        <v>543</v>
      </c>
      <c r="G107" s="1" t="s">
        <v>544</v>
      </c>
      <c r="H107" s="1" t="s">
        <v>103</v>
      </c>
      <c r="I107" s="1" t="s">
        <v>28</v>
      </c>
      <c r="J107" s="1" t="s">
        <v>55</v>
      </c>
      <c r="K107" s="1" t="s">
        <v>56</v>
      </c>
      <c r="L107">
        <v>90045</v>
      </c>
      <c r="M107" s="1" t="s">
        <v>57</v>
      </c>
      <c r="N107" s="1" t="s">
        <v>545</v>
      </c>
      <c r="O107" s="1" t="s">
        <v>33</v>
      </c>
      <c r="P107" s="1" t="s">
        <v>34</v>
      </c>
      <c r="Q107" s="1" t="s">
        <v>546</v>
      </c>
      <c r="R107">
        <v>514</v>
      </c>
      <c r="S107">
        <v>5</v>
      </c>
      <c r="T107">
        <v>0.15</v>
      </c>
      <c r="U107">
        <v>-30</v>
      </c>
      <c r="V107" s="1" t="s">
        <v>36</v>
      </c>
      <c r="W107" s="1" t="s">
        <v>62</v>
      </c>
    </row>
    <row r="108" spans="1:23" x14ac:dyDescent="0.35">
      <c r="A108">
        <v>495</v>
      </c>
      <c r="B108" s="1" t="s">
        <v>547</v>
      </c>
      <c r="C108" s="2">
        <v>42447</v>
      </c>
      <c r="D108" s="2">
        <v>42450</v>
      </c>
      <c r="E108" s="1" t="s">
        <v>24</v>
      </c>
      <c r="F108" s="1" t="s">
        <v>548</v>
      </c>
      <c r="G108" s="1" t="s">
        <v>549</v>
      </c>
      <c r="H108" s="1" t="s">
        <v>27</v>
      </c>
      <c r="I108" s="1" t="s">
        <v>28</v>
      </c>
      <c r="J108" s="1" t="s">
        <v>143</v>
      </c>
      <c r="K108" s="1" t="s">
        <v>144</v>
      </c>
      <c r="L108">
        <v>38109</v>
      </c>
      <c r="M108" s="1" t="s">
        <v>31</v>
      </c>
      <c r="N108" s="1" t="s">
        <v>550</v>
      </c>
      <c r="O108" s="1" t="s">
        <v>33</v>
      </c>
      <c r="P108" s="1" t="s">
        <v>48</v>
      </c>
      <c r="Q108" s="1" t="s">
        <v>551</v>
      </c>
      <c r="R108">
        <v>190</v>
      </c>
      <c r="S108">
        <v>3</v>
      </c>
      <c r="T108">
        <v>0.4</v>
      </c>
      <c r="U108">
        <v>-95</v>
      </c>
      <c r="V108" s="1" t="s">
        <v>36</v>
      </c>
      <c r="W108" s="1" t="s">
        <v>198</v>
      </c>
    </row>
    <row r="109" spans="1:23" x14ac:dyDescent="0.35">
      <c r="A109">
        <v>498</v>
      </c>
      <c r="B109" s="1" t="s">
        <v>552</v>
      </c>
      <c r="C109" s="2">
        <v>42576</v>
      </c>
      <c r="D109" s="2">
        <v>42582</v>
      </c>
      <c r="E109" s="1" t="s">
        <v>42</v>
      </c>
      <c r="F109" s="1" t="s">
        <v>510</v>
      </c>
      <c r="G109" s="1" t="s">
        <v>511</v>
      </c>
      <c r="H109" s="1" t="s">
        <v>27</v>
      </c>
      <c r="I109" s="1" t="s">
        <v>28</v>
      </c>
      <c r="J109" s="1" t="s">
        <v>553</v>
      </c>
      <c r="K109" s="1" t="s">
        <v>56</v>
      </c>
      <c r="L109">
        <v>92627</v>
      </c>
      <c r="M109" s="1" t="s">
        <v>57</v>
      </c>
      <c r="N109" s="1" t="s">
        <v>554</v>
      </c>
      <c r="O109" s="1" t="s">
        <v>33</v>
      </c>
      <c r="P109" s="1" t="s">
        <v>59</v>
      </c>
      <c r="Q109" s="1" t="s">
        <v>555</v>
      </c>
      <c r="R109">
        <v>256</v>
      </c>
      <c r="S109">
        <v>4</v>
      </c>
      <c r="T109">
        <v>0</v>
      </c>
      <c r="U109">
        <v>82</v>
      </c>
      <c r="V109" s="1" t="s">
        <v>132</v>
      </c>
      <c r="W109" s="1" t="s">
        <v>74</v>
      </c>
    </row>
    <row r="110" spans="1:23" x14ac:dyDescent="0.35">
      <c r="A110">
        <v>499</v>
      </c>
      <c r="B110" s="1" t="s">
        <v>552</v>
      </c>
      <c r="C110" s="2">
        <v>42576</v>
      </c>
      <c r="D110" s="2">
        <v>42582</v>
      </c>
      <c r="E110" s="1" t="s">
        <v>42</v>
      </c>
      <c r="F110" s="1" t="s">
        <v>510</v>
      </c>
      <c r="G110" s="1" t="s">
        <v>511</v>
      </c>
      <c r="H110" s="1" t="s">
        <v>27</v>
      </c>
      <c r="I110" s="1" t="s">
        <v>28</v>
      </c>
      <c r="J110" s="1" t="s">
        <v>553</v>
      </c>
      <c r="K110" s="1" t="s">
        <v>56</v>
      </c>
      <c r="L110">
        <v>92627</v>
      </c>
      <c r="M110" s="1" t="s">
        <v>57</v>
      </c>
      <c r="N110" s="1" t="s">
        <v>397</v>
      </c>
      <c r="O110" s="1" t="s">
        <v>33</v>
      </c>
      <c r="P110" s="1" t="s">
        <v>39</v>
      </c>
      <c r="Q110" s="1" t="s">
        <v>398</v>
      </c>
      <c r="R110">
        <v>242</v>
      </c>
      <c r="S110">
        <v>2</v>
      </c>
      <c r="T110">
        <v>0.2</v>
      </c>
      <c r="U110">
        <v>18</v>
      </c>
      <c r="V110" s="1" t="s">
        <v>132</v>
      </c>
      <c r="W110" s="1" t="s">
        <v>74</v>
      </c>
    </row>
    <row r="111" spans="1:23" x14ac:dyDescent="0.35">
      <c r="A111">
        <v>500</v>
      </c>
      <c r="B111" s="1" t="s">
        <v>552</v>
      </c>
      <c r="C111" s="2">
        <v>42576</v>
      </c>
      <c r="D111" s="2">
        <v>42582</v>
      </c>
      <c r="E111" s="1" t="s">
        <v>42</v>
      </c>
      <c r="F111" s="1" t="s">
        <v>510</v>
      </c>
      <c r="G111" s="1" t="s">
        <v>511</v>
      </c>
      <c r="H111" s="1" t="s">
        <v>27</v>
      </c>
      <c r="I111" s="1" t="s">
        <v>28</v>
      </c>
      <c r="J111" s="1" t="s">
        <v>553</v>
      </c>
      <c r="K111" s="1" t="s">
        <v>56</v>
      </c>
      <c r="L111">
        <v>92627</v>
      </c>
      <c r="M111" s="1" t="s">
        <v>57</v>
      </c>
      <c r="N111" s="1" t="s">
        <v>556</v>
      </c>
      <c r="O111" s="1" t="s">
        <v>33</v>
      </c>
      <c r="P111" s="1" t="s">
        <v>59</v>
      </c>
      <c r="Q111" s="1" t="s">
        <v>557</v>
      </c>
      <c r="R111">
        <v>69</v>
      </c>
      <c r="S111">
        <v>9</v>
      </c>
      <c r="T111">
        <v>0</v>
      </c>
      <c r="U111">
        <v>23</v>
      </c>
      <c r="V111" s="1" t="s">
        <v>132</v>
      </c>
      <c r="W111" s="1" t="s">
        <v>74</v>
      </c>
    </row>
    <row r="112" spans="1:23" x14ac:dyDescent="0.35">
      <c r="A112">
        <v>503</v>
      </c>
      <c r="B112" s="1" t="s">
        <v>558</v>
      </c>
      <c r="C112" s="2">
        <v>42520</v>
      </c>
      <c r="D112" s="2">
        <v>42525</v>
      </c>
      <c r="E112" s="1" t="s">
        <v>42</v>
      </c>
      <c r="F112" s="1" t="s">
        <v>559</v>
      </c>
      <c r="G112" s="1" t="s">
        <v>560</v>
      </c>
      <c r="H112" s="1" t="s">
        <v>93</v>
      </c>
      <c r="I112" s="1" t="s">
        <v>28</v>
      </c>
      <c r="J112" s="1" t="s">
        <v>561</v>
      </c>
      <c r="K112" s="1" t="s">
        <v>183</v>
      </c>
      <c r="L112">
        <v>80134</v>
      </c>
      <c r="M112" s="1" t="s">
        <v>57</v>
      </c>
      <c r="N112" s="1" t="s">
        <v>562</v>
      </c>
      <c r="O112" s="1" t="s">
        <v>33</v>
      </c>
      <c r="P112" s="1" t="s">
        <v>39</v>
      </c>
      <c r="Q112" s="1" t="s">
        <v>563</v>
      </c>
      <c r="R112">
        <v>802</v>
      </c>
      <c r="S112">
        <v>2</v>
      </c>
      <c r="T112">
        <v>0.2</v>
      </c>
      <c r="U112">
        <v>50</v>
      </c>
      <c r="V112" s="1" t="s">
        <v>61</v>
      </c>
      <c r="W112" s="1" t="s">
        <v>164</v>
      </c>
    </row>
    <row r="113" spans="1:23" x14ac:dyDescent="0.35">
      <c r="A113">
        <v>511</v>
      </c>
      <c r="B113" s="1" t="s">
        <v>564</v>
      </c>
      <c r="C113" s="2">
        <v>43065</v>
      </c>
      <c r="D113" s="2">
        <v>43066</v>
      </c>
      <c r="E113" s="1" t="s">
        <v>90</v>
      </c>
      <c r="F113" s="1" t="s">
        <v>565</v>
      </c>
      <c r="G113" s="1" t="s">
        <v>566</v>
      </c>
      <c r="H113" s="1" t="s">
        <v>27</v>
      </c>
      <c r="I113" s="1" t="s">
        <v>28</v>
      </c>
      <c r="J113" s="1" t="s">
        <v>567</v>
      </c>
      <c r="K113" s="1" t="s">
        <v>568</v>
      </c>
      <c r="L113">
        <v>64118</v>
      </c>
      <c r="M113" s="1" t="s">
        <v>96</v>
      </c>
      <c r="N113" s="1" t="s">
        <v>569</v>
      </c>
      <c r="O113" s="1" t="s">
        <v>33</v>
      </c>
      <c r="P113" s="1" t="s">
        <v>59</v>
      </c>
      <c r="Q113" s="1" t="s">
        <v>570</v>
      </c>
      <c r="R113">
        <v>126</v>
      </c>
      <c r="S113">
        <v>3</v>
      </c>
      <c r="T113">
        <v>0</v>
      </c>
      <c r="U113">
        <v>40</v>
      </c>
      <c r="V113" s="1" t="s">
        <v>126</v>
      </c>
      <c r="W113" s="1" t="s">
        <v>37</v>
      </c>
    </row>
    <row r="114" spans="1:23" x14ac:dyDescent="0.35">
      <c r="A114">
        <v>523</v>
      </c>
      <c r="B114" s="1" t="s">
        <v>571</v>
      </c>
      <c r="C114" s="2">
        <v>42758</v>
      </c>
      <c r="D114" s="2">
        <v>42760</v>
      </c>
      <c r="E114" s="1" t="s">
        <v>90</v>
      </c>
      <c r="F114" s="1" t="s">
        <v>572</v>
      </c>
      <c r="G114" s="1" t="s">
        <v>573</v>
      </c>
      <c r="H114" s="1" t="s">
        <v>93</v>
      </c>
      <c r="I114" s="1" t="s">
        <v>28</v>
      </c>
      <c r="J114" s="1" t="s">
        <v>291</v>
      </c>
      <c r="K114" s="1" t="s">
        <v>292</v>
      </c>
      <c r="L114">
        <v>48234</v>
      </c>
      <c r="M114" s="1" t="s">
        <v>96</v>
      </c>
      <c r="N114" s="1" t="s">
        <v>550</v>
      </c>
      <c r="O114" s="1" t="s">
        <v>33</v>
      </c>
      <c r="P114" s="1" t="s">
        <v>48</v>
      </c>
      <c r="Q114" s="1" t="s">
        <v>551</v>
      </c>
      <c r="R114">
        <v>211</v>
      </c>
      <c r="S114">
        <v>2</v>
      </c>
      <c r="T114">
        <v>0</v>
      </c>
      <c r="U114">
        <v>21</v>
      </c>
      <c r="V114" s="1" t="s">
        <v>73</v>
      </c>
      <c r="W114" s="1" t="s">
        <v>172</v>
      </c>
    </row>
    <row r="115" spans="1:23" x14ac:dyDescent="0.35">
      <c r="A115">
        <v>527</v>
      </c>
      <c r="B115" s="1" t="s">
        <v>574</v>
      </c>
      <c r="C115" s="2">
        <v>43029</v>
      </c>
      <c r="D115" s="2">
        <v>43034</v>
      </c>
      <c r="E115" s="1" t="s">
        <v>42</v>
      </c>
      <c r="F115" s="1" t="s">
        <v>575</v>
      </c>
      <c r="G115" s="1" t="s">
        <v>576</v>
      </c>
      <c r="H115" s="1" t="s">
        <v>103</v>
      </c>
      <c r="I115" s="1" t="s">
        <v>28</v>
      </c>
      <c r="J115" s="1" t="s">
        <v>577</v>
      </c>
      <c r="K115" s="1" t="s">
        <v>46</v>
      </c>
      <c r="L115">
        <v>33801</v>
      </c>
      <c r="M115" s="1" t="s">
        <v>31</v>
      </c>
      <c r="N115" s="1" t="s">
        <v>578</v>
      </c>
      <c r="O115" s="1" t="s">
        <v>33</v>
      </c>
      <c r="P115" s="1" t="s">
        <v>39</v>
      </c>
      <c r="Q115" s="1" t="s">
        <v>579</v>
      </c>
      <c r="R115">
        <v>684</v>
      </c>
      <c r="S115">
        <v>3</v>
      </c>
      <c r="T115">
        <v>0.2</v>
      </c>
      <c r="U115">
        <v>43</v>
      </c>
      <c r="V115" s="1" t="s">
        <v>61</v>
      </c>
      <c r="W115" s="1" t="s">
        <v>51</v>
      </c>
    </row>
    <row r="116" spans="1:23" x14ac:dyDescent="0.35">
      <c r="A116">
        <v>528</v>
      </c>
      <c r="B116" s="1" t="s">
        <v>574</v>
      </c>
      <c r="C116" s="2">
        <v>43029</v>
      </c>
      <c r="D116" s="2">
        <v>43034</v>
      </c>
      <c r="E116" s="1" t="s">
        <v>42</v>
      </c>
      <c r="F116" s="1" t="s">
        <v>575</v>
      </c>
      <c r="G116" s="1" t="s">
        <v>576</v>
      </c>
      <c r="H116" s="1" t="s">
        <v>103</v>
      </c>
      <c r="I116" s="1" t="s">
        <v>28</v>
      </c>
      <c r="J116" s="1" t="s">
        <v>577</v>
      </c>
      <c r="K116" s="1" t="s">
        <v>46</v>
      </c>
      <c r="L116">
        <v>33801</v>
      </c>
      <c r="M116" s="1" t="s">
        <v>31</v>
      </c>
      <c r="N116" s="1" t="s">
        <v>386</v>
      </c>
      <c r="O116" s="1" t="s">
        <v>33</v>
      </c>
      <c r="P116" s="1" t="s">
        <v>59</v>
      </c>
      <c r="Q116" s="1" t="s">
        <v>387</v>
      </c>
      <c r="R116">
        <v>46</v>
      </c>
      <c r="S116">
        <v>3</v>
      </c>
      <c r="T116">
        <v>0.2</v>
      </c>
      <c r="U116">
        <v>5</v>
      </c>
      <c r="V116" s="1" t="s">
        <v>61</v>
      </c>
      <c r="W116" s="1" t="s">
        <v>51</v>
      </c>
    </row>
    <row r="117" spans="1:23" x14ac:dyDescent="0.35">
      <c r="A117">
        <v>532</v>
      </c>
      <c r="B117" s="1" t="s">
        <v>580</v>
      </c>
      <c r="C117" s="2">
        <v>42315</v>
      </c>
      <c r="D117" s="2">
        <v>42317</v>
      </c>
      <c r="E117" s="1" t="s">
        <v>24</v>
      </c>
      <c r="F117" s="1" t="s">
        <v>581</v>
      </c>
      <c r="G117" s="1" t="s">
        <v>582</v>
      </c>
      <c r="H117" s="1" t="s">
        <v>93</v>
      </c>
      <c r="I117" s="1" t="s">
        <v>28</v>
      </c>
      <c r="J117" s="1" t="s">
        <v>55</v>
      </c>
      <c r="K117" s="1" t="s">
        <v>56</v>
      </c>
      <c r="L117">
        <v>90036</v>
      </c>
      <c r="M117" s="1" t="s">
        <v>57</v>
      </c>
      <c r="N117" s="1" t="s">
        <v>583</v>
      </c>
      <c r="O117" s="1" t="s">
        <v>33</v>
      </c>
      <c r="P117" s="1" t="s">
        <v>39</v>
      </c>
      <c r="Q117" s="1" t="s">
        <v>584</v>
      </c>
      <c r="R117">
        <v>191</v>
      </c>
      <c r="S117">
        <v>1</v>
      </c>
      <c r="T117">
        <v>0.2</v>
      </c>
      <c r="U117">
        <v>12</v>
      </c>
      <c r="V117" s="1" t="s">
        <v>73</v>
      </c>
      <c r="W117" s="1" t="s">
        <v>37</v>
      </c>
    </row>
    <row r="118" spans="1:23" x14ac:dyDescent="0.35">
      <c r="A118">
        <v>533</v>
      </c>
      <c r="B118" s="1" t="s">
        <v>585</v>
      </c>
      <c r="C118" s="2">
        <v>42985</v>
      </c>
      <c r="D118" s="2">
        <v>42989</v>
      </c>
      <c r="E118" s="1" t="s">
        <v>42</v>
      </c>
      <c r="F118" s="1" t="s">
        <v>586</v>
      </c>
      <c r="G118" s="1" t="s">
        <v>587</v>
      </c>
      <c r="H118" s="1" t="s">
        <v>27</v>
      </c>
      <c r="I118" s="1" t="s">
        <v>28</v>
      </c>
      <c r="J118" s="1" t="s">
        <v>55</v>
      </c>
      <c r="K118" s="1" t="s">
        <v>56</v>
      </c>
      <c r="L118">
        <v>90032</v>
      </c>
      <c r="M118" s="1" t="s">
        <v>57</v>
      </c>
      <c r="N118" s="1" t="s">
        <v>588</v>
      </c>
      <c r="O118" s="1" t="s">
        <v>33</v>
      </c>
      <c r="P118" s="1" t="s">
        <v>59</v>
      </c>
      <c r="Q118" s="1" t="s">
        <v>589</v>
      </c>
      <c r="R118">
        <v>48</v>
      </c>
      <c r="S118">
        <v>3</v>
      </c>
      <c r="T118">
        <v>0</v>
      </c>
      <c r="U118">
        <v>2</v>
      </c>
      <c r="V118" s="1" t="s">
        <v>86</v>
      </c>
      <c r="W118" s="1" t="s">
        <v>80</v>
      </c>
    </row>
    <row r="119" spans="1:23" x14ac:dyDescent="0.35">
      <c r="A119">
        <v>540</v>
      </c>
      <c r="B119" s="1" t="s">
        <v>590</v>
      </c>
      <c r="C119" s="2">
        <v>42345</v>
      </c>
      <c r="D119" s="2">
        <v>42349</v>
      </c>
      <c r="E119" s="1" t="s">
        <v>42</v>
      </c>
      <c r="F119" s="1" t="s">
        <v>591</v>
      </c>
      <c r="G119" s="1" t="s">
        <v>592</v>
      </c>
      <c r="H119" s="1" t="s">
        <v>27</v>
      </c>
      <c r="I119" s="1" t="s">
        <v>28</v>
      </c>
      <c r="J119" s="1" t="s">
        <v>29</v>
      </c>
      <c r="K119" s="1" t="s">
        <v>30</v>
      </c>
      <c r="L119">
        <v>42420</v>
      </c>
      <c r="M119" s="1" t="s">
        <v>31</v>
      </c>
      <c r="N119" s="1" t="s">
        <v>593</v>
      </c>
      <c r="O119" s="1" t="s">
        <v>33</v>
      </c>
      <c r="P119" s="1" t="s">
        <v>39</v>
      </c>
      <c r="Q119" s="1" t="s">
        <v>594</v>
      </c>
      <c r="R119">
        <v>284</v>
      </c>
      <c r="S119">
        <v>4</v>
      </c>
      <c r="T119">
        <v>0</v>
      </c>
      <c r="U119">
        <v>71</v>
      </c>
      <c r="V119" s="1" t="s">
        <v>86</v>
      </c>
      <c r="W119" s="1" t="s">
        <v>99</v>
      </c>
    </row>
    <row r="120" spans="1:23" x14ac:dyDescent="0.35">
      <c r="A120">
        <v>546</v>
      </c>
      <c r="B120" s="1" t="s">
        <v>595</v>
      </c>
      <c r="C120" s="2">
        <v>41770</v>
      </c>
      <c r="D120" s="2">
        <v>41775</v>
      </c>
      <c r="E120" s="1" t="s">
        <v>42</v>
      </c>
      <c r="F120" s="1" t="s">
        <v>596</v>
      </c>
      <c r="G120" s="1" t="s">
        <v>597</v>
      </c>
      <c r="H120" s="1" t="s">
        <v>27</v>
      </c>
      <c r="I120" s="1" t="s">
        <v>28</v>
      </c>
      <c r="J120" s="1" t="s">
        <v>598</v>
      </c>
      <c r="K120" s="1" t="s">
        <v>95</v>
      </c>
      <c r="L120">
        <v>76106</v>
      </c>
      <c r="M120" s="1" t="s">
        <v>96</v>
      </c>
      <c r="N120" s="1" t="s">
        <v>599</v>
      </c>
      <c r="O120" s="1" t="s">
        <v>33</v>
      </c>
      <c r="P120" s="1" t="s">
        <v>59</v>
      </c>
      <c r="Q120" s="1" t="s">
        <v>600</v>
      </c>
      <c r="R120">
        <v>66</v>
      </c>
      <c r="S120">
        <v>4</v>
      </c>
      <c r="T120">
        <v>0.6</v>
      </c>
      <c r="U120">
        <v>-84</v>
      </c>
      <c r="V120" s="1" t="s">
        <v>61</v>
      </c>
      <c r="W120" s="1" t="s">
        <v>164</v>
      </c>
    </row>
    <row r="121" spans="1:23" x14ac:dyDescent="0.35">
      <c r="A121">
        <v>552</v>
      </c>
      <c r="B121" s="1" t="s">
        <v>601</v>
      </c>
      <c r="C121" s="2">
        <v>42475</v>
      </c>
      <c r="D121" s="2">
        <v>42477</v>
      </c>
      <c r="E121" s="1" t="s">
        <v>24</v>
      </c>
      <c r="F121" s="1" t="s">
        <v>602</v>
      </c>
      <c r="G121" s="1" t="s">
        <v>603</v>
      </c>
      <c r="H121" s="1" t="s">
        <v>27</v>
      </c>
      <c r="I121" s="1" t="s">
        <v>28</v>
      </c>
      <c r="J121" s="1" t="s">
        <v>331</v>
      </c>
      <c r="K121" s="1" t="s">
        <v>56</v>
      </c>
      <c r="L121">
        <v>94110</v>
      </c>
      <c r="M121" s="1" t="s">
        <v>57</v>
      </c>
      <c r="N121" s="1" t="s">
        <v>604</v>
      </c>
      <c r="O121" s="1" t="s">
        <v>33</v>
      </c>
      <c r="P121" s="1" t="s">
        <v>39</v>
      </c>
      <c r="Q121" s="1" t="s">
        <v>605</v>
      </c>
      <c r="R121">
        <v>1122</v>
      </c>
      <c r="S121">
        <v>2</v>
      </c>
      <c r="T121">
        <v>0.2</v>
      </c>
      <c r="U121">
        <v>0</v>
      </c>
      <c r="V121" s="1" t="s">
        <v>73</v>
      </c>
      <c r="W121" s="1" t="s">
        <v>116</v>
      </c>
    </row>
    <row r="122" spans="1:23" x14ac:dyDescent="0.35">
      <c r="A122">
        <v>553</v>
      </c>
      <c r="B122" s="1" t="s">
        <v>606</v>
      </c>
      <c r="C122" s="2">
        <v>42989</v>
      </c>
      <c r="D122" s="2">
        <v>42990</v>
      </c>
      <c r="E122" s="1" t="s">
        <v>90</v>
      </c>
      <c r="F122" s="1" t="s">
        <v>607</v>
      </c>
      <c r="G122" s="1" t="s">
        <v>608</v>
      </c>
      <c r="H122" s="1" t="s">
        <v>27</v>
      </c>
      <c r="I122" s="1" t="s">
        <v>28</v>
      </c>
      <c r="J122" s="1" t="s">
        <v>609</v>
      </c>
      <c r="K122" s="1" t="s">
        <v>46</v>
      </c>
      <c r="L122">
        <v>32216</v>
      </c>
      <c r="M122" s="1" t="s">
        <v>31</v>
      </c>
      <c r="N122" s="1" t="s">
        <v>610</v>
      </c>
      <c r="O122" s="1" t="s">
        <v>33</v>
      </c>
      <c r="P122" s="1" t="s">
        <v>59</v>
      </c>
      <c r="Q122" s="1" t="s">
        <v>611</v>
      </c>
      <c r="R122">
        <v>35</v>
      </c>
      <c r="S122">
        <v>1</v>
      </c>
      <c r="T122">
        <v>0.2</v>
      </c>
      <c r="U122">
        <v>6</v>
      </c>
      <c r="V122" s="1" t="s">
        <v>126</v>
      </c>
      <c r="W122" s="1" t="s">
        <v>80</v>
      </c>
    </row>
    <row r="123" spans="1:23" x14ac:dyDescent="0.35">
      <c r="A123">
        <v>558</v>
      </c>
      <c r="B123" s="1" t="s">
        <v>612</v>
      </c>
      <c r="C123" s="2">
        <v>42531</v>
      </c>
      <c r="D123" s="2">
        <v>42536</v>
      </c>
      <c r="E123" s="1" t="s">
        <v>42</v>
      </c>
      <c r="F123" s="1" t="s">
        <v>613</v>
      </c>
      <c r="G123" s="1" t="s">
        <v>614</v>
      </c>
      <c r="H123" s="1" t="s">
        <v>27</v>
      </c>
      <c r="I123" s="1" t="s">
        <v>28</v>
      </c>
      <c r="J123" s="1" t="s">
        <v>55</v>
      </c>
      <c r="K123" s="1" t="s">
        <v>56</v>
      </c>
      <c r="L123">
        <v>90045</v>
      </c>
      <c r="M123" s="1" t="s">
        <v>57</v>
      </c>
      <c r="N123" s="1" t="s">
        <v>615</v>
      </c>
      <c r="O123" s="1" t="s">
        <v>33</v>
      </c>
      <c r="P123" s="1" t="s">
        <v>48</v>
      </c>
      <c r="Q123" s="1" t="s">
        <v>616</v>
      </c>
      <c r="R123">
        <v>1336</v>
      </c>
      <c r="S123">
        <v>4</v>
      </c>
      <c r="T123">
        <v>0.2</v>
      </c>
      <c r="U123">
        <v>-217</v>
      </c>
      <c r="V123" s="1" t="s">
        <v>61</v>
      </c>
      <c r="W123" s="1" t="s">
        <v>62</v>
      </c>
    </row>
    <row r="124" spans="1:23" x14ac:dyDescent="0.35">
      <c r="A124">
        <v>560</v>
      </c>
      <c r="B124" s="1" t="s">
        <v>617</v>
      </c>
      <c r="C124" s="2">
        <v>43059</v>
      </c>
      <c r="D124" s="2">
        <v>43061</v>
      </c>
      <c r="E124" s="1" t="s">
        <v>24</v>
      </c>
      <c r="F124" s="1" t="s">
        <v>618</v>
      </c>
      <c r="G124" s="1" t="s">
        <v>619</v>
      </c>
      <c r="H124" s="1" t="s">
        <v>27</v>
      </c>
      <c r="I124" s="1" t="s">
        <v>28</v>
      </c>
      <c r="J124" s="1" t="s">
        <v>331</v>
      </c>
      <c r="K124" s="1" t="s">
        <v>56</v>
      </c>
      <c r="L124">
        <v>94110</v>
      </c>
      <c r="M124" s="1" t="s">
        <v>57</v>
      </c>
      <c r="N124" s="1" t="s">
        <v>488</v>
      </c>
      <c r="O124" s="1" t="s">
        <v>33</v>
      </c>
      <c r="P124" s="1" t="s">
        <v>59</v>
      </c>
      <c r="Q124" s="1" t="s">
        <v>489</v>
      </c>
      <c r="R124">
        <v>43</v>
      </c>
      <c r="S124">
        <v>3</v>
      </c>
      <c r="T124">
        <v>0</v>
      </c>
      <c r="U124">
        <v>17</v>
      </c>
      <c r="V124" s="1" t="s">
        <v>73</v>
      </c>
      <c r="W124" s="1" t="s">
        <v>37</v>
      </c>
    </row>
    <row r="125" spans="1:23" x14ac:dyDescent="0.35">
      <c r="A125">
        <v>563</v>
      </c>
      <c r="B125" s="1" t="s">
        <v>620</v>
      </c>
      <c r="C125" s="2">
        <v>41896</v>
      </c>
      <c r="D125" s="2">
        <v>41900</v>
      </c>
      <c r="E125" s="1" t="s">
        <v>24</v>
      </c>
      <c r="F125" s="1" t="s">
        <v>621</v>
      </c>
      <c r="G125" s="1" t="s">
        <v>622</v>
      </c>
      <c r="H125" s="1" t="s">
        <v>27</v>
      </c>
      <c r="I125" s="1" t="s">
        <v>28</v>
      </c>
      <c r="J125" s="1" t="s">
        <v>306</v>
      </c>
      <c r="K125" s="1" t="s">
        <v>46</v>
      </c>
      <c r="L125">
        <v>33614</v>
      </c>
      <c r="M125" s="1" t="s">
        <v>31</v>
      </c>
      <c r="N125" s="1" t="s">
        <v>623</v>
      </c>
      <c r="O125" s="1" t="s">
        <v>33</v>
      </c>
      <c r="P125" s="1" t="s">
        <v>59</v>
      </c>
      <c r="Q125" s="1" t="s">
        <v>624</v>
      </c>
      <c r="R125">
        <v>13</v>
      </c>
      <c r="S125">
        <v>3</v>
      </c>
      <c r="T125">
        <v>0.2</v>
      </c>
      <c r="U125">
        <v>4</v>
      </c>
      <c r="V125" s="1" t="s">
        <v>86</v>
      </c>
      <c r="W125" s="1" t="s">
        <v>80</v>
      </c>
    </row>
    <row r="126" spans="1:23" x14ac:dyDescent="0.35">
      <c r="A126">
        <v>570</v>
      </c>
      <c r="B126" s="1" t="s">
        <v>625</v>
      </c>
      <c r="C126" s="2">
        <v>43009</v>
      </c>
      <c r="D126" s="2">
        <v>43016</v>
      </c>
      <c r="E126" s="1" t="s">
        <v>42</v>
      </c>
      <c r="F126" s="1" t="s">
        <v>626</v>
      </c>
      <c r="G126" s="1" t="s">
        <v>627</v>
      </c>
      <c r="H126" s="1" t="s">
        <v>93</v>
      </c>
      <c r="I126" s="1" t="s">
        <v>28</v>
      </c>
      <c r="J126" s="1" t="s">
        <v>194</v>
      </c>
      <c r="K126" s="1" t="s">
        <v>195</v>
      </c>
      <c r="L126">
        <v>98105</v>
      </c>
      <c r="M126" s="1" t="s">
        <v>57</v>
      </c>
      <c r="N126" s="1" t="s">
        <v>628</v>
      </c>
      <c r="O126" s="1" t="s">
        <v>33</v>
      </c>
      <c r="P126" s="1" t="s">
        <v>39</v>
      </c>
      <c r="Q126" s="1" t="s">
        <v>629</v>
      </c>
      <c r="R126">
        <v>451</v>
      </c>
      <c r="S126">
        <v>3</v>
      </c>
      <c r="T126">
        <v>0.2</v>
      </c>
      <c r="U126">
        <v>0</v>
      </c>
      <c r="V126" s="1" t="s">
        <v>50</v>
      </c>
      <c r="W126" s="1" t="s">
        <v>51</v>
      </c>
    </row>
    <row r="127" spans="1:23" x14ac:dyDescent="0.35">
      <c r="A127">
        <v>580</v>
      </c>
      <c r="B127" s="1" t="s">
        <v>630</v>
      </c>
      <c r="C127" s="2">
        <v>42936</v>
      </c>
      <c r="D127" s="2">
        <v>42942</v>
      </c>
      <c r="E127" s="1" t="s">
        <v>42</v>
      </c>
      <c r="F127" s="1" t="s">
        <v>631</v>
      </c>
      <c r="G127" s="1" t="s">
        <v>632</v>
      </c>
      <c r="H127" s="1" t="s">
        <v>27</v>
      </c>
      <c r="I127" s="1" t="s">
        <v>28</v>
      </c>
      <c r="J127" s="1" t="s">
        <v>136</v>
      </c>
      <c r="K127" s="1" t="s">
        <v>137</v>
      </c>
      <c r="L127">
        <v>60610</v>
      </c>
      <c r="M127" s="1" t="s">
        <v>96</v>
      </c>
      <c r="N127" s="1" t="s">
        <v>633</v>
      </c>
      <c r="O127" s="1" t="s">
        <v>33</v>
      </c>
      <c r="P127" s="1" t="s">
        <v>59</v>
      </c>
      <c r="Q127" s="1" t="s">
        <v>634</v>
      </c>
      <c r="R127">
        <v>9</v>
      </c>
      <c r="S127">
        <v>1</v>
      </c>
      <c r="T127">
        <v>0.6</v>
      </c>
      <c r="U127">
        <v>-6</v>
      </c>
      <c r="V127" s="1" t="s">
        <v>132</v>
      </c>
      <c r="W127" s="1" t="s">
        <v>74</v>
      </c>
    </row>
    <row r="128" spans="1:23" x14ac:dyDescent="0.35">
      <c r="A128">
        <v>587</v>
      </c>
      <c r="B128" s="1" t="s">
        <v>635</v>
      </c>
      <c r="C128" s="2">
        <v>42188</v>
      </c>
      <c r="D128" s="2">
        <v>42194</v>
      </c>
      <c r="E128" s="1" t="s">
        <v>42</v>
      </c>
      <c r="F128" s="1" t="s">
        <v>636</v>
      </c>
      <c r="G128" s="1" t="s">
        <v>637</v>
      </c>
      <c r="H128" s="1" t="s">
        <v>27</v>
      </c>
      <c r="I128" s="1" t="s">
        <v>28</v>
      </c>
      <c r="J128" s="1" t="s">
        <v>638</v>
      </c>
      <c r="K128" s="1" t="s">
        <v>30</v>
      </c>
      <c r="L128">
        <v>40475</v>
      </c>
      <c r="M128" s="1" t="s">
        <v>31</v>
      </c>
      <c r="N128" s="1" t="s">
        <v>461</v>
      </c>
      <c r="O128" s="1" t="s">
        <v>33</v>
      </c>
      <c r="P128" s="1" t="s">
        <v>39</v>
      </c>
      <c r="Q128" s="1" t="s">
        <v>462</v>
      </c>
      <c r="R128">
        <v>71</v>
      </c>
      <c r="S128">
        <v>1</v>
      </c>
      <c r="T128">
        <v>0</v>
      </c>
      <c r="U128">
        <v>5</v>
      </c>
      <c r="V128" s="1" t="s">
        <v>132</v>
      </c>
      <c r="W128" s="1" t="s">
        <v>74</v>
      </c>
    </row>
    <row r="129" spans="1:23" x14ac:dyDescent="0.35">
      <c r="A129">
        <v>598</v>
      </c>
      <c r="B129" s="1" t="s">
        <v>639</v>
      </c>
      <c r="C129" s="2">
        <v>41859</v>
      </c>
      <c r="D129" s="2">
        <v>41866</v>
      </c>
      <c r="E129" s="1" t="s">
        <v>42</v>
      </c>
      <c r="F129" s="1" t="s">
        <v>640</v>
      </c>
      <c r="G129" s="1" t="s">
        <v>641</v>
      </c>
      <c r="H129" s="1" t="s">
        <v>27</v>
      </c>
      <c r="I129" s="1" t="s">
        <v>28</v>
      </c>
      <c r="J129" s="1" t="s">
        <v>642</v>
      </c>
      <c r="K129" s="1" t="s">
        <v>56</v>
      </c>
      <c r="L129">
        <v>92024</v>
      </c>
      <c r="M129" s="1" t="s">
        <v>57</v>
      </c>
      <c r="N129" s="1" t="s">
        <v>643</v>
      </c>
      <c r="O129" s="1" t="s">
        <v>33</v>
      </c>
      <c r="P129" s="1" t="s">
        <v>59</v>
      </c>
      <c r="Q129" s="1" t="s">
        <v>644</v>
      </c>
      <c r="R129">
        <v>328</v>
      </c>
      <c r="S129">
        <v>8</v>
      </c>
      <c r="T129">
        <v>0</v>
      </c>
      <c r="U129">
        <v>92</v>
      </c>
      <c r="V129" s="1" t="s">
        <v>50</v>
      </c>
      <c r="W129" s="1" t="s">
        <v>256</v>
      </c>
    </row>
    <row r="130" spans="1:23" x14ac:dyDescent="0.35">
      <c r="A130">
        <v>604</v>
      </c>
      <c r="B130" s="1" t="s">
        <v>645</v>
      </c>
      <c r="C130" s="2">
        <v>41713</v>
      </c>
      <c r="D130" s="2">
        <v>41717</v>
      </c>
      <c r="E130" s="1" t="s">
        <v>42</v>
      </c>
      <c r="F130" s="1" t="s">
        <v>646</v>
      </c>
      <c r="G130" s="1" t="s">
        <v>647</v>
      </c>
      <c r="H130" s="1" t="s">
        <v>27</v>
      </c>
      <c r="I130" s="1" t="s">
        <v>28</v>
      </c>
      <c r="J130" s="1" t="s">
        <v>306</v>
      </c>
      <c r="K130" s="1" t="s">
        <v>46</v>
      </c>
      <c r="L130">
        <v>33614</v>
      </c>
      <c r="M130" s="1" t="s">
        <v>31</v>
      </c>
      <c r="N130" s="1" t="s">
        <v>386</v>
      </c>
      <c r="O130" s="1" t="s">
        <v>33</v>
      </c>
      <c r="P130" s="1" t="s">
        <v>59</v>
      </c>
      <c r="Q130" s="1" t="s">
        <v>387</v>
      </c>
      <c r="R130">
        <v>46</v>
      </c>
      <c r="S130">
        <v>3</v>
      </c>
      <c r="T130">
        <v>0.2</v>
      </c>
      <c r="U130">
        <v>5</v>
      </c>
      <c r="V130" s="1" t="s">
        <v>86</v>
      </c>
      <c r="W130" s="1" t="s">
        <v>198</v>
      </c>
    </row>
    <row r="131" spans="1:23" x14ac:dyDescent="0.35">
      <c r="A131">
        <v>617</v>
      </c>
      <c r="B131" s="1" t="s">
        <v>648</v>
      </c>
      <c r="C131" s="2">
        <v>42965</v>
      </c>
      <c r="D131" s="2">
        <v>42970</v>
      </c>
      <c r="E131" s="1" t="s">
        <v>24</v>
      </c>
      <c r="F131" s="1" t="s">
        <v>649</v>
      </c>
      <c r="G131" s="1" t="s">
        <v>650</v>
      </c>
      <c r="H131" s="1" t="s">
        <v>93</v>
      </c>
      <c r="I131" s="1" t="s">
        <v>28</v>
      </c>
      <c r="J131" s="1" t="s">
        <v>176</v>
      </c>
      <c r="K131" s="1" t="s">
        <v>123</v>
      </c>
      <c r="L131">
        <v>10011</v>
      </c>
      <c r="M131" s="1" t="s">
        <v>70</v>
      </c>
      <c r="N131" s="1" t="s">
        <v>651</v>
      </c>
      <c r="O131" s="1" t="s">
        <v>33</v>
      </c>
      <c r="P131" s="1" t="s">
        <v>59</v>
      </c>
      <c r="Q131" s="1" t="s">
        <v>652</v>
      </c>
      <c r="R131">
        <v>40</v>
      </c>
      <c r="S131">
        <v>2</v>
      </c>
      <c r="T131">
        <v>0</v>
      </c>
      <c r="U131">
        <v>16</v>
      </c>
      <c r="V131" s="1" t="s">
        <v>61</v>
      </c>
      <c r="W131" s="1" t="s">
        <v>256</v>
      </c>
    </row>
    <row r="132" spans="1:23" x14ac:dyDescent="0.35">
      <c r="A132">
        <v>618</v>
      </c>
      <c r="B132" s="1" t="s">
        <v>648</v>
      </c>
      <c r="C132" s="2">
        <v>42965</v>
      </c>
      <c r="D132" s="2">
        <v>42970</v>
      </c>
      <c r="E132" s="1" t="s">
        <v>24</v>
      </c>
      <c r="F132" s="1" t="s">
        <v>649</v>
      </c>
      <c r="G132" s="1" t="s">
        <v>650</v>
      </c>
      <c r="H132" s="1" t="s">
        <v>93</v>
      </c>
      <c r="I132" s="1" t="s">
        <v>28</v>
      </c>
      <c r="J132" s="1" t="s">
        <v>176</v>
      </c>
      <c r="K132" s="1" t="s">
        <v>123</v>
      </c>
      <c r="L132">
        <v>10011</v>
      </c>
      <c r="M132" s="1" t="s">
        <v>70</v>
      </c>
      <c r="N132" s="1" t="s">
        <v>653</v>
      </c>
      <c r="O132" s="1" t="s">
        <v>33</v>
      </c>
      <c r="P132" s="1" t="s">
        <v>59</v>
      </c>
      <c r="Q132" s="1" t="s">
        <v>654</v>
      </c>
      <c r="R132">
        <v>10</v>
      </c>
      <c r="S132">
        <v>2</v>
      </c>
      <c r="T132">
        <v>0</v>
      </c>
      <c r="U132">
        <v>3</v>
      </c>
      <c r="V132" s="1" t="s">
        <v>61</v>
      </c>
      <c r="W132" s="1" t="s">
        <v>256</v>
      </c>
    </row>
    <row r="133" spans="1:23" x14ac:dyDescent="0.35">
      <c r="A133">
        <v>621</v>
      </c>
      <c r="B133" s="1" t="s">
        <v>648</v>
      </c>
      <c r="C133" s="2">
        <v>42965</v>
      </c>
      <c r="D133" s="2">
        <v>42970</v>
      </c>
      <c r="E133" s="1" t="s">
        <v>24</v>
      </c>
      <c r="F133" s="1" t="s">
        <v>649</v>
      </c>
      <c r="G133" s="1" t="s">
        <v>650</v>
      </c>
      <c r="H133" s="1" t="s">
        <v>93</v>
      </c>
      <c r="I133" s="1" t="s">
        <v>28</v>
      </c>
      <c r="J133" s="1" t="s">
        <v>176</v>
      </c>
      <c r="K133" s="1" t="s">
        <v>123</v>
      </c>
      <c r="L133">
        <v>10011</v>
      </c>
      <c r="M133" s="1" t="s">
        <v>70</v>
      </c>
      <c r="N133" s="1" t="s">
        <v>235</v>
      </c>
      <c r="O133" s="1" t="s">
        <v>33</v>
      </c>
      <c r="P133" s="1" t="s">
        <v>59</v>
      </c>
      <c r="Q133" s="1" t="s">
        <v>236</v>
      </c>
      <c r="R133">
        <v>88</v>
      </c>
      <c r="S133">
        <v>3</v>
      </c>
      <c r="T133">
        <v>0</v>
      </c>
      <c r="U133">
        <v>27</v>
      </c>
      <c r="V133" s="1" t="s">
        <v>61</v>
      </c>
      <c r="W133" s="1" t="s">
        <v>256</v>
      </c>
    </row>
    <row r="134" spans="1:23" x14ac:dyDescent="0.35">
      <c r="A134">
        <v>623</v>
      </c>
      <c r="B134" s="1" t="s">
        <v>655</v>
      </c>
      <c r="C134" s="2">
        <v>42337</v>
      </c>
      <c r="D134" s="2">
        <v>42341</v>
      </c>
      <c r="E134" s="1" t="s">
        <v>42</v>
      </c>
      <c r="F134" s="1" t="s">
        <v>656</v>
      </c>
      <c r="G134" s="1" t="s">
        <v>657</v>
      </c>
      <c r="H134" s="1" t="s">
        <v>93</v>
      </c>
      <c r="I134" s="1" t="s">
        <v>28</v>
      </c>
      <c r="J134" s="1" t="s">
        <v>658</v>
      </c>
      <c r="K134" s="1" t="s">
        <v>292</v>
      </c>
      <c r="L134">
        <v>48126</v>
      </c>
      <c r="M134" s="1" t="s">
        <v>96</v>
      </c>
      <c r="N134" s="1" t="s">
        <v>659</v>
      </c>
      <c r="O134" s="1" t="s">
        <v>33</v>
      </c>
      <c r="P134" s="1" t="s">
        <v>39</v>
      </c>
      <c r="Q134" s="1" t="s">
        <v>660</v>
      </c>
      <c r="R134">
        <v>302</v>
      </c>
      <c r="S134">
        <v>2</v>
      </c>
      <c r="T134">
        <v>0</v>
      </c>
      <c r="U134">
        <v>88</v>
      </c>
      <c r="V134" s="1" t="s">
        <v>86</v>
      </c>
      <c r="W134" s="1" t="s">
        <v>37</v>
      </c>
    </row>
    <row r="135" spans="1:23" x14ac:dyDescent="0.35">
      <c r="A135">
        <v>627</v>
      </c>
      <c r="B135" s="1" t="s">
        <v>661</v>
      </c>
      <c r="C135" s="2">
        <v>42993</v>
      </c>
      <c r="D135" s="2">
        <v>42997</v>
      </c>
      <c r="E135" s="1" t="s">
        <v>42</v>
      </c>
      <c r="F135" s="1" t="s">
        <v>662</v>
      </c>
      <c r="G135" s="1" t="s">
        <v>663</v>
      </c>
      <c r="H135" s="1" t="s">
        <v>103</v>
      </c>
      <c r="I135" s="1" t="s">
        <v>28</v>
      </c>
      <c r="J135" s="1" t="s">
        <v>176</v>
      </c>
      <c r="K135" s="1" t="s">
        <v>123</v>
      </c>
      <c r="L135">
        <v>10009</v>
      </c>
      <c r="M135" s="1" t="s">
        <v>70</v>
      </c>
      <c r="N135" s="1" t="s">
        <v>664</v>
      </c>
      <c r="O135" s="1" t="s">
        <v>33</v>
      </c>
      <c r="P135" s="1" t="s">
        <v>59</v>
      </c>
      <c r="Q135" s="1" t="s">
        <v>665</v>
      </c>
      <c r="R135">
        <v>36</v>
      </c>
      <c r="S135">
        <v>7</v>
      </c>
      <c r="T135">
        <v>0</v>
      </c>
      <c r="U135">
        <v>12</v>
      </c>
      <c r="V135" s="1" t="s">
        <v>86</v>
      </c>
      <c r="W135" s="1" t="s">
        <v>80</v>
      </c>
    </row>
    <row r="136" spans="1:23" x14ac:dyDescent="0.35">
      <c r="A136">
        <v>636</v>
      </c>
      <c r="B136" s="1" t="s">
        <v>666</v>
      </c>
      <c r="C136" s="2">
        <v>42281</v>
      </c>
      <c r="D136" s="2">
        <v>42286</v>
      </c>
      <c r="E136" s="1" t="s">
        <v>24</v>
      </c>
      <c r="F136" s="1" t="s">
        <v>667</v>
      </c>
      <c r="G136" s="1" t="s">
        <v>668</v>
      </c>
      <c r="H136" s="1" t="s">
        <v>93</v>
      </c>
      <c r="I136" s="1" t="s">
        <v>28</v>
      </c>
      <c r="J136" s="1" t="s">
        <v>669</v>
      </c>
      <c r="K136" s="1" t="s">
        <v>670</v>
      </c>
      <c r="L136">
        <v>31088</v>
      </c>
      <c r="M136" s="1" t="s">
        <v>31</v>
      </c>
      <c r="N136" s="1" t="s">
        <v>671</v>
      </c>
      <c r="O136" s="1" t="s">
        <v>33</v>
      </c>
      <c r="P136" s="1" t="s">
        <v>39</v>
      </c>
      <c r="Q136" s="1" t="s">
        <v>672</v>
      </c>
      <c r="R136">
        <v>393</v>
      </c>
      <c r="S136">
        <v>3</v>
      </c>
      <c r="T136">
        <v>0</v>
      </c>
      <c r="U136">
        <v>43</v>
      </c>
      <c r="V136" s="1" t="s">
        <v>61</v>
      </c>
      <c r="W136" s="1" t="s">
        <v>51</v>
      </c>
    </row>
    <row r="137" spans="1:23" x14ac:dyDescent="0.35">
      <c r="A137">
        <v>639</v>
      </c>
      <c r="B137" s="1" t="s">
        <v>673</v>
      </c>
      <c r="C137" s="2">
        <v>42510</v>
      </c>
      <c r="D137" s="2">
        <v>42515</v>
      </c>
      <c r="E137" s="1" t="s">
        <v>42</v>
      </c>
      <c r="F137" s="1" t="s">
        <v>674</v>
      </c>
      <c r="G137" s="1" t="s">
        <v>675</v>
      </c>
      <c r="H137" s="1" t="s">
        <v>103</v>
      </c>
      <c r="I137" s="1" t="s">
        <v>28</v>
      </c>
      <c r="J137" s="1" t="s">
        <v>676</v>
      </c>
      <c r="K137" s="1" t="s">
        <v>56</v>
      </c>
      <c r="L137">
        <v>94591</v>
      </c>
      <c r="M137" s="1" t="s">
        <v>57</v>
      </c>
      <c r="N137" s="1" t="s">
        <v>316</v>
      </c>
      <c r="O137" s="1" t="s">
        <v>33</v>
      </c>
      <c r="P137" s="1" t="s">
        <v>59</v>
      </c>
      <c r="Q137" s="1" t="s">
        <v>317</v>
      </c>
      <c r="R137">
        <v>1049</v>
      </c>
      <c r="S137">
        <v>5</v>
      </c>
      <c r="T137">
        <v>0</v>
      </c>
      <c r="U137">
        <v>273</v>
      </c>
      <c r="V137" s="1" t="s">
        <v>61</v>
      </c>
      <c r="W137" s="1" t="s">
        <v>164</v>
      </c>
    </row>
    <row r="138" spans="1:23" x14ac:dyDescent="0.35">
      <c r="A138">
        <v>641</v>
      </c>
      <c r="B138" s="1" t="s">
        <v>677</v>
      </c>
      <c r="C138" s="2">
        <v>42722</v>
      </c>
      <c r="D138" s="2">
        <v>42726</v>
      </c>
      <c r="E138" s="1" t="s">
        <v>42</v>
      </c>
      <c r="F138" s="1" t="s">
        <v>678</v>
      </c>
      <c r="G138" s="1" t="s">
        <v>679</v>
      </c>
      <c r="H138" s="1" t="s">
        <v>93</v>
      </c>
      <c r="I138" s="1" t="s">
        <v>28</v>
      </c>
      <c r="J138" s="1" t="s">
        <v>168</v>
      </c>
      <c r="K138" s="1" t="s">
        <v>169</v>
      </c>
      <c r="L138">
        <v>55407</v>
      </c>
      <c r="M138" s="1" t="s">
        <v>96</v>
      </c>
      <c r="N138" s="1" t="s">
        <v>680</v>
      </c>
      <c r="O138" s="1" t="s">
        <v>33</v>
      </c>
      <c r="P138" s="1" t="s">
        <v>59</v>
      </c>
      <c r="Q138" s="1" t="s">
        <v>681</v>
      </c>
      <c r="R138">
        <v>19</v>
      </c>
      <c r="S138">
        <v>3</v>
      </c>
      <c r="T138">
        <v>0</v>
      </c>
      <c r="U138">
        <v>6</v>
      </c>
      <c r="V138" s="1" t="s">
        <v>86</v>
      </c>
      <c r="W138" s="1" t="s">
        <v>99</v>
      </c>
    </row>
    <row r="139" spans="1:23" x14ac:dyDescent="0.35">
      <c r="A139">
        <v>649</v>
      </c>
      <c r="B139" s="1" t="s">
        <v>682</v>
      </c>
      <c r="C139" s="2">
        <v>42715</v>
      </c>
      <c r="D139" s="2">
        <v>42720</v>
      </c>
      <c r="E139" s="1" t="s">
        <v>24</v>
      </c>
      <c r="F139" s="1" t="s">
        <v>683</v>
      </c>
      <c r="G139" s="1" t="s">
        <v>684</v>
      </c>
      <c r="H139" s="1" t="s">
        <v>93</v>
      </c>
      <c r="I139" s="1" t="s">
        <v>28</v>
      </c>
      <c r="J139" s="1" t="s">
        <v>685</v>
      </c>
      <c r="K139" s="1" t="s">
        <v>195</v>
      </c>
      <c r="L139">
        <v>98661</v>
      </c>
      <c r="M139" s="1" t="s">
        <v>57</v>
      </c>
      <c r="N139" s="1" t="s">
        <v>449</v>
      </c>
      <c r="O139" s="1" t="s">
        <v>33</v>
      </c>
      <c r="P139" s="1" t="s">
        <v>59</v>
      </c>
      <c r="Q139" s="1" t="s">
        <v>450</v>
      </c>
      <c r="R139">
        <v>15</v>
      </c>
      <c r="S139">
        <v>4</v>
      </c>
      <c r="T139">
        <v>0</v>
      </c>
      <c r="U139">
        <v>6</v>
      </c>
      <c r="V139" s="1" t="s">
        <v>61</v>
      </c>
      <c r="W139" s="1" t="s">
        <v>99</v>
      </c>
    </row>
    <row r="140" spans="1:23" x14ac:dyDescent="0.35">
      <c r="A140">
        <v>658</v>
      </c>
      <c r="B140" s="1" t="s">
        <v>686</v>
      </c>
      <c r="C140" s="2">
        <v>42632</v>
      </c>
      <c r="D140" s="2">
        <v>42632</v>
      </c>
      <c r="E140" s="1" t="s">
        <v>428</v>
      </c>
      <c r="F140" s="1" t="s">
        <v>687</v>
      </c>
      <c r="G140" s="1" t="s">
        <v>688</v>
      </c>
      <c r="H140" s="1" t="s">
        <v>103</v>
      </c>
      <c r="I140" s="1" t="s">
        <v>28</v>
      </c>
      <c r="J140" s="1" t="s">
        <v>182</v>
      </c>
      <c r="K140" s="1" t="s">
        <v>137</v>
      </c>
      <c r="L140">
        <v>60505</v>
      </c>
      <c r="M140" s="1" t="s">
        <v>96</v>
      </c>
      <c r="N140" s="1" t="s">
        <v>562</v>
      </c>
      <c r="O140" s="1" t="s">
        <v>33</v>
      </c>
      <c r="P140" s="1" t="s">
        <v>39</v>
      </c>
      <c r="Q140" s="1" t="s">
        <v>563</v>
      </c>
      <c r="R140">
        <v>701</v>
      </c>
      <c r="S140">
        <v>2</v>
      </c>
      <c r="T140">
        <v>0.3</v>
      </c>
      <c r="U140">
        <v>-50</v>
      </c>
      <c r="V140" s="1" t="s">
        <v>433</v>
      </c>
      <c r="W140" s="1" t="s">
        <v>80</v>
      </c>
    </row>
    <row r="141" spans="1:23" x14ac:dyDescent="0.35">
      <c r="A141">
        <v>662</v>
      </c>
      <c r="B141" s="1" t="s">
        <v>689</v>
      </c>
      <c r="C141" s="2">
        <v>42240</v>
      </c>
      <c r="D141" s="2">
        <v>42244</v>
      </c>
      <c r="E141" s="1" t="s">
        <v>42</v>
      </c>
      <c r="F141" s="1" t="s">
        <v>690</v>
      </c>
      <c r="G141" s="1" t="s">
        <v>691</v>
      </c>
      <c r="H141" s="1" t="s">
        <v>27</v>
      </c>
      <c r="I141" s="1" t="s">
        <v>28</v>
      </c>
      <c r="J141" s="1" t="s">
        <v>692</v>
      </c>
      <c r="K141" s="1" t="s">
        <v>95</v>
      </c>
      <c r="L141">
        <v>76017</v>
      </c>
      <c r="M141" s="1" t="s">
        <v>96</v>
      </c>
      <c r="N141" s="1" t="s">
        <v>196</v>
      </c>
      <c r="O141" s="1" t="s">
        <v>33</v>
      </c>
      <c r="P141" s="1" t="s">
        <v>48</v>
      </c>
      <c r="Q141" s="1" t="s">
        <v>197</v>
      </c>
      <c r="R141">
        <v>919</v>
      </c>
      <c r="S141">
        <v>5</v>
      </c>
      <c r="T141">
        <v>0.3</v>
      </c>
      <c r="U141">
        <v>-118</v>
      </c>
      <c r="V141" s="1" t="s">
        <v>86</v>
      </c>
      <c r="W141" s="1" t="s">
        <v>256</v>
      </c>
    </row>
    <row r="142" spans="1:23" x14ac:dyDescent="0.35">
      <c r="A142">
        <v>669</v>
      </c>
      <c r="B142" s="1" t="s">
        <v>693</v>
      </c>
      <c r="C142" s="2">
        <v>41997</v>
      </c>
      <c r="D142" s="2">
        <v>41999</v>
      </c>
      <c r="E142" s="1" t="s">
        <v>90</v>
      </c>
      <c r="F142" s="1" t="s">
        <v>694</v>
      </c>
      <c r="G142" s="1" t="s">
        <v>695</v>
      </c>
      <c r="H142" s="1" t="s">
        <v>27</v>
      </c>
      <c r="I142" s="1" t="s">
        <v>28</v>
      </c>
      <c r="J142" s="1" t="s">
        <v>696</v>
      </c>
      <c r="K142" s="1" t="s">
        <v>234</v>
      </c>
      <c r="L142">
        <v>44105</v>
      </c>
      <c r="M142" s="1" t="s">
        <v>70</v>
      </c>
      <c r="N142" s="1" t="s">
        <v>697</v>
      </c>
      <c r="O142" s="1" t="s">
        <v>33</v>
      </c>
      <c r="P142" s="1" t="s">
        <v>59</v>
      </c>
      <c r="Q142" s="1" t="s">
        <v>698</v>
      </c>
      <c r="R142">
        <v>30</v>
      </c>
      <c r="S142">
        <v>5</v>
      </c>
      <c r="T142">
        <v>0.2</v>
      </c>
      <c r="U142">
        <v>9</v>
      </c>
      <c r="V142" s="1" t="s">
        <v>73</v>
      </c>
      <c r="W142" s="1" t="s">
        <v>99</v>
      </c>
    </row>
    <row r="143" spans="1:23" x14ac:dyDescent="0.35">
      <c r="A143">
        <v>670</v>
      </c>
      <c r="B143" s="1" t="s">
        <v>699</v>
      </c>
      <c r="C143" s="2">
        <v>42895</v>
      </c>
      <c r="D143" s="2">
        <v>42899</v>
      </c>
      <c r="E143" s="1" t="s">
        <v>42</v>
      </c>
      <c r="F143" s="1" t="s">
        <v>662</v>
      </c>
      <c r="G143" s="1" t="s">
        <v>663</v>
      </c>
      <c r="H143" s="1" t="s">
        <v>103</v>
      </c>
      <c r="I143" s="1" t="s">
        <v>28</v>
      </c>
      <c r="J143" s="1" t="s">
        <v>136</v>
      </c>
      <c r="K143" s="1" t="s">
        <v>137</v>
      </c>
      <c r="L143">
        <v>60653</v>
      </c>
      <c r="M143" s="1" t="s">
        <v>96</v>
      </c>
      <c r="N143" s="1" t="s">
        <v>700</v>
      </c>
      <c r="O143" s="1" t="s">
        <v>33</v>
      </c>
      <c r="P143" s="1" t="s">
        <v>59</v>
      </c>
      <c r="Q143" s="1" t="s">
        <v>701</v>
      </c>
      <c r="R143">
        <v>24</v>
      </c>
      <c r="S143">
        <v>3</v>
      </c>
      <c r="T143">
        <v>0.6</v>
      </c>
      <c r="U143">
        <v>-14</v>
      </c>
      <c r="V143" s="1" t="s">
        <v>86</v>
      </c>
      <c r="W143" s="1" t="s">
        <v>62</v>
      </c>
    </row>
    <row r="144" spans="1:23" x14ac:dyDescent="0.35">
      <c r="A144">
        <v>671</v>
      </c>
      <c r="B144" s="1" t="s">
        <v>699</v>
      </c>
      <c r="C144" s="2">
        <v>42895</v>
      </c>
      <c r="D144" s="2">
        <v>42899</v>
      </c>
      <c r="E144" s="1" t="s">
        <v>42</v>
      </c>
      <c r="F144" s="1" t="s">
        <v>662</v>
      </c>
      <c r="G144" s="1" t="s">
        <v>663</v>
      </c>
      <c r="H144" s="1" t="s">
        <v>103</v>
      </c>
      <c r="I144" s="1" t="s">
        <v>28</v>
      </c>
      <c r="J144" s="1" t="s">
        <v>136</v>
      </c>
      <c r="K144" s="1" t="s">
        <v>137</v>
      </c>
      <c r="L144">
        <v>60653</v>
      </c>
      <c r="M144" s="1" t="s">
        <v>96</v>
      </c>
      <c r="N144" s="1" t="s">
        <v>702</v>
      </c>
      <c r="O144" s="1" t="s">
        <v>33</v>
      </c>
      <c r="P144" s="1" t="s">
        <v>48</v>
      </c>
      <c r="Q144" s="1" t="s">
        <v>703</v>
      </c>
      <c r="R144">
        <v>109</v>
      </c>
      <c r="S144">
        <v>1</v>
      </c>
      <c r="T144">
        <v>0.5</v>
      </c>
      <c r="U144">
        <v>-72</v>
      </c>
      <c r="V144" s="1" t="s">
        <v>86</v>
      </c>
      <c r="W144" s="1" t="s">
        <v>62</v>
      </c>
    </row>
    <row r="145" spans="1:23" x14ac:dyDescent="0.35">
      <c r="A145">
        <v>679</v>
      </c>
      <c r="B145" s="1" t="s">
        <v>704</v>
      </c>
      <c r="C145" s="2">
        <v>42812</v>
      </c>
      <c r="D145" s="2">
        <v>42817</v>
      </c>
      <c r="E145" s="1" t="s">
        <v>42</v>
      </c>
      <c r="F145" s="1" t="s">
        <v>705</v>
      </c>
      <c r="G145" s="1" t="s">
        <v>706</v>
      </c>
      <c r="H145" s="1" t="s">
        <v>27</v>
      </c>
      <c r="I145" s="1" t="s">
        <v>28</v>
      </c>
      <c r="J145" s="1" t="s">
        <v>707</v>
      </c>
      <c r="K145" s="1" t="s">
        <v>95</v>
      </c>
      <c r="L145">
        <v>75701</v>
      </c>
      <c r="M145" s="1" t="s">
        <v>96</v>
      </c>
      <c r="N145" s="1" t="s">
        <v>708</v>
      </c>
      <c r="O145" s="1" t="s">
        <v>33</v>
      </c>
      <c r="P145" s="1" t="s">
        <v>59</v>
      </c>
      <c r="Q145" s="1" t="s">
        <v>709</v>
      </c>
      <c r="R145">
        <v>83</v>
      </c>
      <c r="S145">
        <v>3</v>
      </c>
      <c r="T145">
        <v>0.6</v>
      </c>
      <c r="U145">
        <v>-41</v>
      </c>
      <c r="V145" s="1" t="s">
        <v>61</v>
      </c>
      <c r="W145" s="1" t="s">
        <v>198</v>
      </c>
    </row>
    <row r="146" spans="1:23" x14ac:dyDescent="0.35">
      <c r="A146">
        <v>689</v>
      </c>
      <c r="B146" s="1" t="s">
        <v>710</v>
      </c>
      <c r="C146" s="2">
        <v>43094</v>
      </c>
      <c r="D146" s="2">
        <v>43098</v>
      </c>
      <c r="E146" s="1" t="s">
        <v>42</v>
      </c>
      <c r="F146" s="1" t="s">
        <v>711</v>
      </c>
      <c r="G146" s="1" t="s">
        <v>712</v>
      </c>
      <c r="H146" s="1" t="s">
        <v>27</v>
      </c>
      <c r="I146" s="1" t="s">
        <v>28</v>
      </c>
      <c r="J146" s="1" t="s">
        <v>176</v>
      </c>
      <c r="K146" s="1" t="s">
        <v>123</v>
      </c>
      <c r="L146">
        <v>10035</v>
      </c>
      <c r="M146" s="1" t="s">
        <v>70</v>
      </c>
      <c r="N146" s="1" t="s">
        <v>713</v>
      </c>
      <c r="O146" s="1" t="s">
        <v>33</v>
      </c>
      <c r="P146" s="1" t="s">
        <v>34</v>
      </c>
      <c r="Q146" s="1" t="s">
        <v>714</v>
      </c>
      <c r="R146">
        <v>192</v>
      </c>
      <c r="S146">
        <v>2</v>
      </c>
      <c r="T146">
        <v>0.2</v>
      </c>
      <c r="U146">
        <v>5</v>
      </c>
      <c r="V146" s="1" t="s">
        <v>86</v>
      </c>
      <c r="W146" s="1" t="s">
        <v>99</v>
      </c>
    </row>
    <row r="147" spans="1:23" x14ac:dyDescent="0.35">
      <c r="A147">
        <v>690</v>
      </c>
      <c r="B147" s="1" t="s">
        <v>715</v>
      </c>
      <c r="C147" s="2">
        <v>41811</v>
      </c>
      <c r="D147" s="2">
        <v>41813</v>
      </c>
      <c r="E147" s="1" t="s">
        <v>24</v>
      </c>
      <c r="F147" s="1" t="s">
        <v>716</v>
      </c>
      <c r="G147" s="1" t="s">
        <v>717</v>
      </c>
      <c r="H147" s="1" t="s">
        <v>27</v>
      </c>
      <c r="I147" s="1" t="s">
        <v>28</v>
      </c>
      <c r="J147" s="1" t="s">
        <v>718</v>
      </c>
      <c r="K147" s="1" t="s">
        <v>719</v>
      </c>
      <c r="L147">
        <v>22980</v>
      </c>
      <c r="M147" s="1" t="s">
        <v>31</v>
      </c>
      <c r="N147" s="1" t="s">
        <v>720</v>
      </c>
      <c r="O147" s="1" t="s">
        <v>33</v>
      </c>
      <c r="P147" s="1" t="s">
        <v>59</v>
      </c>
      <c r="Q147" s="1" t="s">
        <v>721</v>
      </c>
      <c r="R147">
        <v>104</v>
      </c>
      <c r="S147">
        <v>1</v>
      </c>
      <c r="T147">
        <v>0</v>
      </c>
      <c r="U147">
        <v>15</v>
      </c>
      <c r="V147" s="1" t="s">
        <v>73</v>
      </c>
      <c r="W147" s="1" t="s">
        <v>62</v>
      </c>
    </row>
    <row r="148" spans="1:23" x14ac:dyDescent="0.35">
      <c r="A148">
        <v>702</v>
      </c>
      <c r="B148" s="1" t="s">
        <v>722</v>
      </c>
      <c r="C148" s="2">
        <v>42980</v>
      </c>
      <c r="D148" s="2">
        <v>42986</v>
      </c>
      <c r="E148" s="1" t="s">
        <v>42</v>
      </c>
      <c r="F148" s="1" t="s">
        <v>723</v>
      </c>
      <c r="G148" s="1" t="s">
        <v>724</v>
      </c>
      <c r="H148" s="1" t="s">
        <v>93</v>
      </c>
      <c r="I148" s="1" t="s">
        <v>28</v>
      </c>
      <c r="J148" s="1" t="s">
        <v>696</v>
      </c>
      <c r="K148" s="1" t="s">
        <v>234</v>
      </c>
      <c r="L148">
        <v>44105</v>
      </c>
      <c r="M148" s="1" t="s">
        <v>70</v>
      </c>
      <c r="N148" s="1" t="s">
        <v>274</v>
      </c>
      <c r="O148" s="1" t="s">
        <v>33</v>
      </c>
      <c r="P148" s="1" t="s">
        <v>59</v>
      </c>
      <c r="Q148" s="1" t="s">
        <v>275</v>
      </c>
      <c r="R148">
        <v>15</v>
      </c>
      <c r="S148">
        <v>3</v>
      </c>
      <c r="T148">
        <v>0.2</v>
      </c>
      <c r="U148">
        <v>4</v>
      </c>
      <c r="V148" s="1" t="s">
        <v>132</v>
      </c>
      <c r="W148" s="1" t="s">
        <v>80</v>
      </c>
    </row>
    <row r="149" spans="1:23" x14ac:dyDescent="0.35">
      <c r="A149">
        <v>703</v>
      </c>
      <c r="B149" s="1" t="s">
        <v>725</v>
      </c>
      <c r="C149" s="2">
        <v>42678</v>
      </c>
      <c r="D149" s="2">
        <v>42682</v>
      </c>
      <c r="E149" s="1" t="s">
        <v>24</v>
      </c>
      <c r="F149" s="1" t="s">
        <v>726</v>
      </c>
      <c r="G149" s="1" t="s">
        <v>727</v>
      </c>
      <c r="H149" s="1" t="s">
        <v>93</v>
      </c>
      <c r="I149" s="1" t="s">
        <v>28</v>
      </c>
      <c r="J149" s="1" t="s">
        <v>194</v>
      </c>
      <c r="K149" s="1" t="s">
        <v>195</v>
      </c>
      <c r="L149">
        <v>98103</v>
      </c>
      <c r="M149" s="1" t="s">
        <v>57</v>
      </c>
      <c r="N149" s="1" t="s">
        <v>728</v>
      </c>
      <c r="O149" s="1" t="s">
        <v>33</v>
      </c>
      <c r="P149" s="1" t="s">
        <v>59</v>
      </c>
      <c r="Q149" s="1" t="s">
        <v>729</v>
      </c>
      <c r="R149">
        <v>210</v>
      </c>
      <c r="S149">
        <v>3</v>
      </c>
      <c r="T149">
        <v>0</v>
      </c>
      <c r="U149">
        <v>36</v>
      </c>
      <c r="V149" s="1" t="s">
        <v>86</v>
      </c>
      <c r="W149" s="1" t="s">
        <v>37</v>
      </c>
    </row>
    <row r="150" spans="1:23" x14ac:dyDescent="0.35">
      <c r="A150">
        <v>704</v>
      </c>
      <c r="B150" s="1" t="s">
        <v>730</v>
      </c>
      <c r="C150" s="2">
        <v>42103</v>
      </c>
      <c r="D150" s="2">
        <v>42108</v>
      </c>
      <c r="E150" s="1" t="s">
        <v>42</v>
      </c>
      <c r="F150" s="1" t="s">
        <v>731</v>
      </c>
      <c r="G150" s="1" t="s">
        <v>732</v>
      </c>
      <c r="H150" s="1" t="s">
        <v>27</v>
      </c>
      <c r="I150" s="1" t="s">
        <v>28</v>
      </c>
      <c r="J150" s="1" t="s">
        <v>733</v>
      </c>
      <c r="K150" s="1" t="s">
        <v>56</v>
      </c>
      <c r="L150">
        <v>90805</v>
      </c>
      <c r="M150" s="1" t="s">
        <v>57</v>
      </c>
      <c r="N150" s="1" t="s">
        <v>734</v>
      </c>
      <c r="O150" s="1" t="s">
        <v>33</v>
      </c>
      <c r="P150" s="1" t="s">
        <v>48</v>
      </c>
      <c r="Q150" s="1" t="s">
        <v>735</v>
      </c>
      <c r="R150">
        <v>370</v>
      </c>
      <c r="S150">
        <v>3</v>
      </c>
      <c r="T150">
        <v>0.2</v>
      </c>
      <c r="U150">
        <v>-14</v>
      </c>
      <c r="V150" s="1" t="s">
        <v>61</v>
      </c>
      <c r="W150" s="1" t="s">
        <v>116</v>
      </c>
    </row>
    <row r="151" spans="1:23" x14ac:dyDescent="0.35">
      <c r="A151">
        <v>709</v>
      </c>
      <c r="B151" s="1" t="s">
        <v>736</v>
      </c>
      <c r="C151" s="2">
        <v>41975</v>
      </c>
      <c r="D151" s="2">
        <v>41977</v>
      </c>
      <c r="E151" s="1" t="s">
        <v>90</v>
      </c>
      <c r="F151" s="1" t="s">
        <v>737</v>
      </c>
      <c r="G151" s="1" t="s">
        <v>738</v>
      </c>
      <c r="H151" s="1" t="s">
        <v>27</v>
      </c>
      <c r="I151" s="1" t="s">
        <v>28</v>
      </c>
      <c r="J151" s="1" t="s">
        <v>176</v>
      </c>
      <c r="K151" s="1" t="s">
        <v>123</v>
      </c>
      <c r="L151">
        <v>10035</v>
      </c>
      <c r="M151" s="1" t="s">
        <v>70</v>
      </c>
      <c r="N151" s="1" t="s">
        <v>739</v>
      </c>
      <c r="O151" s="1" t="s">
        <v>33</v>
      </c>
      <c r="P151" s="1" t="s">
        <v>34</v>
      </c>
      <c r="Q151" s="1" t="s">
        <v>740</v>
      </c>
      <c r="R151">
        <v>884</v>
      </c>
      <c r="S151">
        <v>5</v>
      </c>
      <c r="T151">
        <v>0.2</v>
      </c>
      <c r="U151">
        <v>-110</v>
      </c>
      <c r="V151" s="1" t="s">
        <v>73</v>
      </c>
      <c r="W151" s="1" t="s">
        <v>99</v>
      </c>
    </row>
    <row r="152" spans="1:23" x14ac:dyDescent="0.35">
      <c r="A152">
        <v>717</v>
      </c>
      <c r="B152" s="1" t="s">
        <v>741</v>
      </c>
      <c r="C152" s="2">
        <v>41650</v>
      </c>
      <c r="D152" s="2">
        <v>41653</v>
      </c>
      <c r="E152" s="1" t="s">
        <v>90</v>
      </c>
      <c r="F152" s="1" t="s">
        <v>742</v>
      </c>
      <c r="G152" s="1" t="s">
        <v>743</v>
      </c>
      <c r="H152" s="1" t="s">
        <v>27</v>
      </c>
      <c r="I152" s="1" t="s">
        <v>28</v>
      </c>
      <c r="J152" s="1" t="s">
        <v>744</v>
      </c>
      <c r="K152" s="1" t="s">
        <v>203</v>
      </c>
      <c r="L152">
        <v>19901</v>
      </c>
      <c r="M152" s="1" t="s">
        <v>70</v>
      </c>
      <c r="N152" s="1" t="s">
        <v>653</v>
      </c>
      <c r="O152" s="1" t="s">
        <v>33</v>
      </c>
      <c r="P152" s="1" t="s">
        <v>59</v>
      </c>
      <c r="Q152" s="1" t="s">
        <v>654</v>
      </c>
      <c r="R152">
        <v>10</v>
      </c>
      <c r="S152">
        <v>2</v>
      </c>
      <c r="T152">
        <v>0</v>
      </c>
      <c r="U152">
        <v>3</v>
      </c>
      <c r="V152" s="1" t="s">
        <v>36</v>
      </c>
      <c r="W152" s="1" t="s">
        <v>172</v>
      </c>
    </row>
    <row r="153" spans="1:23" x14ac:dyDescent="0.35">
      <c r="A153">
        <v>718</v>
      </c>
      <c r="B153" s="1" t="s">
        <v>745</v>
      </c>
      <c r="C153" s="2">
        <v>43002</v>
      </c>
      <c r="D153" s="2">
        <v>43007</v>
      </c>
      <c r="E153" s="1" t="s">
        <v>42</v>
      </c>
      <c r="F153" s="1" t="s">
        <v>746</v>
      </c>
      <c r="G153" s="1" t="s">
        <v>747</v>
      </c>
      <c r="H153" s="1" t="s">
        <v>27</v>
      </c>
      <c r="I153" s="1" t="s">
        <v>28</v>
      </c>
      <c r="J153" s="1" t="s">
        <v>233</v>
      </c>
      <c r="K153" s="1" t="s">
        <v>234</v>
      </c>
      <c r="L153">
        <v>43055</v>
      </c>
      <c r="M153" s="1" t="s">
        <v>70</v>
      </c>
      <c r="N153" s="1" t="s">
        <v>748</v>
      </c>
      <c r="O153" s="1" t="s">
        <v>33</v>
      </c>
      <c r="P153" s="1" t="s">
        <v>59</v>
      </c>
      <c r="Q153" s="1" t="s">
        <v>749</v>
      </c>
      <c r="R153">
        <v>103</v>
      </c>
      <c r="S153">
        <v>3</v>
      </c>
      <c r="T153">
        <v>0.2</v>
      </c>
      <c r="U153">
        <v>24</v>
      </c>
      <c r="V153" s="1" t="s">
        <v>61</v>
      </c>
      <c r="W153" s="1" t="s">
        <v>80</v>
      </c>
    </row>
    <row r="154" spans="1:23" x14ac:dyDescent="0.35">
      <c r="A154">
        <v>720</v>
      </c>
      <c r="B154" s="1" t="s">
        <v>750</v>
      </c>
      <c r="C154" s="2">
        <v>41792</v>
      </c>
      <c r="D154" s="2">
        <v>41797</v>
      </c>
      <c r="E154" s="1" t="s">
        <v>42</v>
      </c>
      <c r="F154" s="1" t="s">
        <v>751</v>
      </c>
      <c r="G154" s="1" t="s">
        <v>752</v>
      </c>
      <c r="H154" s="1" t="s">
        <v>103</v>
      </c>
      <c r="I154" s="1" t="s">
        <v>28</v>
      </c>
      <c r="J154" s="1" t="s">
        <v>78</v>
      </c>
      <c r="K154" s="1" t="s">
        <v>79</v>
      </c>
      <c r="L154">
        <v>84057</v>
      </c>
      <c r="M154" s="1" t="s">
        <v>57</v>
      </c>
      <c r="N154" s="1" t="s">
        <v>496</v>
      </c>
      <c r="O154" s="1" t="s">
        <v>33</v>
      </c>
      <c r="P154" s="1" t="s">
        <v>59</v>
      </c>
      <c r="Q154" s="1" t="s">
        <v>497</v>
      </c>
      <c r="R154">
        <v>73</v>
      </c>
      <c r="S154">
        <v>6</v>
      </c>
      <c r="T154">
        <v>0</v>
      </c>
      <c r="U154">
        <v>22</v>
      </c>
      <c r="V154" s="1" t="s">
        <v>61</v>
      </c>
      <c r="W154" s="1" t="s">
        <v>62</v>
      </c>
    </row>
    <row r="155" spans="1:23" x14ac:dyDescent="0.35">
      <c r="A155">
        <v>722</v>
      </c>
      <c r="B155" s="1" t="s">
        <v>753</v>
      </c>
      <c r="C155" s="2">
        <v>42719</v>
      </c>
      <c r="D155" s="2">
        <v>42723</v>
      </c>
      <c r="E155" s="1" t="s">
        <v>42</v>
      </c>
      <c r="F155" s="1" t="s">
        <v>472</v>
      </c>
      <c r="G155" s="1" t="s">
        <v>473</v>
      </c>
      <c r="H155" s="1" t="s">
        <v>93</v>
      </c>
      <c r="I155" s="1" t="s">
        <v>28</v>
      </c>
      <c r="J155" s="1" t="s">
        <v>291</v>
      </c>
      <c r="K155" s="1" t="s">
        <v>292</v>
      </c>
      <c r="L155">
        <v>48205</v>
      </c>
      <c r="M155" s="1" t="s">
        <v>96</v>
      </c>
      <c r="N155" s="1" t="s">
        <v>754</v>
      </c>
      <c r="O155" s="1" t="s">
        <v>33</v>
      </c>
      <c r="P155" s="1" t="s">
        <v>48</v>
      </c>
      <c r="Q155" s="1" t="s">
        <v>755</v>
      </c>
      <c r="R155">
        <v>1653</v>
      </c>
      <c r="S155">
        <v>3</v>
      </c>
      <c r="T155">
        <v>0</v>
      </c>
      <c r="U155">
        <v>231</v>
      </c>
      <c r="V155" s="1" t="s">
        <v>86</v>
      </c>
      <c r="W155" s="1" t="s">
        <v>99</v>
      </c>
    </row>
    <row r="156" spans="1:23" x14ac:dyDescent="0.35">
      <c r="A156">
        <v>724</v>
      </c>
      <c r="B156" s="1" t="s">
        <v>756</v>
      </c>
      <c r="C156" s="2">
        <v>41919</v>
      </c>
      <c r="D156" s="2">
        <v>41925</v>
      </c>
      <c r="E156" s="1" t="s">
        <v>42</v>
      </c>
      <c r="F156" s="1" t="s">
        <v>757</v>
      </c>
      <c r="G156" s="1" t="s">
        <v>758</v>
      </c>
      <c r="H156" s="1" t="s">
        <v>103</v>
      </c>
      <c r="I156" s="1" t="s">
        <v>28</v>
      </c>
      <c r="J156" s="1" t="s">
        <v>68</v>
      </c>
      <c r="K156" s="1" t="s">
        <v>69</v>
      </c>
      <c r="L156">
        <v>19140</v>
      </c>
      <c r="M156" s="1" t="s">
        <v>70</v>
      </c>
      <c r="N156" s="1" t="s">
        <v>759</v>
      </c>
      <c r="O156" s="1" t="s">
        <v>33</v>
      </c>
      <c r="P156" s="1" t="s">
        <v>59</v>
      </c>
      <c r="Q156" s="1" t="s">
        <v>760</v>
      </c>
      <c r="R156">
        <v>130</v>
      </c>
      <c r="S156">
        <v>5</v>
      </c>
      <c r="T156">
        <v>0.2</v>
      </c>
      <c r="U156">
        <v>21</v>
      </c>
      <c r="V156" s="1" t="s">
        <v>132</v>
      </c>
      <c r="W156" s="1" t="s">
        <v>51</v>
      </c>
    </row>
    <row r="157" spans="1:23" x14ac:dyDescent="0.35">
      <c r="A157">
        <v>729</v>
      </c>
      <c r="B157" s="1" t="s">
        <v>761</v>
      </c>
      <c r="C157" s="2">
        <v>42707</v>
      </c>
      <c r="D157" s="2">
        <v>42710</v>
      </c>
      <c r="E157" s="1" t="s">
        <v>90</v>
      </c>
      <c r="F157" s="1" t="s">
        <v>762</v>
      </c>
      <c r="G157" s="1" t="s">
        <v>763</v>
      </c>
      <c r="H157" s="1" t="s">
        <v>27</v>
      </c>
      <c r="I157" s="1" t="s">
        <v>28</v>
      </c>
      <c r="J157" s="1" t="s">
        <v>764</v>
      </c>
      <c r="K157" s="1" t="s">
        <v>123</v>
      </c>
      <c r="L157">
        <v>11572</v>
      </c>
      <c r="M157" s="1" t="s">
        <v>70</v>
      </c>
      <c r="N157" s="1" t="s">
        <v>765</v>
      </c>
      <c r="O157" s="1" t="s">
        <v>33</v>
      </c>
      <c r="P157" s="1" t="s">
        <v>48</v>
      </c>
      <c r="Q157" s="1" t="s">
        <v>766</v>
      </c>
      <c r="R157">
        <v>400</v>
      </c>
      <c r="S157">
        <v>2</v>
      </c>
      <c r="T157">
        <v>0.4</v>
      </c>
      <c r="U157">
        <v>-153</v>
      </c>
      <c r="V157" s="1" t="s">
        <v>36</v>
      </c>
      <c r="W157" s="1" t="s">
        <v>99</v>
      </c>
    </row>
    <row r="158" spans="1:23" x14ac:dyDescent="0.35">
      <c r="A158">
        <v>731</v>
      </c>
      <c r="B158" s="1" t="s">
        <v>761</v>
      </c>
      <c r="C158" s="2">
        <v>42707</v>
      </c>
      <c r="D158" s="2">
        <v>42710</v>
      </c>
      <c r="E158" s="1" t="s">
        <v>90</v>
      </c>
      <c r="F158" s="1" t="s">
        <v>762</v>
      </c>
      <c r="G158" s="1" t="s">
        <v>763</v>
      </c>
      <c r="H158" s="1" t="s">
        <v>27</v>
      </c>
      <c r="I158" s="1" t="s">
        <v>28</v>
      </c>
      <c r="J158" s="1" t="s">
        <v>764</v>
      </c>
      <c r="K158" s="1" t="s">
        <v>123</v>
      </c>
      <c r="L158">
        <v>11572</v>
      </c>
      <c r="M158" s="1" t="s">
        <v>70</v>
      </c>
      <c r="N158" s="1" t="s">
        <v>332</v>
      </c>
      <c r="O158" s="1" t="s">
        <v>33</v>
      </c>
      <c r="P158" s="1" t="s">
        <v>39</v>
      </c>
      <c r="Q158" s="1" t="s">
        <v>333</v>
      </c>
      <c r="R158">
        <v>543</v>
      </c>
      <c r="S158">
        <v>3</v>
      </c>
      <c r="T158">
        <v>0.1</v>
      </c>
      <c r="U158">
        <v>102</v>
      </c>
      <c r="V158" s="1" t="s">
        <v>36</v>
      </c>
      <c r="W158" s="1" t="s">
        <v>99</v>
      </c>
    </row>
    <row r="159" spans="1:23" x14ac:dyDescent="0.35">
      <c r="A159">
        <v>737</v>
      </c>
      <c r="B159" s="1" t="s">
        <v>767</v>
      </c>
      <c r="C159" s="2">
        <v>42756</v>
      </c>
      <c r="D159" s="2">
        <v>42760</v>
      </c>
      <c r="E159" s="1" t="s">
        <v>42</v>
      </c>
      <c r="F159" s="1" t="s">
        <v>768</v>
      </c>
      <c r="G159" s="1" t="s">
        <v>769</v>
      </c>
      <c r="H159" s="1" t="s">
        <v>103</v>
      </c>
      <c r="I159" s="1" t="s">
        <v>28</v>
      </c>
      <c r="J159" s="1" t="s">
        <v>194</v>
      </c>
      <c r="K159" s="1" t="s">
        <v>195</v>
      </c>
      <c r="L159">
        <v>98115</v>
      </c>
      <c r="M159" s="1" t="s">
        <v>57</v>
      </c>
      <c r="N159" s="1" t="s">
        <v>770</v>
      </c>
      <c r="O159" s="1" t="s">
        <v>33</v>
      </c>
      <c r="P159" s="1" t="s">
        <v>34</v>
      </c>
      <c r="Q159" s="1" t="s">
        <v>771</v>
      </c>
      <c r="R159">
        <v>85</v>
      </c>
      <c r="S159">
        <v>1</v>
      </c>
      <c r="T159">
        <v>0</v>
      </c>
      <c r="U159">
        <v>19</v>
      </c>
      <c r="V159" s="1" t="s">
        <v>86</v>
      </c>
      <c r="W159" s="1" t="s">
        <v>172</v>
      </c>
    </row>
    <row r="160" spans="1:23" x14ac:dyDescent="0.35">
      <c r="A160">
        <v>747</v>
      </c>
      <c r="B160" s="1" t="s">
        <v>772</v>
      </c>
      <c r="C160" s="2">
        <v>41786</v>
      </c>
      <c r="D160" s="2">
        <v>41786</v>
      </c>
      <c r="E160" s="1" t="s">
        <v>428</v>
      </c>
      <c r="F160" s="1" t="s">
        <v>773</v>
      </c>
      <c r="G160" s="1" t="s">
        <v>774</v>
      </c>
      <c r="H160" s="1" t="s">
        <v>93</v>
      </c>
      <c r="I160" s="1" t="s">
        <v>28</v>
      </c>
      <c r="J160" s="1" t="s">
        <v>642</v>
      </c>
      <c r="K160" s="1" t="s">
        <v>56</v>
      </c>
      <c r="L160">
        <v>92105</v>
      </c>
      <c r="M160" s="1" t="s">
        <v>57</v>
      </c>
      <c r="N160" s="1" t="s">
        <v>320</v>
      </c>
      <c r="O160" s="1" t="s">
        <v>33</v>
      </c>
      <c r="P160" s="1" t="s">
        <v>48</v>
      </c>
      <c r="Q160" s="1" t="s">
        <v>321</v>
      </c>
      <c r="R160">
        <v>567</v>
      </c>
      <c r="S160">
        <v>10</v>
      </c>
      <c r="T160">
        <v>0.2</v>
      </c>
      <c r="U160">
        <v>-28</v>
      </c>
      <c r="V160" s="1" t="s">
        <v>433</v>
      </c>
      <c r="W160" s="1" t="s">
        <v>164</v>
      </c>
    </row>
    <row r="161" spans="1:23" x14ac:dyDescent="0.35">
      <c r="A161">
        <v>751</v>
      </c>
      <c r="B161" s="1" t="s">
        <v>775</v>
      </c>
      <c r="C161" s="2">
        <v>43010</v>
      </c>
      <c r="D161" s="2">
        <v>43014</v>
      </c>
      <c r="E161" s="1" t="s">
        <v>42</v>
      </c>
      <c r="F161" s="1" t="s">
        <v>776</v>
      </c>
      <c r="G161" s="1" t="s">
        <v>777</v>
      </c>
      <c r="H161" s="1" t="s">
        <v>27</v>
      </c>
      <c r="I161" s="1" t="s">
        <v>28</v>
      </c>
      <c r="J161" s="1" t="s">
        <v>778</v>
      </c>
      <c r="K161" s="1" t="s">
        <v>292</v>
      </c>
      <c r="L161">
        <v>48183</v>
      </c>
      <c r="M161" s="1" t="s">
        <v>96</v>
      </c>
      <c r="N161" s="1" t="s">
        <v>779</v>
      </c>
      <c r="O161" s="1" t="s">
        <v>33</v>
      </c>
      <c r="P161" s="1" t="s">
        <v>59</v>
      </c>
      <c r="Q161" s="1" t="s">
        <v>780</v>
      </c>
      <c r="R161">
        <v>158</v>
      </c>
      <c r="S161">
        <v>11</v>
      </c>
      <c r="T161">
        <v>0</v>
      </c>
      <c r="U161">
        <v>57</v>
      </c>
      <c r="V161" s="1" t="s">
        <v>86</v>
      </c>
      <c r="W161" s="1" t="s">
        <v>51</v>
      </c>
    </row>
    <row r="162" spans="1:23" x14ac:dyDescent="0.35">
      <c r="A162">
        <v>755</v>
      </c>
      <c r="B162" s="1" t="s">
        <v>781</v>
      </c>
      <c r="C162" s="2">
        <v>42345</v>
      </c>
      <c r="D162" s="2">
        <v>42350</v>
      </c>
      <c r="E162" s="1" t="s">
        <v>42</v>
      </c>
      <c r="F162" s="1" t="s">
        <v>782</v>
      </c>
      <c r="G162" s="1" t="s">
        <v>783</v>
      </c>
      <c r="H162" s="1" t="s">
        <v>27</v>
      </c>
      <c r="I162" s="1" t="s">
        <v>28</v>
      </c>
      <c r="J162" s="1" t="s">
        <v>55</v>
      </c>
      <c r="K162" s="1" t="s">
        <v>56</v>
      </c>
      <c r="L162">
        <v>90036</v>
      </c>
      <c r="M162" s="1" t="s">
        <v>57</v>
      </c>
      <c r="N162" s="1" t="s">
        <v>700</v>
      </c>
      <c r="O162" s="1" t="s">
        <v>33</v>
      </c>
      <c r="P162" s="1" t="s">
        <v>59</v>
      </c>
      <c r="Q162" s="1" t="s">
        <v>701</v>
      </c>
      <c r="R162">
        <v>80</v>
      </c>
      <c r="S162">
        <v>4</v>
      </c>
      <c r="T162">
        <v>0</v>
      </c>
      <c r="U162">
        <v>29</v>
      </c>
      <c r="V162" s="1" t="s">
        <v>61</v>
      </c>
      <c r="W162" s="1" t="s">
        <v>99</v>
      </c>
    </row>
    <row r="163" spans="1:23" x14ac:dyDescent="0.35">
      <c r="A163">
        <v>756</v>
      </c>
      <c r="B163" s="1" t="s">
        <v>784</v>
      </c>
      <c r="C163" s="2">
        <v>42631</v>
      </c>
      <c r="D163" s="2">
        <v>42635</v>
      </c>
      <c r="E163" s="1" t="s">
        <v>42</v>
      </c>
      <c r="F163" s="1" t="s">
        <v>785</v>
      </c>
      <c r="G163" s="1" t="s">
        <v>786</v>
      </c>
      <c r="H163" s="1" t="s">
        <v>93</v>
      </c>
      <c r="I163" s="1" t="s">
        <v>28</v>
      </c>
      <c r="J163" s="1" t="s">
        <v>609</v>
      </c>
      <c r="K163" s="1" t="s">
        <v>46</v>
      </c>
      <c r="L163">
        <v>32216</v>
      </c>
      <c r="M163" s="1" t="s">
        <v>31</v>
      </c>
      <c r="N163" s="1" t="s">
        <v>787</v>
      </c>
      <c r="O163" s="1" t="s">
        <v>33</v>
      </c>
      <c r="P163" s="1" t="s">
        <v>48</v>
      </c>
      <c r="Q163" s="1" t="s">
        <v>788</v>
      </c>
      <c r="R163">
        <v>383</v>
      </c>
      <c r="S163">
        <v>4</v>
      </c>
      <c r="T163">
        <v>0.45</v>
      </c>
      <c r="U163">
        <v>-167</v>
      </c>
      <c r="V163" s="1" t="s">
        <v>86</v>
      </c>
      <c r="W163" s="1" t="s">
        <v>80</v>
      </c>
    </row>
    <row r="164" spans="1:23" x14ac:dyDescent="0.35">
      <c r="A164">
        <v>769</v>
      </c>
      <c r="B164" s="1" t="s">
        <v>789</v>
      </c>
      <c r="C164" s="2">
        <v>41773</v>
      </c>
      <c r="D164" s="2">
        <v>41779</v>
      </c>
      <c r="E164" s="1" t="s">
        <v>42</v>
      </c>
      <c r="F164" s="1" t="s">
        <v>790</v>
      </c>
      <c r="G164" s="1" t="s">
        <v>791</v>
      </c>
      <c r="H164" s="1" t="s">
        <v>93</v>
      </c>
      <c r="I164" s="1" t="s">
        <v>28</v>
      </c>
      <c r="J164" s="1" t="s">
        <v>792</v>
      </c>
      <c r="K164" s="1" t="s">
        <v>46</v>
      </c>
      <c r="L164">
        <v>33710</v>
      </c>
      <c r="M164" s="1" t="s">
        <v>31</v>
      </c>
      <c r="N164" s="1" t="s">
        <v>793</v>
      </c>
      <c r="O164" s="1" t="s">
        <v>33</v>
      </c>
      <c r="P164" s="1" t="s">
        <v>59</v>
      </c>
      <c r="Q164" s="1" t="s">
        <v>794</v>
      </c>
      <c r="R164">
        <v>311</v>
      </c>
      <c r="S164">
        <v>2</v>
      </c>
      <c r="T164">
        <v>0.2</v>
      </c>
      <c r="U164">
        <v>23</v>
      </c>
      <c r="V164" s="1" t="s">
        <v>132</v>
      </c>
      <c r="W164" s="1" t="s">
        <v>164</v>
      </c>
    </row>
    <row r="165" spans="1:23" x14ac:dyDescent="0.35">
      <c r="A165">
        <v>770</v>
      </c>
      <c r="B165" s="1" t="s">
        <v>795</v>
      </c>
      <c r="C165" s="2">
        <v>42509</v>
      </c>
      <c r="D165" s="2">
        <v>42514</v>
      </c>
      <c r="E165" s="1" t="s">
        <v>42</v>
      </c>
      <c r="F165" s="1" t="s">
        <v>796</v>
      </c>
      <c r="G165" s="1" t="s">
        <v>797</v>
      </c>
      <c r="H165" s="1" t="s">
        <v>27</v>
      </c>
      <c r="I165" s="1" t="s">
        <v>28</v>
      </c>
      <c r="J165" s="1" t="s">
        <v>692</v>
      </c>
      <c r="K165" s="1" t="s">
        <v>719</v>
      </c>
      <c r="L165">
        <v>22204</v>
      </c>
      <c r="M165" s="1" t="s">
        <v>31</v>
      </c>
      <c r="N165" s="1" t="s">
        <v>798</v>
      </c>
      <c r="O165" s="1" t="s">
        <v>33</v>
      </c>
      <c r="P165" s="1" t="s">
        <v>39</v>
      </c>
      <c r="Q165" s="1" t="s">
        <v>799</v>
      </c>
      <c r="R165">
        <v>642</v>
      </c>
      <c r="S165">
        <v>2</v>
      </c>
      <c r="T165">
        <v>0</v>
      </c>
      <c r="U165">
        <v>180</v>
      </c>
      <c r="V165" s="1" t="s">
        <v>61</v>
      </c>
      <c r="W165" s="1" t="s">
        <v>164</v>
      </c>
    </row>
    <row r="166" spans="1:23" x14ac:dyDescent="0.35">
      <c r="A166">
        <v>776</v>
      </c>
      <c r="B166" s="1" t="s">
        <v>800</v>
      </c>
      <c r="C166" s="2">
        <v>42765</v>
      </c>
      <c r="D166" s="2">
        <v>42771</v>
      </c>
      <c r="E166" s="1" t="s">
        <v>42</v>
      </c>
      <c r="F166" s="1" t="s">
        <v>801</v>
      </c>
      <c r="G166" s="1" t="s">
        <v>802</v>
      </c>
      <c r="H166" s="1" t="s">
        <v>93</v>
      </c>
      <c r="I166" s="1" t="s">
        <v>28</v>
      </c>
      <c r="J166" s="1" t="s">
        <v>803</v>
      </c>
      <c r="K166" s="1" t="s">
        <v>804</v>
      </c>
      <c r="L166">
        <v>50315</v>
      </c>
      <c r="M166" s="1" t="s">
        <v>96</v>
      </c>
      <c r="N166" s="1" t="s">
        <v>805</v>
      </c>
      <c r="O166" s="1" t="s">
        <v>33</v>
      </c>
      <c r="P166" s="1" t="s">
        <v>59</v>
      </c>
      <c r="Q166" s="1" t="s">
        <v>806</v>
      </c>
      <c r="R166">
        <v>35</v>
      </c>
      <c r="S166">
        <v>7</v>
      </c>
      <c r="T166">
        <v>0</v>
      </c>
      <c r="U166">
        <v>15</v>
      </c>
      <c r="V166" s="1" t="s">
        <v>132</v>
      </c>
      <c r="W166" s="1" t="s">
        <v>172</v>
      </c>
    </row>
    <row r="167" spans="1:23" x14ac:dyDescent="0.35">
      <c r="A167">
        <v>778</v>
      </c>
      <c r="B167" s="1" t="s">
        <v>807</v>
      </c>
      <c r="C167" s="2">
        <v>42237</v>
      </c>
      <c r="D167" s="2">
        <v>42239</v>
      </c>
      <c r="E167" s="1" t="s">
        <v>90</v>
      </c>
      <c r="F167" s="1" t="s">
        <v>348</v>
      </c>
      <c r="G167" s="1" t="s">
        <v>349</v>
      </c>
      <c r="H167" s="1" t="s">
        <v>103</v>
      </c>
      <c r="I167" s="1" t="s">
        <v>28</v>
      </c>
      <c r="J167" s="1" t="s">
        <v>331</v>
      </c>
      <c r="K167" s="1" t="s">
        <v>56</v>
      </c>
      <c r="L167">
        <v>94110</v>
      </c>
      <c r="M167" s="1" t="s">
        <v>57</v>
      </c>
      <c r="N167" s="1" t="s">
        <v>808</v>
      </c>
      <c r="O167" s="1" t="s">
        <v>33</v>
      </c>
      <c r="P167" s="1" t="s">
        <v>39</v>
      </c>
      <c r="Q167" s="1" t="s">
        <v>809</v>
      </c>
      <c r="R167">
        <v>544</v>
      </c>
      <c r="S167">
        <v>3</v>
      </c>
      <c r="T167">
        <v>0.2</v>
      </c>
      <c r="U167">
        <v>41</v>
      </c>
      <c r="V167" s="1" t="s">
        <v>73</v>
      </c>
      <c r="W167" s="1" t="s">
        <v>256</v>
      </c>
    </row>
    <row r="168" spans="1:23" x14ac:dyDescent="0.35">
      <c r="A168">
        <v>784</v>
      </c>
      <c r="B168" s="1" t="s">
        <v>810</v>
      </c>
      <c r="C168" s="2">
        <v>42280</v>
      </c>
      <c r="D168" s="2">
        <v>42283</v>
      </c>
      <c r="E168" s="1" t="s">
        <v>24</v>
      </c>
      <c r="F168" s="1" t="s">
        <v>811</v>
      </c>
      <c r="G168" s="1" t="s">
        <v>812</v>
      </c>
      <c r="H168" s="1" t="s">
        <v>27</v>
      </c>
      <c r="I168" s="1" t="s">
        <v>28</v>
      </c>
      <c r="J168" s="1" t="s">
        <v>350</v>
      </c>
      <c r="K168" s="1" t="s">
        <v>234</v>
      </c>
      <c r="L168">
        <v>43229</v>
      </c>
      <c r="M168" s="1" t="s">
        <v>70</v>
      </c>
      <c r="N168" s="1" t="s">
        <v>813</v>
      </c>
      <c r="O168" s="1" t="s">
        <v>33</v>
      </c>
      <c r="P168" s="1" t="s">
        <v>34</v>
      </c>
      <c r="Q168" s="1" t="s">
        <v>814</v>
      </c>
      <c r="R168">
        <v>35</v>
      </c>
      <c r="S168">
        <v>1</v>
      </c>
      <c r="T168">
        <v>0.5</v>
      </c>
      <c r="U168">
        <v>-16</v>
      </c>
      <c r="V168" s="1" t="s">
        <v>36</v>
      </c>
      <c r="W168" s="1" t="s">
        <v>51</v>
      </c>
    </row>
    <row r="169" spans="1:23" x14ac:dyDescent="0.35">
      <c r="A169">
        <v>788</v>
      </c>
      <c r="B169" s="1" t="s">
        <v>815</v>
      </c>
      <c r="C169" s="2">
        <v>42350</v>
      </c>
      <c r="D169" s="2">
        <v>42354</v>
      </c>
      <c r="E169" s="1" t="s">
        <v>42</v>
      </c>
      <c r="F169" s="1" t="s">
        <v>816</v>
      </c>
      <c r="G169" s="1" t="s">
        <v>817</v>
      </c>
      <c r="H169" s="1" t="s">
        <v>27</v>
      </c>
      <c r="I169" s="1" t="s">
        <v>28</v>
      </c>
      <c r="J169" s="1" t="s">
        <v>818</v>
      </c>
      <c r="K169" s="1" t="s">
        <v>56</v>
      </c>
      <c r="L169">
        <v>93534</v>
      </c>
      <c r="M169" s="1" t="s">
        <v>57</v>
      </c>
      <c r="N169" s="1" t="s">
        <v>819</v>
      </c>
      <c r="O169" s="1" t="s">
        <v>33</v>
      </c>
      <c r="P169" s="1" t="s">
        <v>39</v>
      </c>
      <c r="Q169" s="1" t="s">
        <v>820</v>
      </c>
      <c r="R169">
        <v>349</v>
      </c>
      <c r="S169">
        <v>2</v>
      </c>
      <c r="T169">
        <v>0.2</v>
      </c>
      <c r="U169">
        <v>35</v>
      </c>
      <c r="V169" s="1" t="s">
        <v>86</v>
      </c>
      <c r="W169" s="1" t="s">
        <v>99</v>
      </c>
    </row>
    <row r="170" spans="1:23" x14ac:dyDescent="0.35">
      <c r="A170">
        <v>792</v>
      </c>
      <c r="B170" s="1" t="s">
        <v>821</v>
      </c>
      <c r="C170" s="2">
        <v>42181</v>
      </c>
      <c r="D170" s="2">
        <v>42185</v>
      </c>
      <c r="E170" s="1" t="s">
        <v>42</v>
      </c>
      <c r="F170" s="1" t="s">
        <v>822</v>
      </c>
      <c r="G170" s="1" t="s">
        <v>823</v>
      </c>
      <c r="H170" s="1" t="s">
        <v>27</v>
      </c>
      <c r="I170" s="1" t="s">
        <v>28</v>
      </c>
      <c r="J170" s="1" t="s">
        <v>638</v>
      </c>
      <c r="K170" s="1" t="s">
        <v>719</v>
      </c>
      <c r="L170">
        <v>23223</v>
      </c>
      <c r="M170" s="1" t="s">
        <v>31</v>
      </c>
      <c r="N170" s="1" t="s">
        <v>824</v>
      </c>
      <c r="O170" s="1" t="s">
        <v>33</v>
      </c>
      <c r="P170" s="1" t="s">
        <v>39</v>
      </c>
      <c r="Q170" s="1" t="s">
        <v>825</v>
      </c>
      <c r="R170">
        <v>333</v>
      </c>
      <c r="S170">
        <v>3</v>
      </c>
      <c r="T170">
        <v>0</v>
      </c>
      <c r="U170">
        <v>80</v>
      </c>
      <c r="V170" s="1" t="s">
        <v>86</v>
      </c>
      <c r="W170" s="1" t="s">
        <v>62</v>
      </c>
    </row>
    <row r="171" spans="1:23" x14ac:dyDescent="0.35">
      <c r="A171">
        <v>800</v>
      </c>
      <c r="B171" s="1" t="s">
        <v>826</v>
      </c>
      <c r="C171" s="2">
        <v>42335</v>
      </c>
      <c r="D171" s="2">
        <v>42341</v>
      </c>
      <c r="E171" s="1" t="s">
        <v>42</v>
      </c>
      <c r="F171" s="1" t="s">
        <v>827</v>
      </c>
      <c r="G171" s="1" t="s">
        <v>828</v>
      </c>
      <c r="H171" s="1" t="s">
        <v>27</v>
      </c>
      <c r="I171" s="1" t="s">
        <v>28</v>
      </c>
      <c r="J171" s="1" t="s">
        <v>829</v>
      </c>
      <c r="K171" s="1" t="s">
        <v>56</v>
      </c>
      <c r="L171">
        <v>92530</v>
      </c>
      <c r="M171" s="1" t="s">
        <v>57</v>
      </c>
      <c r="N171" s="1" t="s">
        <v>593</v>
      </c>
      <c r="O171" s="1" t="s">
        <v>33</v>
      </c>
      <c r="P171" s="1" t="s">
        <v>39</v>
      </c>
      <c r="Q171" s="1" t="s">
        <v>594</v>
      </c>
      <c r="R171">
        <v>284</v>
      </c>
      <c r="S171">
        <v>5</v>
      </c>
      <c r="T171">
        <v>0.2</v>
      </c>
      <c r="U171">
        <v>18</v>
      </c>
      <c r="V171" s="1" t="s">
        <v>132</v>
      </c>
      <c r="W171" s="1" t="s">
        <v>37</v>
      </c>
    </row>
    <row r="172" spans="1:23" x14ac:dyDescent="0.35">
      <c r="A172">
        <v>801</v>
      </c>
      <c r="B172" s="1" t="s">
        <v>830</v>
      </c>
      <c r="C172" s="2">
        <v>42786</v>
      </c>
      <c r="D172" s="2">
        <v>42789</v>
      </c>
      <c r="E172" s="1" t="s">
        <v>90</v>
      </c>
      <c r="F172" s="1" t="s">
        <v>831</v>
      </c>
      <c r="G172" s="1" t="s">
        <v>832</v>
      </c>
      <c r="H172" s="1" t="s">
        <v>93</v>
      </c>
      <c r="I172" s="1" t="s">
        <v>28</v>
      </c>
      <c r="J172" s="1" t="s">
        <v>642</v>
      </c>
      <c r="K172" s="1" t="s">
        <v>56</v>
      </c>
      <c r="L172">
        <v>92105</v>
      </c>
      <c r="M172" s="1" t="s">
        <v>57</v>
      </c>
      <c r="N172" s="1" t="s">
        <v>833</v>
      </c>
      <c r="O172" s="1" t="s">
        <v>33</v>
      </c>
      <c r="P172" s="1" t="s">
        <v>59</v>
      </c>
      <c r="Q172" s="1" t="s">
        <v>834</v>
      </c>
      <c r="R172">
        <v>22</v>
      </c>
      <c r="S172">
        <v>1</v>
      </c>
      <c r="T172">
        <v>0</v>
      </c>
      <c r="U172">
        <v>7</v>
      </c>
      <c r="V172" s="1" t="s">
        <v>36</v>
      </c>
      <c r="W172" s="1" t="s">
        <v>300</v>
      </c>
    </row>
    <row r="173" spans="1:23" x14ac:dyDescent="0.35">
      <c r="A173">
        <v>805</v>
      </c>
      <c r="B173" s="1" t="s">
        <v>835</v>
      </c>
      <c r="C173" s="2">
        <v>42847</v>
      </c>
      <c r="D173" s="2">
        <v>42849</v>
      </c>
      <c r="E173" s="1" t="s">
        <v>90</v>
      </c>
      <c r="F173" s="1" t="s">
        <v>836</v>
      </c>
      <c r="G173" s="1" t="s">
        <v>837</v>
      </c>
      <c r="H173" s="1" t="s">
        <v>27</v>
      </c>
      <c r="I173" s="1" t="s">
        <v>28</v>
      </c>
      <c r="J173" s="1" t="s">
        <v>331</v>
      </c>
      <c r="K173" s="1" t="s">
        <v>56</v>
      </c>
      <c r="L173">
        <v>94122</v>
      </c>
      <c r="M173" s="1" t="s">
        <v>57</v>
      </c>
      <c r="N173" s="1" t="s">
        <v>838</v>
      </c>
      <c r="O173" s="1" t="s">
        <v>33</v>
      </c>
      <c r="P173" s="1" t="s">
        <v>59</v>
      </c>
      <c r="Q173" s="1" t="s">
        <v>839</v>
      </c>
      <c r="R173">
        <v>18</v>
      </c>
      <c r="S173">
        <v>2</v>
      </c>
      <c r="T173">
        <v>0</v>
      </c>
      <c r="U173">
        <v>6</v>
      </c>
      <c r="V173" s="1" t="s">
        <v>73</v>
      </c>
      <c r="W173" s="1" t="s">
        <v>116</v>
      </c>
    </row>
    <row r="174" spans="1:23" x14ac:dyDescent="0.35">
      <c r="A174">
        <v>808</v>
      </c>
      <c r="B174" s="1" t="s">
        <v>840</v>
      </c>
      <c r="C174" s="2">
        <v>42038</v>
      </c>
      <c r="D174" s="2">
        <v>42040</v>
      </c>
      <c r="E174" s="1" t="s">
        <v>90</v>
      </c>
      <c r="F174" s="1" t="s">
        <v>841</v>
      </c>
      <c r="G174" s="1" t="s">
        <v>842</v>
      </c>
      <c r="H174" s="1" t="s">
        <v>27</v>
      </c>
      <c r="I174" s="1" t="s">
        <v>28</v>
      </c>
      <c r="J174" s="1" t="s">
        <v>843</v>
      </c>
      <c r="K174" s="1" t="s">
        <v>844</v>
      </c>
      <c r="L174">
        <v>68104</v>
      </c>
      <c r="M174" s="1" t="s">
        <v>96</v>
      </c>
      <c r="N174" s="1" t="s">
        <v>488</v>
      </c>
      <c r="O174" s="1" t="s">
        <v>33</v>
      </c>
      <c r="P174" s="1" t="s">
        <v>59</v>
      </c>
      <c r="Q174" s="1" t="s">
        <v>489</v>
      </c>
      <c r="R174">
        <v>28</v>
      </c>
      <c r="S174">
        <v>2</v>
      </c>
      <c r="T174">
        <v>0</v>
      </c>
      <c r="U174">
        <v>11</v>
      </c>
      <c r="V174" s="1" t="s">
        <v>73</v>
      </c>
      <c r="W174" s="1" t="s">
        <v>300</v>
      </c>
    </row>
    <row r="175" spans="1:23" x14ac:dyDescent="0.35">
      <c r="A175">
        <v>811</v>
      </c>
      <c r="B175" s="1" t="s">
        <v>845</v>
      </c>
      <c r="C175" s="2">
        <v>41925</v>
      </c>
      <c r="D175" s="2">
        <v>41927</v>
      </c>
      <c r="E175" s="1" t="s">
        <v>90</v>
      </c>
      <c r="F175" s="1" t="s">
        <v>846</v>
      </c>
      <c r="G175" s="1" t="s">
        <v>847</v>
      </c>
      <c r="H175" s="1" t="s">
        <v>27</v>
      </c>
      <c r="I175" s="1" t="s">
        <v>28</v>
      </c>
      <c r="J175" s="1" t="s">
        <v>848</v>
      </c>
      <c r="K175" s="1" t="s">
        <v>195</v>
      </c>
      <c r="L175">
        <v>98026</v>
      </c>
      <c r="M175" s="1" t="s">
        <v>57</v>
      </c>
      <c r="N175" s="1" t="s">
        <v>345</v>
      </c>
      <c r="O175" s="1" t="s">
        <v>33</v>
      </c>
      <c r="P175" s="1" t="s">
        <v>48</v>
      </c>
      <c r="Q175" s="1" t="s">
        <v>346</v>
      </c>
      <c r="R175">
        <v>1299</v>
      </c>
      <c r="S175">
        <v>5</v>
      </c>
      <c r="T175">
        <v>0</v>
      </c>
      <c r="U175">
        <v>312</v>
      </c>
      <c r="V175" s="1" t="s">
        <v>73</v>
      </c>
      <c r="W175" s="1" t="s">
        <v>51</v>
      </c>
    </row>
    <row r="176" spans="1:23" x14ac:dyDescent="0.35">
      <c r="A176">
        <v>814</v>
      </c>
      <c r="B176" s="1" t="s">
        <v>849</v>
      </c>
      <c r="C176" s="2">
        <v>42869</v>
      </c>
      <c r="D176" s="2">
        <v>42869</v>
      </c>
      <c r="E176" s="1" t="s">
        <v>428</v>
      </c>
      <c r="F176" s="1" t="s">
        <v>850</v>
      </c>
      <c r="G176" s="1" t="s">
        <v>851</v>
      </c>
      <c r="H176" s="1" t="s">
        <v>27</v>
      </c>
      <c r="I176" s="1" t="s">
        <v>28</v>
      </c>
      <c r="J176" s="1" t="s">
        <v>852</v>
      </c>
      <c r="K176" s="1" t="s">
        <v>56</v>
      </c>
      <c r="L176">
        <v>92704</v>
      </c>
      <c r="M176" s="1" t="s">
        <v>57</v>
      </c>
      <c r="N176" s="1" t="s">
        <v>838</v>
      </c>
      <c r="O176" s="1" t="s">
        <v>33</v>
      </c>
      <c r="P176" s="1" t="s">
        <v>59</v>
      </c>
      <c r="Q176" s="1" t="s">
        <v>839</v>
      </c>
      <c r="R176">
        <v>18</v>
      </c>
      <c r="S176">
        <v>2</v>
      </c>
      <c r="T176">
        <v>0</v>
      </c>
      <c r="U176">
        <v>6</v>
      </c>
      <c r="V176" s="1" t="s">
        <v>433</v>
      </c>
      <c r="W176" s="1" t="s">
        <v>164</v>
      </c>
    </row>
    <row r="177" spans="1:23" x14ac:dyDescent="0.35">
      <c r="A177">
        <v>820</v>
      </c>
      <c r="B177" s="1" t="s">
        <v>853</v>
      </c>
      <c r="C177" s="2">
        <v>41818</v>
      </c>
      <c r="D177" s="2">
        <v>41822</v>
      </c>
      <c r="E177" s="1" t="s">
        <v>42</v>
      </c>
      <c r="F177" s="1" t="s">
        <v>621</v>
      </c>
      <c r="G177" s="1" t="s">
        <v>622</v>
      </c>
      <c r="H177" s="1" t="s">
        <v>27</v>
      </c>
      <c r="I177" s="1" t="s">
        <v>28</v>
      </c>
      <c r="J177" s="1" t="s">
        <v>68</v>
      </c>
      <c r="K177" s="1" t="s">
        <v>69</v>
      </c>
      <c r="L177">
        <v>19140</v>
      </c>
      <c r="M177" s="1" t="s">
        <v>70</v>
      </c>
      <c r="N177" s="1" t="s">
        <v>854</v>
      </c>
      <c r="O177" s="1" t="s">
        <v>33</v>
      </c>
      <c r="P177" s="1" t="s">
        <v>39</v>
      </c>
      <c r="Q177" s="1" t="s">
        <v>855</v>
      </c>
      <c r="R177">
        <v>1228</v>
      </c>
      <c r="S177">
        <v>5</v>
      </c>
      <c r="T177">
        <v>0.3</v>
      </c>
      <c r="U177">
        <v>0</v>
      </c>
      <c r="V177" s="1" t="s">
        <v>86</v>
      </c>
      <c r="W177" s="1" t="s">
        <v>62</v>
      </c>
    </row>
    <row r="178" spans="1:23" x14ac:dyDescent="0.35">
      <c r="A178">
        <v>830</v>
      </c>
      <c r="B178" s="1" t="s">
        <v>856</v>
      </c>
      <c r="C178" s="2">
        <v>42902</v>
      </c>
      <c r="D178" s="2">
        <v>42907</v>
      </c>
      <c r="E178" s="1" t="s">
        <v>24</v>
      </c>
      <c r="F178" s="1" t="s">
        <v>141</v>
      </c>
      <c r="G178" s="1" t="s">
        <v>142</v>
      </c>
      <c r="H178" s="1" t="s">
        <v>27</v>
      </c>
      <c r="I178" s="1" t="s">
        <v>28</v>
      </c>
      <c r="J178" s="1" t="s">
        <v>857</v>
      </c>
      <c r="K178" s="1" t="s">
        <v>30</v>
      </c>
      <c r="L178">
        <v>41042</v>
      </c>
      <c r="M178" s="1" t="s">
        <v>31</v>
      </c>
      <c r="N178" s="1" t="s">
        <v>858</v>
      </c>
      <c r="O178" s="1" t="s">
        <v>33</v>
      </c>
      <c r="P178" s="1" t="s">
        <v>39</v>
      </c>
      <c r="Q178" s="1" t="s">
        <v>859</v>
      </c>
      <c r="R178">
        <v>302</v>
      </c>
      <c r="S178">
        <v>2</v>
      </c>
      <c r="T178">
        <v>0</v>
      </c>
      <c r="U178">
        <v>91</v>
      </c>
      <c r="V178" s="1" t="s">
        <v>61</v>
      </c>
      <c r="W178" s="1" t="s">
        <v>62</v>
      </c>
    </row>
    <row r="179" spans="1:23" x14ac:dyDescent="0.35">
      <c r="A179">
        <v>842</v>
      </c>
      <c r="B179" s="1" t="s">
        <v>860</v>
      </c>
      <c r="C179" s="2">
        <v>42328</v>
      </c>
      <c r="D179" s="2">
        <v>42333</v>
      </c>
      <c r="E179" s="1" t="s">
        <v>42</v>
      </c>
      <c r="F179" s="1" t="s">
        <v>861</v>
      </c>
      <c r="G179" s="1" t="s">
        <v>862</v>
      </c>
      <c r="H179" s="1" t="s">
        <v>93</v>
      </c>
      <c r="I179" s="1" t="s">
        <v>28</v>
      </c>
      <c r="J179" s="1" t="s">
        <v>176</v>
      </c>
      <c r="K179" s="1" t="s">
        <v>123</v>
      </c>
      <c r="L179">
        <v>10035</v>
      </c>
      <c r="M179" s="1" t="s">
        <v>70</v>
      </c>
      <c r="N179" s="1" t="s">
        <v>863</v>
      </c>
      <c r="O179" s="1" t="s">
        <v>33</v>
      </c>
      <c r="P179" s="1" t="s">
        <v>34</v>
      </c>
      <c r="Q179" s="1" t="s">
        <v>864</v>
      </c>
      <c r="R179">
        <v>186</v>
      </c>
      <c r="S179">
        <v>4</v>
      </c>
      <c r="T179">
        <v>0.2</v>
      </c>
      <c r="U179">
        <v>9</v>
      </c>
      <c r="V179" s="1" t="s">
        <v>61</v>
      </c>
      <c r="W179" s="1" t="s">
        <v>37</v>
      </c>
    </row>
    <row r="180" spans="1:23" x14ac:dyDescent="0.35">
      <c r="A180">
        <v>848</v>
      </c>
      <c r="B180" s="1" t="s">
        <v>865</v>
      </c>
      <c r="C180" s="2">
        <v>42290</v>
      </c>
      <c r="D180" s="2">
        <v>42294</v>
      </c>
      <c r="E180" s="1" t="s">
        <v>42</v>
      </c>
      <c r="F180" s="1" t="s">
        <v>866</v>
      </c>
      <c r="G180" s="1" t="s">
        <v>867</v>
      </c>
      <c r="H180" s="1" t="s">
        <v>27</v>
      </c>
      <c r="I180" s="1" t="s">
        <v>28</v>
      </c>
      <c r="J180" s="1" t="s">
        <v>868</v>
      </c>
      <c r="K180" s="1" t="s">
        <v>30</v>
      </c>
      <c r="L180">
        <v>40214</v>
      </c>
      <c r="M180" s="1" t="s">
        <v>31</v>
      </c>
      <c r="N180" s="1" t="s">
        <v>359</v>
      </c>
      <c r="O180" s="1" t="s">
        <v>33</v>
      </c>
      <c r="P180" s="1" t="s">
        <v>39</v>
      </c>
      <c r="Q180" s="1" t="s">
        <v>360</v>
      </c>
      <c r="R180">
        <v>288</v>
      </c>
      <c r="S180">
        <v>3</v>
      </c>
      <c r="T180">
        <v>0</v>
      </c>
      <c r="U180">
        <v>78</v>
      </c>
      <c r="V180" s="1" t="s">
        <v>86</v>
      </c>
      <c r="W180" s="1" t="s">
        <v>51</v>
      </c>
    </row>
    <row r="181" spans="1:23" x14ac:dyDescent="0.35">
      <c r="A181">
        <v>849</v>
      </c>
      <c r="B181" s="1" t="s">
        <v>869</v>
      </c>
      <c r="C181" s="2">
        <v>42736</v>
      </c>
      <c r="D181" s="2">
        <v>42741</v>
      </c>
      <c r="E181" s="1" t="s">
        <v>42</v>
      </c>
      <c r="F181" s="1" t="s">
        <v>870</v>
      </c>
      <c r="G181" s="1" t="s">
        <v>871</v>
      </c>
      <c r="H181" s="1" t="s">
        <v>27</v>
      </c>
      <c r="I181" s="1" t="s">
        <v>28</v>
      </c>
      <c r="J181" s="1" t="s">
        <v>872</v>
      </c>
      <c r="K181" s="1" t="s">
        <v>234</v>
      </c>
      <c r="L181">
        <v>44052</v>
      </c>
      <c r="M181" s="1" t="s">
        <v>70</v>
      </c>
      <c r="N181" s="1" t="s">
        <v>873</v>
      </c>
      <c r="O181" s="1" t="s">
        <v>33</v>
      </c>
      <c r="P181" s="1" t="s">
        <v>59</v>
      </c>
      <c r="Q181" s="1" t="s">
        <v>874</v>
      </c>
      <c r="R181">
        <v>49</v>
      </c>
      <c r="S181">
        <v>4</v>
      </c>
      <c r="T181">
        <v>0.2</v>
      </c>
      <c r="U181">
        <v>9</v>
      </c>
      <c r="V181" s="1" t="s">
        <v>61</v>
      </c>
      <c r="W181" s="1" t="s">
        <v>172</v>
      </c>
    </row>
    <row r="182" spans="1:23" x14ac:dyDescent="0.35">
      <c r="A182">
        <v>854</v>
      </c>
      <c r="B182" s="1" t="s">
        <v>875</v>
      </c>
      <c r="C182" s="2">
        <v>42419</v>
      </c>
      <c r="D182" s="2">
        <v>42424</v>
      </c>
      <c r="E182" s="1" t="s">
        <v>42</v>
      </c>
      <c r="F182" s="1" t="s">
        <v>876</v>
      </c>
      <c r="G182" s="1" t="s">
        <v>877</v>
      </c>
      <c r="H182" s="1" t="s">
        <v>27</v>
      </c>
      <c r="I182" s="1" t="s">
        <v>28</v>
      </c>
      <c r="J182" s="1" t="s">
        <v>176</v>
      </c>
      <c r="K182" s="1" t="s">
        <v>123</v>
      </c>
      <c r="L182">
        <v>10035</v>
      </c>
      <c r="M182" s="1" t="s">
        <v>70</v>
      </c>
      <c r="N182" s="1" t="s">
        <v>833</v>
      </c>
      <c r="O182" s="1" t="s">
        <v>33</v>
      </c>
      <c r="P182" s="1" t="s">
        <v>59</v>
      </c>
      <c r="Q182" s="1" t="s">
        <v>834</v>
      </c>
      <c r="R182">
        <v>44</v>
      </c>
      <c r="S182">
        <v>2</v>
      </c>
      <c r="T182">
        <v>0</v>
      </c>
      <c r="U182">
        <v>15</v>
      </c>
      <c r="V182" s="1" t="s">
        <v>61</v>
      </c>
      <c r="W182" s="1" t="s">
        <v>300</v>
      </c>
    </row>
    <row r="183" spans="1:23" x14ac:dyDescent="0.35">
      <c r="A183">
        <v>867</v>
      </c>
      <c r="B183" s="1" t="s">
        <v>878</v>
      </c>
      <c r="C183" s="2">
        <v>41649</v>
      </c>
      <c r="D183" s="2">
        <v>41654</v>
      </c>
      <c r="E183" s="1" t="s">
        <v>42</v>
      </c>
      <c r="F183" s="1" t="s">
        <v>879</v>
      </c>
      <c r="G183" s="1" t="s">
        <v>880</v>
      </c>
      <c r="H183" s="1" t="s">
        <v>93</v>
      </c>
      <c r="I183" s="1" t="s">
        <v>28</v>
      </c>
      <c r="J183" s="1" t="s">
        <v>881</v>
      </c>
      <c r="K183" s="1" t="s">
        <v>719</v>
      </c>
      <c r="L183">
        <v>22153</v>
      </c>
      <c r="M183" s="1" t="s">
        <v>31</v>
      </c>
      <c r="N183" s="1" t="s">
        <v>882</v>
      </c>
      <c r="O183" s="1" t="s">
        <v>33</v>
      </c>
      <c r="P183" s="1" t="s">
        <v>59</v>
      </c>
      <c r="Q183" s="1" t="s">
        <v>883</v>
      </c>
      <c r="R183">
        <v>52</v>
      </c>
      <c r="S183">
        <v>1</v>
      </c>
      <c r="T183">
        <v>0</v>
      </c>
      <c r="U183">
        <v>21</v>
      </c>
      <c r="V183" s="1" t="s">
        <v>61</v>
      </c>
      <c r="W183" s="1" t="s">
        <v>172</v>
      </c>
    </row>
    <row r="184" spans="1:23" x14ac:dyDescent="0.35">
      <c r="A184">
        <v>876</v>
      </c>
      <c r="B184" s="1" t="s">
        <v>884</v>
      </c>
      <c r="C184" s="2">
        <v>42386</v>
      </c>
      <c r="D184" s="2">
        <v>42390</v>
      </c>
      <c r="E184" s="1" t="s">
        <v>42</v>
      </c>
      <c r="F184" s="1" t="s">
        <v>885</v>
      </c>
      <c r="G184" s="1" t="s">
        <v>886</v>
      </c>
      <c r="H184" s="1" t="s">
        <v>103</v>
      </c>
      <c r="I184" s="1" t="s">
        <v>28</v>
      </c>
      <c r="J184" s="1" t="s">
        <v>512</v>
      </c>
      <c r="K184" s="1" t="s">
        <v>887</v>
      </c>
      <c r="L184">
        <v>3301</v>
      </c>
      <c r="M184" s="1" t="s">
        <v>70</v>
      </c>
      <c r="N184" s="1" t="s">
        <v>311</v>
      </c>
      <c r="O184" s="1" t="s">
        <v>33</v>
      </c>
      <c r="P184" s="1" t="s">
        <v>59</v>
      </c>
      <c r="Q184" s="1" t="s">
        <v>312</v>
      </c>
      <c r="R184">
        <v>323</v>
      </c>
      <c r="S184">
        <v>3</v>
      </c>
      <c r="T184">
        <v>0</v>
      </c>
      <c r="U184">
        <v>65</v>
      </c>
      <c r="V184" s="1" t="s">
        <v>86</v>
      </c>
      <c r="W184" s="1" t="s">
        <v>172</v>
      </c>
    </row>
    <row r="185" spans="1:23" x14ac:dyDescent="0.35">
      <c r="A185">
        <v>881</v>
      </c>
      <c r="B185" s="1" t="s">
        <v>888</v>
      </c>
      <c r="C185" s="2">
        <v>43069</v>
      </c>
      <c r="D185" s="2">
        <v>43071</v>
      </c>
      <c r="E185" s="1" t="s">
        <v>24</v>
      </c>
      <c r="F185" s="1" t="s">
        <v>889</v>
      </c>
      <c r="G185" s="1" t="s">
        <v>890</v>
      </c>
      <c r="H185" s="1" t="s">
        <v>103</v>
      </c>
      <c r="I185" s="1" t="s">
        <v>28</v>
      </c>
      <c r="J185" s="1" t="s">
        <v>176</v>
      </c>
      <c r="K185" s="1" t="s">
        <v>123</v>
      </c>
      <c r="L185">
        <v>10024</v>
      </c>
      <c r="M185" s="1" t="s">
        <v>70</v>
      </c>
      <c r="N185" s="1" t="s">
        <v>249</v>
      </c>
      <c r="O185" s="1" t="s">
        <v>33</v>
      </c>
      <c r="P185" s="1" t="s">
        <v>39</v>
      </c>
      <c r="Q185" s="1" t="s">
        <v>250</v>
      </c>
      <c r="R185">
        <v>1243</v>
      </c>
      <c r="S185">
        <v>5</v>
      </c>
      <c r="T185">
        <v>0.1</v>
      </c>
      <c r="U185">
        <v>262</v>
      </c>
      <c r="V185" s="1" t="s">
        <v>73</v>
      </c>
      <c r="W185" s="1" t="s">
        <v>37</v>
      </c>
    </row>
    <row r="186" spans="1:23" x14ac:dyDescent="0.35">
      <c r="A186">
        <v>884</v>
      </c>
      <c r="B186" s="1" t="s">
        <v>891</v>
      </c>
      <c r="C186" s="2">
        <v>42665</v>
      </c>
      <c r="D186" s="2">
        <v>42667</v>
      </c>
      <c r="E186" s="1" t="s">
        <v>90</v>
      </c>
      <c r="F186" s="1" t="s">
        <v>892</v>
      </c>
      <c r="G186" s="1" t="s">
        <v>893</v>
      </c>
      <c r="H186" s="1" t="s">
        <v>103</v>
      </c>
      <c r="I186" s="1" t="s">
        <v>28</v>
      </c>
      <c r="J186" s="1" t="s">
        <v>291</v>
      </c>
      <c r="K186" s="1" t="s">
        <v>292</v>
      </c>
      <c r="L186">
        <v>48227</v>
      </c>
      <c r="M186" s="1" t="s">
        <v>96</v>
      </c>
      <c r="N186" s="1" t="s">
        <v>680</v>
      </c>
      <c r="O186" s="1" t="s">
        <v>33</v>
      </c>
      <c r="P186" s="1" t="s">
        <v>59</v>
      </c>
      <c r="Q186" s="1" t="s">
        <v>681</v>
      </c>
      <c r="R186">
        <v>31</v>
      </c>
      <c r="S186">
        <v>5</v>
      </c>
      <c r="T186">
        <v>0</v>
      </c>
      <c r="U186">
        <v>10</v>
      </c>
      <c r="V186" s="1" t="s">
        <v>73</v>
      </c>
      <c r="W186" s="1" t="s">
        <v>51</v>
      </c>
    </row>
    <row r="187" spans="1:23" x14ac:dyDescent="0.35">
      <c r="A187">
        <v>885</v>
      </c>
      <c r="B187" s="1" t="s">
        <v>894</v>
      </c>
      <c r="C187" s="2">
        <v>41758</v>
      </c>
      <c r="D187" s="2">
        <v>41763</v>
      </c>
      <c r="E187" s="1" t="s">
        <v>42</v>
      </c>
      <c r="F187" s="1" t="s">
        <v>895</v>
      </c>
      <c r="G187" s="1" t="s">
        <v>896</v>
      </c>
      <c r="H187" s="1" t="s">
        <v>27</v>
      </c>
      <c r="I187" s="1" t="s">
        <v>28</v>
      </c>
      <c r="J187" s="1" t="s">
        <v>897</v>
      </c>
      <c r="K187" s="1" t="s">
        <v>123</v>
      </c>
      <c r="L187">
        <v>14609</v>
      </c>
      <c r="M187" s="1" t="s">
        <v>70</v>
      </c>
      <c r="N187" s="1" t="s">
        <v>898</v>
      </c>
      <c r="O187" s="1" t="s">
        <v>33</v>
      </c>
      <c r="P187" s="1" t="s">
        <v>59</v>
      </c>
      <c r="Q187" s="1" t="s">
        <v>899</v>
      </c>
      <c r="R187">
        <v>17</v>
      </c>
      <c r="S187">
        <v>2</v>
      </c>
      <c r="T187">
        <v>0</v>
      </c>
      <c r="U187">
        <v>6</v>
      </c>
      <c r="V187" s="1" t="s">
        <v>61</v>
      </c>
      <c r="W187" s="1" t="s">
        <v>116</v>
      </c>
    </row>
    <row r="188" spans="1:23" x14ac:dyDescent="0.35">
      <c r="A188">
        <v>907</v>
      </c>
      <c r="B188" s="1" t="s">
        <v>900</v>
      </c>
      <c r="C188" s="2">
        <v>43099</v>
      </c>
      <c r="D188" s="2">
        <v>43103</v>
      </c>
      <c r="E188" s="1" t="s">
        <v>42</v>
      </c>
      <c r="F188" s="1" t="s">
        <v>158</v>
      </c>
      <c r="G188" s="1" t="s">
        <v>159</v>
      </c>
      <c r="H188" s="1" t="s">
        <v>27</v>
      </c>
      <c r="I188" s="1" t="s">
        <v>28</v>
      </c>
      <c r="J188" s="1" t="s">
        <v>176</v>
      </c>
      <c r="K188" s="1" t="s">
        <v>123</v>
      </c>
      <c r="L188">
        <v>10009</v>
      </c>
      <c r="M188" s="1" t="s">
        <v>70</v>
      </c>
      <c r="N188" s="1" t="s">
        <v>901</v>
      </c>
      <c r="O188" s="1" t="s">
        <v>33</v>
      </c>
      <c r="P188" s="1" t="s">
        <v>34</v>
      </c>
      <c r="Q188" s="1" t="s">
        <v>902</v>
      </c>
      <c r="R188">
        <v>323</v>
      </c>
      <c r="S188">
        <v>4</v>
      </c>
      <c r="T188">
        <v>0.2</v>
      </c>
      <c r="U188">
        <v>12</v>
      </c>
      <c r="V188" s="1" t="s">
        <v>86</v>
      </c>
      <c r="W188" s="1" t="s">
        <v>99</v>
      </c>
    </row>
    <row r="189" spans="1:23" x14ac:dyDescent="0.35">
      <c r="A189">
        <v>913</v>
      </c>
      <c r="B189" s="1" t="s">
        <v>903</v>
      </c>
      <c r="C189" s="2">
        <v>42155</v>
      </c>
      <c r="D189" s="2">
        <v>42162</v>
      </c>
      <c r="E189" s="1" t="s">
        <v>42</v>
      </c>
      <c r="F189" s="1" t="s">
        <v>904</v>
      </c>
      <c r="G189" s="1" t="s">
        <v>905</v>
      </c>
      <c r="H189" s="1" t="s">
        <v>103</v>
      </c>
      <c r="I189" s="1" t="s">
        <v>28</v>
      </c>
      <c r="J189" s="1" t="s">
        <v>906</v>
      </c>
      <c r="K189" s="1" t="s">
        <v>432</v>
      </c>
      <c r="L189">
        <v>6360</v>
      </c>
      <c r="M189" s="1" t="s">
        <v>70</v>
      </c>
      <c r="N189" s="1" t="s">
        <v>449</v>
      </c>
      <c r="O189" s="1" t="s">
        <v>33</v>
      </c>
      <c r="P189" s="1" t="s">
        <v>59</v>
      </c>
      <c r="Q189" s="1" t="s">
        <v>450</v>
      </c>
      <c r="R189">
        <v>22</v>
      </c>
      <c r="S189">
        <v>6</v>
      </c>
      <c r="T189">
        <v>0</v>
      </c>
      <c r="U189">
        <v>9</v>
      </c>
      <c r="V189" s="1" t="s">
        <v>50</v>
      </c>
      <c r="W189" s="1" t="s">
        <v>164</v>
      </c>
    </row>
    <row r="190" spans="1:23" x14ac:dyDescent="0.35">
      <c r="A190">
        <v>914</v>
      </c>
      <c r="B190" s="1" t="s">
        <v>907</v>
      </c>
      <c r="C190" s="2">
        <v>43066</v>
      </c>
      <c r="D190" s="2">
        <v>43068</v>
      </c>
      <c r="E190" s="1" t="s">
        <v>90</v>
      </c>
      <c r="F190" s="1" t="s">
        <v>861</v>
      </c>
      <c r="G190" s="1" t="s">
        <v>862</v>
      </c>
      <c r="H190" s="1" t="s">
        <v>93</v>
      </c>
      <c r="I190" s="1" t="s">
        <v>28</v>
      </c>
      <c r="J190" s="1" t="s">
        <v>908</v>
      </c>
      <c r="K190" s="1" t="s">
        <v>241</v>
      </c>
      <c r="L190">
        <v>53209</v>
      </c>
      <c r="M190" s="1" t="s">
        <v>96</v>
      </c>
      <c r="N190" s="1" t="s">
        <v>357</v>
      </c>
      <c r="O190" s="1" t="s">
        <v>33</v>
      </c>
      <c r="P190" s="1" t="s">
        <v>59</v>
      </c>
      <c r="Q190" s="1" t="s">
        <v>358</v>
      </c>
      <c r="R190">
        <v>47</v>
      </c>
      <c r="S190">
        <v>1</v>
      </c>
      <c r="T190">
        <v>0</v>
      </c>
      <c r="U190">
        <v>19</v>
      </c>
      <c r="V190" s="1" t="s">
        <v>73</v>
      </c>
      <c r="W190" s="1" t="s">
        <v>37</v>
      </c>
    </row>
    <row r="191" spans="1:23" x14ac:dyDescent="0.35">
      <c r="A191">
        <v>916</v>
      </c>
      <c r="B191" s="1" t="s">
        <v>909</v>
      </c>
      <c r="C191" s="2">
        <v>41805</v>
      </c>
      <c r="D191" s="2">
        <v>41811</v>
      </c>
      <c r="E191" s="1" t="s">
        <v>42</v>
      </c>
      <c r="F191" s="1" t="s">
        <v>354</v>
      </c>
      <c r="G191" s="1" t="s">
        <v>355</v>
      </c>
      <c r="H191" s="1" t="s">
        <v>93</v>
      </c>
      <c r="I191" s="1" t="s">
        <v>28</v>
      </c>
      <c r="J191" s="1" t="s">
        <v>248</v>
      </c>
      <c r="K191" s="1" t="s">
        <v>95</v>
      </c>
      <c r="L191">
        <v>78207</v>
      </c>
      <c r="M191" s="1" t="s">
        <v>96</v>
      </c>
      <c r="N191" s="1" t="s">
        <v>910</v>
      </c>
      <c r="O191" s="1" t="s">
        <v>33</v>
      </c>
      <c r="P191" s="1" t="s">
        <v>48</v>
      </c>
      <c r="Q191" s="1" t="s">
        <v>911</v>
      </c>
      <c r="R191">
        <v>100</v>
      </c>
      <c r="S191">
        <v>2</v>
      </c>
      <c r="T191">
        <v>0.3</v>
      </c>
      <c r="U191">
        <v>-19</v>
      </c>
      <c r="V191" s="1" t="s">
        <v>132</v>
      </c>
      <c r="W191" s="1" t="s">
        <v>62</v>
      </c>
    </row>
    <row r="192" spans="1:23" x14ac:dyDescent="0.35">
      <c r="A192">
        <v>917</v>
      </c>
      <c r="B192" s="1" t="s">
        <v>909</v>
      </c>
      <c r="C192" s="2">
        <v>41805</v>
      </c>
      <c r="D192" s="2">
        <v>41811</v>
      </c>
      <c r="E192" s="1" t="s">
        <v>42</v>
      </c>
      <c r="F192" s="1" t="s">
        <v>354</v>
      </c>
      <c r="G192" s="1" t="s">
        <v>355</v>
      </c>
      <c r="H192" s="1" t="s">
        <v>93</v>
      </c>
      <c r="I192" s="1" t="s">
        <v>28</v>
      </c>
      <c r="J192" s="1" t="s">
        <v>248</v>
      </c>
      <c r="K192" s="1" t="s">
        <v>95</v>
      </c>
      <c r="L192">
        <v>78207</v>
      </c>
      <c r="M192" s="1" t="s">
        <v>96</v>
      </c>
      <c r="N192" s="1" t="s">
        <v>578</v>
      </c>
      <c r="O192" s="1" t="s">
        <v>33</v>
      </c>
      <c r="P192" s="1" t="s">
        <v>39</v>
      </c>
      <c r="Q192" s="1" t="s">
        <v>579</v>
      </c>
      <c r="R192">
        <v>798</v>
      </c>
      <c r="S192">
        <v>4</v>
      </c>
      <c r="T192">
        <v>0.3</v>
      </c>
      <c r="U192">
        <v>-57</v>
      </c>
      <c r="V192" s="1" t="s">
        <v>132</v>
      </c>
      <c r="W192" s="1" t="s">
        <v>62</v>
      </c>
    </row>
    <row r="193" spans="1:23" x14ac:dyDescent="0.35">
      <c r="A193">
        <v>943</v>
      </c>
      <c r="B193" s="1" t="s">
        <v>912</v>
      </c>
      <c r="C193" s="2">
        <v>42717</v>
      </c>
      <c r="D193" s="2">
        <v>42724</v>
      </c>
      <c r="E193" s="1" t="s">
        <v>42</v>
      </c>
      <c r="F193" s="1" t="s">
        <v>913</v>
      </c>
      <c r="G193" s="1" t="s">
        <v>914</v>
      </c>
      <c r="H193" s="1" t="s">
        <v>93</v>
      </c>
      <c r="I193" s="1" t="s">
        <v>28</v>
      </c>
      <c r="J193" s="1" t="s">
        <v>915</v>
      </c>
      <c r="K193" s="1" t="s">
        <v>56</v>
      </c>
      <c r="L193">
        <v>90503</v>
      </c>
      <c r="M193" s="1" t="s">
        <v>57</v>
      </c>
      <c r="N193" s="1" t="s">
        <v>47</v>
      </c>
      <c r="O193" s="1" t="s">
        <v>33</v>
      </c>
      <c r="P193" s="1" t="s">
        <v>48</v>
      </c>
      <c r="Q193" s="1" t="s">
        <v>49</v>
      </c>
      <c r="R193">
        <v>1114</v>
      </c>
      <c r="S193">
        <v>4</v>
      </c>
      <c r="T193">
        <v>0.2</v>
      </c>
      <c r="U193">
        <v>42</v>
      </c>
      <c r="V193" s="1" t="s">
        <v>50</v>
      </c>
      <c r="W193" s="1" t="s">
        <v>99</v>
      </c>
    </row>
    <row r="194" spans="1:23" x14ac:dyDescent="0.35">
      <c r="A194">
        <v>947</v>
      </c>
      <c r="B194" s="1" t="s">
        <v>916</v>
      </c>
      <c r="C194" s="2">
        <v>42211</v>
      </c>
      <c r="D194" s="2">
        <v>42213</v>
      </c>
      <c r="E194" s="1" t="s">
        <v>90</v>
      </c>
      <c r="F194" s="1" t="s">
        <v>621</v>
      </c>
      <c r="G194" s="1" t="s">
        <v>622</v>
      </c>
      <c r="H194" s="1" t="s">
        <v>27</v>
      </c>
      <c r="I194" s="1" t="s">
        <v>28</v>
      </c>
      <c r="J194" s="1" t="s">
        <v>917</v>
      </c>
      <c r="K194" s="1" t="s">
        <v>523</v>
      </c>
      <c r="L194">
        <v>85204</v>
      </c>
      <c r="M194" s="1" t="s">
        <v>57</v>
      </c>
      <c r="N194" s="1" t="s">
        <v>918</v>
      </c>
      <c r="O194" s="1" t="s">
        <v>33</v>
      </c>
      <c r="P194" s="1" t="s">
        <v>48</v>
      </c>
      <c r="Q194" s="1" t="s">
        <v>919</v>
      </c>
      <c r="R194">
        <v>393</v>
      </c>
      <c r="S194">
        <v>3</v>
      </c>
      <c r="T194">
        <v>0.5</v>
      </c>
      <c r="U194">
        <v>-204</v>
      </c>
      <c r="V194" s="1" t="s">
        <v>73</v>
      </c>
      <c r="W194" s="1" t="s">
        <v>74</v>
      </c>
    </row>
    <row r="195" spans="1:23" x14ac:dyDescent="0.35">
      <c r="A195">
        <v>948</v>
      </c>
      <c r="B195" s="1" t="s">
        <v>920</v>
      </c>
      <c r="C195" s="2">
        <v>43067</v>
      </c>
      <c r="D195" s="2">
        <v>43071</v>
      </c>
      <c r="E195" s="1" t="s">
        <v>42</v>
      </c>
      <c r="F195" s="1" t="s">
        <v>921</v>
      </c>
      <c r="G195" s="1" t="s">
        <v>922</v>
      </c>
      <c r="H195" s="1" t="s">
        <v>103</v>
      </c>
      <c r="I195" s="1" t="s">
        <v>28</v>
      </c>
      <c r="J195" s="1" t="s">
        <v>68</v>
      </c>
      <c r="K195" s="1" t="s">
        <v>69</v>
      </c>
      <c r="L195">
        <v>19120</v>
      </c>
      <c r="M195" s="1" t="s">
        <v>70</v>
      </c>
      <c r="N195" s="1" t="s">
        <v>923</v>
      </c>
      <c r="O195" s="1" t="s">
        <v>33</v>
      </c>
      <c r="P195" s="1" t="s">
        <v>59</v>
      </c>
      <c r="Q195" s="1" t="s">
        <v>924</v>
      </c>
      <c r="R195">
        <v>516</v>
      </c>
      <c r="S195">
        <v>7</v>
      </c>
      <c r="T195">
        <v>0.2</v>
      </c>
      <c r="U195">
        <v>-13</v>
      </c>
      <c r="V195" s="1" t="s">
        <v>86</v>
      </c>
      <c r="W195" s="1" t="s">
        <v>37</v>
      </c>
    </row>
    <row r="196" spans="1:23" x14ac:dyDescent="0.35">
      <c r="A196">
        <v>949</v>
      </c>
      <c r="B196" s="1" t="s">
        <v>920</v>
      </c>
      <c r="C196" s="2">
        <v>43067</v>
      </c>
      <c r="D196" s="2">
        <v>43071</v>
      </c>
      <c r="E196" s="1" t="s">
        <v>42</v>
      </c>
      <c r="F196" s="1" t="s">
        <v>921</v>
      </c>
      <c r="G196" s="1" t="s">
        <v>922</v>
      </c>
      <c r="H196" s="1" t="s">
        <v>103</v>
      </c>
      <c r="I196" s="1" t="s">
        <v>28</v>
      </c>
      <c r="J196" s="1" t="s">
        <v>68</v>
      </c>
      <c r="K196" s="1" t="s">
        <v>69</v>
      </c>
      <c r="L196">
        <v>19120</v>
      </c>
      <c r="M196" s="1" t="s">
        <v>70</v>
      </c>
      <c r="N196" s="1" t="s">
        <v>316</v>
      </c>
      <c r="O196" s="1" t="s">
        <v>33</v>
      </c>
      <c r="P196" s="1" t="s">
        <v>59</v>
      </c>
      <c r="Q196" s="1" t="s">
        <v>317</v>
      </c>
      <c r="R196">
        <v>1007</v>
      </c>
      <c r="S196">
        <v>6</v>
      </c>
      <c r="T196">
        <v>0.2</v>
      </c>
      <c r="U196">
        <v>76</v>
      </c>
      <c r="V196" s="1" t="s">
        <v>86</v>
      </c>
      <c r="W196" s="1" t="s">
        <v>37</v>
      </c>
    </row>
    <row r="197" spans="1:23" x14ac:dyDescent="0.35">
      <c r="A197">
        <v>950</v>
      </c>
      <c r="B197" s="1" t="s">
        <v>920</v>
      </c>
      <c r="C197" s="2">
        <v>43067</v>
      </c>
      <c r="D197" s="2">
        <v>43071</v>
      </c>
      <c r="E197" s="1" t="s">
        <v>42</v>
      </c>
      <c r="F197" s="1" t="s">
        <v>921</v>
      </c>
      <c r="G197" s="1" t="s">
        <v>922</v>
      </c>
      <c r="H197" s="1" t="s">
        <v>103</v>
      </c>
      <c r="I197" s="1" t="s">
        <v>28</v>
      </c>
      <c r="J197" s="1" t="s">
        <v>68</v>
      </c>
      <c r="K197" s="1" t="s">
        <v>69</v>
      </c>
      <c r="L197">
        <v>19120</v>
      </c>
      <c r="M197" s="1" t="s">
        <v>70</v>
      </c>
      <c r="N197" s="1" t="s">
        <v>925</v>
      </c>
      <c r="O197" s="1" t="s">
        <v>33</v>
      </c>
      <c r="P197" s="1" t="s">
        <v>48</v>
      </c>
      <c r="Q197" s="1" t="s">
        <v>926</v>
      </c>
      <c r="R197">
        <v>2065</v>
      </c>
      <c r="S197">
        <v>12</v>
      </c>
      <c r="T197">
        <v>0.4</v>
      </c>
      <c r="U197">
        <v>-620</v>
      </c>
      <c r="V197" s="1" t="s">
        <v>86</v>
      </c>
      <c r="W197" s="1" t="s">
        <v>37</v>
      </c>
    </row>
    <row r="198" spans="1:23" x14ac:dyDescent="0.35">
      <c r="A198">
        <v>953</v>
      </c>
      <c r="B198" s="1" t="s">
        <v>927</v>
      </c>
      <c r="C198" s="2">
        <v>42828</v>
      </c>
      <c r="D198" s="2">
        <v>42832</v>
      </c>
      <c r="E198" s="1" t="s">
        <v>42</v>
      </c>
      <c r="F198" s="1" t="s">
        <v>928</v>
      </c>
      <c r="G198" s="1" t="s">
        <v>929</v>
      </c>
      <c r="H198" s="1" t="s">
        <v>27</v>
      </c>
      <c r="I198" s="1" t="s">
        <v>28</v>
      </c>
      <c r="J198" s="1" t="s">
        <v>68</v>
      </c>
      <c r="K198" s="1" t="s">
        <v>69</v>
      </c>
      <c r="L198">
        <v>19143</v>
      </c>
      <c r="M198" s="1" t="s">
        <v>70</v>
      </c>
      <c r="N198" s="1" t="s">
        <v>930</v>
      </c>
      <c r="O198" s="1" t="s">
        <v>33</v>
      </c>
      <c r="P198" s="1" t="s">
        <v>59</v>
      </c>
      <c r="Q198" s="1" t="s">
        <v>319</v>
      </c>
      <c r="R198">
        <v>25</v>
      </c>
      <c r="S198">
        <v>4</v>
      </c>
      <c r="T198">
        <v>0.2</v>
      </c>
      <c r="U198">
        <v>8</v>
      </c>
      <c r="V198" s="1" t="s">
        <v>86</v>
      </c>
      <c r="W198" s="1" t="s">
        <v>116</v>
      </c>
    </row>
    <row r="199" spans="1:23" x14ac:dyDescent="0.35">
      <c r="A199">
        <v>955</v>
      </c>
      <c r="B199" s="1" t="s">
        <v>931</v>
      </c>
      <c r="C199" s="2">
        <v>43097</v>
      </c>
      <c r="D199" s="2">
        <v>43101</v>
      </c>
      <c r="E199" s="1" t="s">
        <v>42</v>
      </c>
      <c r="F199" s="1" t="s">
        <v>932</v>
      </c>
      <c r="G199" s="1" t="s">
        <v>933</v>
      </c>
      <c r="H199" s="1" t="s">
        <v>27</v>
      </c>
      <c r="I199" s="1" t="s">
        <v>28</v>
      </c>
      <c r="J199" s="1" t="s">
        <v>934</v>
      </c>
      <c r="K199" s="1" t="s">
        <v>95</v>
      </c>
      <c r="L199">
        <v>78664</v>
      </c>
      <c r="M199" s="1" t="s">
        <v>96</v>
      </c>
      <c r="N199" s="1" t="s">
        <v>351</v>
      </c>
      <c r="O199" s="1" t="s">
        <v>33</v>
      </c>
      <c r="P199" s="1" t="s">
        <v>34</v>
      </c>
      <c r="Q199" s="1" t="s">
        <v>352</v>
      </c>
      <c r="R199">
        <v>79</v>
      </c>
      <c r="S199">
        <v>2</v>
      </c>
      <c r="T199">
        <v>0.32</v>
      </c>
      <c r="U199">
        <v>-12</v>
      </c>
      <c r="V199" s="1" t="s">
        <v>86</v>
      </c>
      <c r="W199" s="1" t="s">
        <v>99</v>
      </c>
    </row>
    <row r="200" spans="1:23" x14ac:dyDescent="0.35">
      <c r="A200">
        <v>960</v>
      </c>
      <c r="B200" s="1" t="s">
        <v>935</v>
      </c>
      <c r="C200" s="2">
        <v>42269</v>
      </c>
      <c r="D200" s="2">
        <v>42269</v>
      </c>
      <c r="E200" s="1" t="s">
        <v>428</v>
      </c>
      <c r="F200" s="1" t="s">
        <v>936</v>
      </c>
      <c r="G200" s="1" t="s">
        <v>937</v>
      </c>
      <c r="H200" s="1" t="s">
        <v>27</v>
      </c>
      <c r="I200" s="1" t="s">
        <v>28</v>
      </c>
      <c r="J200" s="1" t="s">
        <v>764</v>
      </c>
      <c r="K200" s="1" t="s">
        <v>56</v>
      </c>
      <c r="L200">
        <v>92054</v>
      </c>
      <c r="M200" s="1" t="s">
        <v>57</v>
      </c>
      <c r="N200" s="1" t="s">
        <v>938</v>
      </c>
      <c r="O200" s="1" t="s">
        <v>33</v>
      </c>
      <c r="P200" s="1" t="s">
        <v>59</v>
      </c>
      <c r="Q200" s="1" t="s">
        <v>939</v>
      </c>
      <c r="R200">
        <v>205</v>
      </c>
      <c r="S200">
        <v>2</v>
      </c>
      <c r="T200">
        <v>0</v>
      </c>
      <c r="U200">
        <v>53</v>
      </c>
      <c r="V200" s="1" t="s">
        <v>433</v>
      </c>
      <c r="W200" s="1" t="s">
        <v>80</v>
      </c>
    </row>
    <row r="201" spans="1:23" x14ac:dyDescent="0.35">
      <c r="A201">
        <v>961</v>
      </c>
      <c r="B201" s="1" t="s">
        <v>940</v>
      </c>
      <c r="C201" s="2">
        <v>43053</v>
      </c>
      <c r="D201" s="2">
        <v>43058</v>
      </c>
      <c r="E201" s="1" t="s">
        <v>42</v>
      </c>
      <c r="F201" s="1" t="s">
        <v>941</v>
      </c>
      <c r="G201" s="1" t="s">
        <v>942</v>
      </c>
      <c r="H201" s="1" t="s">
        <v>93</v>
      </c>
      <c r="I201" s="1" t="s">
        <v>28</v>
      </c>
      <c r="J201" s="1" t="s">
        <v>331</v>
      </c>
      <c r="K201" s="1" t="s">
        <v>56</v>
      </c>
      <c r="L201">
        <v>94110</v>
      </c>
      <c r="M201" s="1" t="s">
        <v>57</v>
      </c>
      <c r="N201" s="1" t="s">
        <v>332</v>
      </c>
      <c r="O201" s="1" t="s">
        <v>33</v>
      </c>
      <c r="P201" s="1" t="s">
        <v>39</v>
      </c>
      <c r="Q201" s="1" t="s">
        <v>333</v>
      </c>
      <c r="R201">
        <v>322</v>
      </c>
      <c r="S201">
        <v>2</v>
      </c>
      <c r="T201">
        <v>0.2</v>
      </c>
      <c r="U201">
        <v>28</v>
      </c>
      <c r="V201" s="1" t="s">
        <v>61</v>
      </c>
      <c r="W201" s="1" t="s">
        <v>37</v>
      </c>
    </row>
    <row r="202" spans="1:23" x14ac:dyDescent="0.35">
      <c r="A202">
        <v>971</v>
      </c>
      <c r="B202" s="1" t="s">
        <v>943</v>
      </c>
      <c r="C202" s="2">
        <v>41655</v>
      </c>
      <c r="D202" s="2">
        <v>41657</v>
      </c>
      <c r="E202" s="1" t="s">
        <v>24</v>
      </c>
      <c r="F202" s="1" t="s">
        <v>944</v>
      </c>
      <c r="G202" s="1" t="s">
        <v>945</v>
      </c>
      <c r="H202" s="1" t="s">
        <v>27</v>
      </c>
      <c r="I202" s="1" t="s">
        <v>28</v>
      </c>
      <c r="J202" s="1" t="s">
        <v>68</v>
      </c>
      <c r="K202" s="1" t="s">
        <v>69</v>
      </c>
      <c r="L202">
        <v>19134</v>
      </c>
      <c r="M202" s="1" t="s">
        <v>70</v>
      </c>
      <c r="N202" s="1" t="s">
        <v>946</v>
      </c>
      <c r="O202" s="1" t="s">
        <v>33</v>
      </c>
      <c r="P202" s="1" t="s">
        <v>59</v>
      </c>
      <c r="Q202" s="1" t="s">
        <v>947</v>
      </c>
      <c r="R202">
        <v>127</v>
      </c>
      <c r="S202">
        <v>6</v>
      </c>
      <c r="T202">
        <v>0.2</v>
      </c>
      <c r="U202">
        <v>29</v>
      </c>
      <c r="V202" s="1" t="s">
        <v>73</v>
      </c>
      <c r="W202" s="1" t="s">
        <v>172</v>
      </c>
    </row>
    <row r="203" spans="1:23" x14ac:dyDescent="0.35">
      <c r="A203">
        <v>981</v>
      </c>
      <c r="B203" s="1" t="s">
        <v>948</v>
      </c>
      <c r="C203" s="2">
        <v>42646</v>
      </c>
      <c r="D203" s="2">
        <v>42651</v>
      </c>
      <c r="E203" s="1" t="s">
        <v>42</v>
      </c>
      <c r="F203" s="1" t="s">
        <v>76</v>
      </c>
      <c r="G203" s="1" t="s">
        <v>77</v>
      </c>
      <c r="H203" s="1" t="s">
        <v>27</v>
      </c>
      <c r="I203" s="1" t="s">
        <v>28</v>
      </c>
      <c r="J203" s="1" t="s">
        <v>176</v>
      </c>
      <c r="K203" s="1" t="s">
        <v>123</v>
      </c>
      <c r="L203">
        <v>10035</v>
      </c>
      <c r="M203" s="1" t="s">
        <v>70</v>
      </c>
      <c r="N203" s="1" t="s">
        <v>824</v>
      </c>
      <c r="O203" s="1" t="s">
        <v>33</v>
      </c>
      <c r="P203" s="1" t="s">
        <v>39</v>
      </c>
      <c r="Q203" s="1" t="s">
        <v>825</v>
      </c>
      <c r="R203">
        <v>599</v>
      </c>
      <c r="S203">
        <v>6</v>
      </c>
      <c r="T203">
        <v>0.1</v>
      </c>
      <c r="U203">
        <v>93</v>
      </c>
      <c r="V203" s="1" t="s">
        <v>61</v>
      </c>
      <c r="W203" s="1" t="s">
        <v>51</v>
      </c>
    </row>
    <row r="204" spans="1:23" x14ac:dyDescent="0.35">
      <c r="A204">
        <v>984</v>
      </c>
      <c r="B204" s="1" t="s">
        <v>949</v>
      </c>
      <c r="C204" s="2">
        <v>41954</v>
      </c>
      <c r="D204" s="2">
        <v>41957</v>
      </c>
      <c r="E204" s="1" t="s">
        <v>24</v>
      </c>
      <c r="F204" s="1" t="s">
        <v>950</v>
      </c>
      <c r="G204" s="1" t="s">
        <v>951</v>
      </c>
      <c r="H204" s="1" t="s">
        <v>27</v>
      </c>
      <c r="I204" s="1" t="s">
        <v>28</v>
      </c>
      <c r="J204" s="1" t="s">
        <v>868</v>
      </c>
      <c r="K204" s="1" t="s">
        <v>183</v>
      </c>
      <c r="L204">
        <v>80027</v>
      </c>
      <c r="M204" s="1" t="s">
        <v>57</v>
      </c>
      <c r="N204" s="1" t="s">
        <v>858</v>
      </c>
      <c r="O204" s="1" t="s">
        <v>33</v>
      </c>
      <c r="P204" s="1" t="s">
        <v>39</v>
      </c>
      <c r="Q204" s="1" t="s">
        <v>859</v>
      </c>
      <c r="R204">
        <v>604</v>
      </c>
      <c r="S204">
        <v>5</v>
      </c>
      <c r="T204">
        <v>0.2</v>
      </c>
      <c r="U204">
        <v>75</v>
      </c>
      <c r="V204" s="1" t="s">
        <v>36</v>
      </c>
      <c r="W204" s="1" t="s">
        <v>37</v>
      </c>
    </row>
    <row r="205" spans="1:23" x14ac:dyDescent="0.35">
      <c r="A205">
        <v>989</v>
      </c>
      <c r="B205" s="1" t="s">
        <v>952</v>
      </c>
      <c r="C205" s="2">
        <v>42876</v>
      </c>
      <c r="D205" s="2">
        <v>42881</v>
      </c>
      <c r="E205" s="1" t="s">
        <v>42</v>
      </c>
      <c r="F205" s="1" t="s">
        <v>953</v>
      </c>
      <c r="G205" s="1" t="s">
        <v>954</v>
      </c>
      <c r="H205" s="1" t="s">
        <v>93</v>
      </c>
      <c r="I205" s="1" t="s">
        <v>28</v>
      </c>
      <c r="J205" s="1" t="s">
        <v>955</v>
      </c>
      <c r="K205" s="1" t="s">
        <v>123</v>
      </c>
      <c r="L205">
        <v>13021</v>
      </c>
      <c r="M205" s="1" t="s">
        <v>70</v>
      </c>
      <c r="N205" s="1" t="s">
        <v>720</v>
      </c>
      <c r="O205" s="1" t="s">
        <v>33</v>
      </c>
      <c r="P205" s="1" t="s">
        <v>59</v>
      </c>
      <c r="Q205" s="1" t="s">
        <v>721</v>
      </c>
      <c r="R205">
        <v>520</v>
      </c>
      <c r="S205">
        <v>5</v>
      </c>
      <c r="T205">
        <v>0</v>
      </c>
      <c r="U205">
        <v>73</v>
      </c>
      <c r="V205" s="1" t="s">
        <v>61</v>
      </c>
      <c r="W205" s="1" t="s">
        <v>164</v>
      </c>
    </row>
    <row r="206" spans="1:23" x14ac:dyDescent="0.35">
      <c r="A206">
        <v>991</v>
      </c>
      <c r="B206" s="1" t="s">
        <v>956</v>
      </c>
      <c r="C206" s="2">
        <v>42092</v>
      </c>
      <c r="D206" s="2">
        <v>42094</v>
      </c>
      <c r="E206" s="1" t="s">
        <v>24</v>
      </c>
      <c r="F206" s="1" t="s">
        <v>957</v>
      </c>
      <c r="G206" s="1" t="s">
        <v>958</v>
      </c>
      <c r="H206" s="1" t="s">
        <v>103</v>
      </c>
      <c r="I206" s="1" t="s">
        <v>28</v>
      </c>
      <c r="J206" s="1" t="s">
        <v>609</v>
      </c>
      <c r="K206" s="1" t="s">
        <v>46</v>
      </c>
      <c r="L206">
        <v>32216</v>
      </c>
      <c r="M206" s="1" t="s">
        <v>31</v>
      </c>
      <c r="N206" s="1" t="s">
        <v>384</v>
      </c>
      <c r="O206" s="1" t="s">
        <v>33</v>
      </c>
      <c r="P206" s="1" t="s">
        <v>39</v>
      </c>
      <c r="Q206" s="1" t="s">
        <v>385</v>
      </c>
      <c r="R206">
        <v>1167</v>
      </c>
      <c r="S206">
        <v>5</v>
      </c>
      <c r="T206">
        <v>0.2</v>
      </c>
      <c r="U206">
        <v>131</v>
      </c>
      <c r="V206" s="1" t="s">
        <v>73</v>
      </c>
      <c r="W206" s="1" t="s">
        <v>198</v>
      </c>
    </row>
    <row r="207" spans="1:23" x14ac:dyDescent="0.35">
      <c r="A207">
        <v>999</v>
      </c>
      <c r="B207" s="1" t="s">
        <v>959</v>
      </c>
      <c r="C207" s="2">
        <v>42305</v>
      </c>
      <c r="D207" s="2">
        <v>42311</v>
      </c>
      <c r="E207" s="1" t="s">
        <v>42</v>
      </c>
      <c r="F207" s="1" t="s">
        <v>960</v>
      </c>
      <c r="G207" s="1" t="s">
        <v>961</v>
      </c>
      <c r="H207" s="1" t="s">
        <v>27</v>
      </c>
      <c r="I207" s="1" t="s">
        <v>28</v>
      </c>
      <c r="J207" s="1" t="s">
        <v>29</v>
      </c>
      <c r="K207" s="1" t="s">
        <v>30</v>
      </c>
      <c r="L207">
        <v>42420</v>
      </c>
      <c r="M207" s="1" t="s">
        <v>31</v>
      </c>
      <c r="N207" s="1" t="s">
        <v>962</v>
      </c>
      <c r="O207" s="1" t="s">
        <v>33</v>
      </c>
      <c r="P207" s="1" t="s">
        <v>59</v>
      </c>
      <c r="Q207" s="1" t="s">
        <v>963</v>
      </c>
      <c r="R207">
        <v>24</v>
      </c>
      <c r="S207">
        <v>5</v>
      </c>
      <c r="T207">
        <v>0</v>
      </c>
      <c r="U207">
        <v>9</v>
      </c>
      <c r="V207" s="1" t="s">
        <v>132</v>
      </c>
      <c r="W207" s="1" t="s">
        <v>51</v>
      </c>
    </row>
    <row r="208" spans="1:23" x14ac:dyDescent="0.35">
      <c r="A208">
        <v>1000</v>
      </c>
      <c r="B208" s="1" t="s">
        <v>959</v>
      </c>
      <c r="C208" s="2">
        <v>42305</v>
      </c>
      <c r="D208" s="2">
        <v>42311</v>
      </c>
      <c r="E208" s="1" t="s">
        <v>42</v>
      </c>
      <c r="F208" s="1" t="s">
        <v>960</v>
      </c>
      <c r="G208" s="1" t="s">
        <v>961</v>
      </c>
      <c r="H208" s="1" t="s">
        <v>27</v>
      </c>
      <c r="I208" s="1" t="s">
        <v>28</v>
      </c>
      <c r="J208" s="1" t="s">
        <v>29</v>
      </c>
      <c r="K208" s="1" t="s">
        <v>30</v>
      </c>
      <c r="L208">
        <v>42420</v>
      </c>
      <c r="M208" s="1" t="s">
        <v>31</v>
      </c>
      <c r="N208" s="1" t="s">
        <v>382</v>
      </c>
      <c r="O208" s="1" t="s">
        <v>33</v>
      </c>
      <c r="P208" s="1" t="s">
        <v>59</v>
      </c>
      <c r="Q208" s="1" t="s">
        <v>383</v>
      </c>
      <c r="R208">
        <v>33</v>
      </c>
      <c r="S208">
        <v>7</v>
      </c>
      <c r="T208">
        <v>0</v>
      </c>
      <c r="U208">
        <v>13</v>
      </c>
      <c r="V208" s="1" t="s">
        <v>132</v>
      </c>
      <c r="W208" s="1" t="s">
        <v>51</v>
      </c>
    </row>
    <row r="209" spans="1:23" x14ac:dyDescent="0.35">
      <c r="A209">
        <v>1003</v>
      </c>
      <c r="B209" s="1" t="s">
        <v>964</v>
      </c>
      <c r="C209" s="2">
        <v>42216</v>
      </c>
      <c r="D209" s="2">
        <v>42216</v>
      </c>
      <c r="E209" s="1" t="s">
        <v>428</v>
      </c>
      <c r="F209" s="1" t="s">
        <v>965</v>
      </c>
      <c r="G209" s="1" t="s">
        <v>966</v>
      </c>
      <c r="H209" s="1" t="s">
        <v>27</v>
      </c>
      <c r="I209" s="1" t="s">
        <v>28</v>
      </c>
      <c r="J209" s="1" t="s">
        <v>176</v>
      </c>
      <c r="K209" s="1" t="s">
        <v>123</v>
      </c>
      <c r="L209">
        <v>10024</v>
      </c>
      <c r="M209" s="1" t="s">
        <v>70</v>
      </c>
      <c r="N209" s="1" t="s">
        <v>345</v>
      </c>
      <c r="O209" s="1" t="s">
        <v>33</v>
      </c>
      <c r="P209" s="1" t="s">
        <v>48</v>
      </c>
      <c r="Q209" s="1" t="s">
        <v>346</v>
      </c>
      <c r="R209">
        <v>1091</v>
      </c>
      <c r="S209">
        <v>7</v>
      </c>
      <c r="T209">
        <v>0.4</v>
      </c>
      <c r="U209">
        <v>-291</v>
      </c>
      <c r="V209" s="1" t="s">
        <v>433</v>
      </c>
      <c r="W209" s="1" t="s">
        <v>74</v>
      </c>
    </row>
    <row r="210" spans="1:23" x14ac:dyDescent="0.35">
      <c r="A210">
        <v>1011</v>
      </c>
      <c r="B210" s="1" t="s">
        <v>967</v>
      </c>
      <c r="C210" s="2">
        <v>41967</v>
      </c>
      <c r="D210" s="2">
        <v>41969</v>
      </c>
      <c r="E210" s="1" t="s">
        <v>90</v>
      </c>
      <c r="F210" s="1" t="s">
        <v>968</v>
      </c>
      <c r="G210" s="1" t="s">
        <v>969</v>
      </c>
      <c r="H210" s="1" t="s">
        <v>27</v>
      </c>
      <c r="I210" s="1" t="s">
        <v>28</v>
      </c>
      <c r="J210" s="1" t="s">
        <v>642</v>
      </c>
      <c r="K210" s="1" t="s">
        <v>56</v>
      </c>
      <c r="L210">
        <v>92037</v>
      </c>
      <c r="M210" s="1" t="s">
        <v>57</v>
      </c>
      <c r="N210" s="1" t="s">
        <v>970</v>
      </c>
      <c r="O210" s="1" t="s">
        <v>33</v>
      </c>
      <c r="P210" s="1" t="s">
        <v>59</v>
      </c>
      <c r="Q210" s="1" t="s">
        <v>971</v>
      </c>
      <c r="R210">
        <v>152</v>
      </c>
      <c r="S210">
        <v>4</v>
      </c>
      <c r="T210">
        <v>0</v>
      </c>
      <c r="U210">
        <v>27</v>
      </c>
      <c r="V210" s="1" t="s">
        <v>73</v>
      </c>
      <c r="W210" s="1" t="s">
        <v>37</v>
      </c>
    </row>
    <row r="211" spans="1:23" x14ac:dyDescent="0.35">
      <c r="A211">
        <v>1012</v>
      </c>
      <c r="B211" s="1" t="s">
        <v>972</v>
      </c>
      <c r="C211" s="2">
        <v>42903</v>
      </c>
      <c r="D211" s="2">
        <v>42907</v>
      </c>
      <c r="E211" s="1" t="s">
        <v>24</v>
      </c>
      <c r="F211" s="1" t="s">
        <v>212</v>
      </c>
      <c r="G211" s="1" t="s">
        <v>213</v>
      </c>
      <c r="H211" s="1" t="s">
        <v>27</v>
      </c>
      <c r="I211" s="1" t="s">
        <v>28</v>
      </c>
      <c r="J211" s="1" t="s">
        <v>973</v>
      </c>
      <c r="K211" s="1" t="s">
        <v>195</v>
      </c>
      <c r="L211">
        <v>98502</v>
      </c>
      <c r="M211" s="1" t="s">
        <v>57</v>
      </c>
      <c r="N211" s="1" t="s">
        <v>87</v>
      </c>
      <c r="O211" s="1" t="s">
        <v>33</v>
      </c>
      <c r="P211" s="1" t="s">
        <v>59</v>
      </c>
      <c r="Q211" s="1" t="s">
        <v>88</v>
      </c>
      <c r="R211">
        <v>155</v>
      </c>
      <c r="S211">
        <v>3</v>
      </c>
      <c r="T211">
        <v>0</v>
      </c>
      <c r="U211">
        <v>47</v>
      </c>
      <c r="V211" s="1" t="s">
        <v>86</v>
      </c>
      <c r="W211" s="1" t="s">
        <v>62</v>
      </c>
    </row>
    <row r="212" spans="1:23" x14ac:dyDescent="0.35">
      <c r="A212">
        <v>1014</v>
      </c>
      <c r="B212" s="1" t="s">
        <v>974</v>
      </c>
      <c r="C212" s="2">
        <v>42359</v>
      </c>
      <c r="D212" s="2">
        <v>42362</v>
      </c>
      <c r="E212" s="1" t="s">
        <v>24</v>
      </c>
      <c r="F212" s="1" t="s">
        <v>975</v>
      </c>
      <c r="G212" s="1" t="s">
        <v>976</v>
      </c>
      <c r="H212" s="1" t="s">
        <v>27</v>
      </c>
      <c r="I212" s="1" t="s">
        <v>28</v>
      </c>
      <c r="J212" s="1" t="s">
        <v>194</v>
      </c>
      <c r="K212" s="1" t="s">
        <v>195</v>
      </c>
      <c r="L212">
        <v>98103</v>
      </c>
      <c r="M212" s="1" t="s">
        <v>57</v>
      </c>
      <c r="N212" s="1" t="s">
        <v>293</v>
      </c>
      <c r="O212" s="1" t="s">
        <v>33</v>
      </c>
      <c r="P212" s="1" t="s">
        <v>48</v>
      </c>
      <c r="Q212" s="1" t="s">
        <v>294</v>
      </c>
      <c r="R212">
        <v>1618</v>
      </c>
      <c r="S212">
        <v>13</v>
      </c>
      <c r="T212">
        <v>0</v>
      </c>
      <c r="U212">
        <v>356</v>
      </c>
      <c r="V212" s="1" t="s">
        <v>36</v>
      </c>
      <c r="W212" s="1" t="s">
        <v>99</v>
      </c>
    </row>
    <row r="213" spans="1:23" x14ac:dyDescent="0.35">
      <c r="A213">
        <v>1017</v>
      </c>
      <c r="B213" s="1" t="s">
        <v>977</v>
      </c>
      <c r="C213" s="2">
        <v>42191</v>
      </c>
      <c r="D213" s="2">
        <v>42195</v>
      </c>
      <c r="E213" s="1" t="s">
        <v>42</v>
      </c>
      <c r="F213" s="1" t="s">
        <v>978</v>
      </c>
      <c r="G213" s="1" t="s">
        <v>979</v>
      </c>
      <c r="H213" s="1" t="s">
        <v>93</v>
      </c>
      <c r="I213" s="1" t="s">
        <v>28</v>
      </c>
      <c r="J213" s="1" t="s">
        <v>176</v>
      </c>
      <c r="K213" s="1" t="s">
        <v>123</v>
      </c>
      <c r="L213">
        <v>10011</v>
      </c>
      <c r="M213" s="1" t="s">
        <v>70</v>
      </c>
      <c r="N213" s="1" t="s">
        <v>980</v>
      </c>
      <c r="O213" s="1" t="s">
        <v>33</v>
      </c>
      <c r="P213" s="1" t="s">
        <v>59</v>
      </c>
      <c r="Q213" s="1" t="s">
        <v>981</v>
      </c>
      <c r="R213">
        <v>14</v>
      </c>
      <c r="S213">
        <v>2</v>
      </c>
      <c r="T213">
        <v>0</v>
      </c>
      <c r="U213">
        <v>7</v>
      </c>
      <c r="V213" s="1" t="s">
        <v>86</v>
      </c>
      <c r="W213" s="1" t="s">
        <v>74</v>
      </c>
    </row>
    <row r="214" spans="1:23" x14ac:dyDescent="0.35">
      <c r="A214">
        <v>1018</v>
      </c>
      <c r="B214" s="1" t="s">
        <v>977</v>
      </c>
      <c r="C214" s="2">
        <v>42191</v>
      </c>
      <c r="D214" s="2">
        <v>42195</v>
      </c>
      <c r="E214" s="1" t="s">
        <v>42</v>
      </c>
      <c r="F214" s="1" t="s">
        <v>978</v>
      </c>
      <c r="G214" s="1" t="s">
        <v>979</v>
      </c>
      <c r="H214" s="1" t="s">
        <v>93</v>
      </c>
      <c r="I214" s="1" t="s">
        <v>28</v>
      </c>
      <c r="J214" s="1" t="s">
        <v>176</v>
      </c>
      <c r="K214" s="1" t="s">
        <v>123</v>
      </c>
      <c r="L214">
        <v>10011</v>
      </c>
      <c r="M214" s="1" t="s">
        <v>70</v>
      </c>
      <c r="N214" s="1" t="s">
        <v>882</v>
      </c>
      <c r="O214" s="1" t="s">
        <v>33</v>
      </c>
      <c r="P214" s="1" t="s">
        <v>59</v>
      </c>
      <c r="Q214" s="1" t="s">
        <v>883</v>
      </c>
      <c r="R214">
        <v>156</v>
      </c>
      <c r="S214">
        <v>3</v>
      </c>
      <c r="T214">
        <v>0</v>
      </c>
      <c r="U214">
        <v>64</v>
      </c>
      <c r="V214" s="1" t="s">
        <v>86</v>
      </c>
      <c r="W214" s="1" t="s">
        <v>74</v>
      </c>
    </row>
    <row r="215" spans="1:23" x14ac:dyDescent="0.35">
      <c r="A215">
        <v>1022</v>
      </c>
      <c r="B215" s="1" t="s">
        <v>982</v>
      </c>
      <c r="C215" s="2">
        <v>42121</v>
      </c>
      <c r="D215" s="2">
        <v>42127</v>
      </c>
      <c r="E215" s="1" t="s">
        <v>42</v>
      </c>
      <c r="F215" s="1" t="s">
        <v>876</v>
      </c>
      <c r="G215" s="1" t="s">
        <v>877</v>
      </c>
      <c r="H215" s="1" t="s">
        <v>27</v>
      </c>
      <c r="I215" s="1" t="s">
        <v>28</v>
      </c>
      <c r="J215" s="1" t="s">
        <v>195</v>
      </c>
      <c r="K215" s="1" t="s">
        <v>983</v>
      </c>
      <c r="L215">
        <v>20016</v>
      </c>
      <c r="M215" s="1" t="s">
        <v>70</v>
      </c>
      <c r="N215" s="1" t="s">
        <v>984</v>
      </c>
      <c r="O215" s="1" t="s">
        <v>33</v>
      </c>
      <c r="P215" s="1" t="s">
        <v>39</v>
      </c>
      <c r="Q215" s="1" t="s">
        <v>985</v>
      </c>
      <c r="R215">
        <v>1268</v>
      </c>
      <c r="S215">
        <v>3</v>
      </c>
      <c r="T215">
        <v>0</v>
      </c>
      <c r="U215">
        <v>317</v>
      </c>
      <c r="V215" s="1" t="s">
        <v>132</v>
      </c>
      <c r="W215" s="1" t="s">
        <v>116</v>
      </c>
    </row>
    <row r="216" spans="1:23" x14ac:dyDescent="0.35">
      <c r="A216">
        <v>1031</v>
      </c>
      <c r="B216" s="1" t="s">
        <v>986</v>
      </c>
      <c r="C216" s="2">
        <v>41831</v>
      </c>
      <c r="D216" s="2">
        <v>41835</v>
      </c>
      <c r="E216" s="1" t="s">
        <v>42</v>
      </c>
      <c r="F216" s="1" t="s">
        <v>987</v>
      </c>
      <c r="G216" s="1" t="s">
        <v>988</v>
      </c>
      <c r="H216" s="1" t="s">
        <v>93</v>
      </c>
      <c r="I216" s="1" t="s">
        <v>28</v>
      </c>
      <c r="J216" s="1" t="s">
        <v>391</v>
      </c>
      <c r="K216" s="1" t="s">
        <v>365</v>
      </c>
      <c r="L216">
        <v>7601</v>
      </c>
      <c r="M216" s="1" t="s">
        <v>70</v>
      </c>
      <c r="N216" s="1" t="s">
        <v>578</v>
      </c>
      <c r="O216" s="1" t="s">
        <v>33</v>
      </c>
      <c r="P216" s="1" t="s">
        <v>39</v>
      </c>
      <c r="Q216" s="1" t="s">
        <v>579</v>
      </c>
      <c r="R216">
        <v>855</v>
      </c>
      <c r="S216">
        <v>3</v>
      </c>
      <c r="T216">
        <v>0</v>
      </c>
      <c r="U216">
        <v>214</v>
      </c>
      <c r="V216" s="1" t="s">
        <v>86</v>
      </c>
      <c r="W216" s="1" t="s">
        <v>74</v>
      </c>
    </row>
    <row r="217" spans="1:23" x14ac:dyDescent="0.35">
      <c r="A217">
        <v>1032</v>
      </c>
      <c r="B217" s="1" t="s">
        <v>986</v>
      </c>
      <c r="C217" s="2">
        <v>41831</v>
      </c>
      <c r="D217" s="2">
        <v>41835</v>
      </c>
      <c r="E217" s="1" t="s">
        <v>42</v>
      </c>
      <c r="F217" s="1" t="s">
        <v>987</v>
      </c>
      <c r="G217" s="1" t="s">
        <v>988</v>
      </c>
      <c r="H217" s="1" t="s">
        <v>93</v>
      </c>
      <c r="I217" s="1" t="s">
        <v>28</v>
      </c>
      <c r="J217" s="1" t="s">
        <v>391</v>
      </c>
      <c r="K217" s="1" t="s">
        <v>365</v>
      </c>
      <c r="L217">
        <v>7601</v>
      </c>
      <c r="M217" s="1" t="s">
        <v>70</v>
      </c>
      <c r="N217" s="1" t="s">
        <v>177</v>
      </c>
      <c r="O217" s="1" t="s">
        <v>33</v>
      </c>
      <c r="P217" s="1" t="s">
        <v>59</v>
      </c>
      <c r="Q217" s="1" t="s">
        <v>178</v>
      </c>
      <c r="R217">
        <v>124</v>
      </c>
      <c r="S217">
        <v>9</v>
      </c>
      <c r="T217">
        <v>0</v>
      </c>
      <c r="U217">
        <v>52</v>
      </c>
      <c r="V217" s="1" t="s">
        <v>86</v>
      </c>
      <c r="W217" s="1" t="s">
        <v>74</v>
      </c>
    </row>
    <row r="218" spans="1:23" x14ac:dyDescent="0.35">
      <c r="A218">
        <v>1037</v>
      </c>
      <c r="B218" s="1" t="s">
        <v>989</v>
      </c>
      <c r="C218" s="2">
        <v>42482</v>
      </c>
      <c r="D218" s="2">
        <v>42486</v>
      </c>
      <c r="E218" s="1" t="s">
        <v>42</v>
      </c>
      <c r="F218" s="1" t="s">
        <v>990</v>
      </c>
      <c r="G218" s="1" t="s">
        <v>991</v>
      </c>
      <c r="H218" s="1" t="s">
        <v>103</v>
      </c>
      <c r="I218" s="1" t="s">
        <v>28</v>
      </c>
      <c r="J218" s="1" t="s">
        <v>992</v>
      </c>
      <c r="K218" s="1" t="s">
        <v>568</v>
      </c>
      <c r="L218">
        <v>65109</v>
      </c>
      <c r="M218" s="1" t="s">
        <v>96</v>
      </c>
      <c r="N218" s="1" t="s">
        <v>993</v>
      </c>
      <c r="O218" s="1" t="s">
        <v>33</v>
      </c>
      <c r="P218" s="1" t="s">
        <v>59</v>
      </c>
      <c r="Q218" s="1" t="s">
        <v>994</v>
      </c>
      <c r="R218">
        <v>87</v>
      </c>
      <c r="S218">
        <v>2</v>
      </c>
      <c r="T218">
        <v>0</v>
      </c>
      <c r="U218">
        <v>9</v>
      </c>
      <c r="V218" s="1" t="s">
        <v>86</v>
      </c>
      <c r="W218" s="1" t="s">
        <v>116</v>
      </c>
    </row>
    <row r="219" spans="1:23" x14ac:dyDescent="0.35">
      <c r="A219">
        <v>1041</v>
      </c>
      <c r="B219" s="1" t="s">
        <v>995</v>
      </c>
      <c r="C219" s="2">
        <v>42449</v>
      </c>
      <c r="D219" s="2">
        <v>42453</v>
      </c>
      <c r="E219" s="1" t="s">
        <v>42</v>
      </c>
      <c r="F219" s="1" t="s">
        <v>996</v>
      </c>
      <c r="G219" s="1" t="s">
        <v>997</v>
      </c>
      <c r="H219" s="1" t="s">
        <v>103</v>
      </c>
      <c r="I219" s="1" t="s">
        <v>28</v>
      </c>
      <c r="J219" s="1" t="s">
        <v>998</v>
      </c>
      <c r="K219" s="1" t="s">
        <v>568</v>
      </c>
      <c r="L219">
        <v>63376</v>
      </c>
      <c r="M219" s="1" t="s">
        <v>96</v>
      </c>
      <c r="N219" s="1" t="s">
        <v>787</v>
      </c>
      <c r="O219" s="1" t="s">
        <v>33</v>
      </c>
      <c r="P219" s="1" t="s">
        <v>48</v>
      </c>
      <c r="Q219" s="1" t="s">
        <v>788</v>
      </c>
      <c r="R219">
        <v>697</v>
      </c>
      <c r="S219">
        <v>4</v>
      </c>
      <c r="T219">
        <v>0</v>
      </c>
      <c r="U219">
        <v>146</v>
      </c>
      <c r="V219" s="1" t="s">
        <v>86</v>
      </c>
      <c r="W219" s="1" t="s">
        <v>198</v>
      </c>
    </row>
    <row r="220" spans="1:23" x14ac:dyDescent="0.35">
      <c r="A220">
        <v>1043</v>
      </c>
      <c r="B220" s="1" t="s">
        <v>999</v>
      </c>
      <c r="C220" s="2">
        <v>42619</v>
      </c>
      <c r="D220" s="2">
        <v>42622</v>
      </c>
      <c r="E220" s="1" t="s">
        <v>24</v>
      </c>
      <c r="F220" s="1" t="s">
        <v>1000</v>
      </c>
      <c r="G220" s="1" t="s">
        <v>1001</v>
      </c>
      <c r="H220" s="1" t="s">
        <v>27</v>
      </c>
      <c r="I220" s="1" t="s">
        <v>28</v>
      </c>
      <c r="J220" s="1" t="s">
        <v>176</v>
      </c>
      <c r="K220" s="1" t="s">
        <v>123</v>
      </c>
      <c r="L220">
        <v>10035</v>
      </c>
      <c r="M220" s="1" t="s">
        <v>70</v>
      </c>
      <c r="N220" s="1" t="s">
        <v>1002</v>
      </c>
      <c r="O220" s="1" t="s">
        <v>33</v>
      </c>
      <c r="P220" s="1" t="s">
        <v>34</v>
      </c>
      <c r="Q220" s="1" t="s">
        <v>1003</v>
      </c>
      <c r="R220">
        <v>722</v>
      </c>
      <c r="S220">
        <v>3</v>
      </c>
      <c r="T220">
        <v>0.2</v>
      </c>
      <c r="U220">
        <v>90</v>
      </c>
      <c r="V220" s="1" t="s">
        <v>36</v>
      </c>
      <c r="W220" s="1" t="s">
        <v>80</v>
      </c>
    </row>
    <row r="221" spans="1:23" x14ac:dyDescent="0.35">
      <c r="A221">
        <v>1046</v>
      </c>
      <c r="B221" s="1" t="s">
        <v>1004</v>
      </c>
      <c r="C221" s="2">
        <v>43020</v>
      </c>
      <c r="D221" s="2">
        <v>43024</v>
      </c>
      <c r="E221" s="1" t="s">
        <v>42</v>
      </c>
      <c r="F221" s="1" t="s">
        <v>101</v>
      </c>
      <c r="G221" s="1" t="s">
        <v>102</v>
      </c>
      <c r="H221" s="1" t="s">
        <v>103</v>
      </c>
      <c r="I221" s="1" t="s">
        <v>28</v>
      </c>
      <c r="J221" s="1" t="s">
        <v>1005</v>
      </c>
      <c r="K221" s="1" t="s">
        <v>137</v>
      </c>
      <c r="L221">
        <v>61107</v>
      </c>
      <c r="M221" s="1" t="s">
        <v>96</v>
      </c>
      <c r="N221" s="1" t="s">
        <v>1006</v>
      </c>
      <c r="O221" s="1" t="s">
        <v>33</v>
      </c>
      <c r="P221" s="1" t="s">
        <v>39</v>
      </c>
      <c r="Q221" s="1" t="s">
        <v>1007</v>
      </c>
      <c r="R221">
        <v>255</v>
      </c>
      <c r="S221">
        <v>14</v>
      </c>
      <c r="T221">
        <v>0.3</v>
      </c>
      <c r="U221">
        <v>-18</v>
      </c>
      <c r="V221" s="1" t="s">
        <v>86</v>
      </c>
      <c r="W221" s="1" t="s">
        <v>51</v>
      </c>
    </row>
    <row r="222" spans="1:23" x14ac:dyDescent="0.35">
      <c r="A222">
        <v>1048</v>
      </c>
      <c r="B222" s="1" t="s">
        <v>1008</v>
      </c>
      <c r="C222" s="2">
        <v>42437</v>
      </c>
      <c r="D222" s="2">
        <v>42442</v>
      </c>
      <c r="E222" s="1" t="s">
        <v>42</v>
      </c>
      <c r="F222" s="1" t="s">
        <v>846</v>
      </c>
      <c r="G222" s="1" t="s">
        <v>847</v>
      </c>
      <c r="H222" s="1" t="s">
        <v>27</v>
      </c>
      <c r="I222" s="1" t="s">
        <v>28</v>
      </c>
      <c r="J222" s="1" t="s">
        <v>1009</v>
      </c>
      <c r="K222" s="1" t="s">
        <v>46</v>
      </c>
      <c r="L222">
        <v>33142</v>
      </c>
      <c r="M222" s="1" t="s">
        <v>31</v>
      </c>
      <c r="N222" s="1" t="s">
        <v>184</v>
      </c>
      <c r="O222" s="1" t="s">
        <v>33</v>
      </c>
      <c r="P222" s="1" t="s">
        <v>59</v>
      </c>
      <c r="Q222" s="1" t="s">
        <v>185</v>
      </c>
      <c r="R222">
        <v>102</v>
      </c>
      <c r="S222">
        <v>3</v>
      </c>
      <c r="T222">
        <v>0.2</v>
      </c>
      <c r="U222">
        <v>-4</v>
      </c>
      <c r="V222" s="1" t="s">
        <v>61</v>
      </c>
      <c r="W222" s="1" t="s">
        <v>198</v>
      </c>
    </row>
    <row r="223" spans="1:23" x14ac:dyDescent="0.35">
      <c r="A223">
        <v>1051</v>
      </c>
      <c r="B223" s="1" t="s">
        <v>1010</v>
      </c>
      <c r="C223" s="2">
        <v>42188</v>
      </c>
      <c r="D223" s="2">
        <v>42190</v>
      </c>
      <c r="E223" s="1" t="s">
        <v>90</v>
      </c>
      <c r="F223" s="1" t="s">
        <v>1011</v>
      </c>
      <c r="G223" s="1" t="s">
        <v>1012</v>
      </c>
      <c r="H223" s="1" t="s">
        <v>93</v>
      </c>
      <c r="I223" s="1" t="s">
        <v>28</v>
      </c>
      <c r="J223" s="1" t="s">
        <v>68</v>
      </c>
      <c r="K223" s="1" t="s">
        <v>69</v>
      </c>
      <c r="L223">
        <v>19134</v>
      </c>
      <c r="M223" s="1" t="s">
        <v>70</v>
      </c>
      <c r="N223" s="1" t="s">
        <v>1013</v>
      </c>
      <c r="O223" s="1" t="s">
        <v>33</v>
      </c>
      <c r="P223" s="1" t="s">
        <v>59</v>
      </c>
      <c r="Q223" s="1" t="s">
        <v>1014</v>
      </c>
      <c r="R223">
        <v>168</v>
      </c>
      <c r="S223">
        <v>2</v>
      </c>
      <c r="T223">
        <v>0.2</v>
      </c>
      <c r="U223">
        <v>-29</v>
      </c>
      <c r="V223" s="1" t="s">
        <v>73</v>
      </c>
      <c r="W223" s="1" t="s">
        <v>74</v>
      </c>
    </row>
    <row r="224" spans="1:23" x14ac:dyDescent="0.35">
      <c r="A224">
        <v>1053</v>
      </c>
      <c r="B224" s="1" t="s">
        <v>1010</v>
      </c>
      <c r="C224" s="2">
        <v>42188</v>
      </c>
      <c r="D224" s="2">
        <v>42190</v>
      </c>
      <c r="E224" s="1" t="s">
        <v>90</v>
      </c>
      <c r="F224" s="1" t="s">
        <v>1011</v>
      </c>
      <c r="G224" s="1" t="s">
        <v>1012</v>
      </c>
      <c r="H224" s="1" t="s">
        <v>93</v>
      </c>
      <c r="I224" s="1" t="s">
        <v>28</v>
      </c>
      <c r="J224" s="1" t="s">
        <v>68</v>
      </c>
      <c r="K224" s="1" t="s">
        <v>69</v>
      </c>
      <c r="L224">
        <v>19134</v>
      </c>
      <c r="M224" s="1" t="s">
        <v>70</v>
      </c>
      <c r="N224" s="1" t="s">
        <v>1015</v>
      </c>
      <c r="O224" s="1" t="s">
        <v>33</v>
      </c>
      <c r="P224" s="1" t="s">
        <v>59</v>
      </c>
      <c r="Q224" s="1" t="s">
        <v>1016</v>
      </c>
      <c r="R224">
        <v>283</v>
      </c>
      <c r="S224">
        <v>9</v>
      </c>
      <c r="T224">
        <v>0.2</v>
      </c>
      <c r="U224">
        <v>57</v>
      </c>
      <c r="V224" s="1" t="s">
        <v>73</v>
      </c>
      <c r="W224" s="1" t="s">
        <v>74</v>
      </c>
    </row>
    <row r="225" spans="1:23" x14ac:dyDescent="0.35">
      <c r="A225">
        <v>1055</v>
      </c>
      <c r="B225" s="1" t="s">
        <v>1017</v>
      </c>
      <c r="C225" s="2">
        <v>42098</v>
      </c>
      <c r="D225" s="2">
        <v>42102</v>
      </c>
      <c r="E225" s="1" t="s">
        <v>42</v>
      </c>
      <c r="F225" s="1" t="s">
        <v>1018</v>
      </c>
      <c r="G225" s="1" t="s">
        <v>1019</v>
      </c>
      <c r="H225" s="1" t="s">
        <v>103</v>
      </c>
      <c r="I225" s="1" t="s">
        <v>28</v>
      </c>
      <c r="J225" s="1" t="s">
        <v>176</v>
      </c>
      <c r="K225" s="1" t="s">
        <v>123</v>
      </c>
      <c r="L225">
        <v>10009</v>
      </c>
      <c r="M225" s="1" t="s">
        <v>70</v>
      </c>
      <c r="N225" s="1" t="s">
        <v>1020</v>
      </c>
      <c r="O225" s="1" t="s">
        <v>33</v>
      </c>
      <c r="P225" s="1" t="s">
        <v>59</v>
      </c>
      <c r="Q225" s="1" t="s">
        <v>1021</v>
      </c>
      <c r="R225">
        <v>108</v>
      </c>
      <c r="S225">
        <v>2</v>
      </c>
      <c r="T225">
        <v>0</v>
      </c>
      <c r="U225">
        <v>23</v>
      </c>
      <c r="V225" s="1" t="s">
        <v>86</v>
      </c>
      <c r="W225" s="1" t="s">
        <v>116</v>
      </c>
    </row>
    <row r="226" spans="1:23" x14ac:dyDescent="0.35">
      <c r="A226">
        <v>1061</v>
      </c>
      <c r="B226" s="1" t="s">
        <v>1022</v>
      </c>
      <c r="C226" s="2">
        <v>42086</v>
      </c>
      <c r="D226" s="2">
        <v>42092</v>
      </c>
      <c r="E226" s="1" t="s">
        <v>42</v>
      </c>
      <c r="F226" s="1" t="s">
        <v>1023</v>
      </c>
      <c r="G226" s="1" t="s">
        <v>1024</v>
      </c>
      <c r="H226" s="1" t="s">
        <v>27</v>
      </c>
      <c r="I226" s="1" t="s">
        <v>28</v>
      </c>
      <c r="J226" s="1" t="s">
        <v>104</v>
      </c>
      <c r="K226" s="1" t="s">
        <v>95</v>
      </c>
      <c r="L226">
        <v>77095</v>
      </c>
      <c r="M226" s="1" t="s">
        <v>96</v>
      </c>
      <c r="N226" s="1" t="s">
        <v>491</v>
      </c>
      <c r="O226" s="1" t="s">
        <v>33</v>
      </c>
      <c r="P226" s="1" t="s">
        <v>39</v>
      </c>
      <c r="Q226" s="1" t="s">
        <v>492</v>
      </c>
      <c r="R226">
        <v>108</v>
      </c>
      <c r="S226">
        <v>2</v>
      </c>
      <c r="T226">
        <v>0.3</v>
      </c>
      <c r="U226">
        <v>-29</v>
      </c>
      <c r="V226" s="1" t="s">
        <v>132</v>
      </c>
      <c r="W226" s="1" t="s">
        <v>198</v>
      </c>
    </row>
    <row r="227" spans="1:23" x14ac:dyDescent="0.35">
      <c r="A227">
        <v>1068</v>
      </c>
      <c r="B227" s="1" t="s">
        <v>1025</v>
      </c>
      <c r="C227" s="2">
        <v>42644</v>
      </c>
      <c r="D227" s="2">
        <v>42645</v>
      </c>
      <c r="E227" s="1" t="s">
        <v>90</v>
      </c>
      <c r="F227" s="1" t="s">
        <v>1026</v>
      </c>
      <c r="G227" s="1" t="s">
        <v>1027</v>
      </c>
      <c r="H227" s="1" t="s">
        <v>27</v>
      </c>
      <c r="I227" s="1" t="s">
        <v>28</v>
      </c>
      <c r="J227" s="1" t="s">
        <v>331</v>
      </c>
      <c r="K227" s="1" t="s">
        <v>56</v>
      </c>
      <c r="L227">
        <v>94122</v>
      </c>
      <c r="M227" s="1" t="s">
        <v>57</v>
      </c>
      <c r="N227" s="1" t="s">
        <v>138</v>
      </c>
      <c r="O227" s="1" t="s">
        <v>33</v>
      </c>
      <c r="P227" s="1" t="s">
        <v>39</v>
      </c>
      <c r="Q227" s="1" t="s">
        <v>139</v>
      </c>
      <c r="R227">
        <v>195</v>
      </c>
      <c r="S227">
        <v>4</v>
      </c>
      <c r="T227">
        <v>0.2</v>
      </c>
      <c r="U227">
        <v>12</v>
      </c>
      <c r="V227" s="1" t="s">
        <v>126</v>
      </c>
      <c r="W227" s="1" t="s">
        <v>51</v>
      </c>
    </row>
    <row r="228" spans="1:23" x14ac:dyDescent="0.35">
      <c r="A228">
        <v>1082</v>
      </c>
      <c r="B228" s="1" t="s">
        <v>1028</v>
      </c>
      <c r="C228" s="2">
        <v>42337</v>
      </c>
      <c r="D228" s="2">
        <v>42342</v>
      </c>
      <c r="E228" s="1" t="s">
        <v>42</v>
      </c>
      <c r="F228" s="1" t="s">
        <v>1029</v>
      </c>
      <c r="G228" s="1" t="s">
        <v>1030</v>
      </c>
      <c r="H228" s="1" t="s">
        <v>93</v>
      </c>
      <c r="I228" s="1" t="s">
        <v>28</v>
      </c>
      <c r="J228" s="1" t="s">
        <v>291</v>
      </c>
      <c r="K228" s="1" t="s">
        <v>292</v>
      </c>
      <c r="L228">
        <v>48227</v>
      </c>
      <c r="M228" s="1" t="s">
        <v>96</v>
      </c>
      <c r="N228" s="1" t="s">
        <v>1031</v>
      </c>
      <c r="O228" s="1" t="s">
        <v>33</v>
      </c>
      <c r="P228" s="1" t="s">
        <v>39</v>
      </c>
      <c r="Q228" s="1" t="s">
        <v>1032</v>
      </c>
      <c r="R228">
        <v>1107</v>
      </c>
      <c r="S228">
        <v>9</v>
      </c>
      <c r="T228">
        <v>0</v>
      </c>
      <c r="U228">
        <v>122</v>
      </c>
      <c r="V228" s="1" t="s">
        <v>61</v>
      </c>
      <c r="W228" s="1" t="s">
        <v>37</v>
      </c>
    </row>
    <row r="229" spans="1:23" x14ac:dyDescent="0.35">
      <c r="A229">
        <v>1083</v>
      </c>
      <c r="B229" s="1" t="s">
        <v>1033</v>
      </c>
      <c r="C229" s="2">
        <v>42430</v>
      </c>
      <c r="D229" s="2">
        <v>42434</v>
      </c>
      <c r="E229" s="1" t="s">
        <v>42</v>
      </c>
      <c r="F229" s="1" t="s">
        <v>1034</v>
      </c>
      <c r="G229" s="1" t="s">
        <v>1035</v>
      </c>
      <c r="H229" s="1" t="s">
        <v>27</v>
      </c>
      <c r="I229" s="1" t="s">
        <v>28</v>
      </c>
      <c r="J229" s="1" t="s">
        <v>1036</v>
      </c>
      <c r="K229" s="1" t="s">
        <v>123</v>
      </c>
      <c r="L229">
        <v>10701</v>
      </c>
      <c r="M229" s="1" t="s">
        <v>70</v>
      </c>
      <c r="N229" s="1" t="s">
        <v>787</v>
      </c>
      <c r="O229" s="1" t="s">
        <v>33</v>
      </c>
      <c r="P229" s="1" t="s">
        <v>48</v>
      </c>
      <c r="Q229" s="1" t="s">
        <v>788</v>
      </c>
      <c r="R229">
        <v>837</v>
      </c>
      <c r="S229">
        <v>8</v>
      </c>
      <c r="T229">
        <v>0.4</v>
      </c>
      <c r="U229">
        <v>-265</v>
      </c>
      <c r="V229" s="1" t="s">
        <v>86</v>
      </c>
      <c r="W229" s="1" t="s">
        <v>198</v>
      </c>
    </row>
    <row r="230" spans="1:23" x14ac:dyDescent="0.35">
      <c r="A230">
        <v>1090</v>
      </c>
      <c r="B230" s="1" t="s">
        <v>1037</v>
      </c>
      <c r="C230" s="2">
        <v>42890</v>
      </c>
      <c r="D230" s="2">
        <v>42896</v>
      </c>
      <c r="E230" s="1" t="s">
        <v>42</v>
      </c>
      <c r="F230" s="1" t="s">
        <v>941</v>
      </c>
      <c r="G230" s="1" t="s">
        <v>942</v>
      </c>
      <c r="H230" s="1" t="s">
        <v>93</v>
      </c>
      <c r="I230" s="1" t="s">
        <v>28</v>
      </c>
      <c r="J230" s="1" t="s">
        <v>1038</v>
      </c>
      <c r="K230" s="1" t="s">
        <v>1039</v>
      </c>
      <c r="L230">
        <v>28110</v>
      </c>
      <c r="M230" s="1" t="s">
        <v>31</v>
      </c>
      <c r="N230" s="1" t="s">
        <v>403</v>
      </c>
      <c r="O230" s="1" t="s">
        <v>33</v>
      </c>
      <c r="P230" s="1" t="s">
        <v>59</v>
      </c>
      <c r="Q230" s="1" t="s">
        <v>404</v>
      </c>
      <c r="R230">
        <v>32</v>
      </c>
      <c r="S230">
        <v>2</v>
      </c>
      <c r="T230">
        <v>0.2</v>
      </c>
      <c r="U230">
        <v>2</v>
      </c>
      <c r="V230" s="1" t="s">
        <v>132</v>
      </c>
      <c r="W230" s="1" t="s">
        <v>62</v>
      </c>
    </row>
    <row r="231" spans="1:23" x14ac:dyDescent="0.35">
      <c r="A231">
        <v>1098</v>
      </c>
      <c r="B231" s="1" t="s">
        <v>1040</v>
      </c>
      <c r="C231" s="2">
        <v>41815</v>
      </c>
      <c r="D231" s="2">
        <v>41818</v>
      </c>
      <c r="E231" s="1" t="s">
        <v>90</v>
      </c>
      <c r="F231" s="1" t="s">
        <v>1041</v>
      </c>
      <c r="G231" s="1" t="s">
        <v>1042</v>
      </c>
      <c r="H231" s="1" t="s">
        <v>93</v>
      </c>
      <c r="I231" s="1" t="s">
        <v>28</v>
      </c>
      <c r="J231" s="1" t="s">
        <v>55</v>
      </c>
      <c r="K231" s="1" t="s">
        <v>56</v>
      </c>
      <c r="L231">
        <v>90049</v>
      </c>
      <c r="M231" s="1" t="s">
        <v>57</v>
      </c>
      <c r="N231" s="1" t="s">
        <v>1043</v>
      </c>
      <c r="O231" s="1" t="s">
        <v>33</v>
      </c>
      <c r="P231" s="1" t="s">
        <v>48</v>
      </c>
      <c r="Q231" s="1" t="s">
        <v>1044</v>
      </c>
      <c r="R231">
        <v>448</v>
      </c>
      <c r="S231">
        <v>5</v>
      </c>
      <c r="T231">
        <v>0.2</v>
      </c>
      <c r="U231">
        <v>11</v>
      </c>
      <c r="V231" s="1" t="s">
        <v>36</v>
      </c>
      <c r="W231" s="1" t="s">
        <v>62</v>
      </c>
    </row>
    <row r="232" spans="1:23" x14ac:dyDescent="0.35">
      <c r="A232">
        <v>1100</v>
      </c>
      <c r="B232" s="1" t="s">
        <v>1045</v>
      </c>
      <c r="C232" s="2">
        <v>42535</v>
      </c>
      <c r="D232" s="2">
        <v>42538</v>
      </c>
      <c r="E232" s="1" t="s">
        <v>90</v>
      </c>
      <c r="F232" s="1" t="s">
        <v>1046</v>
      </c>
      <c r="G232" s="1" t="s">
        <v>1047</v>
      </c>
      <c r="H232" s="1" t="s">
        <v>103</v>
      </c>
      <c r="I232" s="1" t="s">
        <v>28</v>
      </c>
      <c r="J232" s="1" t="s">
        <v>331</v>
      </c>
      <c r="K232" s="1" t="s">
        <v>56</v>
      </c>
      <c r="L232">
        <v>94122</v>
      </c>
      <c r="M232" s="1" t="s">
        <v>57</v>
      </c>
      <c r="N232" s="1" t="s">
        <v>503</v>
      </c>
      <c r="O232" s="1" t="s">
        <v>33</v>
      </c>
      <c r="P232" s="1" t="s">
        <v>59</v>
      </c>
      <c r="Q232" s="1" t="s">
        <v>504</v>
      </c>
      <c r="R232">
        <v>9</v>
      </c>
      <c r="S232">
        <v>3</v>
      </c>
      <c r="T232">
        <v>0</v>
      </c>
      <c r="U232">
        <v>4</v>
      </c>
      <c r="V232" s="1" t="s">
        <v>36</v>
      </c>
      <c r="W232" s="1" t="s">
        <v>62</v>
      </c>
    </row>
    <row r="233" spans="1:23" x14ac:dyDescent="0.35">
      <c r="A233">
        <v>1107</v>
      </c>
      <c r="B233" s="1" t="s">
        <v>1048</v>
      </c>
      <c r="C233" s="2">
        <v>42693</v>
      </c>
      <c r="D233" s="2">
        <v>42698</v>
      </c>
      <c r="E233" s="1" t="s">
        <v>42</v>
      </c>
      <c r="F233" s="1" t="s">
        <v>1049</v>
      </c>
      <c r="G233" s="1" t="s">
        <v>1050</v>
      </c>
      <c r="H233" s="1" t="s">
        <v>27</v>
      </c>
      <c r="I233" s="1" t="s">
        <v>28</v>
      </c>
      <c r="J233" s="1" t="s">
        <v>104</v>
      </c>
      <c r="K233" s="1" t="s">
        <v>95</v>
      </c>
      <c r="L233">
        <v>77041</v>
      </c>
      <c r="M233" s="1" t="s">
        <v>96</v>
      </c>
      <c r="N233" s="1" t="s">
        <v>503</v>
      </c>
      <c r="O233" s="1" t="s">
        <v>33</v>
      </c>
      <c r="P233" s="1" t="s">
        <v>59</v>
      </c>
      <c r="Q233" s="1" t="s">
        <v>504</v>
      </c>
      <c r="R233">
        <v>2</v>
      </c>
      <c r="S233">
        <v>2</v>
      </c>
      <c r="T233">
        <v>0.6</v>
      </c>
      <c r="U233">
        <v>-1</v>
      </c>
      <c r="V233" s="1" t="s">
        <v>61</v>
      </c>
      <c r="W233" s="1" t="s">
        <v>37</v>
      </c>
    </row>
    <row r="234" spans="1:23" x14ac:dyDescent="0.35">
      <c r="A234">
        <v>1115</v>
      </c>
      <c r="B234" s="1" t="s">
        <v>1051</v>
      </c>
      <c r="C234" s="2">
        <v>43087</v>
      </c>
      <c r="D234" s="2">
        <v>43092</v>
      </c>
      <c r="E234" s="1" t="s">
        <v>24</v>
      </c>
      <c r="F234" s="1" t="s">
        <v>1052</v>
      </c>
      <c r="G234" s="1" t="s">
        <v>1053</v>
      </c>
      <c r="H234" s="1" t="s">
        <v>27</v>
      </c>
      <c r="I234" s="1" t="s">
        <v>28</v>
      </c>
      <c r="J234" s="1" t="s">
        <v>1054</v>
      </c>
      <c r="K234" s="1" t="s">
        <v>56</v>
      </c>
      <c r="L234">
        <v>92024</v>
      </c>
      <c r="M234" s="1" t="s">
        <v>57</v>
      </c>
      <c r="N234" s="1" t="s">
        <v>1055</v>
      </c>
      <c r="O234" s="1" t="s">
        <v>33</v>
      </c>
      <c r="P234" s="1" t="s">
        <v>34</v>
      </c>
      <c r="Q234" s="1" t="s">
        <v>1056</v>
      </c>
      <c r="R234">
        <v>120</v>
      </c>
      <c r="S234">
        <v>1</v>
      </c>
      <c r="T234">
        <v>0.15</v>
      </c>
      <c r="U234">
        <v>-13</v>
      </c>
      <c r="V234" s="1" t="s">
        <v>61</v>
      </c>
      <c r="W234" s="1" t="s">
        <v>99</v>
      </c>
    </row>
    <row r="235" spans="1:23" x14ac:dyDescent="0.35">
      <c r="A235">
        <v>1124</v>
      </c>
      <c r="B235" s="1" t="s">
        <v>1057</v>
      </c>
      <c r="C235" s="2">
        <v>41659</v>
      </c>
      <c r="D235" s="2">
        <v>41665</v>
      </c>
      <c r="E235" s="1" t="s">
        <v>42</v>
      </c>
      <c r="F235" s="1" t="s">
        <v>1058</v>
      </c>
      <c r="G235" s="1" t="s">
        <v>1059</v>
      </c>
      <c r="H235" s="1" t="s">
        <v>27</v>
      </c>
      <c r="I235" s="1" t="s">
        <v>28</v>
      </c>
      <c r="J235" s="1" t="s">
        <v>1060</v>
      </c>
      <c r="K235" s="1" t="s">
        <v>1061</v>
      </c>
      <c r="L235">
        <v>72401</v>
      </c>
      <c r="M235" s="1" t="s">
        <v>31</v>
      </c>
      <c r="N235" s="1" t="s">
        <v>155</v>
      </c>
      <c r="O235" s="1" t="s">
        <v>33</v>
      </c>
      <c r="P235" s="1" t="s">
        <v>59</v>
      </c>
      <c r="Q235" s="1" t="s">
        <v>156</v>
      </c>
      <c r="R235">
        <v>39</v>
      </c>
      <c r="S235">
        <v>4</v>
      </c>
      <c r="T235">
        <v>0</v>
      </c>
      <c r="U235">
        <v>12</v>
      </c>
      <c r="V235" s="1" t="s">
        <v>132</v>
      </c>
      <c r="W235" s="1" t="s">
        <v>172</v>
      </c>
    </row>
    <row r="236" spans="1:23" x14ac:dyDescent="0.35">
      <c r="A236">
        <v>1127</v>
      </c>
      <c r="B236" s="1" t="s">
        <v>1057</v>
      </c>
      <c r="C236" s="2">
        <v>41659</v>
      </c>
      <c r="D236" s="2">
        <v>41665</v>
      </c>
      <c r="E236" s="1" t="s">
        <v>42</v>
      </c>
      <c r="F236" s="1" t="s">
        <v>1058</v>
      </c>
      <c r="G236" s="1" t="s">
        <v>1059</v>
      </c>
      <c r="H236" s="1" t="s">
        <v>27</v>
      </c>
      <c r="I236" s="1" t="s">
        <v>28</v>
      </c>
      <c r="J236" s="1" t="s">
        <v>1060</v>
      </c>
      <c r="K236" s="1" t="s">
        <v>1061</v>
      </c>
      <c r="L236">
        <v>72401</v>
      </c>
      <c r="M236" s="1" t="s">
        <v>31</v>
      </c>
      <c r="N236" s="1" t="s">
        <v>517</v>
      </c>
      <c r="O236" s="1" t="s">
        <v>33</v>
      </c>
      <c r="P236" s="1" t="s">
        <v>39</v>
      </c>
      <c r="Q236" s="1" t="s">
        <v>518</v>
      </c>
      <c r="R236">
        <v>1068</v>
      </c>
      <c r="S236">
        <v>3</v>
      </c>
      <c r="T236">
        <v>0</v>
      </c>
      <c r="U236">
        <v>224</v>
      </c>
      <c r="V236" s="1" t="s">
        <v>132</v>
      </c>
      <c r="W236" s="1" t="s">
        <v>172</v>
      </c>
    </row>
    <row r="237" spans="1:23" x14ac:dyDescent="0.35">
      <c r="A237">
        <v>1130</v>
      </c>
      <c r="B237" s="1" t="s">
        <v>1062</v>
      </c>
      <c r="C237" s="2">
        <v>42472</v>
      </c>
      <c r="D237" s="2">
        <v>42476</v>
      </c>
      <c r="E237" s="1" t="s">
        <v>42</v>
      </c>
      <c r="F237" s="1" t="s">
        <v>1063</v>
      </c>
      <c r="G237" s="1" t="s">
        <v>1064</v>
      </c>
      <c r="H237" s="1" t="s">
        <v>27</v>
      </c>
      <c r="I237" s="1" t="s">
        <v>28</v>
      </c>
      <c r="J237" s="1" t="s">
        <v>881</v>
      </c>
      <c r="K237" s="1" t="s">
        <v>719</v>
      </c>
      <c r="L237">
        <v>22153</v>
      </c>
      <c r="M237" s="1" t="s">
        <v>31</v>
      </c>
      <c r="N237" s="1" t="s">
        <v>1065</v>
      </c>
      <c r="O237" s="1" t="s">
        <v>33</v>
      </c>
      <c r="P237" s="1" t="s">
        <v>48</v>
      </c>
      <c r="Q237" s="1" t="s">
        <v>1066</v>
      </c>
      <c r="R237">
        <v>344</v>
      </c>
      <c r="S237">
        <v>4</v>
      </c>
      <c r="T237">
        <v>0</v>
      </c>
      <c r="U237">
        <v>76</v>
      </c>
      <c r="V237" s="1" t="s">
        <v>86</v>
      </c>
      <c r="W237" s="1" t="s">
        <v>116</v>
      </c>
    </row>
    <row r="238" spans="1:23" x14ac:dyDescent="0.35">
      <c r="A238">
        <v>1142</v>
      </c>
      <c r="B238" s="1" t="s">
        <v>1067</v>
      </c>
      <c r="C238" s="2">
        <v>41911</v>
      </c>
      <c r="D238" s="2">
        <v>41915</v>
      </c>
      <c r="E238" s="1" t="s">
        <v>42</v>
      </c>
      <c r="F238" s="1" t="s">
        <v>1068</v>
      </c>
      <c r="G238" s="1" t="s">
        <v>1069</v>
      </c>
      <c r="H238" s="1" t="s">
        <v>27</v>
      </c>
      <c r="I238" s="1" t="s">
        <v>28</v>
      </c>
      <c r="J238" s="1" t="s">
        <v>55</v>
      </c>
      <c r="K238" s="1" t="s">
        <v>56</v>
      </c>
      <c r="L238">
        <v>90045</v>
      </c>
      <c r="M238" s="1" t="s">
        <v>57</v>
      </c>
      <c r="N238" s="1" t="s">
        <v>938</v>
      </c>
      <c r="O238" s="1" t="s">
        <v>33</v>
      </c>
      <c r="P238" s="1" t="s">
        <v>59</v>
      </c>
      <c r="Q238" s="1" t="s">
        <v>939</v>
      </c>
      <c r="R238">
        <v>205</v>
      </c>
      <c r="S238">
        <v>2</v>
      </c>
      <c r="T238">
        <v>0</v>
      </c>
      <c r="U238">
        <v>53</v>
      </c>
      <c r="V238" s="1" t="s">
        <v>86</v>
      </c>
      <c r="W238" s="1" t="s">
        <v>80</v>
      </c>
    </row>
    <row r="239" spans="1:23" x14ac:dyDescent="0.35">
      <c r="A239">
        <v>1152</v>
      </c>
      <c r="B239" s="1" t="s">
        <v>1070</v>
      </c>
      <c r="C239" s="2">
        <v>42132</v>
      </c>
      <c r="D239" s="2">
        <v>42138</v>
      </c>
      <c r="E239" s="1" t="s">
        <v>42</v>
      </c>
      <c r="F239" s="1" t="s">
        <v>1071</v>
      </c>
      <c r="G239" s="1" t="s">
        <v>1072</v>
      </c>
      <c r="H239" s="1" t="s">
        <v>93</v>
      </c>
      <c r="I239" s="1" t="s">
        <v>28</v>
      </c>
      <c r="J239" s="1" t="s">
        <v>1073</v>
      </c>
      <c r="K239" s="1" t="s">
        <v>234</v>
      </c>
      <c r="L239">
        <v>44221</v>
      </c>
      <c r="M239" s="1" t="s">
        <v>70</v>
      </c>
      <c r="N239" s="1" t="s">
        <v>1074</v>
      </c>
      <c r="O239" s="1" t="s">
        <v>33</v>
      </c>
      <c r="P239" s="1" t="s">
        <v>59</v>
      </c>
      <c r="Q239" s="1" t="s">
        <v>1075</v>
      </c>
      <c r="R239">
        <v>8</v>
      </c>
      <c r="S239">
        <v>6</v>
      </c>
      <c r="T239">
        <v>0.2</v>
      </c>
      <c r="U239">
        <v>1</v>
      </c>
      <c r="V239" s="1" t="s">
        <v>132</v>
      </c>
      <c r="W239" s="1" t="s">
        <v>164</v>
      </c>
    </row>
    <row r="240" spans="1:23" x14ac:dyDescent="0.35">
      <c r="A240">
        <v>1156</v>
      </c>
      <c r="B240" s="1" t="s">
        <v>1076</v>
      </c>
      <c r="C240" s="2">
        <v>41993</v>
      </c>
      <c r="D240" s="2">
        <v>41994</v>
      </c>
      <c r="E240" s="1" t="s">
        <v>90</v>
      </c>
      <c r="F240" s="1" t="s">
        <v>1077</v>
      </c>
      <c r="G240" s="1" t="s">
        <v>1078</v>
      </c>
      <c r="H240" s="1" t="s">
        <v>103</v>
      </c>
      <c r="I240" s="1" t="s">
        <v>28</v>
      </c>
      <c r="J240" s="1" t="s">
        <v>1079</v>
      </c>
      <c r="K240" s="1" t="s">
        <v>719</v>
      </c>
      <c r="L240">
        <v>22801</v>
      </c>
      <c r="M240" s="1" t="s">
        <v>31</v>
      </c>
      <c r="N240" s="1" t="s">
        <v>1080</v>
      </c>
      <c r="O240" s="1" t="s">
        <v>33</v>
      </c>
      <c r="P240" s="1" t="s">
        <v>48</v>
      </c>
      <c r="Q240" s="1" t="s">
        <v>1081</v>
      </c>
      <c r="R240">
        <v>2244</v>
      </c>
      <c r="S240">
        <v>7</v>
      </c>
      <c r="T240">
        <v>0</v>
      </c>
      <c r="U240">
        <v>494</v>
      </c>
      <c r="V240" s="1" t="s">
        <v>126</v>
      </c>
      <c r="W240" s="1" t="s">
        <v>99</v>
      </c>
    </row>
    <row r="241" spans="1:23" x14ac:dyDescent="0.35">
      <c r="A241">
        <v>1158</v>
      </c>
      <c r="B241" s="1" t="s">
        <v>1076</v>
      </c>
      <c r="C241" s="2">
        <v>41993</v>
      </c>
      <c r="D241" s="2">
        <v>41994</v>
      </c>
      <c r="E241" s="1" t="s">
        <v>90</v>
      </c>
      <c r="F241" s="1" t="s">
        <v>1077</v>
      </c>
      <c r="G241" s="1" t="s">
        <v>1078</v>
      </c>
      <c r="H241" s="1" t="s">
        <v>103</v>
      </c>
      <c r="I241" s="1" t="s">
        <v>28</v>
      </c>
      <c r="J241" s="1" t="s">
        <v>1079</v>
      </c>
      <c r="K241" s="1" t="s">
        <v>719</v>
      </c>
      <c r="L241">
        <v>22801</v>
      </c>
      <c r="M241" s="1" t="s">
        <v>31</v>
      </c>
      <c r="N241" s="1" t="s">
        <v>444</v>
      </c>
      <c r="O241" s="1" t="s">
        <v>33</v>
      </c>
      <c r="P241" s="1" t="s">
        <v>48</v>
      </c>
      <c r="Q241" s="1" t="s">
        <v>445</v>
      </c>
      <c r="R241">
        <v>455</v>
      </c>
      <c r="S241">
        <v>2</v>
      </c>
      <c r="T241">
        <v>0</v>
      </c>
      <c r="U241">
        <v>100</v>
      </c>
      <c r="V241" s="1" t="s">
        <v>126</v>
      </c>
      <c r="W241" s="1" t="s">
        <v>99</v>
      </c>
    </row>
    <row r="242" spans="1:23" x14ac:dyDescent="0.35">
      <c r="A242">
        <v>1159</v>
      </c>
      <c r="B242" s="1" t="s">
        <v>1082</v>
      </c>
      <c r="C242" s="2">
        <v>42553</v>
      </c>
      <c r="D242" s="2">
        <v>42558</v>
      </c>
      <c r="E242" s="1" t="s">
        <v>24</v>
      </c>
      <c r="F242" s="1" t="s">
        <v>1083</v>
      </c>
      <c r="G242" s="1" t="s">
        <v>1084</v>
      </c>
      <c r="H242" s="1" t="s">
        <v>93</v>
      </c>
      <c r="I242" s="1" t="s">
        <v>28</v>
      </c>
      <c r="J242" s="1" t="s">
        <v>55</v>
      </c>
      <c r="K242" s="1" t="s">
        <v>56</v>
      </c>
      <c r="L242">
        <v>90004</v>
      </c>
      <c r="M242" s="1" t="s">
        <v>57</v>
      </c>
      <c r="N242" s="1" t="s">
        <v>1085</v>
      </c>
      <c r="O242" s="1" t="s">
        <v>33</v>
      </c>
      <c r="P242" s="1" t="s">
        <v>39</v>
      </c>
      <c r="Q242" s="1" t="s">
        <v>1086</v>
      </c>
      <c r="R242">
        <v>195</v>
      </c>
      <c r="S242">
        <v>1</v>
      </c>
      <c r="T242">
        <v>0.2</v>
      </c>
      <c r="U242">
        <v>20</v>
      </c>
      <c r="V242" s="1" t="s">
        <v>61</v>
      </c>
      <c r="W242" s="1" t="s">
        <v>74</v>
      </c>
    </row>
    <row r="243" spans="1:23" x14ac:dyDescent="0.35">
      <c r="A243">
        <v>1168</v>
      </c>
      <c r="B243" s="1" t="s">
        <v>1087</v>
      </c>
      <c r="C243" s="2">
        <v>43077</v>
      </c>
      <c r="D243" s="2">
        <v>43079</v>
      </c>
      <c r="E243" s="1" t="s">
        <v>24</v>
      </c>
      <c r="F243" s="1" t="s">
        <v>944</v>
      </c>
      <c r="G243" s="1" t="s">
        <v>945</v>
      </c>
      <c r="H243" s="1" t="s">
        <v>27</v>
      </c>
      <c r="I243" s="1" t="s">
        <v>28</v>
      </c>
      <c r="J243" s="1" t="s">
        <v>176</v>
      </c>
      <c r="K243" s="1" t="s">
        <v>123</v>
      </c>
      <c r="L243">
        <v>10035</v>
      </c>
      <c r="M243" s="1" t="s">
        <v>70</v>
      </c>
      <c r="N243" s="1" t="s">
        <v>1088</v>
      </c>
      <c r="O243" s="1" t="s">
        <v>33</v>
      </c>
      <c r="P243" s="1" t="s">
        <v>59</v>
      </c>
      <c r="Q243" s="1" t="s">
        <v>1089</v>
      </c>
      <c r="R243">
        <v>109</v>
      </c>
      <c r="S243">
        <v>2</v>
      </c>
      <c r="T243">
        <v>0</v>
      </c>
      <c r="U243">
        <v>34</v>
      </c>
      <c r="V243" s="1" t="s">
        <v>73</v>
      </c>
      <c r="W243" s="1" t="s">
        <v>99</v>
      </c>
    </row>
    <row r="244" spans="1:23" x14ac:dyDescent="0.35">
      <c r="A244">
        <v>1178</v>
      </c>
      <c r="B244" s="1" t="s">
        <v>1090</v>
      </c>
      <c r="C244" s="2">
        <v>42705</v>
      </c>
      <c r="D244" s="2">
        <v>42709</v>
      </c>
      <c r="E244" s="1" t="s">
        <v>42</v>
      </c>
      <c r="F244" s="1" t="s">
        <v>141</v>
      </c>
      <c r="G244" s="1" t="s">
        <v>142</v>
      </c>
      <c r="H244" s="1" t="s">
        <v>27</v>
      </c>
      <c r="I244" s="1" t="s">
        <v>28</v>
      </c>
      <c r="J244" s="1" t="s">
        <v>1091</v>
      </c>
      <c r="K244" s="1" t="s">
        <v>1092</v>
      </c>
      <c r="L244">
        <v>20852</v>
      </c>
      <c r="M244" s="1" t="s">
        <v>70</v>
      </c>
      <c r="N244" s="1" t="s">
        <v>1093</v>
      </c>
      <c r="O244" s="1" t="s">
        <v>33</v>
      </c>
      <c r="P244" s="1" t="s">
        <v>39</v>
      </c>
      <c r="Q244" s="1" t="s">
        <v>1094</v>
      </c>
      <c r="R244">
        <v>172</v>
      </c>
      <c r="S244">
        <v>2</v>
      </c>
      <c r="T244">
        <v>0</v>
      </c>
      <c r="U244">
        <v>52</v>
      </c>
      <c r="V244" s="1" t="s">
        <v>86</v>
      </c>
      <c r="W244" s="1" t="s">
        <v>99</v>
      </c>
    </row>
    <row r="245" spans="1:23" x14ac:dyDescent="0.35">
      <c r="A245">
        <v>1191</v>
      </c>
      <c r="B245" s="1" t="s">
        <v>1095</v>
      </c>
      <c r="C245" s="2">
        <v>42792</v>
      </c>
      <c r="D245" s="2">
        <v>42794</v>
      </c>
      <c r="E245" s="1" t="s">
        <v>24</v>
      </c>
      <c r="F245" s="1" t="s">
        <v>1096</v>
      </c>
      <c r="G245" s="1" t="s">
        <v>1097</v>
      </c>
      <c r="H245" s="1" t="s">
        <v>103</v>
      </c>
      <c r="I245" s="1" t="s">
        <v>28</v>
      </c>
      <c r="J245" s="1" t="s">
        <v>55</v>
      </c>
      <c r="K245" s="1" t="s">
        <v>56</v>
      </c>
      <c r="L245">
        <v>90036</v>
      </c>
      <c r="M245" s="1" t="s">
        <v>57</v>
      </c>
      <c r="N245" s="1" t="s">
        <v>1098</v>
      </c>
      <c r="O245" s="1" t="s">
        <v>33</v>
      </c>
      <c r="P245" s="1" t="s">
        <v>39</v>
      </c>
      <c r="Q245" s="1" t="s">
        <v>1099</v>
      </c>
      <c r="R245">
        <v>892</v>
      </c>
      <c r="S245">
        <v>3</v>
      </c>
      <c r="T245">
        <v>0.2</v>
      </c>
      <c r="U245">
        <v>89</v>
      </c>
      <c r="V245" s="1" t="s">
        <v>73</v>
      </c>
      <c r="W245" s="1" t="s">
        <v>300</v>
      </c>
    </row>
    <row r="246" spans="1:23" x14ac:dyDescent="0.35">
      <c r="A246">
        <v>1195</v>
      </c>
      <c r="B246" s="1" t="s">
        <v>1100</v>
      </c>
      <c r="C246" s="2">
        <v>42262</v>
      </c>
      <c r="D246" s="2">
        <v>42262</v>
      </c>
      <c r="E246" s="1" t="s">
        <v>428</v>
      </c>
      <c r="F246" s="1" t="s">
        <v>649</v>
      </c>
      <c r="G246" s="1" t="s">
        <v>650</v>
      </c>
      <c r="H246" s="1" t="s">
        <v>93</v>
      </c>
      <c r="I246" s="1" t="s">
        <v>28</v>
      </c>
      <c r="J246" s="1" t="s">
        <v>1101</v>
      </c>
      <c r="K246" s="1" t="s">
        <v>46</v>
      </c>
      <c r="L246">
        <v>33065</v>
      </c>
      <c r="M246" s="1" t="s">
        <v>31</v>
      </c>
      <c r="N246" s="1" t="s">
        <v>1102</v>
      </c>
      <c r="O246" s="1" t="s">
        <v>33</v>
      </c>
      <c r="P246" s="1" t="s">
        <v>59</v>
      </c>
      <c r="Q246" s="1" t="s">
        <v>1103</v>
      </c>
      <c r="R246">
        <v>16</v>
      </c>
      <c r="S246">
        <v>4</v>
      </c>
      <c r="T246">
        <v>0.2</v>
      </c>
      <c r="U246">
        <v>3</v>
      </c>
      <c r="V246" s="1" t="s">
        <v>433</v>
      </c>
      <c r="W246" s="1" t="s">
        <v>80</v>
      </c>
    </row>
    <row r="247" spans="1:23" x14ac:dyDescent="0.35">
      <c r="A247">
        <v>1197</v>
      </c>
      <c r="B247" s="1" t="s">
        <v>1100</v>
      </c>
      <c r="C247" s="2">
        <v>42262</v>
      </c>
      <c r="D247" s="2">
        <v>42262</v>
      </c>
      <c r="E247" s="1" t="s">
        <v>428</v>
      </c>
      <c r="F247" s="1" t="s">
        <v>649</v>
      </c>
      <c r="G247" s="1" t="s">
        <v>650</v>
      </c>
      <c r="H247" s="1" t="s">
        <v>93</v>
      </c>
      <c r="I247" s="1" t="s">
        <v>28</v>
      </c>
      <c r="J247" s="1" t="s">
        <v>1101</v>
      </c>
      <c r="K247" s="1" t="s">
        <v>46</v>
      </c>
      <c r="L247">
        <v>33065</v>
      </c>
      <c r="M247" s="1" t="s">
        <v>31</v>
      </c>
      <c r="N247" s="1" t="s">
        <v>728</v>
      </c>
      <c r="O247" s="1" t="s">
        <v>33</v>
      </c>
      <c r="P247" s="1" t="s">
        <v>59</v>
      </c>
      <c r="Q247" s="1" t="s">
        <v>729</v>
      </c>
      <c r="R247">
        <v>56</v>
      </c>
      <c r="S247">
        <v>1</v>
      </c>
      <c r="T247">
        <v>0.2</v>
      </c>
      <c r="U247">
        <v>-2</v>
      </c>
      <c r="V247" s="1" t="s">
        <v>433</v>
      </c>
      <c r="W247" s="1" t="s">
        <v>80</v>
      </c>
    </row>
    <row r="248" spans="1:23" x14ac:dyDescent="0.35">
      <c r="A248">
        <v>1199</v>
      </c>
      <c r="B248" s="1" t="s">
        <v>1104</v>
      </c>
      <c r="C248" s="2">
        <v>42468</v>
      </c>
      <c r="D248" s="2">
        <v>42472</v>
      </c>
      <c r="E248" s="1" t="s">
        <v>42</v>
      </c>
      <c r="F248" s="1" t="s">
        <v>846</v>
      </c>
      <c r="G248" s="1" t="s">
        <v>847</v>
      </c>
      <c r="H248" s="1" t="s">
        <v>27</v>
      </c>
      <c r="I248" s="1" t="s">
        <v>28</v>
      </c>
      <c r="J248" s="1" t="s">
        <v>104</v>
      </c>
      <c r="K248" s="1" t="s">
        <v>95</v>
      </c>
      <c r="L248">
        <v>77041</v>
      </c>
      <c r="M248" s="1" t="s">
        <v>96</v>
      </c>
      <c r="N248" s="1" t="s">
        <v>1105</v>
      </c>
      <c r="O248" s="1" t="s">
        <v>33</v>
      </c>
      <c r="P248" s="1" t="s">
        <v>39</v>
      </c>
      <c r="Q248" s="1" t="s">
        <v>1106</v>
      </c>
      <c r="R248">
        <v>96</v>
      </c>
      <c r="S248">
        <v>4</v>
      </c>
      <c r="T248">
        <v>0.3</v>
      </c>
      <c r="U248">
        <v>-4</v>
      </c>
      <c r="V248" s="1" t="s">
        <v>86</v>
      </c>
      <c r="W248" s="1" t="s">
        <v>116</v>
      </c>
    </row>
    <row r="249" spans="1:23" x14ac:dyDescent="0.35">
      <c r="A249">
        <v>1201</v>
      </c>
      <c r="B249" s="1" t="s">
        <v>1107</v>
      </c>
      <c r="C249" s="2">
        <v>42569</v>
      </c>
      <c r="D249" s="2">
        <v>42575</v>
      </c>
      <c r="E249" s="1" t="s">
        <v>42</v>
      </c>
      <c r="F249" s="1" t="s">
        <v>1108</v>
      </c>
      <c r="G249" s="1" t="s">
        <v>1109</v>
      </c>
      <c r="H249" s="1" t="s">
        <v>93</v>
      </c>
      <c r="I249" s="1" t="s">
        <v>28</v>
      </c>
      <c r="J249" s="1" t="s">
        <v>268</v>
      </c>
      <c r="K249" s="1" t="s">
        <v>183</v>
      </c>
      <c r="L249">
        <v>80219</v>
      </c>
      <c r="M249" s="1" t="s">
        <v>57</v>
      </c>
      <c r="N249" s="1" t="s">
        <v>808</v>
      </c>
      <c r="O249" s="1" t="s">
        <v>33</v>
      </c>
      <c r="P249" s="1" t="s">
        <v>39</v>
      </c>
      <c r="Q249" s="1" t="s">
        <v>809</v>
      </c>
      <c r="R249">
        <v>544</v>
      </c>
      <c r="S249">
        <v>3</v>
      </c>
      <c r="T249">
        <v>0.2</v>
      </c>
      <c r="U249">
        <v>41</v>
      </c>
      <c r="V249" s="1" t="s">
        <v>132</v>
      </c>
      <c r="W249" s="1" t="s">
        <v>74</v>
      </c>
    </row>
    <row r="250" spans="1:23" x14ac:dyDescent="0.35">
      <c r="A250">
        <v>1203</v>
      </c>
      <c r="B250" s="1" t="s">
        <v>1107</v>
      </c>
      <c r="C250" s="2">
        <v>42569</v>
      </c>
      <c r="D250" s="2">
        <v>42575</v>
      </c>
      <c r="E250" s="1" t="s">
        <v>42</v>
      </c>
      <c r="F250" s="1" t="s">
        <v>1108</v>
      </c>
      <c r="G250" s="1" t="s">
        <v>1109</v>
      </c>
      <c r="H250" s="1" t="s">
        <v>93</v>
      </c>
      <c r="I250" s="1" t="s">
        <v>28</v>
      </c>
      <c r="J250" s="1" t="s">
        <v>268</v>
      </c>
      <c r="K250" s="1" t="s">
        <v>183</v>
      </c>
      <c r="L250">
        <v>80219</v>
      </c>
      <c r="M250" s="1" t="s">
        <v>57</v>
      </c>
      <c r="N250" s="1" t="s">
        <v>517</v>
      </c>
      <c r="O250" s="1" t="s">
        <v>33</v>
      </c>
      <c r="P250" s="1" t="s">
        <v>39</v>
      </c>
      <c r="Q250" s="1" t="s">
        <v>518</v>
      </c>
      <c r="R250">
        <v>854</v>
      </c>
      <c r="S250">
        <v>3</v>
      </c>
      <c r="T250">
        <v>0.2</v>
      </c>
      <c r="U250">
        <v>11</v>
      </c>
      <c r="V250" s="1" t="s">
        <v>132</v>
      </c>
      <c r="W250" s="1" t="s">
        <v>74</v>
      </c>
    </row>
    <row r="251" spans="1:23" x14ac:dyDescent="0.35">
      <c r="A251">
        <v>1212</v>
      </c>
      <c r="B251" s="1" t="s">
        <v>1110</v>
      </c>
      <c r="C251" s="2">
        <v>42565</v>
      </c>
      <c r="D251" s="2">
        <v>42569</v>
      </c>
      <c r="E251" s="1" t="s">
        <v>24</v>
      </c>
      <c r="F251" s="1" t="s">
        <v>1111</v>
      </c>
      <c r="G251" s="1" t="s">
        <v>1112</v>
      </c>
      <c r="H251" s="1" t="s">
        <v>93</v>
      </c>
      <c r="I251" s="1" t="s">
        <v>28</v>
      </c>
      <c r="J251" s="1" t="s">
        <v>176</v>
      </c>
      <c r="K251" s="1" t="s">
        <v>123</v>
      </c>
      <c r="L251">
        <v>10009</v>
      </c>
      <c r="M251" s="1" t="s">
        <v>70</v>
      </c>
      <c r="N251" s="1" t="s">
        <v>280</v>
      </c>
      <c r="O251" s="1" t="s">
        <v>33</v>
      </c>
      <c r="P251" s="1" t="s">
        <v>34</v>
      </c>
      <c r="Q251" s="1" t="s">
        <v>281</v>
      </c>
      <c r="R251">
        <v>579</v>
      </c>
      <c r="S251">
        <v>4</v>
      </c>
      <c r="T251">
        <v>0.2</v>
      </c>
      <c r="U251">
        <v>22</v>
      </c>
      <c r="V251" s="1" t="s">
        <v>86</v>
      </c>
      <c r="W251" s="1" t="s">
        <v>74</v>
      </c>
    </row>
    <row r="252" spans="1:23" x14ac:dyDescent="0.35">
      <c r="A252">
        <v>1213</v>
      </c>
      <c r="B252" s="1" t="s">
        <v>1113</v>
      </c>
      <c r="C252" s="2">
        <v>42987</v>
      </c>
      <c r="D252" s="2">
        <v>42991</v>
      </c>
      <c r="E252" s="1" t="s">
        <v>42</v>
      </c>
      <c r="F252" s="1" t="s">
        <v>1114</v>
      </c>
      <c r="G252" s="1" t="s">
        <v>1115</v>
      </c>
      <c r="H252" s="1" t="s">
        <v>93</v>
      </c>
      <c r="I252" s="1" t="s">
        <v>28</v>
      </c>
      <c r="J252" s="1" t="s">
        <v>68</v>
      </c>
      <c r="K252" s="1" t="s">
        <v>69</v>
      </c>
      <c r="L252">
        <v>19134</v>
      </c>
      <c r="M252" s="1" t="s">
        <v>70</v>
      </c>
      <c r="N252" s="1" t="s">
        <v>298</v>
      </c>
      <c r="O252" s="1" t="s">
        <v>33</v>
      </c>
      <c r="P252" s="1" t="s">
        <v>39</v>
      </c>
      <c r="Q252" s="1" t="s">
        <v>299</v>
      </c>
      <c r="R252">
        <v>141</v>
      </c>
      <c r="S252">
        <v>2</v>
      </c>
      <c r="T252">
        <v>0.3</v>
      </c>
      <c r="U252">
        <v>-48</v>
      </c>
      <c r="V252" s="1" t="s">
        <v>86</v>
      </c>
      <c r="W252" s="1" t="s">
        <v>80</v>
      </c>
    </row>
    <row r="253" spans="1:23" x14ac:dyDescent="0.35">
      <c r="A253">
        <v>1218</v>
      </c>
      <c r="B253" s="1" t="s">
        <v>1113</v>
      </c>
      <c r="C253" s="2">
        <v>42987</v>
      </c>
      <c r="D253" s="2">
        <v>42991</v>
      </c>
      <c r="E253" s="1" t="s">
        <v>42</v>
      </c>
      <c r="F253" s="1" t="s">
        <v>1114</v>
      </c>
      <c r="G253" s="1" t="s">
        <v>1115</v>
      </c>
      <c r="H253" s="1" t="s">
        <v>93</v>
      </c>
      <c r="I253" s="1" t="s">
        <v>28</v>
      </c>
      <c r="J253" s="1" t="s">
        <v>68</v>
      </c>
      <c r="K253" s="1" t="s">
        <v>69</v>
      </c>
      <c r="L253">
        <v>19134</v>
      </c>
      <c r="M253" s="1" t="s">
        <v>70</v>
      </c>
      <c r="N253" s="1" t="s">
        <v>1116</v>
      </c>
      <c r="O253" s="1" t="s">
        <v>33</v>
      </c>
      <c r="P253" s="1" t="s">
        <v>59</v>
      </c>
      <c r="Q253" s="1" t="s">
        <v>1117</v>
      </c>
      <c r="R253">
        <v>17</v>
      </c>
      <c r="S253">
        <v>2</v>
      </c>
      <c r="T253">
        <v>0.2</v>
      </c>
      <c r="U253">
        <v>2</v>
      </c>
      <c r="V253" s="1" t="s">
        <v>86</v>
      </c>
      <c r="W253" s="1" t="s">
        <v>80</v>
      </c>
    </row>
    <row r="254" spans="1:23" x14ac:dyDescent="0.35">
      <c r="A254">
        <v>1223</v>
      </c>
      <c r="B254" s="1" t="s">
        <v>1118</v>
      </c>
      <c r="C254" s="2">
        <v>42708</v>
      </c>
      <c r="D254" s="2">
        <v>42709</v>
      </c>
      <c r="E254" s="1" t="s">
        <v>90</v>
      </c>
      <c r="F254" s="1" t="s">
        <v>246</v>
      </c>
      <c r="G254" s="1" t="s">
        <v>247</v>
      </c>
      <c r="H254" s="1" t="s">
        <v>27</v>
      </c>
      <c r="I254" s="1" t="s">
        <v>28</v>
      </c>
      <c r="J254" s="1" t="s">
        <v>176</v>
      </c>
      <c r="K254" s="1" t="s">
        <v>123</v>
      </c>
      <c r="L254">
        <v>10024</v>
      </c>
      <c r="M254" s="1" t="s">
        <v>70</v>
      </c>
      <c r="N254" s="1" t="s">
        <v>970</v>
      </c>
      <c r="O254" s="1" t="s">
        <v>33</v>
      </c>
      <c r="P254" s="1" t="s">
        <v>59</v>
      </c>
      <c r="Q254" s="1" t="s">
        <v>971</v>
      </c>
      <c r="R254">
        <v>114</v>
      </c>
      <c r="S254">
        <v>3</v>
      </c>
      <c r="T254">
        <v>0</v>
      </c>
      <c r="U254">
        <v>20</v>
      </c>
      <c r="V254" s="1" t="s">
        <v>126</v>
      </c>
      <c r="W254" s="1" t="s">
        <v>99</v>
      </c>
    </row>
    <row r="255" spans="1:23" x14ac:dyDescent="0.35">
      <c r="A255">
        <v>1230</v>
      </c>
      <c r="B255" s="1" t="s">
        <v>1119</v>
      </c>
      <c r="C255" s="2">
        <v>43045</v>
      </c>
      <c r="D255" s="2">
        <v>43050</v>
      </c>
      <c r="E255" s="1" t="s">
        <v>42</v>
      </c>
      <c r="F255" s="1" t="s">
        <v>846</v>
      </c>
      <c r="G255" s="1" t="s">
        <v>847</v>
      </c>
      <c r="H255" s="1" t="s">
        <v>27</v>
      </c>
      <c r="I255" s="1" t="s">
        <v>28</v>
      </c>
      <c r="J255" s="1" t="s">
        <v>55</v>
      </c>
      <c r="K255" s="1" t="s">
        <v>56</v>
      </c>
      <c r="L255">
        <v>90045</v>
      </c>
      <c r="M255" s="1" t="s">
        <v>57</v>
      </c>
      <c r="N255" s="1" t="s">
        <v>898</v>
      </c>
      <c r="O255" s="1" t="s">
        <v>33</v>
      </c>
      <c r="P255" s="1" t="s">
        <v>59</v>
      </c>
      <c r="Q255" s="1" t="s">
        <v>899</v>
      </c>
      <c r="R255">
        <v>9</v>
      </c>
      <c r="S255">
        <v>1</v>
      </c>
      <c r="T255">
        <v>0</v>
      </c>
      <c r="U255">
        <v>3</v>
      </c>
      <c r="V255" s="1" t="s">
        <v>61</v>
      </c>
      <c r="W255" s="1" t="s">
        <v>37</v>
      </c>
    </row>
    <row r="256" spans="1:23" x14ac:dyDescent="0.35">
      <c r="A256">
        <v>1235</v>
      </c>
      <c r="B256" s="1" t="s">
        <v>1120</v>
      </c>
      <c r="C256" s="2">
        <v>42671</v>
      </c>
      <c r="D256" s="2">
        <v>42671</v>
      </c>
      <c r="E256" s="1" t="s">
        <v>428</v>
      </c>
      <c r="F256" s="1" t="s">
        <v>1121</v>
      </c>
      <c r="G256" s="1" t="s">
        <v>1122</v>
      </c>
      <c r="H256" s="1" t="s">
        <v>27</v>
      </c>
      <c r="I256" s="1" t="s">
        <v>28</v>
      </c>
      <c r="J256" s="1" t="s">
        <v>1123</v>
      </c>
      <c r="K256" s="1" t="s">
        <v>46</v>
      </c>
      <c r="L256">
        <v>33437</v>
      </c>
      <c r="M256" s="1" t="s">
        <v>31</v>
      </c>
      <c r="N256" s="1" t="s">
        <v>1124</v>
      </c>
      <c r="O256" s="1" t="s">
        <v>33</v>
      </c>
      <c r="P256" s="1" t="s">
        <v>59</v>
      </c>
      <c r="Q256" s="1" t="s">
        <v>1125</v>
      </c>
      <c r="R256">
        <v>48</v>
      </c>
      <c r="S256">
        <v>3</v>
      </c>
      <c r="T256">
        <v>0.2</v>
      </c>
      <c r="U256">
        <v>14</v>
      </c>
      <c r="V256" s="1" t="s">
        <v>433</v>
      </c>
      <c r="W256" s="1" t="s">
        <v>51</v>
      </c>
    </row>
    <row r="257" spans="1:23" x14ac:dyDescent="0.35">
      <c r="A257">
        <v>1237</v>
      </c>
      <c r="B257" s="1" t="s">
        <v>1120</v>
      </c>
      <c r="C257" s="2">
        <v>42671</v>
      </c>
      <c r="D257" s="2">
        <v>42671</v>
      </c>
      <c r="E257" s="1" t="s">
        <v>428</v>
      </c>
      <c r="F257" s="1" t="s">
        <v>1121</v>
      </c>
      <c r="G257" s="1" t="s">
        <v>1122</v>
      </c>
      <c r="H257" s="1" t="s">
        <v>27</v>
      </c>
      <c r="I257" s="1" t="s">
        <v>28</v>
      </c>
      <c r="J257" s="1" t="s">
        <v>1123</v>
      </c>
      <c r="K257" s="1" t="s">
        <v>46</v>
      </c>
      <c r="L257">
        <v>33437</v>
      </c>
      <c r="M257" s="1" t="s">
        <v>31</v>
      </c>
      <c r="N257" s="1" t="s">
        <v>1126</v>
      </c>
      <c r="O257" s="1" t="s">
        <v>33</v>
      </c>
      <c r="P257" s="1" t="s">
        <v>59</v>
      </c>
      <c r="Q257" s="1" t="s">
        <v>1127</v>
      </c>
      <c r="R257">
        <v>64</v>
      </c>
      <c r="S257">
        <v>2</v>
      </c>
      <c r="T257">
        <v>0.2</v>
      </c>
      <c r="U257">
        <v>0</v>
      </c>
      <c r="V257" s="1" t="s">
        <v>433</v>
      </c>
      <c r="W257" s="1" t="s">
        <v>51</v>
      </c>
    </row>
    <row r="258" spans="1:23" x14ac:dyDescent="0.35">
      <c r="A258">
        <v>1238</v>
      </c>
      <c r="B258" s="1" t="s">
        <v>1120</v>
      </c>
      <c r="C258" s="2">
        <v>42671</v>
      </c>
      <c r="D258" s="2">
        <v>42671</v>
      </c>
      <c r="E258" s="1" t="s">
        <v>428</v>
      </c>
      <c r="F258" s="1" t="s">
        <v>1121</v>
      </c>
      <c r="G258" s="1" t="s">
        <v>1122</v>
      </c>
      <c r="H258" s="1" t="s">
        <v>27</v>
      </c>
      <c r="I258" s="1" t="s">
        <v>28</v>
      </c>
      <c r="J258" s="1" t="s">
        <v>1123</v>
      </c>
      <c r="K258" s="1" t="s">
        <v>46</v>
      </c>
      <c r="L258">
        <v>33437</v>
      </c>
      <c r="M258" s="1" t="s">
        <v>31</v>
      </c>
      <c r="N258" s="1" t="s">
        <v>708</v>
      </c>
      <c r="O258" s="1" t="s">
        <v>33</v>
      </c>
      <c r="P258" s="1" t="s">
        <v>59</v>
      </c>
      <c r="Q258" s="1" t="s">
        <v>709</v>
      </c>
      <c r="R258">
        <v>165</v>
      </c>
      <c r="S258">
        <v>3</v>
      </c>
      <c r="T258">
        <v>0.2</v>
      </c>
      <c r="U258">
        <v>41</v>
      </c>
      <c r="V258" s="1" t="s">
        <v>433</v>
      </c>
      <c r="W258" s="1" t="s">
        <v>51</v>
      </c>
    </row>
    <row r="259" spans="1:23" x14ac:dyDescent="0.35">
      <c r="A259">
        <v>1239</v>
      </c>
      <c r="B259" s="1" t="s">
        <v>1128</v>
      </c>
      <c r="C259" s="2">
        <v>41862</v>
      </c>
      <c r="D259" s="2">
        <v>41866</v>
      </c>
      <c r="E259" s="1" t="s">
        <v>42</v>
      </c>
      <c r="F259" s="1" t="s">
        <v>1129</v>
      </c>
      <c r="G259" s="1" t="s">
        <v>1130</v>
      </c>
      <c r="H259" s="1" t="s">
        <v>27</v>
      </c>
      <c r="I259" s="1" t="s">
        <v>28</v>
      </c>
      <c r="J259" s="1" t="s">
        <v>194</v>
      </c>
      <c r="K259" s="1" t="s">
        <v>195</v>
      </c>
      <c r="L259">
        <v>98105</v>
      </c>
      <c r="M259" s="1" t="s">
        <v>57</v>
      </c>
      <c r="N259" s="1" t="s">
        <v>1131</v>
      </c>
      <c r="O259" s="1" t="s">
        <v>33</v>
      </c>
      <c r="P259" s="1" t="s">
        <v>59</v>
      </c>
      <c r="Q259" s="1" t="s">
        <v>1132</v>
      </c>
      <c r="R259">
        <v>12</v>
      </c>
      <c r="S259">
        <v>1</v>
      </c>
      <c r="T259">
        <v>0</v>
      </c>
      <c r="U259">
        <v>5</v>
      </c>
      <c r="V259" s="1" t="s">
        <v>86</v>
      </c>
      <c r="W259" s="1" t="s">
        <v>256</v>
      </c>
    </row>
    <row r="260" spans="1:23" x14ac:dyDescent="0.35">
      <c r="A260">
        <v>1246</v>
      </c>
      <c r="B260" s="1" t="s">
        <v>1133</v>
      </c>
      <c r="C260" s="2">
        <v>41985</v>
      </c>
      <c r="D260" s="2">
        <v>41987</v>
      </c>
      <c r="E260" s="1" t="s">
        <v>24</v>
      </c>
      <c r="F260" s="1" t="s">
        <v>1134</v>
      </c>
      <c r="G260" s="1" t="s">
        <v>1135</v>
      </c>
      <c r="H260" s="1" t="s">
        <v>27</v>
      </c>
      <c r="I260" s="1" t="s">
        <v>28</v>
      </c>
      <c r="J260" s="1" t="s">
        <v>1136</v>
      </c>
      <c r="K260" s="1" t="s">
        <v>56</v>
      </c>
      <c r="L260">
        <v>93727</v>
      </c>
      <c r="M260" s="1" t="s">
        <v>57</v>
      </c>
      <c r="N260" s="1" t="s">
        <v>1137</v>
      </c>
      <c r="O260" s="1" t="s">
        <v>33</v>
      </c>
      <c r="P260" s="1" t="s">
        <v>48</v>
      </c>
      <c r="Q260" s="1" t="s">
        <v>1138</v>
      </c>
      <c r="R260">
        <v>765</v>
      </c>
      <c r="S260">
        <v>6</v>
      </c>
      <c r="T260">
        <v>0.2</v>
      </c>
      <c r="U260">
        <v>96</v>
      </c>
      <c r="V260" s="1" t="s">
        <v>73</v>
      </c>
      <c r="W260" s="1" t="s">
        <v>99</v>
      </c>
    </row>
    <row r="261" spans="1:23" x14ac:dyDescent="0.35">
      <c r="A261">
        <v>1247</v>
      </c>
      <c r="B261" s="1" t="s">
        <v>1133</v>
      </c>
      <c r="C261" s="2">
        <v>41985</v>
      </c>
      <c r="D261" s="2">
        <v>41987</v>
      </c>
      <c r="E261" s="1" t="s">
        <v>24</v>
      </c>
      <c r="F261" s="1" t="s">
        <v>1134</v>
      </c>
      <c r="G261" s="1" t="s">
        <v>1135</v>
      </c>
      <c r="H261" s="1" t="s">
        <v>27</v>
      </c>
      <c r="I261" s="1" t="s">
        <v>28</v>
      </c>
      <c r="J261" s="1" t="s">
        <v>1136</v>
      </c>
      <c r="K261" s="1" t="s">
        <v>56</v>
      </c>
      <c r="L261">
        <v>93727</v>
      </c>
      <c r="M261" s="1" t="s">
        <v>57</v>
      </c>
      <c r="N261" s="1" t="s">
        <v>309</v>
      </c>
      <c r="O261" s="1" t="s">
        <v>33</v>
      </c>
      <c r="P261" s="1" t="s">
        <v>48</v>
      </c>
      <c r="Q261" s="1" t="s">
        <v>310</v>
      </c>
      <c r="R261">
        <v>3611</v>
      </c>
      <c r="S261">
        <v>12</v>
      </c>
      <c r="T261">
        <v>0.2</v>
      </c>
      <c r="U261">
        <v>135</v>
      </c>
      <c r="V261" s="1" t="s">
        <v>73</v>
      </c>
      <c r="W261" s="1" t="s">
        <v>99</v>
      </c>
    </row>
    <row r="262" spans="1:23" x14ac:dyDescent="0.35">
      <c r="A262">
        <v>1248</v>
      </c>
      <c r="B262" s="1" t="s">
        <v>1133</v>
      </c>
      <c r="C262" s="2">
        <v>41985</v>
      </c>
      <c r="D262" s="2">
        <v>41987</v>
      </c>
      <c r="E262" s="1" t="s">
        <v>24</v>
      </c>
      <c r="F262" s="1" t="s">
        <v>1134</v>
      </c>
      <c r="G262" s="1" t="s">
        <v>1135</v>
      </c>
      <c r="H262" s="1" t="s">
        <v>27</v>
      </c>
      <c r="I262" s="1" t="s">
        <v>28</v>
      </c>
      <c r="J262" s="1" t="s">
        <v>1136</v>
      </c>
      <c r="K262" s="1" t="s">
        <v>56</v>
      </c>
      <c r="L262">
        <v>93727</v>
      </c>
      <c r="M262" s="1" t="s">
        <v>57</v>
      </c>
      <c r="N262" s="1" t="s">
        <v>1139</v>
      </c>
      <c r="O262" s="1" t="s">
        <v>33</v>
      </c>
      <c r="P262" s="1" t="s">
        <v>34</v>
      </c>
      <c r="Q262" s="1" t="s">
        <v>1140</v>
      </c>
      <c r="R262">
        <v>255</v>
      </c>
      <c r="S262">
        <v>3</v>
      </c>
      <c r="T262">
        <v>0.15</v>
      </c>
      <c r="U262">
        <v>12</v>
      </c>
      <c r="V262" s="1" t="s">
        <v>73</v>
      </c>
      <c r="W262" s="1" t="s">
        <v>99</v>
      </c>
    </row>
    <row r="263" spans="1:23" x14ac:dyDescent="0.35">
      <c r="A263">
        <v>1250</v>
      </c>
      <c r="B263" s="1" t="s">
        <v>1141</v>
      </c>
      <c r="C263" s="2">
        <v>43087</v>
      </c>
      <c r="D263" s="2">
        <v>43093</v>
      </c>
      <c r="E263" s="1" t="s">
        <v>42</v>
      </c>
      <c r="F263" s="1" t="s">
        <v>1142</v>
      </c>
      <c r="G263" s="1" t="s">
        <v>1143</v>
      </c>
      <c r="H263" s="1" t="s">
        <v>27</v>
      </c>
      <c r="I263" s="1" t="s">
        <v>28</v>
      </c>
      <c r="J263" s="1" t="s">
        <v>176</v>
      </c>
      <c r="K263" s="1" t="s">
        <v>123</v>
      </c>
      <c r="L263">
        <v>10009</v>
      </c>
      <c r="M263" s="1" t="s">
        <v>70</v>
      </c>
      <c r="N263" s="1" t="s">
        <v>1144</v>
      </c>
      <c r="O263" s="1" t="s">
        <v>33</v>
      </c>
      <c r="P263" s="1" t="s">
        <v>39</v>
      </c>
      <c r="Q263" s="1" t="s">
        <v>1145</v>
      </c>
      <c r="R263">
        <v>1142</v>
      </c>
      <c r="S263">
        <v>9</v>
      </c>
      <c r="T263">
        <v>0.1</v>
      </c>
      <c r="U263">
        <v>140</v>
      </c>
      <c r="V263" s="1" t="s">
        <v>132</v>
      </c>
      <c r="W263" s="1" t="s">
        <v>99</v>
      </c>
    </row>
    <row r="264" spans="1:23" x14ac:dyDescent="0.35">
      <c r="A264">
        <v>1256</v>
      </c>
      <c r="B264" s="1" t="s">
        <v>1146</v>
      </c>
      <c r="C264" s="2">
        <v>42804</v>
      </c>
      <c r="D264" s="2">
        <v>42808</v>
      </c>
      <c r="E264" s="1" t="s">
        <v>42</v>
      </c>
      <c r="F264" s="1" t="s">
        <v>1147</v>
      </c>
      <c r="G264" s="1" t="s">
        <v>1148</v>
      </c>
      <c r="H264" s="1" t="s">
        <v>103</v>
      </c>
      <c r="I264" s="1" t="s">
        <v>28</v>
      </c>
      <c r="J264" s="1" t="s">
        <v>1149</v>
      </c>
      <c r="K264" s="1" t="s">
        <v>69</v>
      </c>
      <c r="L264">
        <v>19013</v>
      </c>
      <c r="M264" s="1" t="s">
        <v>70</v>
      </c>
      <c r="N264" s="1" t="s">
        <v>1150</v>
      </c>
      <c r="O264" s="1" t="s">
        <v>33</v>
      </c>
      <c r="P264" s="1" t="s">
        <v>59</v>
      </c>
      <c r="Q264" s="1" t="s">
        <v>1151</v>
      </c>
      <c r="R264">
        <v>7</v>
      </c>
      <c r="S264">
        <v>1</v>
      </c>
      <c r="T264">
        <v>0.2</v>
      </c>
      <c r="U264">
        <v>1</v>
      </c>
      <c r="V264" s="1" t="s">
        <v>86</v>
      </c>
      <c r="W264" s="1" t="s">
        <v>198</v>
      </c>
    </row>
    <row r="265" spans="1:23" x14ac:dyDescent="0.35">
      <c r="A265">
        <v>1257</v>
      </c>
      <c r="B265" s="1" t="s">
        <v>1146</v>
      </c>
      <c r="C265" s="2">
        <v>42804</v>
      </c>
      <c r="D265" s="2">
        <v>42808</v>
      </c>
      <c r="E265" s="1" t="s">
        <v>42</v>
      </c>
      <c r="F265" s="1" t="s">
        <v>1147</v>
      </c>
      <c r="G265" s="1" t="s">
        <v>1148</v>
      </c>
      <c r="H265" s="1" t="s">
        <v>103</v>
      </c>
      <c r="I265" s="1" t="s">
        <v>28</v>
      </c>
      <c r="J265" s="1" t="s">
        <v>1149</v>
      </c>
      <c r="K265" s="1" t="s">
        <v>69</v>
      </c>
      <c r="L265">
        <v>19013</v>
      </c>
      <c r="M265" s="1" t="s">
        <v>70</v>
      </c>
      <c r="N265" s="1" t="s">
        <v>1152</v>
      </c>
      <c r="O265" s="1" t="s">
        <v>33</v>
      </c>
      <c r="P265" s="1" t="s">
        <v>59</v>
      </c>
      <c r="Q265" s="1" t="s">
        <v>1153</v>
      </c>
      <c r="R265">
        <v>44</v>
      </c>
      <c r="S265">
        <v>2</v>
      </c>
      <c r="T265">
        <v>0.2</v>
      </c>
      <c r="U265">
        <v>12</v>
      </c>
      <c r="V265" s="1" t="s">
        <v>86</v>
      </c>
      <c r="W265" s="1" t="s">
        <v>198</v>
      </c>
    </row>
    <row r="266" spans="1:23" x14ac:dyDescent="0.35">
      <c r="A266">
        <v>1265</v>
      </c>
      <c r="B266" s="1" t="s">
        <v>1154</v>
      </c>
      <c r="C266" s="2">
        <v>42644</v>
      </c>
      <c r="D266" s="2">
        <v>42645</v>
      </c>
      <c r="E266" s="1" t="s">
        <v>90</v>
      </c>
      <c r="F266" s="1" t="s">
        <v>1155</v>
      </c>
      <c r="G266" s="1" t="s">
        <v>1156</v>
      </c>
      <c r="H266" s="1" t="s">
        <v>27</v>
      </c>
      <c r="I266" s="1" t="s">
        <v>28</v>
      </c>
      <c r="J266" s="1" t="s">
        <v>1157</v>
      </c>
      <c r="K266" s="1" t="s">
        <v>113</v>
      </c>
      <c r="L266">
        <v>46350</v>
      </c>
      <c r="M266" s="1" t="s">
        <v>96</v>
      </c>
      <c r="N266" s="1" t="s">
        <v>1150</v>
      </c>
      <c r="O266" s="1" t="s">
        <v>33</v>
      </c>
      <c r="P266" s="1" t="s">
        <v>59</v>
      </c>
      <c r="Q266" s="1" t="s">
        <v>1151</v>
      </c>
      <c r="R266">
        <v>42</v>
      </c>
      <c r="S266">
        <v>5</v>
      </c>
      <c r="T266">
        <v>0</v>
      </c>
      <c r="U266">
        <v>11</v>
      </c>
      <c r="V266" s="1" t="s">
        <v>126</v>
      </c>
      <c r="W266" s="1" t="s">
        <v>51</v>
      </c>
    </row>
    <row r="267" spans="1:23" x14ac:dyDescent="0.35">
      <c r="A267">
        <v>1268</v>
      </c>
      <c r="B267" s="1" t="s">
        <v>1158</v>
      </c>
      <c r="C267" s="2">
        <v>41997</v>
      </c>
      <c r="D267" s="2">
        <v>42002</v>
      </c>
      <c r="E267" s="1" t="s">
        <v>42</v>
      </c>
      <c r="F267" s="1" t="s">
        <v>1159</v>
      </c>
      <c r="G267" s="1" t="s">
        <v>1160</v>
      </c>
      <c r="H267" s="1" t="s">
        <v>93</v>
      </c>
      <c r="I267" s="1" t="s">
        <v>28</v>
      </c>
      <c r="J267" s="1" t="s">
        <v>55</v>
      </c>
      <c r="K267" s="1" t="s">
        <v>56</v>
      </c>
      <c r="L267">
        <v>90045</v>
      </c>
      <c r="M267" s="1" t="s">
        <v>57</v>
      </c>
      <c r="N267" s="1" t="s">
        <v>138</v>
      </c>
      <c r="O267" s="1" t="s">
        <v>33</v>
      </c>
      <c r="P267" s="1" t="s">
        <v>39</v>
      </c>
      <c r="Q267" s="1" t="s">
        <v>139</v>
      </c>
      <c r="R267">
        <v>292</v>
      </c>
      <c r="S267">
        <v>6</v>
      </c>
      <c r="T267">
        <v>0.2</v>
      </c>
      <c r="U267">
        <v>18</v>
      </c>
      <c r="V267" s="1" t="s">
        <v>61</v>
      </c>
      <c r="W267" s="1" t="s">
        <v>99</v>
      </c>
    </row>
    <row r="268" spans="1:23" x14ac:dyDescent="0.35">
      <c r="A268">
        <v>1269</v>
      </c>
      <c r="B268" s="1" t="s">
        <v>1161</v>
      </c>
      <c r="C268" s="2">
        <v>43001</v>
      </c>
      <c r="D268" s="2">
        <v>43005</v>
      </c>
      <c r="E268" s="1" t="s">
        <v>42</v>
      </c>
      <c r="F268" s="1" t="s">
        <v>1162</v>
      </c>
      <c r="G268" s="1" t="s">
        <v>1163</v>
      </c>
      <c r="H268" s="1" t="s">
        <v>93</v>
      </c>
      <c r="I268" s="1" t="s">
        <v>28</v>
      </c>
      <c r="J268" s="1" t="s">
        <v>868</v>
      </c>
      <c r="K268" s="1" t="s">
        <v>183</v>
      </c>
      <c r="L268">
        <v>80027</v>
      </c>
      <c r="M268" s="1" t="s">
        <v>57</v>
      </c>
      <c r="N268" s="1" t="s">
        <v>496</v>
      </c>
      <c r="O268" s="1" t="s">
        <v>33</v>
      </c>
      <c r="P268" s="1" t="s">
        <v>59</v>
      </c>
      <c r="Q268" s="1" t="s">
        <v>497</v>
      </c>
      <c r="R268">
        <v>29</v>
      </c>
      <c r="S268">
        <v>3</v>
      </c>
      <c r="T268">
        <v>0.2</v>
      </c>
      <c r="U268">
        <v>4</v>
      </c>
      <c r="V268" s="1" t="s">
        <v>86</v>
      </c>
      <c r="W268" s="1" t="s">
        <v>80</v>
      </c>
    </row>
    <row r="269" spans="1:23" x14ac:dyDescent="0.35">
      <c r="A269">
        <v>1275</v>
      </c>
      <c r="B269" s="1" t="s">
        <v>1164</v>
      </c>
      <c r="C269" s="2">
        <v>42516</v>
      </c>
      <c r="D269" s="2">
        <v>42516</v>
      </c>
      <c r="E269" s="1" t="s">
        <v>428</v>
      </c>
      <c r="F269" s="1" t="s">
        <v>1165</v>
      </c>
      <c r="G269" s="1" t="s">
        <v>1166</v>
      </c>
      <c r="H269" s="1" t="s">
        <v>27</v>
      </c>
      <c r="I269" s="1" t="s">
        <v>28</v>
      </c>
      <c r="J269" s="1" t="s">
        <v>598</v>
      </c>
      <c r="K269" s="1" t="s">
        <v>95</v>
      </c>
      <c r="L269">
        <v>76106</v>
      </c>
      <c r="M269" s="1" t="s">
        <v>96</v>
      </c>
      <c r="N269" s="1" t="s">
        <v>1167</v>
      </c>
      <c r="O269" s="1" t="s">
        <v>33</v>
      </c>
      <c r="P269" s="1" t="s">
        <v>39</v>
      </c>
      <c r="Q269" s="1" t="s">
        <v>1168</v>
      </c>
      <c r="R269">
        <v>388</v>
      </c>
      <c r="S269">
        <v>5</v>
      </c>
      <c r="T269">
        <v>0.3</v>
      </c>
      <c r="U269">
        <v>-89</v>
      </c>
      <c r="V269" s="1" t="s">
        <v>433</v>
      </c>
      <c r="W269" s="1" t="s">
        <v>164</v>
      </c>
    </row>
    <row r="270" spans="1:23" x14ac:dyDescent="0.35">
      <c r="A270">
        <v>1288</v>
      </c>
      <c r="B270" s="1" t="s">
        <v>1169</v>
      </c>
      <c r="C270" s="2">
        <v>42696</v>
      </c>
      <c r="D270" s="2">
        <v>42700</v>
      </c>
      <c r="E270" s="1" t="s">
        <v>42</v>
      </c>
      <c r="F270" s="1" t="s">
        <v>1170</v>
      </c>
      <c r="G270" s="1" t="s">
        <v>1171</v>
      </c>
      <c r="H270" s="1" t="s">
        <v>93</v>
      </c>
      <c r="I270" s="1" t="s">
        <v>28</v>
      </c>
      <c r="J270" s="1" t="s">
        <v>176</v>
      </c>
      <c r="K270" s="1" t="s">
        <v>123</v>
      </c>
      <c r="L270">
        <v>10009</v>
      </c>
      <c r="M270" s="1" t="s">
        <v>70</v>
      </c>
      <c r="N270" s="1" t="s">
        <v>130</v>
      </c>
      <c r="O270" s="1" t="s">
        <v>33</v>
      </c>
      <c r="P270" s="1" t="s">
        <v>59</v>
      </c>
      <c r="Q270" s="1" t="s">
        <v>131</v>
      </c>
      <c r="R270">
        <v>40</v>
      </c>
      <c r="S270">
        <v>2</v>
      </c>
      <c r="T270">
        <v>0</v>
      </c>
      <c r="U270">
        <v>11</v>
      </c>
      <c r="V270" s="1" t="s">
        <v>86</v>
      </c>
      <c r="W270" s="1" t="s">
        <v>37</v>
      </c>
    </row>
    <row r="271" spans="1:23" x14ac:dyDescent="0.35">
      <c r="A271">
        <v>1301</v>
      </c>
      <c r="B271" s="1" t="s">
        <v>1172</v>
      </c>
      <c r="C271" s="2">
        <v>42727</v>
      </c>
      <c r="D271" s="2">
        <v>42729</v>
      </c>
      <c r="E271" s="1" t="s">
        <v>24</v>
      </c>
      <c r="F271" s="1" t="s">
        <v>1173</v>
      </c>
      <c r="G271" s="1" t="s">
        <v>1174</v>
      </c>
      <c r="H271" s="1" t="s">
        <v>27</v>
      </c>
      <c r="I271" s="1" t="s">
        <v>28</v>
      </c>
      <c r="J271" s="1" t="s">
        <v>881</v>
      </c>
      <c r="K271" s="1" t="s">
        <v>719</v>
      </c>
      <c r="L271">
        <v>22153</v>
      </c>
      <c r="M271" s="1" t="s">
        <v>31</v>
      </c>
      <c r="N271" s="1" t="s">
        <v>97</v>
      </c>
      <c r="O271" s="1" t="s">
        <v>33</v>
      </c>
      <c r="P271" s="1" t="s">
        <v>59</v>
      </c>
      <c r="Q271" s="1" t="s">
        <v>98</v>
      </c>
      <c r="R271">
        <v>573</v>
      </c>
      <c r="S271">
        <v>6</v>
      </c>
      <c r="T271">
        <v>0</v>
      </c>
      <c r="U271">
        <v>166</v>
      </c>
      <c r="V271" s="1" t="s">
        <v>73</v>
      </c>
      <c r="W271" s="1" t="s">
        <v>99</v>
      </c>
    </row>
    <row r="272" spans="1:23" x14ac:dyDescent="0.35">
      <c r="A272">
        <v>1302</v>
      </c>
      <c r="B272" s="1" t="s">
        <v>1172</v>
      </c>
      <c r="C272" s="2">
        <v>42727</v>
      </c>
      <c r="D272" s="2">
        <v>42729</v>
      </c>
      <c r="E272" s="1" t="s">
        <v>24</v>
      </c>
      <c r="F272" s="1" t="s">
        <v>1173</v>
      </c>
      <c r="G272" s="1" t="s">
        <v>1174</v>
      </c>
      <c r="H272" s="1" t="s">
        <v>27</v>
      </c>
      <c r="I272" s="1" t="s">
        <v>28</v>
      </c>
      <c r="J272" s="1" t="s">
        <v>881</v>
      </c>
      <c r="K272" s="1" t="s">
        <v>719</v>
      </c>
      <c r="L272">
        <v>22153</v>
      </c>
      <c r="M272" s="1" t="s">
        <v>31</v>
      </c>
      <c r="N272" s="1" t="s">
        <v>97</v>
      </c>
      <c r="O272" s="1" t="s">
        <v>33</v>
      </c>
      <c r="P272" s="1" t="s">
        <v>59</v>
      </c>
      <c r="Q272" s="1" t="s">
        <v>98</v>
      </c>
      <c r="R272">
        <v>286</v>
      </c>
      <c r="S272">
        <v>3</v>
      </c>
      <c r="T272">
        <v>0</v>
      </c>
      <c r="U272">
        <v>83</v>
      </c>
      <c r="V272" s="1" t="s">
        <v>73</v>
      </c>
      <c r="W272" s="1" t="s">
        <v>99</v>
      </c>
    </row>
    <row r="273" spans="1:23" x14ac:dyDescent="0.35">
      <c r="A273">
        <v>1303</v>
      </c>
      <c r="B273" s="1" t="s">
        <v>1175</v>
      </c>
      <c r="C273" s="2">
        <v>42266</v>
      </c>
      <c r="D273" s="2">
        <v>42271</v>
      </c>
      <c r="E273" s="1" t="s">
        <v>24</v>
      </c>
      <c r="F273" s="1" t="s">
        <v>1176</v>
      </c>
      <c r="G273" s="1" t="s">
        <v>1177</v>
      </c>
      <c r="H273" s="1" t="s">
        <v>103</v>
      </c>
      <c r="I273" s="1" t="s">
        <v>28</v>
      </c>
      <c r="J273" s="1" t="s">
        <v>692</v>
      </c>
      <c r="K273" s="1" t="s">
        <v>719</v>
      </c>
      <c r="L273">
        <v>22204</v>
      </c>
      <c r="M273" s="1" t="s">
        <v>31</v>
      </c>
      <c r="N273" s="1" t="s">
        <v>1178</v>
      </c>
      <c r="O273" s="1" t="s">
        <v>33</v>
      </c>
      <c r="P273" s="1" t="s">
        <v>34</v>
      </c>
      <c r="Q273" s="1" t="s">
        <v>1179</v>
      </c>
      <c r="R273">
        <v>62</v>
      </c>
      <c r="S273">
        <v>2</v>
      </c>
      <c r="T273">
        <v>0</v>
      </c>
      <c r="U273">
        <v>4</v>
      </c>
      <c r="V273" s="1" t="s">
        <v>61</v>
      </c>
      <c r="W273" s="1" t="s">
        <v>80</v>
      </c>
    </row>
    <row r="274" spans="1:23" x14ac:dyDescent="0.35">
      <c r="A274">
        <v>1304</v>
      </c>
      <c r="B274" s="1" t="s">
        <v>1180</v>
      </c>
      <c r="C274" s="2">
        <v>42919</v>
      </c>
      <c r="D274" s="2">
        <v>42923</v>
      </c>
      <c r="E274" s="1" t="s">
        <v>42</v>
      </c>
      <c r="F274" s="1" t="s">
        <v>1181</v>
      </c>
      <c r="G274" s="1" t="s">
        <v>1182</v>
      </c>
      <c r="H274" s="1" t="s">
        <v>27</v>
      </c>
      <c r="I274" s="1" t="s">
        <v>28</v>
      </c>
      <c r="J274" s="1" t="s">
        <v>350</v>
      </c>
      <c r="K274" s="1" t="s">
        <v>670</v>
      </c>
      <c r="L274">
        <v>31907</v>
      </c>
      <c r="M274" s="1" t="s">
        <v>31</v>
      </c>
      <c r="N274" s="1" t="s">
        <v>1183</v>
      </c>
      <c r="O274" s="1" t="s">
        <v>33</v>
      </c>
      <c r="P274" s="1" t="s">
        <v>59</v>
      </c>
      <c r="Q274" s="1" t="s">
        <v>1184</v>
      </c>
      <c r="R274">
        <v>24</v>
      </c>
      <c r="S274">
        <v>1</v>
      </c>
      <c r="T274">
        <v>0</v>
      </c>
      <c r="U274">
        <v>6</v>
      </c>
      <c r="V274" s="1" t="s">
        <v>86</v>
      </c>
      <c r="W274" s="1" t="s">
        <v>74</v>
      </c>
    </row>
    <row r="275" spans="1:23" x14ac:dyDescent="0.35">
      <c r="A275">
        <v>1311</v>
      </c>
      <c r="B275" s="1" t="s">
        <v>1185</v>
      </c>
      <c r="C275" s="2">
        <v>42541</v>
      </c>
      <c r="D275" s="2">
        <v>42542</v>
      </c>
      <c r="E275" s="1" t="s">
        <v>90</v>
      </c>
      <c r="F275" s="1" t="s">
        <v>1186</v>
      </c>
      <c r="G275" s="1" t="s">
        <v>1187</v>
      </c>
      <c r="H275" s="1" t="s">
        <v>27</v>
      </c>
      <c r="I275" s="1" t="s">
        <v>28</v>
      </c>
      <c r="J275" s="1" t="s">
        <v>1188</v>
      </c>
      <c r="K275" s="1" t="s">
        <v>56</v>
      </c>
      <c r="L275">
        <v>91104</v>
      </c>
      <c r="M275" s="1" t="s">
        <v>57</v>
      </c>
      <c r="N275" s="1" t="s">
        <v>1189</v>
      </c>
      <c r="O275" s="1" t="s">
        <v>33</v>
      </c>
      <c r="P275" s="1" t="s">
        <v>39</v>
      </c>
      <c r="Q275" s="1" t="s">
        <v>1190</v>
      </c>
      <c r="R275">
        <v>162</v>
      </c>
      <c r="S275">
        <v>2</v>
      </c>
      <c r="T275">
        <v>0.2</v>
      </c>
      <c r="U275">
        <v>-8</v>
      </c>
      <c r="V275" s="1" t="s">
        <v>126</v>
      </c>
      <c r="W275" s="1" t="s">
        <v>62</v>
      </c>
    </row>
    <row r="276" spans="1:23" x14ac:dyDescent="0.35">
      <c r="A276">
        <v>1314</v>
      </c>
      <c r="B276" s="1" t="s">
        <v>1191</v>
      </c>
      <c r="C276" s="2">
        <v>42637</v>
      </c>
      <c r="D276" s="2">
        <v>42644</v>
      </c>
      <c r="E276" s="1" t="s">
        <v>42</v>
      </c>
      <c r="F276" s="1" t="s">
        <v>494</v>
      </c>
      <c r="G276" s="1" t="s">
        <v>495</v>
      </c>
      <c r="H276" s="1" t="s">
        <v>27</v>
      </c>
      <c r="I276" s="1" t="s">
        <v>28</v>
      </c>
      <c r="J276" s="1" t="s">
        <v>350</v>
      </c>
      <c r="K276" s="1" t="s">
        <v>234</v>
      </c>
      <c r="L276">
        <v>43229</v>
      </c>
      <c r="M276" s="1" t="s">
        <v>70</v>
      </c>
      <c r="N276" s="1" t="s">
        <v>824</v>
      </c>
      <c r="O276" s="1" t="s">
        <v>33</v>
      </c>
      <c r="P276" s="1" t="s">
        <v>39</v>
      </c>
      <c r="Q276" s="1" t="s">
        <v>825</v>
      </c>
      <c r="R276">
        <v>155</v>
      </c>
      <c r="S276">
        <v>2</v>
      </c>
      <c r="T276">
        <v>0.3</v>
      </c>
      <c r="U276">
        <v>-13</v>
      </c>
      <c r="V276" s="1" t="s">
        <v>50</v>
      </c>
      <c r="W276" s="1" t="s">
        <v>80</v>
      </c>
    </row>
    <row r="277" spans="1:23" x14ac:dyDescent="0.35">
      <c r="A277">
        <v>1316</v>
      </c>
      <c r="B277" s="1" t="s">
        <v>1192</v>
      </c>
      <c r="C277" s="2">
        <v>42722</v>
      </c>
      <c r="D277" s="2">
        <v>42727</v>
      </c>
      <c r="E277" s="1" t="s">
        <v>42</v>
      </c>
      <c r="F277" s="1" t="s">
        <v>1193</v>
      </c>
      <c r="G277" s="1" t="s">
        <v>1194</v>
      </c>
      <c r="H277" s="1" t="s">
        <v>93</v>
      </c>
      <c r="I277" s="1" t="s">
        <v>28</v>
      </c>
      <c r="J277" s="1" t="s">
        <v>55</v>
      </c>
      <c r="K277" s="1" t="s">
        <v>56</v>
      </c>
      <c r="L277">
        <v>90032</v>
      </c>
      <c r="M277" s="1" t="s">
        <v>57</v>
      </c>
      <c r="N277" s="1" t="s">
        <v>1195</v>
      </c>
      <c r="O277" s="1" t="s">
        <v>33</v>
      </c>
      <c r="P277" s="1" t="s">
        <v>59</v>
      </c>
      <c r="Q277" s="1" t="s">
        <v>1196</v>
      </c>
      <c r="R277">
        <v>184</v>
      </c>
      <c r="S277">
        <v>8</v>
      </c>
      <c r="T277">
        <v>0</v>
      </c>
      <c r="U277">
        <v>63</v>
      </c>
      <c r="V277" s="1" t="s">
        <v>61</v>
      </c>
      <c r="W277" s="1" t="s">
        <v>99</v>
      </c>
    </row>
    <row r="278" spans="1:23" x14ac:dyDescent="0.35">
      <c r="A278">
        <v>1327</v>
      </c>
      <c r="B278" s="1" t="s">
        <v>1197</v>
      </c>
      <c r="C278" s="2">
        <v>42169</v>
      </c>
      <c r="D278" s="2">
        <v>42173</v>
      </c>
      <c r="E278" s="1" t="s">
        <v>42</v>
      </c>
      <c r="F278" s="1" t="s">
        <v>207</v>
      </c>
      <c r="G278" s="1" t="s">
        <v>208</v>
      </c>
      <c r="H278" s="1" t="s">
        <v>103</v>
      </c>
      <c r="I278" s="1" t="s">
        <v>28</v>
      </c>
      <c r="J278" s="1" t="s">
        <v>68</v>
      </c>
      <c r="K278" s="1" t="s">
        <v>69</v>
      </c>
      <c r="L278">
        <v>19120</v>
      </c>
      <c r="M278" s="1" t="s">
        <v>70</v>
      </c>
      <c r="N278" s="1" t="s">
        <v>1116</v>
      </c>
      <c r="O278" s="1" t="s">
        <v>33</v>
      </c>
      <c r="P278" s="1" t="s">
        <v>59</v>
      </c>
      <c r="Q278" s="1" t="s">
        <v>1117</v>
      </c>
      <c r="R278">
        <v>51</v>
      </c>
      <c r="S278">
        <v>6</v>
      </c>
      <c r="T278">
        <v>0.2</v>
      </c>
      <c r="U278">
        <v>5</v>
      </c>
      <c r="V278" s="1" t="s">
        <v>86</v>
      </c>
      <c r="W278" s="1" t="s">
        <v>62</v>
      </c>
    </row>
    <row r="279" spans="1:23" x14ac:dyDescent="0.35">
      <c r="A279">
        <v>1330</v>
      </c>
      <c r="B279" s="1" t="s">
        <v>1198</v>
      </c>
      <c r="C279" s="2">
        <v>42513</v>
      </c>
      <c r="D279" s="2">
        <v>42517</v>
      </c>
      <c r="E279" s="1" t="s">
        <v>42</v>
      </c>
      <c r="F279" s="1" t="s">
        <v>1199</v>
      </c>
      <c r="G279" s="1" t="s">
        <v>1200</v>
      </c>
      <c r="H279" s="1" t="s">
        <v>27</v>
      </c>
      <c r="I279" s="1" t="s">
        <v>28</v>
      </c>
      <c r="J279" s="1" t="s">
        <v>331</v>
      </c>
      <c r="K279" s="1" t="s">
        <v>56</v>
      </c>
      <c r="L279">
        <v>94109</v>
      </c>
      <c r="M279" s="1" t="s">
        <v>57</v>
      </c>
      <c r="N279" s="1" t="s">
        <v>1131</v>
      </c>
      <c r="O279" s="1" t="s">
        <v>33</v>
      </c>
      <c r="P279" s="1" t="s">
        <v>59</v>
      </c>
      <c r="Q279" s="1" t="s">
        <v>1132</v>
      </c>
      <c r="R279">
        <v>37</v>
      </c>
      <c r="S279">
        <v>3</v>
      </c>
      <c r="T279">
        <v>0</v>
      </c>
      <c r="U279">
        <v>16</v>
      </c>
      <c r="V279" s="1" t="s">
        <v>86</v>
      </c>
      <c r="W279" s="1" t="s">
        <v>164</v>
      </c>
    </row>
    <row r="280" spans="1:23" x14ac:dyDescent="0.35">
      <c r="A280">
        <v>1337</v>
      </c>
      <c r="B280" s="1" t="s">
        <v>1201</v>
      </c>
      <c r="C280" s="2">
        <v>42827</v>
      </c>
      <c r="D280" s="2">
        <v>42832</v>
      </c>
      <c r="E280" s="1" t="s">
        <v>42</v>
      </c>
      <c r="F280" s="1" t="s">
        <v>1202</v>
      </c>
      <c r="G280" s="1" t="s">
        <v>1203</v>
      </c>
      <c r="H280" s="1" t="s">
        <v>27</v>
      </c>
      <c r="I280" s="1" t="s">
        <v>28</v>
      </c>
      <c r="J280" s="1" t="s">
        <v>55</v>
      </c>
      <c r="K280" s="1" t="s">
        <v>56</v>
      </c>
      <c r="L280">
        <v>90008</v>
      </c>
      <c r="M280" s="1" t="s">
        <v>57</v>
      </c>
      <c r="N280" s="1" t="s">
        <v>1150</v>
      </c>
      <c r="O280" s="1" t="s">
        <v>33</v>
      </c>
      <c r="P280" s="1" t="s">
        <v>59</v>
      </c>
      <c r="Q280" s="1" t="s">
        <v>1151</v>
      </c>
      <c r="R280">
        <v>25</v>
      </c>
      <c r="S280">
        <v>3</v>
      </c>
      <c r="T280">
        <v>0</v>
      </c>
      <c r="U280">
        <v>7</v>
      </c>
      <c r="V280" s="1" t="s">
        <v>61</v>
      </c>
      <c r="W280" s="1" t="s">
        <v>116</v>
      </c>
    </row>
    <row r="281" spans="1:23" x14ac:dyDescent="0.35">
      <c r="A281">
        <v>1338</v>
      </c>
      <c r="B281" s="1" t="s">
        <v>1204</v>
      </c>
      <c r="C281" s="2">
        <v>42825</v>
      </c>
      <c r="D281" s="2">
        <v>42827</v>
      </c>
      <c r="E281" s="1" t="s">
        <v>24</v>
      </c>
      <c r="F281" s="1" t="s">
        <v>1205</v>
      </c>
      <c r="G281" s="1" t="s">
        <v>1206</v>
      </c>
      <c r="H281" s="1" t="s">
        <v>27</v>
      </c>
      <c r="I281" s="1" t="s">
        <v>28</v>
      </c>
      <c r="J281" s="1" t="s">
        <v>176</v>
      </c>
      <c r="K281" s="1" t="s">
        <v>123</v>
      </c>
      <c r="L281">
        <v>10011</v>
      </c>
      <c r="M281" s="1" t="s">
        <v>70</v>
      </c>
      <c r="N281" s="1" t="s">
        <v>1207</v>
      </c>
      <c r="O281" s="1" t="s">
        <v>33</v>
      </c>
      <c r="P281" s="1" t="s">
        <v>59</v>
      </c>
      <c r="Q281" s="1" t="s">
        <v>1208</v>
      </c>
      <c r="R281">
        <v>30</v>
      </c>
      <c r="S281">
        <v>2</v>
      </c>
      <c r="T281">
        <v>0</v>
      </c>
      <c r="U281">
        <v>8</v>
      </c>
      <c r="V281" s="1" t="s">
        <v>73</v>
      </c>
      <c r="W281" s="1" t="s">
        <v>198</v>
      </c>
    </row>
    <row r="282" spans="1:23" x14ac:dyDescent="0.35">
      <c r="A282">
        <v>1351</v>
      </c>
      <c r="B282" s="1" t="s">
        <v>1209</v>
      </c>
      <c r="C282" s="2">
        <v>41915</v>
      </c>
      <c r="D282" s="2">
        <v>41920</v>
      </c>
      <c r="E282" s="1" t="s">
        <v>24</v>
      </c>
      <c r="F282" s="1" t="s">
        <v>1210</v>
      </c>
      <c r="G282" s="1" t="s">
        <v>1211</v>
      </c>
      <c r="H282" s="1" t="s">
        <v>27</v>
      </c>
      <c r="I282" s="1" t="s">
        <v>28</v>
      </c>
      <c r="J282" s="1" t="s">
        <v>1212</v>
      </c>
      <c r="K282" s="1" t="s">
        <v>137</v>
      </c>
      <c r="L282">
        <v>60201</v>
      </c>
      <c r="M282" s="1" t="s">
        <v>96</v>
      </c>
      <c r="N282" s="1" t="s">
        <v>1031</v>
      </c>
      <c r="O282" s="1" t="s">
        <v>33</v>
      </c>
      <c r="P282" s="1" t="s">
        <v>39</v>
      </c>
      <c r="Q282" s="1" t="s">
        <v>1032</v>
      </c>
      <c r="R282">
        <v>258</v>
      </c>
      <c r="S282">
        <v>3</v>
      </c>
      <c r="T282">
        <v>0.3</v>
      </c>
      <c r="U282">
        <v>-70</v>
      </c>
      <c r="V282" s="1" t="s">
        <v>61</v>
      </c>
      <c r="W282" s="1" t="s">
        <v>51</v>
      </c>
    </row>
    <row r="283" spans="1:23" x14ac:dyDescent="0.35">
      <c r="A283">
        <v>1355</v>
      </c>
      <c r="B283" s="1" t="s">
        <v>1213</v>
      </c>
      <c r="C283" s="2">
        <v>42859</v>
      </c>
      <c r="D283" s="2">
        <v>42864</v>
      </c>
      <c r="E283" s="1" t="s">
        <v>42</v>
      </c>
      <c r="F283" s="1" t="s">
        <v>941</v>
      </c>
      <c r="G283" s="1" t="s">
        <v>942</v>
      </c>
      <c r="H283" s="1" t="s">
        <v>93</v>
      </c>
      <c r="I283" s="1" t="s">
        <v>28</v>
      </c>
      <c r="J283" s="1" t="s">
        <v>331</v>
      </c>
      <c r="K283" s="1" t="s">
        <v>56</v>
      </c>
      <c r="L283">
        <v>94109</v>
      </c>
      <c r="M283" s="1" t="s">
        <v>57</v>
      </c>
      <c r="N283" s="1" t="s">
        <v>309</v>
      </c>
      <c r="O283" s="1" t="s">
        <v>33</v>
      </c>
      <c r="P283" s="1" t="s">
        <v>48</v>
      </c>
      <c r="Q283" s="1" t="s">
        <v>310</v>
      </c>
      <c r="R283">
        <v>301</v>
      </c>
      <c r="S283">
        <v>1</v>
      </c>
      <c r="T283">
        <v>0.2</v>
      </c>
      <c r="U283">
        <v>11</v>
      </c>
      <c r="V283" s="1" t="s">
        <v>61</v>
      </c>
      <c r="W283" s="1" t="s">
        <v>164</v>
      </c>
    </row>
    <row r="284" spans="1:23" x14ac:dyDescent="0.35">
      <c r="A284">
        <v>1359</v>
      </c>
      <c r="B284" s="1" t="s">
        <v>1214</v>
      </c>
      <c r="C284" s="2">
        <v>42851</v>
      </c>
      <c r="D284" s="2">
        <v>42852</v>
      </c>
      <c r="E284" s="1" t="s">
        <v>90</v>
      </c>
      <c r="F284" s="1" t="s">
        <v>1215</v>
      </c>
      <c r="G284" s="1" t="s">
        <v>1216</v>
      </c>
      <c r="H284" s="1" t="s">
        <v>27</v>
      </c>
      <c r="I284" s="1" t="s">
        <v>28</v>
      </c>
      <c r="J284" s="1" t="s">
        <v>598</v>
      </c>
      <c r="K284" s="1" t="s">
        <v>95</v>
      </c>
      <c r="L284">
        <v>76106</v>
      </c>
      <c r="M284" s="1" t="s">
        <v>96</v>
      </c>
      <c r="N284" s="1" t="s">
        <v>653</v>
      </c>
      <c r="O284" s="1" t="s">
        <v>33</v>
      </c>
      <c r="P284" s="1" t="s">
        <v>59</v>
      </c>
      <c r="Q284" s="1" t="s">
        <v>654</v>
      </c>
      <c r="R284">
        <v>2</v>
      </c>
      <c r="S284">
        <v>1</v>
      </c>
      <c r="T284">
        <v>0.6</v>
      </c>
      <c r="U284">
        <v>-1</v>
      </c>
      <c r="V284" s="1" t="s">
        <v>126</v>
      </c>
      <c r="W284" s="1" t="s">
        <v>116</v>
      </c>
    </row>
    <row r="285" spans="1:23" x14ac:dyDescent="0.35">
      <c r="A285">
        <v>1360</v>
      </c>
      <c r="B285" s="1" t="s">
        <v>1217</v>
      </c>
      <c r="C285" s="2">
        <v>41908</v>
      </c>
      <c r="D285" s="2">
        <v>41913</v>
      </c>
      <c r="E285" s="1" t="s">
        <v>24</v>
      </c>
      <c r="F285" s="1" t="s">
        <v>1218</v>
      </c>
      <c r="G285" s="1" t="s">
        <v>1219</v>
      </c>
      <c r="H285" s="1" t="s">
        <v>27</v>
      </c>
      <c r="I285" s="1" t="s">
        <v>28</v>
      </c>
      <c r="J285" s="1" t="s">
        <v>55</v>
      </c>
      <c r="K285" s="1" t="s">
        <v>56</v>
      </c>
      <c r="L285">
        <v>90049</v>
      </c>
      <c r="M285" s="1" t="s">
        <v>57</v>
      </c>
      <c r="N285" s="1" t="s">
        <v>1220</v>
      </c>
      <c r="O285" s="1" t="s">
        <v>33</v>
      </c>
      <c r="P285" s="1" t="s">
        <v>39</v>
      </c>
      <c r="Q285" s="1" t="s">
        <v>1221</v>
      </c>
      <c r="R285">
        <v>146</v>
      </c>
      <c r="S285">
        <v>2</v>
      </c>
      <c r="T285">
        <v>0.2</v>
      </c>
      <c r="U285">
        <v>0</v>
      </c>
      <c r="V285" s="1" t="s">
        <v>61</v>
      </c>
      <c r="W285" s="1" t="s">
        <v>80</v>
      </c>
    </row>
    <row r="286" spans="1:23" x14ac:dyDescent="0.35">
      <c r="A286">
        <v>1368</v>
      </c>
      <c r="B286" s="1" t="s">
        <v>1222</v>
      </c>
      <c r="C286" s="2">
        <v>43049</v>
      </c>
      <c r="D286" s="2">
        <v>43050</v>
      </c>
      <c r="E286" s="1" t="s">
        <v>90</v>
      </c>
      <c r="F286" s="1" t="s">
        <v>1223</v>
      </c>
      <c r="G286" s="1" t="s">
        <v>1224</v>
      </c>
      <c r="H286" s="1" t="s">
        <v>93</v>
      </c>
      <c r="I286" s="1" t="s">
        <v>28</v>
      </c>
      <c r="J286" s="1" t="s">
        <v>1225</v>
      </c>
      <c r="K286" s="1" t="s">
        <v>523</v>
      </c>
      <c r="L286">
        <v>85705</v>
      </c>
      <c r="M286" s="1" t="s">
        <v>57</v>
      </c>
      <c r="N286" s="1" t="s">
        <v>408</v>
      </c>
      <c r="O286" s="1" t="s">
        <v>33</v>
      </c>
      <c r="P286" s="1" t="s">
        <v>39</v>
      </c>
      <c r="Q286" s="1" t="s">
        <v>409</v>
      </c>
      <c r="R286">
        <v>899</v>
      </c>
      <c r="S286">
        <v>4</v>
      </c>
      <c r="T286">
        <v>0.2</v>
      </c>
      <c r="U286">
        <v>-146</v>
      </c>
      <c r="V286" s="1" t="s">
        <v>126</v>
      </c>
      <c r="W286" s="1" t="s">
        <v>37</v>
      </c>
    </row>
    <row r="287" spans="1:23" x14ac:dyDescent="0.35">
      <c r="A287">
        <v>1369</v>
      </c>
      <c r="B287" s="1" t="s">
        <v>1226</v>
      </c>
      <c r="C287" s="2">
        <v>42924</v>
      </c>
      <c r="D287" s="2">
        <v>42927</v>
      </c>
      <c r="E287" s="1" t="s">
        <v>90</v>
      </c>
      <c r="F287" s="1" t="s">
        <v>1227</v>
      </c>
      <c r="G287" s="1" t="s">
        <v>1228</v>
      </c>
      <c r="H287" s="1" t="s">
        <v>103</v>
      </c>
      <c r="I287" s="1" t="s">
        <v>28</v>
      </c>
      <c r="J287" s="1" t="s">
        <v>1229</v>
      </c>
      <c r="K287" s="1" t="s">
        <v>56</v>
      </c>
      <c r="L287">
        <v>90660</v>
      </c>
      <c r="M287" s="1" t="s">
        <v>57</v>
      </c>
      <c r="N287" s="1" t="s">
        <v>392</v>
      </c>
      <c r="O287" s="1" t="s">
        <v>33</v>
      </c>
      <c r="P287" s="1" t="s">
        <v>59</v>
      </c>
      <c r="Q287" s="1" t="s">
        <v>393</v>
      </c>
      <c r="R287">
        <v>146</v>
      </c>
      <c r="S287">
        <v>5</v>
      </c>
      <c r="T287">
        <v>0</v>
      </c>
      <c r="U287">
        <v>63</v>
      </c>
      <c r="V287" s="1" t="s">
        <v>36</v>
      </c>
      <c r="W287" s="1" t="s">
        <v>74</v>
      </c>
    </row>
    <row r="288" spans="1:23" x14ac:dyDescent="0.35">
      <c r="A288">
        <v>1370</v>
      </c>
      <c r="B288" s="1" t="s">
        <v>1230</v>
      </c>
      <c r="C288" s="2">
        <v>42362</v>
      </c>
      <c r="D288" s="2">
        <v>42366</v>
      </c>
      <c r="E288" s="1" t="s">
        <v>42</v>
      </c>
      <c r="F288" s="1" t="s">
        <v>1231</v>
      </c>
      <c r="G288" s="1" t="s">
        <v>1232</v>
      </c>
      <c r="H288" s="1" t="s">
        <v>27</v>
      </c>
      <c r="I288" s="1" t="s">
        <v>28</v>
      </c>
      <c r="J288" s="1" t="s">
        <v>356</v>
      </c>
      <c r="K288" s="1" t="s">
        <v>183</v>
      </c>
      <c r="L288">
        <v>80906</v>
      </c>
      <c r="M288" s="1" t="s">
        <v>57</v>
      </c>
      <c r="N288" s="1" t="s">
        <v>263</v>
      </c>
      <c r="O288" s="1" t="s">
        <v>33</v>
      </c>
      <c r="P288" s="1" t="s">
        <v>34</v>
      </c>
      <c r="Q288" s="1" t="s">
        <v>264</v>
      </c>
      <c r="R288">
        <v>590</v>
      </c>
      <c r="S288">
        <v>7</v>
      </c>
      <c r="T288">
        <v>0.7</v>
      </c>
      <c r="U288">
        <v>-787</v>
      </c>
      <c r="V288" s="1" t="s">
        <v>86</v>
      </c>
      <c r="W288" s="1" t="s">
        <v>99</v>
      </c>
    </row>
    <row r="289" spans="1:23" x14ac:dyDescent="0.35">
      <c r="A289">
        <v>1375</v>
      </c>
      <c r="B289" s="1" t="s">
        <v>1233</v>
      </c>
      <c r="C289" s="2">
        <v>42261</v>
      </c>
      <c r="D289" s="2">
        <v>42266</v>
      </c>
      <c r="E289" s="1" t="s">
        <v>42</v>
      </c>
      <c r="F289" s="1" t="s">
        <v>1234</v>
      </c>
      <c r="G289" s="1" t="s">
        <v>1235</v>
      </c>
      <c r="H289" s="1" t="s">
        <v>27</v>
      </c>
      <c r="I289" s="1" t="s">
        <v>28</v>
      </c>
      <c r="J289" s="1" t="s">
        <v>1236</v>
      </c>
      <c r="K289" s="1" t="s">
        <v>79</v>
      </c>
      <c r="L289">
        <v>84604</v>
      </c>
      <c r="M289" s="1" t="s">
        <v>57</v>
      </c>
      <c r="N289" s="1" t="s">
        <v>1237</v>
      </c>
      <c r="O289" s="1" t="s">
        <v>33</v>
      </c>
      <c r="P289" s="1" t="s">
        <v>48</v>
      </c>
      <c r="Q289" s="1" t="s">
        <v>1238</v>
      </c>
      <c r="R289">
        <v>913</v>
      </c>
      <c r="S289">
        <v>5</v>
      </c>
      <c r="T289">
        <v>0</v>
      </c>
      <c r="U289">
        <v>119</v>
      </c>
      <c r="V289" s="1" t="s">
        <v>61</v>
      </c>
      <c r="W289" s="1" t="s">
        <v>80</v>
      </c>
    </row>
    <row r="290" spans="1:23" x14ac:dyDescent="0.35">
      <c r="A290">
        <v>1382</v>
      </c>
      <c r="B290" s="1" t="s">
        <v>1239</v>
      </c>
      <c r="C290" s="2">
        <v>42616</v>
      </c>
      <c r="D290" s="2">
        <v>42622</v>
      </c>
      <c r="E290" s="1" t="s">
        <v>42</v>
      </c>
      <c r="F290" s="1" t="s">
        <v>1240</v>
      </c>
      <c r="G290" s="1" t="s">
        <v>1241</v>
      </c>
      <c r="H290" s="1" t="s">
        <v>103</v>
      </c>
      <c r="I290" s="1" t="s">
        <v>28</v>
      </c>
      <c r="J290" s="1" t="s">
        <v>182</v>
      </c>
      <c r="K290" s="1" t="s">
        <v>137</v>
      </c>
      <c r="L290">
        <v>60505</v>
      </c>
      <c r="M290" s="1" t="s">
        <v>96</v>
      </c>
      <c r="N290" s="1" t="s">
        <v>728</v>
      </c>
      <c r="O290" s="1" t="s">
        <v>33</v>
      </c>
      <c r="P290" s="1" t="s">
        <v>59</v>
      </c>
      <c r="Q290" s="1" t="s">
        <v>729</v>
      </c>
      <c r="R290">
        <v>84</v>
      </c>
      <c r="S290">
        <v>3</v>
      </c>
      <c r="T290">
        <v>0.6</v>
      </c>
      <c r="U290">
        <v>-90</v>
      </c>
      <c r="V290" s="1" t="s">
        <v>132</v>
      </c>
      <c r="W290" s="1" t="s">
        <v>80</v>
      </c>
    </row>
    <row r="291" spans="1:23" x14ac:dyDescent="0.35">
      <c r="A291">
        <v>1386</v>
      </c>
      <c r="B291" s="1" t="s">
        <v>1242</v>
      </c>
      <c r="C291" s="2">
        <v>42405</v>
      </c>
      <c r="D291" s="2">
        <v>42405</v>
      </c>
      <c r="E291" s="1" t="s">
        <v>428</v>
      </c>
      <c r="F291" s="1" t="s">
        <v>1243</v>
      </c>
      <c r="G291" s="1" t="s">
        <v>1244</v>
      </c>
      <c r="H291" s="1" t="s">
        <v>103</v>
      </c>
      <c r="I291" s="1" t="s">
        <v>28</v>
      </c>
      <c r="J291" s="1" t="s">
        <v>1245</v>
      </c>
      <c r="K291" s="1" t="s">
        <v>670</v>
      </c>
      <c r="L291">
        <v>30080</v>
      </c>
      <c r="M291" s="1" t="s">
        <v>31</v>
      </c>
      <c r="N291" s="1" t="s">
        <v>357</v>
      </c>
      <c r="O291" s="1" t="s">
        <v>33</v>
      </c>
      <c r="P291" s="1" t="s">
        <v>59</v>
      </c>
      <c r="Q291" s="1" t="s">
        <v>1246</v>
      </c>
      <c r="R291">
        <v>19</v>
      </c>
      <c r="S291">
        <v>3</v>
      </c>
      <c r="T291">
        <v>0</v>
      </c>
      <c r="U291">
        <v>7</v>
      </c>
      <c r="V291" s="1" t="s">
        <v>433</v>
      </c>
      <c r="W291" s="1" t="s">
        <v>300</v>
      </c>
    </row>
    <row r="292" spans="1:23" x14ac:dyDescent="0.35">
      <c r="A292">
        <v>1387</v>
      </c>
      <c r="B292" s="1" t="s">
        <v>1242</v>
      </c>
      <c r="C292" s="2">
        <v>42405</v>
      </c>
      <c r="D292" s="2">
        <v>42405</v>
      </c>
      <c r="E292" s="1" t="s">
        <v>428</v>
      </c>
      <c r="F292" s="1" t="s">
        <v>1243</v>
      </c>
      <c r="G292" s="1" t="s">
        <v>1244</v>
      </c>
      <c r="H292" s="1" t="s">
        <v>103</v>
      </c>
      <c r="I292" s="1" t="s">
        <v>28</v>
      </c>
      <c r="J292" s="1" t="s">
        <v>1245</v>
      </c>
      <c r="K292" s="1" t="s">
        <v>670</v>
      </c>
      <c r="L292">
        <v>30080</v>
      </c>
      <c r="M292" s="1" t="s">
        <v>31</v>
      </c>
      <c r="N292" s="1" t="s">
        <v>713</v>
      </c>
      <c r="O292" s="1" t="s">
        <v>33</v>
      </c>
      <c r="P292" s="1" t="s">
        <v>34</v>
      </c>
      <c r="Q292" s="1" t="s">
        <v>714</v>
      </c>
      <c r="R292">
        <v>240</v>
      </c>
      <c r="S292">
        <v>2</v>
      </c>
      <c r="T292">
        <v>0</v>
      </c>
      <c r="U292">
        <v>53</v>
      </c>
      <c r="V292" s="1" t="s">
        <v>433</v>
      </c>
      <c r="W292" s="1" t="s">
        <v>300</v>
      </c>
    </row>
    <row r="293" spans="1:23" x14ac:dyDescent="0.35">
      <c r="A293">
        <v>1395</v>
      </c>
      <c r="B293" s="1" t="s">
        <v>1247</v>
      </c>
      <c r="C293" s="2">
        <v>43017</v>
      </c>
      <c r="D293" s="2">
        <v>43022</v>
      </c>
      <c r="E293" s="1" t="s">
        <v>42</v>
      </c>
      <c r="F293" s="1" t="s">
        <v>1248</v>
      </c>
      <c r="G293" s="1" t="s">
        <v>1249</v>
      </c>
      <c r="H293" s="1" t="s">
        <v>93</v>
      </c>
      <c r="I293" s="1" t="s">
        <v>28</v>
      </c>
      <c r="J293" s="1" t="s">
        <v>182</v>
      </c>
      <c r="K293" s="1" t="s">
        <v>137</v>
      </c>
      <c r="L293">
        <v>60505</v>
      </c>
      <c r="M293" s="1" t="s">
        <v>96</v>
      </c>
      <c r="N293" s="1" t="s">
        <v>1250</v>
      </c>
      <c r="O293" s="1" t="s">
        <v>33</v>
      </c>
      <c r="P293" s="1" t="s">
        <v>48</v>
      </c>
      <c r="Q293" s="1" t="s">
        <v>1251</v>
      </c>
      <c r="R293">
        <v>652</v>
      </c>
      <c r="S293">
        <v>5</v>
      </c>
      <c r="T293">
        <v>0.5</v>
      </c>
      <c r="U293">
        <v>-431</v>
      </c>
      <c r="V293" s="1" t="s">
        <v>61</v>
      </c>
      <c r="W293" s="1" t="s">
        <v>51</v>
      </c>
    </row>
    <row r="294" spans="1:23" x14ac:dyDescent="0.35">
      <c r="A294">
        <v>1396</v>
      </c>
      <c r="B294" s="1" t="s">
        <v>1247</v>
      </c>
      <c r="C294" s="2">
        <v>43017</v>
      </c>
      <c r="D294" s="2">
        <v>43022</v>
      </c>
      <c r="E294" s="1" t="s">
        <v>42</v>
      </c>
      <c r="F294" s="1" t="s">
        <v>1248</v>
      </c>
      <c r="G294" s="1" t="s">
        <v>1249</v>
      </c>
      <c r="H294" s="1" t="s">
        <v>93</v>
      </c>
      <c r="I294" s="1" t="s">
        <v>28</v>
      </c>
      <c r="J294" s="1" t="s">
        <v>182</v>
      </c>
      <c r="K294" s="1" t="s">
        <v>137</v>
      </c>
      <c r="L294">
        <v>60505</v>
      </c>
      <c r="M294" s="1" t="s">
        <v>96</v>
      </c>
      <c r="N294" s="1" t="s">
        <v>1252</v>
      </c>
      <c r="O294" s="1" t="s">
        <v>33</v>
      </c>
      <c r="P294" s="1" t="s">
        <v>48</v>
      </c>
      <c r="Q294" s="1" t="s">
        <v>1253</v>
      </c>
      <c r="R294">
        <v>67</v>
      </c>
      <c r="S294">
        <v>3</v>
      </c>
      <c r="T294">
        <v>0.5</v>
      </c>
      <c r="U294">
        <v>-43</v>
      </c>
      <c r="V294" s="1" t="s">
        <v>61</v>
      </c>
      <c r="W294" s="1" t="s">
        <v>51</v>
      </c>
    </row>
    <row r="295" spans="1:23" x14ac:dyDescent="0.35">
      <c r="A295">
        <v>1403</v>
      </c>
      <c r="B295" s="1" t="s">
        <v>1254</v>
      </c>
      <c r="C295" s="2">
        <v>42479</v>
      </c>
      <c r="D295" s="2">
        <v>42485</v>
      </c>
      <c r="E295" s="1" t="s">
        <v>42</v>
      </c>
      <c r="F295" s="1" t="s">
        <v>1255</v>
      </c>
      <c r="G295" s="1" t="s">
        <v>1256</v>
      </c>
      <c r="H295" s="1" t="s">
        <v>103</v>
      </c>
      <c r="I295" s="1" t="s">
        <v>28</v>
      </c>
      <c r="J295" s="1" t="s">
        <v>350</v>
      </c>
      <c r="K295" s="1" t="s">
        <v>234</v>
      </c>
      <c r="L295">
        <v>43229</v>
      </c>
      <c r="M295" s="1" t="s">
        <v>70</v>
      </c>
      <c r="N295" s="1" t="s">
        <v>1257</v>
      </c>
      <c r="O295" s="1" t="s">
        <v>33</v>
      </c>
      <c r="P295" s="1" t="s">
        <v>48</v>
      </c>
      <c r="Q295" s="1" t="s">
        <v>1258</v>
      </c>
      <c r="R295">
        <v>205</v>
      </c>
      <c r="S295">
        <v>2</v>
      </c>
      <c r="T295">
        <v>0.4</v>
      </c>
      <c r="U295">
        <v>-58</v>
      </c>
      <c r="V295" s="1" t="s">
        <v>132</v>
      </c>
      <c r="W295" s="1" t="s">
        <v>116</v>
      </c>
    </row>
    <row r="296" spans="1:23" x14ac:dyDescent="0.35">
      <c r="A296">
        <v>1406</v>
      </c>
      <c r="B296" s="1" t="s">
        <v>1259</v>
      </c>
      <c r="C296" s="2">
        <v>41735</v>
      </c>
      <c r="D296" s="2">
        <v>41737</v>
      </c>
      <c r="E296" s="1" t="s">
        <v>90</v>
      </c>
      <c r="F296" s="1" t="s">
        <v>1260</v>
      </c>
      <c r="G296" s="1" t="s">
        <v>1261</v>
      </c>
      <c r="H296" s="1" t="s">
        <v>103</v>
      </c>
      <c r="I296" s="1" t="s">
        <v>28</v>
      </c>
      <c r="J296" s="1" t="s">
        <v>68</v>
      </c>
      <c r="K296" s="1" t="s">
        <v>69</v>
      </c>
      <c r="L296">
        <v>19143</v>
      </c>
      <c r="M296" s="1" t="s">
        <v>70</v>
      </c>
      <c r="N296" s="1" t="s">
        <v>1262</v>
      </c>
      <c r="O296" s="1" t="s">
        <v>33</v>
      </c>
      <c r="P296" s="1" t="s">
        <v>48</v>
      </c>
      <c r="Q296" s="1" t="s">
        <v>1066</v>
      </c>
      <c r="R296">
        <v>155</v>
      </c>
      <c r="S296">
        <v>3</v>
      </c>
      <c r="T296">
        <v>0.4</v>
      </c>
      <c r="U296">
        <v>-36</v>
      </c>
      <c r="V296" s="1" t="s">
        <v>73</v>
      </c>
      <c r="W296" s="1" t="s">
        <v>116</v>
      </c>
    </row>
    <row r="297" spans="1:23" x14ac:dyDescent="0.35">
      <c r="A297">
        <v>1409</v>
      </c>
      <c r="B297" s="1" t="s">
        <v>1263</v>
      </c>
      <c r="C297" s="2">
        <v>42615</v>
      </c>
      <c r="D297" s="2">
        <v>42619</v>
      </c>
      <c r="E297" s="1" t="s">
        <v>42</v>
      </c>
      <c r="F297" s="1" t="s">
        <v>1034</v>
      </c>
      <c r="G297" s="1" t="s">
        <v>1035</v>
      </c>
      <c r="H297" s="1" t="s">
        <v>27</v>
      </c>
      <c r="I297" s="1" t="s">
        <v>28</v>
      </c>
      <c r="J297" s="1" t="s">
        <v>176</v>
      </c>
      <c r="K297" s="1" t="s">
        <v>123</v>
      </c>
      <c r="L297">
        <v>10024</v>
      </c>
      <c r="M297" s="1" t="s">
        <v>70</v>
      </c>
      <c r="N297" s="1" t="s">
        <v>403</v>
      </c>
      <c r="O297" s="1" t="s">
        <v>33</v>
      </c>
      <c r="P297" s="1" t="s">
        <v>59</v>
      </c>
      <c r="Q297" s="1" t="s">
        <v>404</v>
      </c>
      <c r="R297">
        <v>40</v>
      </c>
      <c r="S297">
        <v>2</v>
      </c>
      <c r="T297">
        <v>0</v>
      </c>
      <c r="U297">
        <v>10</v>
      </c>
      <c r="V297" s="1" t="s">
        <v>86</v>
      </c>
      <c r="W297" s="1" t="s">
        <v>80</v>
      </c>
    </row>
    <row r="298" spans="1:23" x14ac:dyDescent="0.35">
      <c r="A298">
        <v>1410</v>
      </c>
      <c r="B298" s="1" t="s">
        <v>1264</v>
      </c>
      <c r="C298" s="2">
        <v>42638</v>
      </c>
      <c r="D298" s="2">
        <v>42643</v>
      </c>
      <c r="E298" s="1" t="s">
        <v>42</v>
      </c>
      <c r="F298" s="1" t="s">
        <v>1265</v>
      </c>
      <c r="G298" s="1" t="s">
        <v>1266</v>
      </c>
      <c r="H298" s="1" t="s">
        <v>27</v>
      </c>
      <c r="I298" s="1" t="s">
        <v>28</v>
      </c>
      <c r="J298" s="1" t="s">
        <v>522</v>
      </c>
      <c r="K298" s="1" t="s">
        <v>523</v>
      </c>
      <c r="L298">
        <v>85023</v>
      </c>
      <c r="M298" s="1" t="s">
        <v>57</v>
      </c>
      <c r="N298" s="1" t="s">
        <v>918</v>
      </c>
      <c r="O298" s="1" t="s">
        <v>33</v>
      </c>
      <c r="P298" s="1" t="s">
        <v>48</v>
      </c>
      <c r="Q298" s="1" t="s">
        <v>919</v>
      </c>
      <c r="R298">
        <v>393</v>
      </c>
      <c r="S298">
        <v>3</v>
      </c>
      <c r="T298">
        <v>0.5</v>
      </c>
      <c r="U298">
        <v>-204</v>
      </c>
      <c r="V298" s="1" t="s">
        <v>61</v>
      </c>
      <c r="W298" s="1" t="s">
        <v>80</v>
      </c>
    </row>
    <row r="299" spans="1:23" x14ac:dyDescent="0.35">
      <c r="A299">
        <v>1412</v>
      </c>
      <c r="B299" s="1" t="s">
        <v>1267</v>
      </c>
      <c r="C299" s="2">
        <v>42560</v>
      </c>
      <c r="D299" s="2">
        <v>42564</v>
      </c>
      <c r="E299" s="1" t="s">
        <v>42</v>
      </c>
      <c r="F299" s="1" t="s">
        <v>228</v>
      </c>
      <c r="G299" s="1" t="s">
        <v>229</v>
      </c>
      <c r="H299" s="1" t="s">
        <v>93</v>
      </c>
      <c r="I299" s="1" t="s">
        <v>28</v>
      </c>
      <c r="J299" s="1" t="s">
        <v>176</v>
      </c>
      <c r="K299" s="1" t="s">
        <v>123</v>
      </c>
      <c r="L299">
        <v>10035</v>
      </c>
      <c r="M299" s="1" t="s">
        <v>70</v>
      </c>
      <c r="N299" s="1" t="s">
        <v>808</v>
      </c>
      <c r="O299" s="1" t="s">
        <v>33</v>
      </c>
      <c r="P299" s="1" t="s">
        <v>39</v>
      </c>
      <c r="Q299" s="1" t="s">
        <v>809</v>
      </c>
      <c r="R299">
        <v>408</v>
      </c>
      <c r="S299">
        <v>2</v>
      </c>
      <c r="T299">
        <v>0.1</v>
      </c>
      <c r="U299">
        <v>73</v>
      </c>
      <c r="V299" s="1" t="s">
        <v>86</v>
      </c>
      <c r="W299" s="1" t="s">
        <v>74</v>
      </c>
    </row>
    <row r="300" spans="1:23" x14ac:dyDescent="0.35">
      <c r="A300">
        <v>1413</v>
      </c>
      <c r="B300" s="1" t="s">
        <v>1267</v>
      </c>
      <c r="C300" s="2">
        <v>42560</v>
      </c>
      <c r="D300" s="2">
        <v>42564</v>
      </c>
      <c r="E300" s="1" t="s">
        <v>42</v>
      </c>
      <c r="F300" s="1" t="s">
        <v>228</v>
      </c>
      <c r="G300" s="1" t="s">
        <v>229</v>
      </c>
      <c r="H300" s="1" t="s">
        <v>93</v>
      </c>
      <c r="I300" s="1" t="s">
        <v>28</v>
      </c>
      <c r="J300" s="1" t="s">
        <v>176</v>
      </c>
      <c r="K300" s="1" t="s">
        <v>123</v>
      </c>
      <c r="L300">
        <v>10035</v>
      </c>
      <c r="M300" s="1" t="s">
        <v>70</v>
      </c>
      <c r="N300" s="1" t="s">
        <v>599</v>
      </c>
      <c r="O300" s="1" t="s">
        <v>33</v>
      </c>
      <c r="P300" s="1" t="s">
        <v>59</v>
      </c>
      <c r="Q300" s="1" t="s">
        <v>600</v>
      </c>
      <c r="R300">
        <v>165</v>
      </c>
      <c r="S300">
        <v>4</v>
      </c>
      <c r="T300">
        <v>0</v>
      </c>
      <c r="U300">
        <v>15</v>
      </c>
      <c r="V300" s="1" t="s">
        <v>86</v>
      </c>
      <c r="W300" s="1" t="s">
        <v>74</v>
      </c>
    </row>
    <row r="301" spans="1:23" x14ac:dyDescent="0.35">
      <c r="A301">
        <v>1416</v>
      </c>
      <c r="B301" s="1" t="s">
        <v>1268</v>
      </c>
      <c r="C301" s="2">
        <v>42763</v>
      </c>
      <c r="D301" s="2">
        <v>42766</v>
      </c>
      <c r="E301" s="1" t="s">
        <v>24</v>
      </c>
      <c r="F301" s="1" t="s">
        <v>1269</v>
      </c>
      <c r="G301" s="1" t="s">
        <v>1270</v>
      </c>
      <c r="H301" s="1" t="s">
        <v>103</v>
      </c>
      <c r="I301" s="1" t="s">
        <v>28</v>
      </c>
      <c r="J301" s="1" t="s">
        <v>553</v>
      </c>
      <c r="K301" s="1" t="s">
        <v>56</v>
      </c>
      <c r="L301">
        <v>92627</v>
      </c>
      <c r="M301" s="1" t="s">
        <v>57</v>
      </c>
      <c r="N301" s="1" t="s">
        <v>1271</v>
      </c>
      <c r="O301" s="1" t="s">
        <v>33</v>
      </c>
      <c r="P301" s="1" t="s">
        <v>59</v>
      </c>
      <c r="Q301" s="1" t="s">
        <v>1272</v>
      </c>
      <c r="R301">
        <v>38</v>
      </c>
      <c r="S301">
        <v>3</v>
      </c>
      <c r="T301">
        <v>0</v>
      </c>
      <c r="U301">
        <v>13</v>
      </c>
      <c r="V301" s="1" t="s">
        <v>36</v>
      </c>
      <c r="W301" s="1" t="s">
        <v>172</v>
      </c>
    </row>
    <row r="302" spans="1:23" x14ac:dyDescent="0.35">
      <c r="A302">
        <v>1419</v>
      </c>
      <c r="B302" s="1" t="s">
        <v>1273</v>
      </c>
      <c r="C302" s="2">
        <v>42268</v>
      </c>
      <c r="D302" s="2">
        <v>42271</v>
      </c>
      <c r="E302" s="1" t="s">
        <v>90</v>
      </c>
      <c r="F302" s="1" t="s">
        <v>1274</v>
      </c>
      <c r="G302" s="1" t="s">
        <v>1275</v>
      </c>
      <c r="H302" s="1" t="s">
        <v>93</v>
      </c>
      <c r="I302" s="1" t="s">
        <v>28</v>
      </c>
      <c r="J302" s="1" t="s">
        <v>104</v>
      </c>
      <c r="K302" s="1" t="s">
        <v>95</v>
      </c>
      <c r="L302">
        <v>77041</v>
      </c>
      <c r="M302" s="1" t="s">
        <v>96</v>
      </c>
      <c r="N302" s="1" t="s">
        <v>114</v>
      </c>
      <c r="O302" s="1" t="s">
        <v>33</v>
      </c>
      <c r="P302" s="1" t="s">
        <v>59</v>
      </c>
      <c r="Q302" s="1" t="s">
        <v>115</v>
      </c>
      <c r="R302">
        <v>5</v>
      </c>
      <c r="S302">
        <v>4</v>
      </c>
      <c r="T302">
        <v>0.6</v>
      </c>
      <c r="U302">
        <v>-1</v>
      </c>
      <c r="V302" s="1" t="s">
        <v>36</v>
      </c>
      <c r="W302" s="1" t="s">
        <v>80</v>
      </c>
    </row>
    <row r="303" spans="1:23" x14ac:dyDescent="0.35">
      <c r="A303">
        <v>1434</v>
      </c>
      <c r="B303" s="1" t="s">
        <v>1276</v>
      </c>
      <c r="C303" s="2">
        <v>41992</v>
      </c>
      <c r="D303" s="2">
        <v>41994</v>
      </c>
      <c r="E303" s="1" t="s">
        <v>24</v>
      </c>
      <c r="F303" s="1" t="s">
        <v>1277</v>
      </c>
      <c r="G303" s="1" t="s">
        <v>1278</v>
      </c>
      <c r="H303" s="1" t="s">
        <v>27</v>
      </c>
      <c r="I303" s="1" t="s">
        <v>28</v>
      </c>
      <c r="J303" s="1" t="s">
        <v>857</v>
      </c>
      <c r="K303" s="1" t="s">
        <v>1279</v>
      </c>
      <c r="L303">
        <v>35630</v>
      </c>
      <c r="M303" s="1" t="s">
        <v>31</v>
      </c>
      <c r="N303" s="1" t="s">
        <v>145</v>
      </c>
      <c r="O303" s="1" t="s">
        <v>33</v>
      </c>
      <c r="P303" s="1" t="s">
        <v>39</v>
      </c>
      <c r="Q303" s="1" t="s">
        <v>146</v>
      </c>
      <c r="R303">
        <v>1820</v>
      </c>
      <c r="S303">
        <v>14</v>
      </c>
      <c r="T303">
        <v>0</v>
      </c>
      <c r="U303">
        <v>164</v>
      </c>
      <c r="V303" s="1" t="s">
        <v>73</v>
      </c>
      <c r="W303" s="1" t="s">
        <v>99</v>
      </c>
    </row>
    <row r="304" spans="1:23" x14ac:dyDescent="0.35">
      <c r="A304">
        <v>1439</v>
      </c>
      <c r="B304" s="1" t="s">
        <v>1280</v>
      </c>
      <c r="C304" s="2">
        <v>42292</v>
      </c>
      <c r="D304" s="2">
        <v>42292</v>
      </c>
      <c r="E304" s="1" t="s">
        <v>428</v>
      </c>
      <c r="F304" s="1" t="s">
        <v>141</v>
      </c>
      <c r="G304" s="1" t="s">
        <v>142</v>
      </c>
      <c r="H304" s="1" t="s">
        <v>27</v>
      </c>
      <c r="I304" s="1" t="s">
        <v>28</v>
      </c>
      <c r="J304" s="1" t="s">
        <v>531</v>
      </c>
      <c r="K304" s="1" t="s">
        <v>95</v>
      </c>
      <c r="L304">
        <v>79109</v>
      </c>
      <c r="M304" s="1" t="s">
        <v>96</v>
      </c>
      <c r="N304" s="1" t="s">
        <v>604</v>
      </c>
      <c r="O304" s="1" t="s">
        <v>33</v>
      </c>
      <c r="P304" s="1" t="s">
        <v>39</v>
      </c>
      <c r="Q304" s="1" t="s">
        <v>605</v>
      </c>
      <c r="R304">
        <v>2453</v>
      </c>
      <c r="S304">
        <v>5</v>
      </c>
      <c r="T304">
        <v>0.3</v>
      </c>
      <c r="U304">
        <v>-350</v>
      </c>
      <c r="V304" s="1" t="s">
        <v>433</v>
      </c>
      <c r="W304" s="1" t="s">
        <v>51</v>
      </c>
    </row>
    <row r="305" spans="1:23" x14ac:dyDescent="0.35">
      <c r="A305">
        <v>1447</v>
      </c>
      <c r="B305" s="1" t="s">
        <v>1281</v>
      </c>
      <c r="C305" s="2">
        <v>42899</v>
      </c>
      <c r="D305" s="2">
        <v>42902</v>
      </c>
      <c r="E305" s="1" t="s">
        <v>90</v>
      </c>
      <c r="F305" s="1" t="s">
        <v>1260</v>
      </c>
      <c r="G305" s="1" t="s">
        <v>1261</v>
      </c>
      <c r="H305" s="1" t="s">
        <v>103</v>
      </c>
      <c r="I305" s="1" t="s">
        <v>28</v>
      </c>
      <c r="J305" s="1" t="s">
        <v>136</v>
      </c>
      <c r="K305" s="1" t="s">
        <v>137</v>
      </c>
      <c r="L305">
        <v>60653</v>
      </c>
      <c r="M305" s="1" t="s">
        <v>96</v>
      </c>
      <c r="N305" s="1" t="s">
        <v>1282</v>
      </c>
      <c r="O305" s="1" t="s">
        <v>33</v>
      </c>
      <c r="P305" s="1" t="s">
        <v>39</v>
      </c>
      <c r="Q305" s="1" t="s">
        <v>1283</v>
      </c>
      <c r="R305">
        <v>470</v>
      </c>
      <c r="S305">
        <v>7</v>
      </c>
      <c r="T305">
        <v>0.3</v>
      </c>
      <c r="U305">
        <v>-87</v>
      </c>
      <c r="V305" s="1" t="s">
        <v>36</v>
      </c>
      <c r="W305" s="1" t="s">
        <v>62</v>
      </c>
    </row>
    <row r="306" spans="1:23" x14ac:dyDescent="0.35">
      <c r="A306">
        <v>1457</v>
      </c>
      <c r="B306" s="1" t="s">
        <v>1284</v>
      </c>
      <c r="C306" s="2">
        <v>42898</v>
      </c>
      <c r="D306" s="2">
        <v>42905</v>
      </c>
      <c r="E306" s="1" t="s">
        <v>42</v>
      </c>
      <c r="F306" s="1" t="s">
        <v>1285</v>
      </c>
      <c r="G306" s="1" t="s">
        <v>1286</v>
      </c>
      <c r="H306" s="1" t="s">
        <v>103</v>
      </c>
      <c r="I306" s="1" t="s">
        <v>28</v>
      </c>
      <c r="J306" s="1" t="s">
        <v>350</v>
      </c>
      <c r="K306" s="1" t="s">
        <v>670</v>
      </c>
      <c r="L306">
        <v>31907</v>
      </c>
      <c r="M306" s="1" t="s">
        <v>31</v>
      </c>
      <c r="N306" s="1" t="s">
        <v>1287</v>
      </c>
      <c r="O306" s="1" t="s">
        <v>33</v>
      </c>
      <c r="P306" s="1" t="s">
        <v>48</v>
      </c>
      <c r="Q306" s="1" t="s">
        <v>1288</v>
      </c>
      <c r="R306">
        <v>453</v>
      </c>
      <c r="S306">
        <v>3</v>
      </c>
      <c r="T306">
        <v>0</v>
      </c>
      <c r="U306">
        <v>68</v>
      </c>
      <c r="V306" s="1" t="s">
        <v>50</v>
      </c>
      <c r="W306" s="1" t="s">
        <v>62</v>
      </c>
    </row>
    <row r="307" spans="1:23" x14ac:dyDescent="0.35">
      <c r="A307">
        <v>1460</v>
      </c>
      <c r="B307" s="1" t="s">
        <v>1289</v>
      </c>
      <c r="C307" s="2">
        <v>41763</v>
      </c>
      <c r="D307" s="2">
        <v>41763</v>
      </c>
      <c r="E307" s="1" t="s">
        <v>428</v>
      </c>
      <c r="F307" s="1" t="s">
        <v>1290</v>
      </c>
      <c r="G307" s="1" t="s">
        <v>1291</v>
      </c>
      <c r="H307" s="1" t="s">
        <v>27</v>
      </c>
      <c r="I307" s="1" t="s">
        <v>28</v>
      </c>
      <c r="J307" s="1" t="s">
        <v>1292</v>
      </c>
      <c r="K307" s="1" t="s">
        <v>432</v>
      </c>
      <c r="L307">
        <v>6457</v>
      </c>
      <c r="M307" s="1" t="s">
        <v>70</v>
      </c>
      <c r="N307" s="1" t="s">
        <v>1293</v>
      </c>
      <c r="O307" s="1" t="s">
        <v>33</v>
      </c>
      <c r="P307" s="1" t="s">
        <v>59</v>
      </c>
      <c r="Q307" s="1" t="s">
        <v>1294</v>
      </c>
      <c r="R307">
        <v>27</v>
      </c>
      <c r="S307">
        <v>2</v>
      </c>
      <c r="T307">
        <v>0</v>
      </c>
      <c r="U307">
        <v>10</v>
      </c>
      <c r="V307" s="1" t="s">
        <v>433</v>
      </c>
      <c r="W307" s="1" t="s">
        <v>164</v>
      </c>
    </row>
    <row r="308" spans="1:23" x14ac:dyDescent="0.35">
      <c r="A308">
        <v>1462</v>
      </c>
      <c r="B308" s="1" t="s">
        <v>1295</v>
      </c>
      <c r="C308" s="2">
        <v>42440</v>
      </c>
      <c r="D308" s="2">
        <v>42444</v>
      </c>
      <c r="E308" s="1" t="s">
        <v>42</v>
      </c>
      <c r="F308" s="1" t="s">
        <v>1296</v>
      </c>
      <c r="G308" s="1" t="s">
        <v>1297</v>
      </c>
      <c r="H308" s="1" t="s">
        <v>27</v>
      </c>
      <c r="I308" s="1" t="s">
        <v>28</v>
      </c>
      <c r="J308" s="1" t="s">
        <v>1298</v>
      </c>
      <c r="K308" s="1" t="s">
        <v>365</v>
      </c>
      <c r="L308">
        <v>8360</v>
      </c>
      <c r="M308" s="1" t="s">
        <v>70</v>
      </c>
      <c r="N308" s="1" t="s">
        <v>787</v>
      </c>
      <c r="O308" s="1" t="s">
        <v>33</v>
      </c>
      <c r="P308" s="1" t="s">
        <v>48</v>
      </c>
      <c r="Q308" s="1" t="s">
        <v>788</v>
      </c>
      <c r="R308">
        <v>244</v>
      </c>
      <c r="S308">
        <v>2</v>
      </c>
      <c r="T308">
        <v>0.3</v>
      </c>
      <c r="U308">
        <v>-31</v>
      </c>
      <c r="V308" s="1" t="s">
        <v>86</v>
      </c>
      <c r="W308" s="1" t="s">
        <v>198</v>
      </c>
    </row>
    <row r="309" spans="1:23" x14ac:dyDescent="0.35">
      <c r="A309">
        <v>1464</v>
      </c>
      <c r="B309" s="1" t="s">
        <v>1299</v>
      </c>
      <c r="C309" s="2">
        <v>42608</v>
      </c>
      <c r="D309" s="2">
        <v>42610</v>
      </c>
      <c r="E309" s="1" t="s">
        <v>90</v>
      </c>
      <c r="F309" s="1" t="s">
        <v>1300</v>
      </c>
      <c r="G309" s="1" t="s">
        <v>1301</v>
      </c>
      <c r="H309" s="1" t="s">
        <v>93</v>
      </c>
      <c r="I309" s="1" t="s">
        <v>28</v>
      </c>
      <c r="J309" s="1" t="s">
        <v>1188</v>
      </c>
      <c r="K309" s="1" t="s">
        <v>95</v>
      </c>
      <c r="L309">
        <v>77506</v>
      </c>
      <c r="M309" s="1" t="s">
        <v>96</v>
      </c>
      <c r="N309" s="1" t="s">
        <v>1085</v>
      </c>
      <c r="O309" s="1" t="s">
        <v>33</v>
      </c>
      <c r="P309" s="1" t="s">
        <v>39</v>
      </c>
      <c r="Q309" s="1" t="s">
        <v>1086</v>
      </c>
      <c r="R309">
        <v>1025</v>
      </c>
      <c r="S309">
        <v>6</v>
      </c>
      <c r="T309">
        <v>0.3</v>
      </c>
      <c r="U309">
        <v>-29</v>
      </c>
      <c r="V309" s="1" t="s">
        <v>73</v>
      </c>
      <c r="W309" s="1" t="s">
        <v>256</v>
      </c>
    </row>
    <row r="310" spans="1:23" x14ac:dyDescent="0.35">
      <c r="A310">
        <v>1466</v>
      </c>
      <c r="B310" s="1" t="s">
        <v>1302</v>
      </c>
      <c r="C310" s="2">
        <v>41859</v>
      </c>
      <c r="D310" s="2">
        <v>41865</v>
      </c>
      <c r="E310" s="1" t="s">
        <v>42</v>
      </c>
      <c r="F310" s="1" t="s">
        <v>1303</v>
      </c>
      <c r="G310" s="1" t="s">
        <v>1304</v>
      </c>
      <c r="H310" s="1" t="s">
        <v>27</v>
      </c>
      <c r="I310" s="1" t="s">
        <v>28</v>
      </c>
      <c r="J310" s="1" t="s">
        <v>1305</v>
      </c>
      <c r="K310" s="1" t="s">
        <v>523</v>
      </c>
      <c r="L310">
        <v>85301</v>
      </c>
      <c r="M310" s="1" t="s">
        <v>57</v>
      </c>
      <c r="N310" s="1" t="s">
        <v>970</v>
      </c>
      <c r="O310" s="1" t="s">
        <v>33</v>
      </c>
      <c r="P310" s="1" t="s">
        <v>59</v>
      </c>
      <c r="Q310" s="1" t="s">
        <v>971</v>
      </c>
      <c r="R310">
        <v>121</v>
      </c>
      <c r="S310">
        <v>4</v>
      </c>
      <c r="T310">
        <v>0.2</v>
      </c>
      <c r="U310">
        <v>-3</v>
      </c>
      <c r="V310" s="1" t="s">
        <v>132</v>
      </c>
      <c r="W310" s="1" t="s">
        <v>256</v>
      </c>
    </row>
    <row r="311" spans="1:23" x14ac:dyDescent="0.35">
      <c r="A311">
        <v>1469</v>
      </c>
      <c r="B311" s="1" t="s">
        <v>1306</v>
      </c>
      <c r="C311" s="2">
        <v>43078</v>
      </c>
      <c r="D311" s="2">
        <v>43082</v>
      </c>
      <c r="E311" s="1" t="s">
        <v>42</v>
      </c>
      <c r="F311" s="1" t="s">
        <v>1307</v>
      </c>
      <c r="G311" s="1" t="s">
        <v>1308</v>
      </c>
      <c r="H311" s="1" t="s">
        <v>93</v>
      </c>
      <c r="I311" s="1" t="s">
        <v>28</v>
      </c>
      <c r="J311" s="1" t="s">
        <v>291</v>
      </c>
      <c r="K311" s="1" t="s">
        <v>292</v>
      </c>
      <c r="L311">
        <v>48234</v>
      </c>
      <c r="M311" s="1" t="s">
        <v>96</v>
      </c>
      <c r="N311" s="1" t="s">
        <v>1309</v>
      </c>
      <c r="O311" s="1" t="s">
        <v>33</v>
      </c>
      <c r="P311" s="1" t="s">
        <v>39</v>
      </c>
      <c r="Q311" s="1" t="s">
        <v>1310</v>
      </c>
      <c r="R311">
        <v>873</v>
      </c>
      <c r="S311">
        <v>3</v>
      </c>
      <c r="T311">
        <v>0</v>
      </c>
      <c r="U311">
        <v>227</v>
      </c>
      <c r="V311" s="1" t="s">
        <v>86</v>
      </c>
      <c r="W311" s="1" t="s">
        <v>99</v>
      </c>
    </row>
    <row r="312" spans="1:23" x14ac:dyDescent="0.35">
      <c r="A312">
        <v>1474</v>
      </c>
      <c r="B312" s="1" t="s">
        <v>1311</v>
      </c>
      <c r="C312" s="2">
        <v>42339</v>
      </c>
      <c r="D312" s="2">
        <v>42340</v>
      </c>
      <c r="E312" s="1" t="s">
        <v>428</v>
      </c>
      <c r="F312" s="1" t="s">
        <v>1312</v>
      </c>
      <c r="G312" s="1" t="s">
        <v>1313</v>
      </c>
      <c r="H312" s="1" t="s">
        <v>27</v>
      </c>
      <c r="I312" s="1" t="s">
        <v>28</v>
      </c>
      <c r="J312" s="1" t="s">
        <v>104</v>
      </c>
      <c r="K312" s="1" t="s">
        <v>95</v>
      </c>
      <c r="L312">
        <v>77036</v>
      </c>
      <c r="M312" s="1" t="s">
        <v>96</v>
      </c>
      <c r="N312" s="1" t="s">
        <v>1314</v>
      </c>
      <c r="O312" s="1" t="s">
        <v>33</v>
      </c>
      <c r="P312" s="1" t="s">
        <v>59</v>
      </c>
      <c r="Q312" s="1" t="s">
        <v>1315</v>
      </c>
      <c r="R312">
        <v>7</v>
      </c>
      <c r="S312">
        <v>4</v>
      </c>
      <c r="T312">
        <v>0.6</v>
      </c>
      <c r="U312">
        <v>-4</v>
      </c>
      <c r="V312" s="1" t="s">
        <v>126</v>
      </c>
      <c r="W312" s="1" t="s">
        <v>99</v>
      </c>
    </row>
    <row r="313" spans="1:23" x14ac:dyDescent="0.35">
      <c r="A313">
        <v>1489</v>
      </c>
      <c r="B313" s="1" t="s">
        <v>1316</v>
      </c>
      <c r="C313" s="2">
        <v>42311</v>
      </c>
      <c r="D313" s="2">
        <v>42315</v>
      </c>
      <c r="E313" s="1" t="s">
        <v>42</v>
      </c>
      <c r="F313" s="1" t="s">
        <v>1317</v>
      </c>
      <c r="G313" s="1" t="s">
        <v>1318</v>
      </c>
      <c r="H313" s="1" t="s">
        <v>103</v>
      </c>
      <c r="I313" s="1" t="s">
        <v>28</v>
      </c>
      <c r="J313" s="1" t="s">
        <v>55</v>
      </c>
      <c r="K313" s="1" t="s">
        <v>56</v>
      </c>
      <c r="L313">
        <v>90008</v>
      </c>
      <c r="M313" s="1" t="s">
        <v>57</v>
      </c>
      <c r="N313" s="1" t="s">
        <v>488</v>
      </c>
      <c r="O313" s="1" t="s">
        <v>33</v>
      </c>
      <c r="P313" s="1" t="s">
        <v>59</v>
      </c>
      <c r="Q313" s="1" t="s">
        <v>489</v>
      </c>
      <c r="R313">
        <v>43</v>
      </c>
      <c r="S313">
        <v>3</v>
      </c>
      <c r="T313">
        <v>0</v>
      </c>
      <c r="U313">
        <v>17</v>
      </c>
      <c r="V313" s="1" t="s">
        <v>86</v>
      </c>
      <c r="W313" s="1" t="s">
        <v>37</v>
      </c>
    </row>
    <row r="314" spans="1:23" x14ac:dyDescent="0.35">
      <c r="A314">
        <v>1493</v>
      </c>
      <c r="B314" s="1" t="s">
        <v>1319</v>
      </c>
      <c r="C314" s="2">
        <v>43063</v>
      </c>
      <c r="D314" s="2">
        <v>43067</v>
      </c>
      <c r="E314" s="1" t="s">
        <v>42</v>
      </c>
      <c r="F314" s="1" t="s">
        <v>1320</v>
      </c>
      <c r="G314" s="1" t="s">
        <v>1321</v>
      </c>
      <c r="H314" s="1" t="s">
        <v>93</v>
      </c>
      <c r="I314" s="1" t="s">
        <v>28</v>
      </c>
      <c r="J314" s="1" t="s">
        <v>176</v>
      </c>
      <c r="K314" s="1" t="s">
        <v>123</v>
      </c>
      <c r="L314">
        <v>10035</v>
      </c>
      <c r="M314" s="1" t="s">
        <v>70</v>
      </c>
      <c r="N314" s="1" t="s">
        <v>423</v>
      </c>
      <c r="O314" s="1" t="s">
        <v>33</v>
      </c>
      <c r="P314" s="1" t="s">
        <v>39</v>
      </c>
      <c r="Q314" s="1" t="s">
        <v>424</v>
      </c>
      <c r="R314">
        <v>977</v>
      </c>
      <c r="S314">
        <v>6</v>
      </c>
      <c r="T314">
        <v>0.1</v>
      </c>
      <c r="U314">
        <v>174</v>
      </c>
      <c r="V314" s="1" t="s">
        <v>86</v>
      </c>
      <c r="W314" s="1" t="s">
        <v>37</v>
      </c>
    </row>
    <row r="315" spans="1:23" x14ac:dyDescent="0.35">
      <c r="A315">
        <v>1494</v>
      </c>
      <c r="B315" s="1" t="s">
        <v>1322</v>
      </c>
      <c r="C315" s="2">
        <v>43038</v>
      </c>
      <c r="D315" s="2">
        <v>43042</v>
      </c>
      <c r="E315" s="1" t="s">
        <v>42</v>
      </c>
      <c r="F315" s="1" t="s">
        <v>1323</v>
      </c>
      <c r="G315" s="1" t="s">
        <v>1324</v>
      </c>
      <c r="H315" s="1" t="s">
        <v>93</v>
      </c>
      <c r="I315" s="1" t="s">
        <v>28</v>
      </c>
      <c r="J315" s="1" t="s">
        <v>685</v>
      </c>
      <c r="K315" s="1" t="s">
        <v>195</v>
      </c>
      <c r="L315">
        <v>98661</v>
      </c>
      <c r="M315" s="1" t="s">
        <v>57</v>
      </c>
      <c r="N315" s="1" t="s">
        <v>962</v>
      </c>
      <c r="O315" s="1" t="s">
        <v>33</v>
      </c>
      <c r="P315" s="1" t="s">
        <v>59</v>
      </c>
      <c r="Q315" s="1" t="s">
        <v>963</v>
      </c>
      <c r="R315">
        <v>10</v>
      </c>
      <c r="S315">
        <v>2</v>
      </c>
      <c r="T315">
        <v>0</v>
      </c>
      <c r="U315">
        <v>4</v>
      </c>
      <c r="V315" s="1" t="s">
        <v>86</v>
      </c>
      <c r="W315" s="1" t="s">
        <v>51</v>
      </c>
    </row>
    <row r="316" spans="1:23" x14ac:dyDescent="0.35">
      <c r="A316">
        <v>1504</v>
      </c>
      <c r="B316" s="1" t="s">
        <v>1325</v>
      </c>
      <c r="C316" s="2">
        <v>42698</v>
      </c>
      <c r="D316" s="2">
        <v>42705</v>
      </c>
      <c r="E316" s="1" t="s">
        <v>42</v>
      </c>
      <c r="F316" s="1" t="s">
        <v>1326</v>
      </c>
      <c r="G316" s="1" t="s">
        <v>1327</v>
      </c>
      <c r="H316" s="1" t="s">
        <v>103</v>
      </c>
      <c r="I316" s="1" t="s">
        <v>28</v>
      </c>
      <c r="J316" s="1" t="s">
        <v>55</v>
      </c>
      <c r="K316" s="1" t="s">
        <v>56</v>
      </c>
      <c r="L316">
        <v>90045</v>
      </c>
      <c r="M316" s="1" t="s">
        <v>57</v>
      </c>
      <c r="N316" s="1" t="s">
        <v>653</v>
      </c>
      <c r="O316" s="1" t="s">
        <v>33</v>
      </c>
      <c r="P316" s="1" t="s">
        <v>59</v>
      </c>
      <c r="Q316" s="1" t="s">
        <v>654</v>
      </c>
      <c r="R316">
        <v>10</v>
      </c>
      <c r="S316">
        <v>2</v>
      </c>
      <c r="T316">
        <v>0</v>
      </c>
      <c r="U316">
        <v>3</v>
      </c>
      <c r="V316" s="1" t="s">
        <v>50</v>
      </c>
      <c r="W316" s="1" t="s">
        <v>37</v>
      </c>
    </row>
    <row r="317" spans="1:23" x14ac:dyDescent="0.35">
      <c r="A317">
        <v>1506</v>
      </c>
      <c r="B317" s="1" t="s">
        <v>1328</v>
      </c>
      <c r="C317" s="2">
        <v>42217</v>
      </c>
      <c r="D317" s="2">
        <v>42223</v>
      </c>
      <c r="E317" s="1" t="s">
        <v>42</v>
      </c>
      <c r="F317" s="1" t="s">
        <v>1329</v>
      </c>
      <c r="G317" s="1" t="s">
        <v>1330</v>
      </c>
      <c r="H317" s="1" t="s">
        <v>103</v>
      </c>
      <c r="I317" s="1" t="s">
        <v>28</v>
      </c>
      <c r="J317" s="1" t="s">
        <v>55</v>
      </c>
      <c r="K317" s="1" t="s">
        <v>56</v>
      </c>
      <c r="L317">
        <v>90004</v>
      </c>
      <c r="M317" s="1" t="s">
        <v>57</v>
      </c>
      <c r="N317" s="1" t="s">
        <v>1331</v>
      </c>
      <c r="O317" s="1" t="s">
        <v>33</v>
      </c>
      <c r="P317" s="1" t="s">
        <v>48</v>
      </c>
      <c r="Q317" s="1" t="s">
        <v>1332</v>
      </c>
      <c r="R317">
        <v>1005</v>
      </c>
      <c r="S317">
        <v>6</v>
      </c>
      <c r="T317">
        <v>0.2</v>
      </c>
      <c r="U317">
        <v>-176</v>
      </c>
      <c r="V317" s="1" t="s">
        <v>132</v>
      </c>
      <c r="W317" s="1" t="s">
        <v>256</v>
      </c>
    </row>
    <row r="318" spans="1:23" x14ac:dyDescent="0.35">
      <c r="A318">
        <v>1510</v>
      </c>
      <c r="B318" s="1" t="s">
        <v>1333</v>
      </c>
      <c r="C318" s="2">
        <v>42990</v>
      </c>
      <c r="D318" s="2">
        <v>42993</v>
      </c>
      <c r="E318" s="1" t="s">
        <v>90</v>
      </c>
      <c r="F318" s="1" t="s">
        <v>1334</v>
      </c>
      <c r="G318" s="1" t="s">
        <v>1335</v>
      </c>
      <c r="H318" s="1" t="s">
        <v>27</v>
      </c>
      <c r="I318" s="1" t="s">
        <v>28</v>
      </c>
      <c r="J318" s="1" t="s">
        <v>55</v>
      </c>
      <c r="K318" s="1" t="s">
        <v>56</v>
      </c>
      <c r="L318">
        <v>90036</v>
      </c>
      <c r="M318" s="1" t="s">
        <v>57</v>
      </c>
      <c r="N318" s="1" t="s">
        <v>1314</v>
      </c>
      <c r="O318" s="1" t="s">
        <v>33</v>
      </c>
      <c r="P318" s="1" t="s">
        <v>59</v>
      </c>
      <c r="Q318" s="1" t="s">
        <v>1315</v>
      </c>
      <c r="R318">
        <v>8</v>
      </c>
      <c r="S318">
        <v>2</v>
      </c>
      <c r="T318">
        <v>0</v>
      </c>
      <c r="U318">
        <v>3</v>
      </c>
      <c r="V318" s="1" t="s">
        <v>36</v>
      </c>
      <c r="W318" s="1" t="s">
        <v>80</v>
      </c>
    </row>
    <row r="319" spans="1:23" x14ac:dyDescent="0.35">
      <c r="A319">
        <v>1516</v>
      </c>
      <c r="B319" s="1" t="s">
        <v>1336</v>
      </c>
      <c r="C319" s="2">
        <v>43080</v>
      </c>
      <c r="D319" s="2">
        <v>43086</v>
      </c>
      <c r="E319" s="1" t="s">
        <v>42</v>
      </c>
      <c r="F319" s="1" t="s">
        <v>1337</v>
      </c>
      <c r="G319" s="1" t="s">
        <v>1338</v>
      </c>
      <c r="H319" s="1" t="s">
        <v>27</v>
      </c>
      <c r="I319" s="1" t="s">
        <v>28</v>
      </c>
      <c r="J319" s="1" t="s">
        <v>68</v>
      </c>
      <c r="K319" s="1" t="s">
        <v>69</v>
      </c>
      <c r="L319">
        <v>19120</v>
      </c>
      <c r="M319" s="1" t="s">
        <v>70</v>
      </c>
      <c r="N319" s="1" t="s">
        <v>1220</v>
      </c>
      <c r="O319" s="1" t="s">
        <v>33</v>
      </c>
      <c r="P319" s="1" t="s">
        <v>39</v>
      </c>
      <c r="Q319" s="1" t="s">
        <v>1221</v>
      </c>
      <c r="R319">
        <v>64</v>
      </c>
      <c r="S319">
        <v>1</v>
      </c>
      <c r="T319">
        <v>0.3</v>
      </c>
      <c r="U319">
        <v>-9</v>
      </c>
      <c r="V319" s="1" t="s">
        <v>132</v>
      </c>
      <c r="W319" s="1" t="s">
        <v>99</v>
      </c>
    </row>
    <row r="320" spans="1:23" x14ac:dyDescent="0.35">
      <c r="A320">
        <v>1517</v>
      </c>
      <c r="B320" s="1" t="s">
        <v>1339</v>
      </c>
      <c r="C320" s="2">
        <v>43079</v>
      </c>
      <c r="D320" s="2">
        <v>43083</v>
      </c>
      <c r="E320" s="1" t="s">
        <v>24</v>
      </c>
      <c r="F320" s="1" t="s">
        <v>1340</v>
      </c>
      <c r="G320" s="1" t="s">
        <v>1341</v>
      </c>
      <c r="H320" s="1" t="s">
        <v>27</v>
      </c>
      <c r="I320" s="1" t="s">
        <v>28</v>
      </c>
      <c r="J320" s="1" t="s">
        <v>1342</v>
      </c>
      <c r="K320" s="1" t="s">
        <v>1343</v>
      </c>
      <c r="L320">
        <v>89031</v>
      </c>
      <c r="M320" s="1" t="s">
        <v>57</v>
      </c>
      <c r="N320" s="1" t="s">
        <v>615</v>
      </c>
      <c r="O320" s="1" t="s">
        <v>33</v>
      </c>
      <c r="P320" s="1" t="s">
        <v>48</v>
      </c>
      <c r="Q320" s="1" t="s">
        <v>616</v>
      </c>
      <c r="R320">
        <v>1670</v>
      </c>
      <c r="S320">
        <v>4</v>
      </c>
      <c r="T320">
        <v>0</v>
      </c>
      <c r="U320">
        <v>117</v>
      </c>
      <c r="V320" s="1" t="s">
        <v>86</v>
      </c>
      <c r="W320" s="1" t="s">
        <v>99</v>
      </c>
    </row>
    <row r="321" spans="1:23" x14ac:dyDescent="0.35">
      <c r="A321">
        <v>1522</v>
      </c>
      <c r="B321" s="1" t="s">
        <v>1344</v>
      </c>
      <c r="C321" s="2">
        <v>42344</v>
      </c>
      <c r="D321" s="2">
        <v>42349</v>
      </c>
      <c r="E321" s="1" t="s">
        <v>42</v>
      </c>
      <c r="F321" s="1" t="s">
        <v>1345</v>
      </c>
      <c r="G321" s="1" t="s">
        <v>1346</v>
      </c>
      <c r="H321" s="1" t="s">
        <v>27</v>
      </c>
      <c r="I321" s="1" t="s">
        <v>28</v>
      </c>
      <c r="J321" s="1" t="s">
        <v>1225</v>
      </c>
      <c r="K321" s="1" t="s">
        <v>523</v>
      </c>
      <c r="L321">
        <v>85705</v>
      </c>
      <c r="M321" s="1" t="s">
        <v>57</v>
      </c>
      <c r="N321" s="1" t="s">
        <v>748</v>
      </c>
      <c r="O321" s="1" t="s">
        <v>33</v>
      </c>
      <c r="P321" s="1" t="s">
        <v>59</v>
      </c>
      <c r="Q321" s="1" t="s">
        <v>749</v>
      </c>
      <c r="R321">
        <v>206</v>
      </c>
      <c r="S321">
        <v>6</v>
      </c>
      <c r="T321">
        <v>0.2</v>
      </c>
      <c r="U321">
        <v>49</v>
      </c>
      <c r="V321" s="1" t="s">
        <v>61</v>
      </c>
      <c r="W321" s="1" t="s">
        <v>99</v>
      </c>
    </row>
    <row r="322" spans="1:23" x14ac:dyDescent="0.35">
      <c r="A322">
        <v>1528</v>
      </c>
      <c r="B322" s="1" t="s">
        <v>1347</v>
      </c>
      <c r="C322" s="2">
        <v>42573</v>
      </c>
      <c r="D322" s="2">
        <v>42578</v>
      </c>
      <c r="E322" s="1" t="s">
        <v>42</v>
      </c>
      <c r="F322" s="1" t="s">
        <v>1348</v>
      </c>
      <c r="G322" s="1" t="s">
        <v>1349</v>
      </c>
      <c r="H322" s="1" t="s">
        <v>27</v>
      </c>
      <c r="I322" s="1" t="s">
        <v>28</v>
      </c>
      <c r="J322" s="1" t="s">
        <v>1350</v>
      </c>
      <c r="K322" s="1" t="s">
        <v>69</v>
      </c>
      <c r="L322">
        <v>18103</v>
      </c>
      <c r="M322" s="1" t="s">
        <v>70</v>
      </c>
      <c r="N322" s="1" t="s">
        <v>1351</v>
      </c>
      <c r="O322" s="1" t="s">
        <v>33</v>
      </c>
      <c r="P322" s="1" t="s">
        <v>59</v>
      </c>
      <c r="Q322" s="1" t="s">
        <v>1352</v>
      </c>
      <c r="R322">
        <v>12</v>
      </c>
      <c r="S322">
        <v>2</v>
      </c>
      <c r="T322">
        <v>0.2</v>
      </c>
      <c r="U322">
        <v>3</v>
      </c>
      <c r="V322" s="1" t="s">
        <v>61</v>
      </c>
      <c r="W322" s="1" t="s">
        <v>74</v>
      </c>
    </row>
    <row r="323" spans="1:23" x14ac:dyDescent="0.35">
      <c r="A323">
        <v>1535</v>
      </c>
      <c r="B323" s="1" t="s">
        <v>1353</v>
      </c>
      <c r="C323" s="2">
        <v>42776</v>
      </c>
      <c r="D323" s="2">
        <v>42780</v>
      </c>
      <c r="E323" s="1" t="s">
        <v>42</v>
      </c>
      <c r="F323" s="1" t="s">
        <v>1354</v>
      </c>
      <c r="G323" s="1" t="s">
        <v>1355</v>
      </c>
      <c r="H323" s="1" t="s">
        <v>103</v>
      </c>
      <c r="I323" s="1" t="s">
        <v>28</v>
      </c>
      <c r="J323" s="1" t="s">
        <v>1356</v>
      </c>
      <c r="K323" s="1" t="s">
        <v>56</v>
      </c>
      <c r="L323">
        <v>92677</v>
      </c>
      <c r="M323" s="1" t="s">
        <v>57</v>
      </c>
      <c r="N323" s="1" t="s">
        <v>713</v>
      </c>
      <c r="O323" s="1" t="s">
        <v>33</v>
      </c>
      <c r="P323" s="1" t="s">
        <v>34</v>
      </c>
      <c r="Q323" s="1" t="s">
        <v>714</v>
      </c>
      <c r="R323">
        <v>204</v>
      </c>
      <c r="S323">
        <v>2</v>
      </c>
      <c r="T323">
        <v>0.15</v>
      </c>
      <c r="U323">
        <v>17</v>
      </c>
      <c r="V323" s="1" t="s">
        <v>86</v>
      </c>
      <c r="W323" s="1" t="s">
        <v>300</v>
      </c>
    </row>
    <row r="324" spans="1:23" x14ac:dyDescent="0.35">
      <c r="A324">
        <v>1540</v>
      </c>
      <c r="B324" s="1" t="s">
        <v>1357</v>
      </c>
      <c r="C324" s="2">
        <v>42993</v>
      </c>
      <c r="D324" s="2">
        <v>42995</v>
      </c>
      <c r="E324" s="1" t="s">
        <v>24</v>
      </c>
      <c r="F324" s="1" t="s">
        <v>1358</v>
      </c>
      <c r="G324" s="1" t="s">
        <v>1359</v>
      </c>
      <c r="H324" s="1" t="s">
        <v>27</v>
      </c>
      <c r="I324" s="1" t="s">
        <v>28</v>
      </c>
      <c r="J324" s="1" t="s">
        <v>1360</v>
      </c>
      <c r="K324" s="1" t="s">
        <v>437</v>
      </c>
      <c r="L324">
        <v>2149</v>
      </c>
      <c r="M324" s="1" t="s">
        <v>70</v>
      </c>
      <c r="N324" s="1" t="s">
        <v>105</v>
      </c>
      <c r="O324" s="1" t="s">
        <v>33</v>
      </c>
      <c r="P324" s="1" t="s">
        <v>34</v>
      </c>
      <c r="Q324" s="1" t="s">
        <v>106</v>
      </c>
      <c r="R324">
        <v>783</v>
      </c>
      <c r="S324">
        <v>3</v>
      </c>
      <c r="T324">
        <v>0</v>
      </c>
      <c r="U324">
        <v>204</v>
      </c>
      <c r="V324" s="1" t="s">
        <v>73</v>
      </c>
      <c r="W324" s="1" t="s">
        <v>80</v>
      </c>
    </row>
    <row r="325" spans="1:23" x14ac:dyDescent="0.35">
      <c r="A325">
        <v>1542</v>
      </c>
      <c r="B325" s="1" t="s">
        <v>1361</v>
      </c>
      <c r="C325" s="2">
        <v>41709</v>
      </c>
      <c r="D325" s="2">
        <v>41714</v>
      </c>
      <c r="E325" s="1" t="s">
        <v>24</v>
      </c>
      <c r="F325" s="1" t="s">
        <v>1362</v>
      </c>
      <c r="G325" s="1" t="s">
        <v>1363</v>
      </c>
      <c r="H325" s="1" t="s">
        <v>27</v>
      </c>
      <c r="I325" s="1" t="s">
        <v>28</v>
      </c>
      <c r="J325" s="1" t="s">
        <v>350</v>
      </c>
      <c r="K325" s="1" t="s">
        <v>234</v>
      </c>
      <c r="L325">
        <v>43229</v>
      </c>
      <c r="M325" s="1" t="s">
        <v>70</v>
      </c>
      <c r="N325" s="1" t="s">
        <v>1364</v>
      </c>
      <c r="O325" s="1" t="s">
        <v>33</v>
      </c>
      <c r="P325" s="1" t="s">
        <v>59</v>
      </c>
      <c r="Q325" s="1" t="s">
        <v>426</v>
      </c>
      <c r="R325">
        <v>8</v>
      </c>
      <c r="S325">
        <v>5</v>
      </c>
      <c r="T325">
        <v>0.2</v>
      </c>
      <c r="U325">
        <v>2</v>
      </c>
      <c r="V325" s="1" t="s">
        <v>61</v>
      </c>
      <c r="W325" s="1" t="s">
        <v>198</v>
      </c>
    </row>
    <row r="326" spans="1:23" x14ac:dyDescent="0.35">
      <c r="A326">
        <v>1546</v>
      </c>
      <c r="B326" s="1" t="s">
        <v>1365</v>
      </c>
      <c r="C326" s="2">
        <v>42004</v>
      </c>
      <c r="D326" s="2">
        <v>42008</v>
      </c>
      <c r="E326" s="1" t="s">
        <v>24</v>
      </c>
      <c r="F326" s="1" t="s">
        <v>1366</v>
      </c>
      <c r="G326" s="1" t="s">
        <v>1367</v>
      </c>
      <c r="H326" s="1" t="s">
        <v>93</v>
      </c>
      <c r="I326" s="1" t="s">
        <v>28</v>
      </c>
      <c r="J326" s="1" t="s">
        <v>1368</v>
      </c>
      <c r="K326" s="1" t="s">
        <v>123</v>
      </c>
      <c r="L326">
        <v>13601</v>
      </c>
      <c r="M326" s="1" t="s">
        <v>70</v>
      </c>
      <c r="N326" s="1" t="s">
        <v>263</v>
      </c>
      <c r="O326" s="1" t="s">
        <v>33</v>
      </c>
      <c r="P326" s="1" t="s">
        <v>34</v>
      </c>
      <c r="Q326" s="1" t="s">
        <v>264</v>
      </c>
      <c r="R326">
        <v>1573</v>
      </c>
      <c r="S326">
        <v>7</v>
      </c>
      <c r="T326">
        <v>0.2</v>
      </c>
      <c r="U326">
        <v>197</v>
      </c>
      <c r="V326" s="1" t="s">
        <v>86</v>
      </c>
      <c r="W326" s="1" t="s">
        <v>99</v>
      </c>
    </row>
    <row r="327" spans="1:23" x14ac:dyDescent="0.35">
      <c r="A327">
        <v>1559</v>
      </c>
      <c r="B327" s="1" t="s">
        <v>1369</v>
      </c>
      <c r="C327" s="2">
        <v>42079</v>
      </c>
      <c r="D327" s="2">
        <v>42081</v>
      </c>
      <c r="E327" s="1" t="s">
        <v>24</v>
      </c>
      <c r="F327" s="1" t="s">
        <v>540</v>
      </c>
      <c r="G327" s="1" t="s">
        <v>541</v>
      </c>
      <c r="H327" s="1" t="s">
        <v>27</v>
      </c>
      <c r="I327" s="1" t="s">
        <v>28</v>
      </c>
      <c r="J327" s="1" t="s">
        <v>194</v>
      </c>
      <c r="K327" s="1" t="s">
        <v>195</v>
      </c>
      <c r="L327">
        <v>98103</v>
      </c>
      <c r="M327" s="1" t="s">
        <v>57</v>
      </c>
      <c r="N327" s="1" t="s">
        <v>1262</v>
      </c>
      <c r="O327" s="1" t="s">
        <v>33</v>
      </c>
      <c r="P327" s="1" t="s">
        <v>48</v>
      </c>
      <c r="Q327" s="1" t="s">
        <v>1066</v>
      </c>
      <c r="R327">
        <v>172</v>
      </c>
      <c r="S327">
        <v>2</v>
      </c>
      <c r="T327">
        <v>0</v>
      </c>
      <c r="U327">
        <v>45</v>
      </c>
      <c r="V327" s="1" t="s">
        <v>73</v>
      </c>
      <c r="W327" s="1" t="s">
        <v>198</v>
      </c>
    </row>
    <row r="328" spans="1:23" x14ac:dyDescent="0.35">
      <c r="A328">
        <v>1563</v>
      </c>
      <c r="B328" s="1" t="s">
        <v>1370</v>
      </c>
      <c r="C328" s="2">
        <v>42916</v>
      </c>
      <c r="D328" s="2">
        <v>42916</v>
      </c>
      <c r="E328" s="1" t="s">
        <v>428</v>
      </c>
      <c r="F328" s="1" t="s">
        <v>1371</v>
      </c>
      <c r="G328" s="1" t="s">
        <v>1372</v>
      </c>
      <c r="H328" s="1" t="s">
        <v>27</v>
      </c>
      <c r="I328" s="1" t="s">
        <v>28</v>
      </c>
      <c r="J328" s="1" t="s">
        <v>176</v>
      </c>
      <c r="K328" s="1" t="s">
        <v>123</v>
      </c>
      <c r="L328">
        <v>10011</v>
      </c>
      <c r="M328" s="1" t="s">
        <v>70</v>
      </c>
      <c r="N328" s="1" t="s">
        <v>47</v>
      </c>
      <c r="O328" s="1" t="s">
        <v>33</v>
      </c>
      <c r="P328" s="1" t="s">
        <v>48</v>
      </c>
      <c r="Q328" s="1" t="s">
        <v>49</v>
      </c>
      <c r="R328">
        <v>1045</v>
      </c>
      <c r="S328">
        <v>5</v>
      </c>
      <c r="T328">
        <v>0.4</v>
      </c>
      <c r="U328">
        <v>-296</v>
      </c>
      <c r="V328" s="1" t="s">
        <v>433</v>
      </c>
      <c r="W328" s="1" t="s">
        <v>62</v>
      </c>
    </row>
    <row r="329" spans="1:23" x14ac:dyDescent="0.35">
      <c r="A329">
        <v>1571</v>
      </c>
      <c r="B329" s="1" t="s">
        <v>1373</v>
      </c>
      <c r="C329" s="2">
        <v>41966</v>
      </c>
      <c r="D329" s="2">
        <v>41968</v>
      </c>
      <c r="E329" s="1" t="s">
        <v>90</v>
      </c>
      <c r="F329" s="1" t="s">
        <v>510</v>
      </c>
      <c r="G329" s="1" t="s">
        <v>511</v>
      </c>
      <c r="H329" s="1" t="s">
        <v>27</v>
      </c>
      <c r="I329" s="1" t="s">
        <v>28</v>
      </c>
      <c r="J329" s="1" t="s">
        <v>55</v>
      </c>
      <c r="K329" s="1" t="s">
        <v>56</v>
      </c>
      <c r="L329">
        <v>90004</v>
      </c>
      <c r="M329" s="1" t="s">
        <v>57</v>
      </c>
      <c r="N329" s="1" t="s">
        <v>162</v>
      </c>
      <c r="O329" s="1" t="s">
        <v>33</v>
      </c>
      <c r="P329" s="1" t="s">
        <v>39</v>
      </c>
      <c r="Q329" s="1" t="s">
        <v>163</v>
      </c>
      <c r="R329">
        <v>604</v>
      </c>
      <c r="S329">
        <v>5</v>
      </c>
      <c r="T329">
        <v>0.2</v>
      </c>
      <c r="U329">
        <v>-68</v>
      </c>
      <c r="V329" s="1" t="s">
        <v>73</v>
      </c>
      <c r="W329" s="1" t="s">
        <v>37</v>
      </c>
    </row>
    <row r="330" spans="1:23" x14ac:dyDescent="0.35">
      <c r="A330">
        <v>1574</v>
      </c>
      <c r="B330" s="1" t="s">
        <v>1373</v>
      </c>
      <c r="C330" s="2">
        <v>41966</v>
      </c>
      <c r="D330" s="2">
        <v>41968</v>
      </c>
      <c r="E330" s="1" t="s">
        <v>90</v>
      </c>
      <c r="F330" s="1" t="s">
        <v>510</v>
      </c>
      <c r="G330" s="1" t="s">
        <v>511</v>
      </c>
      <c r="H330" s="1" t="s">
        <v>27</v>
      </c>
      <c r="I330" s="1" t="s">
        <v>28</v>
      </c>
      <c r="J330" s="1" t="s">
        <v>55</v>
      </c>
      <c r="K330" s="1" t="s">
        <v>56</v>
      </c>
      <c r="L330">
        <v>90004</v>
      </c>
      <c r="M330" s="1" t="s">
        <v>57</v>
      </c>
      <c r="N330" s="1" t="s">
        <v>583</v>
      </c>
      <c r="O330" s="1" t="s">
        <v>33</v>
      </c>
      <c r="P330" s="1" t="s">
        <v>39</v>
      </c>
      <c r="Q330" s="1" t="s">
        <v>584</v>
      </c>
      <c r="R330">
        <v>381</v>
      </c>
      <c r="S330">
        <v>2</v>
      </c>
      <c r="T330">
        <v>0.2</v>
      </c>
      <c r="U330">
        <v>24</v>
      </c>
      <c r="V330" s="1" t="s">
        <v>73</v>
      </c>
      <c r="W330" s="1" t="s">
        <v>37</v>
      </c>
    </row>
    <row r="331" spans="1:23" x14ac:dyDescent="0.35">
      <c r="A331">
        <v>1576</v>
      </c>
      <c r="B331" s="1" t="s">
        <v>1374</v>
      </c>
      <c r="C331" s="2">
        <v>41988</v>
      </c>
      <c r="D331" s="2">
        <v>41991</v>
      </c>
      <c r="E331" s="1" t="s">
        <v>90</v>
      </c>
      <c r="F331" s="1" t="s">
        <v>1375</v>
      </c>
      <c r="G331" s="1" t="s">
        <v>1376</v>
      </c>
      <c r="H331" s="1" t="s">
        <v>27</v>
      </c>
      <c r="I331" s="1" t="s">
        <v>28</v>
      </c>
      <c r="J331" s="1" t="s">
        <v>1377</v>
      </c>
      <c r="K331" s="1" t="s">
        <v>95</v>
      </c>
      <c r="L331">
        <v>79907</v>
      </c>
      <c r="M331" s="1" t="s">
        <v>96</v>
      </c>
      <c r="N331" s="1" t="s">
        <v>819</v>
      </c>
      <c r="O331" s="1" t="s">
        <v>33</v>
      </c>
      <c r="P331" s="1" t="s">
        <v>39</v>
      </c>
      <c r="Q331" s="1" t="s">
        <v>820</v>
      </c>
      <c r="R331">
        <v>763</v>
      </c>
      <c r="S331">
        <v>5</v>
      </c>
      <c r="T331">
        <v>0.3</v>
      </c>
      <c r="U331">
        <v>-22</v>
      </c>
      <c r="V331" s="1" t="s">
        <v>36</v>
      </c>
      <c r="W331" s="1" t="s">
        <v>99</v>
      </c>
    </row>
    <row r="332" spans="1:23" x14ac:dyDescent="0.35">
      <c r="A332">
        <v>1581</v>
      </c>
      <c r="B332" s="1" t="s">
        <v>1378</v>
      </c>
      <c r="C332" s="2">
        <v>42225</v>
      </c>
      <c r="D332" s="2">
        <v>42228</v>
      </c>
      <c r="E332" s="1" t="s">
        <v>90</v>
      </c>
      <c r="F332" s="1" t="s">
        <v>716</v>
      </c>
      <c r="G332" s="1" t="s">
        <v>717</v>
      </c>
      <c r="H332" s="1" t="s">
        <v>27</v>
      </c>
      <c r="I332" s="1" t="s">
        <v>28</v>
      </c>
      <c r="J332" s="1" t="s">
        <v>176</v>
      </c>
      <c r="K332" s="1" t="s">
        <v>123</v>
      </c>
      <c r="L332">
        <v>10024</v>
      </c>
      <c r="M332" s="1" t="s">
        <v>70</v>
      </c>
      <c r="N332" s="1" t="s">
        <v>320</v>
      </c>
      <c r="O332" s="1" t="s">
        <v>33</v>
      </c>
      <c r="P332" s="1" t="s">
        <v>48</v>
      </c>
      <c r="Q332" s="1" t="s">
        <v>321</v>
      </c>
      <c r="R332">
        <v>383</v>
      </c>
      <c r="S332">
        <v>9</v>
      </c>
      <c r="T332">
        <v>0.4</v>
      </c>
      <c r="U332">
        <v>-153</v>
      </c>
      <c r="V332" s="1" t="s">
        <v>36</v>
      </c>
      <c r="W332" s="1" t="s">
        <v>256</v>
      </c>
    </row>
    <row r="333" spans="1:23" x14ac:dyDescent="0.35">
      <c r="A333">
        <v>1584</v>
      </c>
      <c r="B333" s="1" t="s">
        <v>1378</v>
      </c>
      <c r="C333" s="2">
        <v>42225</v>
      </c>
      <c r="D333" s="2">
        <v>42228</v>
      </c>
      <c r="E333" s="1" t="s">
        <v>90</v>
      </c>
      <c r="F333" s="1" t="s">
        <v>716</v>
      </c>
      <c r="G333" s="1" t="s">
        <v>717</v>
      </c>
      <c r="H333" s="1" t="s">
        <v>27</v>
      </c>
      <c r="I333" s="1" t="s">
        <v>28</v>
      </c>
      <c r="J333" s="1" t="s">
        <v>176</v>
      </c>
      <c r="K333" s="1" t="s">
        <v>123</v>
      </c>
      <c r="L333">
        <v>10024</v>
      </c>
      <c r="M333" s="1" t="s">
        <v>70</v>
      </c>
      <c r="N333" s="1" t="s">
        <v>204</v>
      </c>
      <c r="O333" s="1" t="s">
        <v>33</v>
      </c>
      <c r="P333" s="1" t="s">
        <v>59</v>
      </c>
      <c r="Q333" s="1" t="s">
        <v>205</v>
      </c>
      <c r="R333">
        <v>47</v>
      </c>
      <c r="S333">
        <v>3</v>
      </c>
      <c r="T333">
        <v>0</v>
      </c>
      <c r="U333">
        <v>18</v>
      </c>
      <c r="V333" s="1" t="s">
        <v>36</v>
      </c>
      <c r="W333" s="1" t="s">
        <v>256</v>
      </c>
    </row>
    <row r="334" spans="1:23" x14ac:dyDescent="0.35">
      <c r="A334">
        <v>1585</v>
      </c>
      <c r="B334" s="1" t="s">
        <v>1378</v>
      </c>
      <c r="C334" s="2">
        <v>42225</v>
      </c>
      <c r="D334" s="2">
        <v>42228</v>
      </c>
      <c r="E334" s="1" t="s">
        <v>90</v>
      </c>
      <c r="F334" s="1" t="s">
        <v>716</v>
      </c>
      <c r="G334" s="1" t="s">
        <v>717</v>
      </c>
      <c r="H334" s="1" t="s">
        <v>27</v>
      </c>
      <c r="I334" s="1" t="s">
        <v>28</v>
      </c>
      <c r="J334" s="1" t="s">
        <v>176</v>
      </c>
      <c r="K334" s="1" t="s">
        <v>123</v>
      </c>
      <c r="L334">
        <v>10024</v>
      </c>
      <c r="M334" s="1" t="s">
        <v>70</v>
      </c>
      <c r="N334" s="1" t="s">
        <v>114</v>
      </c>
      <c r="O334" s="1" t="s">
        <v>33</v>
      </c>
      <c r="P334" s="1" t="s">
        <v>59</v>
      </c>
      <c r="Q334" s="1" t="s">
        <v>115</v>
      </c>
      <c r="R334">
        <v>6</v>
      </c>
      <c r="S334">
        <v>2</v>
      </c>
      <c r="T334">
        <v>0</v>
      </c>
      <c r="U334">
        <v>3</v>
      </c>
      <c r="V334" s="1" t="s">
        <v>36</v>
      </c>
      <c r="W334" s="1" t="s">
        <v>256</v>
      </c>
    </row>
    <row r="335" spans="1:23" x14ac:dyDescent="0.35">
      <c r="A335">
        <v>1595</v>
      </c>
      <c r="B335" s="1" t="s">
        <v>1379</v>
      </c>
      <c r="C335" s="2">
        <v>42087</v>
      </c>
      <c r="D335" s="2">
        <v>42090</v>
      </c>
      <c r="E335" s="1" t="s">
        <v>90</v>
      </c>
      <c r="F335" s="1" t="s">
        <v>1380</v>
      </c>
      <c r="G335" s="1" t="s">
        <v>1381</v>
      </c>
      <c r="H335" s="1" t="s">
        <v>103</v>
      </c>
      <c r="I335" s="1" t="s">
        <v>28</v>
      </c>
      <c r="J335" s="1" t="s">
        <v>1382</v>
      </c>
      <c r="K335" s="1" t="s">
        <v>137</v>
      </c>
      <c r="L335">
        <v>61604</v>
      </c>
      <c r="M335" s="1" t="s">
        <v>96</v>
      </c>
      <c r="N335" s="1" t="s">
        <v>1383</v>
      </c>
      <c r="O335" s="1" t="s">
        <v>33</v>
      </c>
      <c r="P335" s="1" t="s">
        <v>34</v>
      </c>
      <c r="Q335" s="1" t="s">
        <v>1384</v>
      </c>
      <c r="R335">
        <v>359</v>
      </c>
      <c r="S335">
        <v>3</v>
      </c>
      <c r="T335">
        <v>0.3</v>
      </c>
      <c r="U335">
        <v>-36</v>
      </c>
      <c r="V335" s="1" t="s">
        <v>36</v>
      </c>
      <c r="W335" s="1" t="s">
        <v>198</v>
      </c>
    </row>
    <row r="336" spans="1:23" x14ac:dyDescent="0.35">
      <c r="A336">
        <v>1596</v>
      </c>
      <c r="B336" s="1" t="s">
        <v>1385</v>
      </c>
      <c r="C336" s="2">
        <v>42863</v>
      </c>
      <c r="D336" s="2">
        <v>42867</v>
      </c>
      <c r="E336" s="1" t="s">
        <v>42</v>
      </c>
      <c r="F336" s="1" t="s">
        <v>1386</v>
      </c>
      <c r="G336" s="1" t="s">
        <v>1387</v>
      </c>
      <c r="H336" s="1" t="s">
        <v>27</v>
      </c>
      <c r="I336" s="1" t="s">
        <v>28</v>
      </c>
      <c r="J336" s="1" t="s">
        <v>350</v>
      </c>
      <c r="K336" s="1" t="s">
        <v>234</v>
      </c>
      <c r="L336">
        <v>43229</v>
      </c>
      <c r="M336" s="1" t="s">
        <v>70</v>
      </c>
      <c r="N336" s="1" t="s">
        <v>1105</v>
      </c>
      <c r="O336" s="1" t="s">
        <v>33</v>
      </c>
      <c r="P336" s="1" t="s">
        <v>39</v>
      </c>
      <c r="Q336" s="1" t="s">
        <v>1106</v>
      </c>
      <c r="R336">
        <v>48</v>
      </c>
      <c r="S336">
        <v>2</v>
      </c>
      <c r="T336">
        <v>0.3</v>
      </c>
      <c r="U336">
        <v>-2</v>
      </c>
      <c r="V336" s="1" t="s">
        <v>86</v>
      </c>
      <c r="W336" s="1" t="s">
        <v>164</v>
      </c>
    </row>
    <row r="337" spans="1:23" x14ac:dyDescent="0.35">
      <c r="A337">
        <v>1597</v>
      </c>
      <c r="B337" s="1" t="s">
        <v>1388</v>
      </c>
      <c r="C337" s="2">
        <v>43024</v>
      </c>
      <c r="D337" s="2">
        <v>43026</v>
      </c>
      <c r="E337" s="1" t="s">
        <v>90</v>
      </c>
      <c r="F337" s="1" t="s">
        <v>559</v>
      </c>
      <c r="G337" s="1" t="s">
        <v>560</v>
      </c>
      <c r="H337" s="1" t="s">
        <v>93</v>
      </c>
      <c r="I337" s="1" t="s">
        <v>28</v>
      </c>
      <c r="J337" s="1" t="s">
        <v>176</v>
      </c>
      <c r="K337" s="1" t="s">
        <v>123</v>
      </c>
      <c r="L337">
        <v>10011</v>
      </c>
      <c r="M337" s="1" t="s">
        <v>70</v>
      </c>
      <c r="N337" s="1" t="s">
        <v>569</v>
      </c>
      <c r="O337" s="1" t="s">
        <v>33</v>
      </c>
      <c r="P337" s="1" t="s">
        <v>59</v>
      </c>
      <c r="Q337" s="1" t="s">
        <v>570</v>
      </c>
      <c r="R337">
        <v>547</v>
      </c>
      <c r="S337">
        <v>13</v>
      </c>
      <c r="T337">
        <v>0</v>
      </c>
      <c r="U337">
        <v>175</v>
      </c>
      <c r="V337" s="1" t="s">
        <v>73</v>
      </c>
      <c r="W337" s="1" t="s">
        <v>51</v>
      </c>
    </row>
    <row r="338" spans="1:23" x14ac:dyDescent="0.35">
      <c r="A338">
        <v>1601</v>
      </c>
      <c r="B338" s="1" t="s">
        <v>1389</v>
      </c>
      <c r="C338" s="2">
        <v>43058</v>
      </c>
      <c r="D338" s="2">
        <v>43060</v>
      </c>
      <c r="E338" s="1" t="s">
        <v>24</v>
      </c>
      <c r="F338" s="1" t="s">
        <v>1390</v>
      </c>
      <c r="G338" s="1" t="s">
        <v>1391</v>
      </c>
      <c r="H338" s="1" t="s">
        <v>27</v>
      </c>
      <c r="I338" s="1" t="s">
        <v>28</v>
      </c>
      <c r="J338" s="1" t="s">
        <v>1392</v>
      </c>
      <c r="K338" s="1" t="s">
        <v>95</v>
      </c>
      <c r="L338">
        <v>75007</v>
      </c>
      <c r="M338" s="1" t="s">
        <v>96</v>
      </c>
      <c r="N338" s="1" t="s">
        <v>403</v>
      </c>
      <c r="O338" s="1" t="s">
        <v>33</v>
      </c>
      <c r="P338" s="1" t="s">
        <v>59</v>
      </c>
      <c r="Q338" s="1" t="s">
        <v>404</v>
      </c>
      <c r="R338">
        <v>16</v>
      </c>
      <c r="S338">
        <v>2</v>
      </c>
      <c r="T338">
        <v>0.6</v>
      </c>
      <c r="U338">
        <v>-14</v>
      </c>
      <c r="V338" s="1" t="s">
        <v>73</v>
      </c>
      <c r="W338" s="1" t="s">
        <v>37</v>
      </c>
    </row>
    <row r="339" spans="1:23" x14ac:dyDescent="0.35">
      <c r="A339">
        <v>1602</v>
      </c>
      <c r="B339" s="1" t="s">
        <v>1393</v>
      </c>
      <c r="C339" s="2">
        <v>42498</v>
      </c>
      <c r="D339" s="2">
        <v>42503</v>
      </c>
      <c r="E339" s="1" t="s">
        <v>24</v>
      </c>
      <c r="F339" s="1" t="s">
        <v>1083</v>
      </c>
      <c r="G339" s="1" t="s">
        <v>1084</v>
      </c>
      <c r="H339" s="1" t="s">
        <v>93</v>
      </c>
      <c r="I339" s="1" t="s">
        <v>28</v>
      </c>
      <c r="J339" s="1" t="s">
        <v>744</v>
      </c>
      <c r="K339" s="1" t="s">
        <v>203</v>
      </c>
      <c r="L339">
        <v>19901</v>
      </c>
      <c r="M339" s="1" t="s">
        <v>70</v>
      </c>
      <c r="N339" s="1" t="s">
        <v>1394</v>
      </c>
      <c r="O339" s="1" t="s">
        <v>33</v>
      </c>
      <c r="P339" s="1" t="s">
        <v>59</v>
      </c>
      <c r="Q339" s="1" t="s">
        <v>1395</v>
      </c>
      <c r="R339">
        <v>212</v>
      </c>
      <c r="S339">
        <v>2</v>
      </c>
      <c r="T339">
        <v>0</v>
      </c>
      <c r="U339">
        <v>42</v>
      </c>
      <c r="V339" s="1" t="s">
        <v>61</v>
      </c>
      <c r="W339" s="1" t="s">
        <v>164</v>
      </c>
    </row>
    <row r="340" spans="1:23" x14ac:dyDescent="0.35">
      <c r="A340">
        <v>1611</v>
      </c>
      <c r="B340" s="1" t="s">
        <v>1396</v>
      </c>
      <c r="C340" s="2">
        <v>41785</v>
      </c>
      <c r="D340" s="2">
        <v>41789</v>
      </c>
      <c r="E340" s="1" t="s">
        <v>42</v>
      </c>
      <c r="F340" s="1" t="s">
        <v>1397</v>
      </c>
      <c r="G340" s="1" t="s">
        <v>1398</v>
      </c>
      <c r="H340" s="1" t="s">
        <v>93</v>
      </c>
      <c r="I340" s="1" t="s">
        <v>28</v>
      </c>
      <c r="J340" s="1" t="s">
        <v>55</v>
      </c>
      <c r="K340" s="1" t="s">
        <v>56</v>
      </c>
      <c r="L340">
        <v>90008</v>
      </c>
      <c r="M340" s="1" t="s">
        <v>57</v>
      </c>
      <c r="N340" s="1" t="s">
        <v>1383</v>
      </c>
      <c r="O340" s="1" t="s">
        <v>33</v>
      </c>
      <c r="P340" s="1" t="s">
        <v>34</v>
      </c>
      <c r="Q340" s="1" t="s">
        <v>1384</v>
      </c>
      <c r="R340">
        <v>291</v>
      </c>
      <c r="S340">
        <v>2</v>
      </c>
      <c r="T340">
        <v>0.15</v>
      </c>
      <c r="U340">
        <v>27</v>
      </c>
      <c r="V340" s="1" t="s">
        <v>86</v>
      </c>
      <c r="W340" s="1" t="s">
        <v>164</v>
      </c>
    </row>
    <row r="341" spans="1:23" x14ac:dyDescent="0.35">
      <c r="A341">
        <v>1621</v>
      </c>
      <c r="B341" s="1" t="s">
        <v>1399</v>
      </c>
      <c r="C341" s="2">
        <v>42924</v>
      </c>
      <c r="D341" s="2">
        <v>42931</v>
      </c>
      <c r="E341" s="1" t="s">
        <v>42</v>
      </c>
      <c r="F341" s="1" t="s">
        <v>1400</v>
      </c>
      <c r="G341" s="1" t="s">
        <v>1401</v>
      </c>
      <c r="H341" s="1" t="s">
        <v>27</v>
      </c>
      <c r="I341" s="1" t="s">
        <v>28</v>
      </c>
      <c r="J341" s="1" t="s">
        <v>1402</v>
      </c>
      <c r="K341" s="1" t="s">
        <v>195</v>
      </c>
      <c r="L341">
        <v>98031</v>
      </c>
      <c r="M341" s="1" t="s">
        <v>57</v>
      </c>
      <c r="N341" s="1" t="s">
        <v>1403</v>
      </c>
      <c r="O341" s="1" t="s">
        <v>33</v>
      </c>
      <c r="P341" s="1" t="s">
        <v>59</v>
      </c>
      <c r="Q341" s="1" t="s">
        <v>1404</v>
      </c>
      <c r="R341">
        <v>198</v>
      </c>
      <c r="S341">
        <v>2</v>
      </c>
      <c r="T341">
        <v>0</v>
      </c>
      <c r="U341">
        <v>99</v>
      </c>
      <c r="V341" s="1" t="s">
        <v>50</v>
      </c>
      <c r="W341" s="1" t="s">
        <v>74</v>
      </c>
    </row>
    <row r="342" spans="1:23" x14ac:dyDescent="0.35">
      <c r="A342">
        <v>1628</v>
      </c>
      <c r="B342" s="1" t="s">
        <v>1405</v>
      </c>
      <c r="C342" s="2">
        <v>42271</v>
      </c>
      <c r="D342" s="2">
        <v>42277</v>
      </c>
      <c r="E342" s="1" t="s">
        <v>42</v>
      </c>
      <c r="F342" s="1" t="s">
        <v>1406</v>
      </c>
      <c r="G342" s="1" t="s">
        <v>1407</v>
      </c>
      <c r="H342" s="1" t="s">
        <v>27</v>
      </c>
      <c r="I342" s="1" t="s">
        <v>28</v>
      </c>
      <c r="J342" s="1" t="s">
        <v>1408</v>
      </c>
      <c r="K342" s="1" t="s">
        <v>1409</v>
      </c>
      <c r="L342">
        <v>70506</v>
      </c>
      <c r="M342" s="1" t="s">
        <v>31</v>
      </c>
      <c r="N342" s="1" t="s">
        <v>1093</v>
      </c>
      <c r="O342" s="1" t="s">
        <v>33</v>
      </c>
      <c r="P342" s="1" t="s">
        <v>39</v>
      </c>
      <c r="Q342" s="1" t="s">
        <v>1094</v>
      </c>
      <c r="R342">
        <v>518</v>
      </c>
      <c r="S342">
        <v>6</v>
      </c>
      <c r="T342">
        <v>0</v>
      </c>
      <c r="U342">
        <v>155</v>
      </c>
      <c r="V342" s="1" t="s">
        <v>132</v>
      </c>
      <c r="W342" s="1" t="s">
        <v>80</v>
      </c>
    </row>
    <row r="343" spans="1:23" x14ac:dyDescent="0.35">
      <c r="A343">
        <v>1629</v>
      </c>
      <c r="B343" s="1" t="s">
        <v>1410</v>
      </c>
      <c r="C343" s="2">
        <v>42907</v>
      </c>
      <c r="D343" s="2">
        <v>42911</v>
      </c>
      <c r="E343" s="1" t="s">
        <v>24</v>
      </c>
      <c r="F343" s="1" t="s">
        <v>646</v>
      </c>
      <c r="G343" s="1" t="s">
        <v>647</v>
      </c>
      <c r="H343" s="1" t="s">
        <v>27</v>
      </c>
      <c r="I343" s="1" t="s">
        <v>28</v>
      </c>
      <c r="J343" s="1" t="s">
        <v>696</v>
      </c>
      <c r="K343" s="1" t="s">
        <v>234</v>
      </c>
      <c r="L343">
        <v>44105</v>
      </c>
      <c r="M343" s="1" t="s">
        <v>70</v>
      </c>
      <c r="N343" s="1" t="s">
        <v>1411</v>
      </c>
      <c r="O343" s="1" t="s">
        <v>33</v>
      </c>
      <c r="P343" s="1" t="s">
        <v>59</v>
      </c>
      <c r="Q343" s="1" t="s">
        <v>1412</v>
      </c>
      <c r="R343">
        <v>18</v>
      </c>
      <c r="S343">
        <v>5</v>
      </c>
      <c r="T343">
        <v>0.2</v>
      </c>
      <c r="U343">
        <v>2</v>
      </c>
      <c r="V343" s="1" t="s">
        <v>86</v>
      </c>
      <c r="W343" s="1" t="s">
        <v>62</v>
      </c>
    </row>
    <row r="344" spans="1:23" x14ac:dyDescent="0.35">
      <c r="A344">
        <v>1642</v>
      </c>
      <c r="B344" s="1" t="s">
        <v>1413</v>
      </c>
      <c r="C344" s="2">
        <v>42516</v>
      </c>
      <c r="D344" s="2">
        <v>42522</v>
      </c>
      <c r="E344" s="1" t="s">
        <v>42</v>
      </c>
      <c r="F344" s="1" t="s">
        <v>1414</v>
      </c>
      <c r="G344" s="1" t="s">
        <v>1415</v>
      </c>
      <c r="H344" s="1" t="s">
        <v>27</v>
      </c>
      <c r="I344" s="1" t="s">
        <v>28</v>
      </c>
      <c r="J344" s="1" t="s">
        <v>195</v>
      </c>
      <c r="K344" s="1" t="s">
        <v>983</v>
      </c>
      <c r="L344">
        <v>20016</v>
      </c>
      <c r="M344" s="1" t="s">
        <v>70</v>
      </c>
      <c r="N344" s="1" t="s">
        <v>177</v>
      </c>
      <c r="O344" s="1" t="s">
        <v>33</v>
      </c>
      <c r="P344" s="1" t="s">
        <v>59</v>
      </c>
      <c r="Q344" s="1" t="s">
        <v>178</v>
      </c>
      <c r="R344">
        <v>41</v>
      </c>
      <c r="S344">
        <v>3</v>
      </c>
      <c r="T344">
        <v>0</v>
      </c>
      <c r="U344">
        <v>17</v>
      </c>
      <c r="V344" s="1" t="s">
        <v>132</v>
      </c>
      <c r="W344" s="1" t="s">
        <v>164</v>
      </c>
    </row>
    <row r="345" spans="1:23" x14ac:dyDescent="0.35">
      <c r="A345">
        <v>1658</v>
      </c>
      <c r="B345" s="1" t="s">
        <v>1416</v>
      </c>
      <c r="C345" s="2">
        <v>41771</v>
      </c>
      <c r="D345" s="2">
        <v>41774</v>
      </c>
      <c r="E345" s="1" t="s">
        <v>90</v>
      </c>
      <c r="F345" s="1" t="s">
        <v>1058</v>
      </c>
      <c r="G345" s="1" t="s">
        <v>1059</v>
      </c>
      <c r="H345" s="1" t="s">
        <v>27</v>
      </c>
      <c r="I345" s="1" t="s">
        <v>28</v>
      </c>
      <c r="J345" s="1" t="s">
        <v>908</v>
      </c>
      <c r="K345" s="1" t="s">
        <v>241</v>
      </c>
      <c r="L345">
        <v>53209</v>
      </c>
      <c r="M345" s="1" t="s">
        <v>96</v>
      </c>
      <c r="N345" s="1" t="s">
        <v>653</v>
      </c>
      <c r="O345" s="1" t="s">
        <v>33</v>
      </c>
      <c r="P345" s="1" t="s">
        <v>59</v>
      </c>
      <c r="Q345" s="1" t="s">
        <v>654</v>
      </c>
      <c r="R345">
        <v>35</v>
      </c>
      <c r="S345">
        <v>7</v>
      </c>
      <c r="T345">
        <v>0</v>
      </c>
      <c r="U345">
        <v>11</v>
      </c>
      <c r="V345" s="1" t="s">
        <v>36</v>
      </c>
      <c r="W345" s="1" t="s">
        <v>164</v>
      </c>
    </row>
    <row r="346" spans="1:23" x14ac:dyDescent="0.35">
      <c r="A346">
        <v>1670</v>
      </c>
      <c r="B346" s="1" t="s">
        <v>1417</v>
      </c>
      <c r="C346" s="2">
        <v>42014</v>
      </c>
      <c r="D346" s="2">
        <v>42019</v>
      </c>
      <c r="E346" s="1" t="s">
        <v>42</v>
      </c>
      <c r="F346" s="1" t="s">
        <v>1418</v>
      </c>
      <c r="G346" s="1" t="s">
        <v>1419</v>
      </c>
      <c r="H346" s="1" t="s">
        <v>27</v>
      </c>
      <c r="I346" s="1" t="s">
        <v>28</v>
      </c>
      <c r="J346" s="1" t="s">
        <v>176</v>
      </c>
      <c r="K346" s="1" t="s">
        <v>123</v>
      </c>
      <c r="L346">
        <v>10011</v>
      </c>
      <c r="M346" s="1" t="s">
        <v>70</v>
      </c>
      <c r="N346" s="1" t="s">
        <v>524</v>
      </c>
      <c r="O346" s="1" t="s">
        <v>33</v>
      </c>
      <c r="P346" s="1" t="s">
        <v>48</v>
      </c>
      <c r="Q346" s="1" t="s">
        <v>525</v>
      </c>
      <c r="R346">
        <v>1018</v>
      </c>
      <c r="S346">
        <v>4</v>
      </c>
      <c r="T346">
        <v>0.4</v>
      </c>
      <c r="U346">
        <v>-373</v>
      </c>
      <c r="V346" s="1" t="s">
        <v>61</v>
      </c>
      <c r="W346" s="1" t="s">
        <v>172</v>
      </c>
    </row>
    <row r="347" spans="1:23" x14ac:dyDescent="0.35">
      <c r="A347">
        <v>1675</v>
      </c>
      <c r="B347" s="1" t="s">
        <v>1420</v>
      </c>
      <c r="C347" s="2">
        <v>42264</v>
      </c>
      <c r="D347" s="2">
        <v>42268</v>
      </c>
      <c r="E347" s="1" t="s">
        <v>42</v>
      </c>
      <c r="F347" s="1" t="s">
        <v>656</v>
      </c>
      <c r="G347" s="1" t="s">
        <v>657</v>
      </c>
      <c r="H347" s="1" t="s">
        <v>93</v>
      </c>
      <c r="I347" s="1" t="s">
        <v>28</v>
      </c>
      <c r="J347" s="1" t="s">
        <v>104</v>
      </c>
      <c r="K347" s="1" t="s">
        <v>95</v>
      </c>
      <c r="L347">
        <v>77041</v>
      </c>
      <c r="M347" s="1" t="s">
        <v>96</v>
      </c>
      <c r="N347" s="1" t="s">
        <v>1152</v>
      </c>
      <c r="O347" s="1" t="s">
        <v>33</v>
      </c>
      <c r="P347" s="1" t="s">
        <v>59</v>
      </c>
      <c r="Q347" s="1" t="s">
        <v>1153</v>
      </c>
      <c r="R347">
        <v>22</v>
      </c>
      <c r="S347">
        <v>2</v>
      </c>
      <c r="T347">
        <v>0.6</v>
      </c>
      <c r="U347">
        <v>-10</v>
      </c>
      <c r="V347" s="1" t="s">
        <v>86</v>
      </c>
      <c r="W347" s="1" t="s">
        <v>80</v>
      </c>
    </row>
    <row r="348" spans="1:23" x14ac:dyDescent="0.35">
      <c r="A348">
        <v>1681</v>
      </c>
      <c r="B348" s="1" t="s">
        <v>1421</v>
      </c>
      <c r="C348" s="2">
        <v>41889</v>
      </c>
      <c r="D348" s="2">
        <v>41895</v>
      </c>
      <c r="E348" s="1" t="s">
        <v>42</v>
      </c>
      <c r="F348" s="1" t="s">
        <v>1422</v>
      </c>
      <c r="G348" s="1" t="s">
        <v>1423</v>
      </c>
      <c r="H348" s="1" t="s">
        <v>93</v>
      </c>
      <c r="I348" s="1" t="s">
        <v>28</v>
      </c>
      <c r="J348" s="1" t="s">
        <v>68</v>
      </c>
      <c r="K348" s="1" t="s">
        <v>69</v>
      </c>
      <c r="L348">
        <v>19134</v>
      </c>
      <c r="M348" s="1" t="s">
        <v>70</v>
      </c>
      <c r="N348" s="1" t="s">
        <v>1424</v>
      </c>
      <c r="O348" s="1" t="s">
        <v>33</v>
      </c>
      <c r="P348" s="1" t="s">
        <v>59</v>
      </c>
      <c r="Q348" s="1" t="s">
        <v>1425</v>
      </c>
      <c r="R348">
        <v>42</v>
      </c>
      <c r="S348">
        <v>2</v>
      </c>
      <c r="T348">
        <v>0.2</v>
      </c>
      <c r="U348">
        <v>8</v>
      </c>
      <c r="V348" s="1" t="s">
        <v>132</v>
      </c>
      <c r="W348" s="1" t="s">
        <v>80</v>
      </c>
    </row>
    <row r="349" spans="1:23" x14ac:dyDescent="0.35">
      <c r="A349">
        <v>1684</v>
      </c>
      <c r="B349" s="1" t="s">
        <v>1426</v>
      </c>
      <c r="C349" s="2">
        <v>42681</v>
      </c>
      <c r="D349" s="2">
        <v>42686</v>
      </c>
      <c r="E349" s="1" t="s">
        <v>42</v>
      </c>
      <c r="F349" s="1" t="s">
        <v>1071</v>
      </c>
      <c r="G349" s="1" t="s">
        <v>1072</v>
      </c>
      <c r="H349" s="1" t="s">
        <v>93</v>
      </c>
      <c r="I349" s="1" t="s">
        <v>28</v>
      </c>
      <c r="J349" s="1" t="s">
        <v>331</v>
      </c>
      <c r="K349" s="1" t="s">
        <v>56</v>
      </c>
      <c r="L349">
        <v>94110</v>
      </c>
      <c r="M349" s="1" t="s">
        <v>57</v>
      </c>
      <c r="N349" s="1" t="s">
        <v>805</v>
      </c>
      <c r="O349" s="1" t="s">
        <v>33</v>
      </c>
      <c r="P349" s="1" t="s">
        <v>59</v>
      </c>
      <c r="Q349" s="1" t="s">
        <v>806</v>
      </c>
      <c r="R349">
        <v>15</v>
      </c>
      <c r="S349">
        <v>3</v>
      </c>
      <c r="T349">
        <v>0</v>
      </c>
      <c r="U349">
        <v>6</v>
      </c>
      <c r="V349" s="1" t="s">
        <v>61</v>
      </c>
      <c r="W349" s="1" t="s">
        <v>37</v>
      </c>
    </row>
    <row r="350" spans="1:23" x14ac:dyDescent="0.35">
      <c r="A350">
        <v>1689</v>
      </c>
      <c r="B350" s="1" t="s">
        <v>1427</v>
      </c>
      <c r="C350" s="2">
        <v>43079</v>
      </c>
      <c r="D350" s="2">
        <v>43081</v>
      </c>
      <c r="E350" s="1" t="s">
        <v>90</v>
      </c>
      <c r="F350" s="1" t="s">
        <v>1428</v>
      </c>
      <c r="G350" s="1" t="s">
        <v>1429</v>
      </c>
      <c r="H350" s="1" t="s">
        <v>27</v>
      </c>
      <c r="I350" s="1" t="s">
        <v>28</v>
      </c>
      <c r="J350" s="1" t="s">
        <v>68</v>
      </c>
      <c r="K350" s="1" t="s">
        <v>69</v>
      </c>
      <c r="L350">
        <v>19140</v>
      </c>
      <c r="M350" s="1" t="s">
        <v>70</v>
      </c>
      <c r="N350" s="1" t="s">
        <v>793</v>
      </c>
      <c r="O350" s="1" t="s">
        <v>33</v>
      </c>
      <c r="P350" s="1" t="s">
        <v>59</v>
      </c>
      <c r="Q350" s="1" t="s">
        <v>794</v>
      </c>
      <c r="R350">
        <v>311</v>
      </c>
      <c r="S350">
        <v>2</v>
      </c>
      <c r="T350">
        <v>0.2</v>
      </c>
      <c r="U350">
        <v>23</v>
      </c>
      <c r="V350" s="1" t="s">
        <v>73</v>
      </c>
      <c r="W350" s="1" t="s">
        <v>99</v>
      </c>
    </row>
    <row r="351" spans="1:23" x14ac:dyDescent="0.35">
      <c r="A351">
        <v>1690</v>
      </c>
      <c r="B351" s="1" t="s">
        <v>1430</v>
      </c>
      <c r="C351" s="2">
        <v>41867</v>
      </c>
      <c r="D351" s="2">
        <v>41871</v>
      </c>
      <c r="E351" s="1" t="s">
        <v>42</v>
      </c>
      <c r="F351" s="1" t="s">
        <v>1431</v>
      </c>
      <c r="G351" s="1" t="s">
        <v>1432</v>
      </c>
      <c r="H351" s="1" t="s">
        <v>27</v>
      </c>
      <c r="I351" s="1" t="s">
        <v>28</v>
      </c>
      <c r="J351" s="1" t="s">
        <v>68</v>
      </c>
      <c r="K351" s="1" t="s">
        <v>69</v>
      </c>
      <c r="L351">
        <v>19143</v>
      </c>
      <c r="M351" s="1" t="s">
        <v>70</v>
      </c>
      <c r="N351" s="1" t="s">
        <v>63</v>
      </c>
      <c r="O351" s="1" t="s">
        <v>33</v>
      </c>
      <c r="P351" s="1" t="s">
        <v>48</v>
      </c>
      <c r="Q351" s="1" t="s">
        <v>64</v>
      </c>
      <c r="R351">
        <v>853</v>
      </c>
      <c r="S351">
        <v>6</v>
      </c>
      <c r="T351">
        <v>0.4</v>
      </c>
      <c r="U351">
        <v>-227</v>
      </c>
      <c r="V351" s="1" t="s">
        <v>86</v>
      </c>
      <c r="W351" s="1" t="s">
        <v>256</v>
      </c>
    </row>
    <row r="352" spans="1:23" x14ac:dyDescent="0.35">
      <c r="A352">
        <v>1693</v>
      </c>
      <c r="B352" s="1" t="s">
        <v>1433</v>
      </c>
      <c r="C352" s="2">
        <v>42443</v>
      </c>
      <c r="D352" s="2">
        <v>42448</v>
      </c>
      <c r="E352" s="1" t="s">
        <v>42</v>
      </c>
      <c r="F352" s="1" t="s">
        <v>1434</v>
      </c>
      <c r="G352" s="1" t="s">
        <v>1435</v>
      </c>
      <c r="H352" s="1" t="s">
        <v>27</v>
      </c>
      <c r="I352" s="1" t="s">
        <v>28</v>
      </c>
      <c r="J352" s="1" t="s">
        <v>350</v>
      </c>
      <c r="K352" s="1" t="s">
        <v>234</v>
      </c>
      <c r="L352">
        <v>43229</v>
      </c>
      <c r="M352" s="1" t="s">
        <v>70</v>
      </c>
      <c r="N352" s="1" t="s">
        <v>623</v>
      </c>
      <c r="O352" s="1" t="s">
        <v>33</v>
      </c>
      <c r="P352" s="1" t="s">
        <v>59</v>
      </c>
      <c r="Q352" s="1" t="s">
        <v>624</v>
      </c>
      <c r="R352">
        <v>22</v>
      </c>
      <c r="S352">
        <v>5</v>
      </c>
      <c r="T352">
        <v>0.2</v>
      </c>
      <c r="U352">
        <v>6</v>
      </c>
      <c r="V352" s="1" t="s">
        <v>61</v>
      </c>
      <c r="W352" s="1" t="s">
        <v>198</v>
      </c>
    </row>
    <row r="353" spans="1:23" x14ac:dyDescent="0.35">
      <c r="A353">
        <v>1700</v>
      </c>
      <c r="B353" s="1" t="s">
        <v>1436</v>
      </c>
      <c r="C353" s="2">
        <v>41793</v>
      </c>
      <c r="D353" s="2">
        <v>41797</v>
      </c>
      <c r="E353" s="1" t="s">
        <v>24</v>
      </c>
      <c r="F353" s="1" t="s">
        <v>200</v>
      </c>
      <c r="G353" s="1" t="s">
        <v>201</v>
      </c>
      <c r="H353" s="1" t="s">
        <v>27</v>
      </c>
      <c r="I353" s="1" t="s">
        <v>28</v>
      </c>
      <c r="J353" s="1" t="s">
        <v>194</v>
      </c>
      <c r="K353" s="1" t="s">
        <v>195</v>
      </c>
      <c r="L353">
        <v>98115</v>
      </c>
      <c r="M353" s="1" t="s">
        <v>57</v>
      </c>
      <c r="N353" s="1" t="s">
        <v>1065</v>
      </c>
      <c r="O353" s="1" t="s">
        <v>33</v>
      </c>
      <c r="P353" s="1" t="s">
        <v>48</v>
      </c>
      <c r="Q353" s="1" t="s">
        <v>1066</v>
      </c>
      <c r="R353">
        <v>516</v>
      </c>
      <c r="S353">
        <v>6</v>
      </c>
      <c r="T353">
        <v>0</v>
      </c>
      <c r="U353">
        <v>113</v>
      </c>
      <c r="V353" s="1" t="s">
        <v>86</v>
      </c>
      <c r="W353" s="1" t="s">
        <v>62</v>
      </c>
    </row>
    <row r="354" spans="1:23" x14ac:dyDescent="0.35">
      <c r="A354">
        <v>1702</v>
      </c>
      <c r="B354" s="1" t="s">
        <v>1437</v>
      </c>
      <c r="C354" s="2">
        <v>42198</v>
      </c>
      <c r="D354" s="2">
        <v>42200</v>
      </c>
      <c r="E354" s="1" t="s">
        <v>24</v>
      </c>
      <c r="F354" s="1" t="s">
        <v>1438</v>
      </c>
      <c r="G354" s="1" t="s">
        <v>1439</v>
      </c>
      <c r="H354" s="1" t="s">
        <v>27</v>
      </c>
      <c r="I354" s="1" t="s">
        <v>28</v>
      </c>
      <c r="J354" s="1" t="s">
        <v>176</v>
      </c>
      <c r="K354" s="1" t="s">
        <v>123</v>
      </c>
      <c r="L354">
        <v>10035</v>
      </c>
      <c r="M354" s="1" t="s">
        <v>70</v>
      </c>
      <c r="N354" s="1" t="s">
        <v>583</v>
      </c>
      <c r="O354" s="1" t="s">
        <v>33</v>
      </c>
      <c r="P354" s="1" t="s">
        <v>39</v>
      </c>
      <c r="Q354" s="1" t="s">
        <v>584</v>
      </c>
      <c r="R354">
        <v>1931</v>
      </c>
      <c r="S354">
        <v>9</v>
      </c>
      <c r="T354">
        <v>0.1</v>
      </c>
      <c r="U354">
        <v>322</v>
      </c>
      <c r="V354" s="1" t="s">
        <v>73</v>
      </c>
      <c r="W354" s="1" t="s">
        <v>74</v>
      </c>
    </row>
    <row r="355" spans="1:23" x14ac:dyDescent="0.35">
      <c r="A355">
        <v>1710</v>
      </c>
      <c r="B355" s="1" t="s">
        <v>1440</v>
      </c>
      <c r="C355" s="2">
        <v>43038</v>
      </c>
      <c r="D355" s="2">
        <v>43044</v>
      </c>
      <c r="E355" s="1" t="s">
        <v>42</v>
      </c>
      <c r="F355" s="1" t="s">
        <v>1441</v>
      </c>
      <c r="G355" s="1" t="s">
        <v>1442</v>
      </c>
      <c r="H355" s="1" t="s">
        <v>27</v>
      </c>
      <c r="I355" s="1" t="s">
        <v>28</v>
      </c>
      <c r="J355" s="1" t="s">
        <v>331</v>
      </c>
      <c r="K355" s="1" t="s">
        <v>56</v>
      </c>
      <c r="L355">
        <v>94122</v>
      </c>
      <c r="M355" s="1" t="s">
        <v>57</v>
      </c>
      <c r="N355" s="1" t="s">
        <v>117</v>
      </c>
      <c r="O355" s="1" t="s">
        <v>33</v>
      </c>
      <c r="P355" s="1" t="s">
        <v>39</v>
      </c>
      <c r="Q355" s="1" t="s">
        <v>118</v>
      </c>
      <c r="R355">
        <v>72</v>
      </c>
      <c r="S355">
        <v>1</v>
      </c>
      <c r="T355">
        <v>0.2</v>
      </c>
      <c r="U355">
        <v>-1</v>
      </c>
      <c r="V355" s="1" t="s">
        <v>132</v>
      </c>
      <c r="W355" s="1" t="s">
        <v>51</v>
      </c>
    </row>
    <row r="356" spans="1:23" x14ac:dyDescent="0.35">
      <c r="A356">
        <v>1714</v>
      </c>
      <c r="B356" s="1" t="s">
        <v>1443</v>
      </c>
      <c r="C356" s="2">
        <v>42986</v>
      </c>
      <c r="D356" s="2">
        <v>42991</v>
      </c>
      <c r="E356" s="1" t="s">
        <v>24</v>
      </c>
      <c r="F356" s="1" t="s">
        <v>1444</v>
      </c>
      <c r="G356" s="1" t="s">
        <v>1445</v>
      </c>
      <c r="H356" s="1" t="s">
        <v>27</v>
      </c>
      <c r="I356" s="1" t="s">
        <v>28</v>
      </c>
      <c r="J356" s="1" t="s">
        <v>136</v>
      </c>
      <c r="K356" s="1" t="s">
        <v>137</v>
      </c>
      <c r="L356">
        <v>60610</v>
      </c>
      <c r="M356" s="1" t="s">
        <v>96</v>
      </c>
      <c r="N356" s="1" t="s">
        <v>269</v>
      </c>
      <c r="O356" s="1" t="s">
        <v>33</v>
      </c>
      <c r="P356" s="1" t="s">
        <v>48</v>
      </c>
      <c r="Q356" s="1" t="s">
        <v>270</v>
      </c>
      <c r="R356">
        <v>766</v>
      </c>
      <c r="S356">
        <v>7</v>
      </c>
      <c r="T356">
        <v>0.5</v>
      </c>
      <c r="U356">
        <v>-567</v>
      </c>
      <c r="V356" s="1" t="s">
        <v>61</v>
      </c>
      <c r="W356" s="1" t="s">
        <v>80</v>
      </c>
    </row>
    <row r="357" spans="1:23" x14ac:dyDescent="0.35">
      <c r="A357">
        <v>1715</v>
      </c>
      <c r="B357" s="1" t="s">
        <v>1446</v>
      </c>
      <c r="C357" s="2">
        <v>43015</v>
      </c>
      <c r="D357" s="2">
        <v>43021</v>
      </c>
      <c r="E357" s="1" t="s">
        <v>42</v>
      </c>
      <c r="F357" s="1" t="s">
        <v>1447</v>
      </c>
      <c r="G357" s="1" t="s">
        <v>1448</v>
      </c>
      <c r="H357" s="1" t="s">
        <v>27</v>
      </c>
      <c r="I357" s="1" t="s">
        <v>28</v>
      </c>
      <c r="J357" s="1" t="s">
        <v>331</v>
      </c>
      <c r="K357" s="1" t="s">
        <v>56</v>
      </c>
      <c r="L357">
        <v>94110</v>
      </c>
      <c r="M357" s="1" t="s">
        <v>57</v>
      </c>
      <c r="N357" s="1" t="s">
        <v>1449</v>
      </c>
      <c r="O357" s="1" t="s">
        <v>33</v>
      </c>
      <c r="P357" s="1" t="s">
        <v>34</v>
      </c>
      <c r="Q357" s="1" t="s">
        <v>1450</v>
      </c>
      <c r="R357">
        <v>308</v>
      </c>
      <c r="S357">
        <v>2</v>
      </c>
      <c r="T357">
        <v>0.15</v>
      </c>
      <c r="U357">
        <v>-14</v>
      </c>
      <c r="V357" s="1" t="s">
        <v>132</v>
      </c>
      <c r="W357" s="1" t="s">
        <v>51</v>
      </c>
    </row>
    <row r="358" spans="1:23" x14ac:dyDescent="0.35">
      <c r="A358">
        <v>1719</v>
      </c>
      <c r="B358" s="1" t="s">
        <v>1451</v>
      </c>
      <c r="C358" s="2">
        <v>42509</v>
      </c>
      <c r="D358" s="2">
        <v>42514</v>
      </c>
      <c r="E358" s="1" t="s">
        <v>42</v>
      </c>
      <c r="F358" s="1" t="s">
        <v>1452</v>
      </c>
      <c r="G358" s="1" t="s">
        <v>1453</v>
      </c>
      <c r="H358" s="1" t="s">
        <v>27</v>
      </c>
      <c r="I358" s="1" t="s">
        <v>28</v>
      </c>
      <c r="J358" s="1" t="s">
        <v>176</v>
      </c>
      <c r="K358" s="1" t="s">
        <v>123</v>
      </c>
      <c r="L358">
        <v>10011</v>
      </c>
      <c r="M358" s="1" t="s">
        <v>70</v>
      </c>
      <c r="N358" s="1" t="s">
        <v>1454</v>
      </c>
      <c r="O358" s="1" t="s">
        <v>33</v>
      </c>
      <c r="P358" s="1" t="s">
        <v>59</v>
      </c>
      <c r="Q358" s="1" t="s">
        <v>1455</v>
      </c>
      <c r="R358">
        <v>36</v>
      </c>
      <c r="S358">
        <v>4</v>
      </c>
      <c r="T358">
        <v>0</v>
      </c>
      <c r="U358">
        <v>15</v>
      </c>
      <c r="V358" s="1" t="s">
        <v>61</v>
      </c>
      <c r="W358" s="1" t="s">
        <v>164</v>
      </c>
    </row>
    <row r="359" spans="1:23" x14ac:dyDescent="0.35">
      <c r="A359">
        <v>1720</v>
      </c>
      <c r="B359" s="1" t="s">
        <v>1451</v>
      </c>
      <c r="C359" s="2">
        <v>42509</v>
      </c>
      <c r="D359" s="2">
        <v>42514</v>
      </c>
      <c r="E359" s="1" t="s">
        <v>42</v>
      </c>
      <c r="F359" s="1" t="s">
        <v>1452</v>
      </c>
      <c r="G359" s="1" t="s">
        <v>1453</v>
      </c>
      <c r="H359" s="1" t="s">
        <v>27</v>
      </c>
      <c r="I359" s="1" t="s">
        <v>28</v>
      </c>
      <c r="J359" s="1" t="s">
        <v>176</v>
      </c>
      <c r="K359" s="1" t="s">
        <v>123</v>
      </c>
      <c r="L359">
        <v>10011</v>
      </c>
      <c r="M359" s="1" t="s">
        <v>70</v>
      </c>
      <c r="N359" s="1" t="s">
        <v>653</v>
      </c>
      <c r="O359" s="1" t="s">
        <v>33</v>
      </c>
      <c r="P359" s="1" t="s">
        <v>59</v>
      </c>
      <c r="Q359" s="1" t="s">
        <v>654</v>
      </c>
      <c r="R359">
        <v>40</v>
      </c>
      <c r="S359">
        <v>8</v>
      </c>
      <c r="T359">
        <v>0</v>
      </c>
      <c r="U359">
        <v>12</v>
      </c>
      <c r="V359" s="1" t="s">
        <v>61</v>
      </c>
      <c r="W359" s="1" t="s">
        <v>164</v>
      </c>
    </row>
    <row r="360" spans="1:23" x14ac:dyDescent="0.35">
      <c r="A360">
        <v>1724</v>
      </c>
      <c r="B360" s="1" t="s">
        <v>1456</v>
      </c>
      <c r="C360" s="2">
        <v>42358</v>
      </c>
      <c r="D360" s="2">
        <v>42363</v>
      </c>
      <c r="E360" s="1" t="s">
        <v>42</v>
      </c>
      <c r="F360" s="1" t="s">
        <v>1457</v>
      </c>
      <c r="G360" s="1" t="s">
        <v>1458</v>
      </c>
      <c r="H360" s="1" t="s">
        <v>27</v>
      </c>
      <c r="I360" s="1" t="s">
        <v>28</v>
      </c>
      <c r="J360" s="1" t="s">
        <v>136</v>
      </c>
      <c r="K360" s="1" t="s">
        <v>137</v>
      </c>
      <c r="L360">
        <v>60623</v>
      </c>
      <c r="M360" s="1" t="s">
        <v>96</v>
      </c>
      <c r="N360" s="1" t="s">
        <v>1459</v>
      </c>
      <c r="O360" s="1" t="s">
        <v>33</v>
      </c>
      <c r="P360" s="1" t="s">
        <v>34</v>
      </c>
      <c r="Q360" s="1" t="s">
        <v>1460</v>
      </c>
      <c r="R360">
        <v>359</v>
      </c>
      <c r="S360">
        <v>3</v>
      </c>
      <c r="T360">
        <v>0.3</v>
      </c>
      <c r="U360">
        <v>-72</v>
      </c>
      <c r="V360" s="1" t="s">
        <v>61</v>
      </c>
      <c r="W360" s="1" t="s">
        <v>99</v>
      </c>
    </row>
    <row r="361" spans="1:23" x14ac:dyDescent="0.35">
      <c r="A361">
        <v>1728</v>
      </c>
      <c r="B361" s="1" t="s">
        <v>1461</v>
      </c>
      <c r="C361" s="2">
        <v>42854</v>
      </c>
      <c r="D361" s="2">
        <v>42859</v>
      </c>
      <c r="E361" s="1" t="s">
        <v>24</v>
      </c>
      <c r="F361" s="1" t="s">
        <v>1462</v>
      </c>
      <c r="G361" s="1" t="s">
        <v>1463</v>
      </c>
      <c r="H361" s="1" t="s">
        <v>93</v>
      </c>
      <c r="I361" s="1" t="s">
        <v>28</v>
      </c>
      <c r="J361" s="1" t="s">
        <v>285</v>
      </c>
      <c r="K361" s="1" t="s">
        <v>234</v>
      </c>
      <c r="L361">
        <v>43017</v>
      </c>
      <c r="M361" s="1" t="s">
        <v>70</v>
      </c>
      <c r="N361" s="1" t="s">
        <v>1464</v>
      </c>
      <c r="O361" s="1" t="s">
        <v>33</v>
      </c>
      <c r="P361" s="1" t="s">
        <v>48</v>
      </c>
      <c r="Q361" s="1" t="s">
        <v>1465</v>
      </c>
      <c r="R361">
        <v>1048</v>
      </c>
      <c r="S361">
        <v>5</v>
      </c>
      <c r="T361">
        <v>0.4</v>
      </c>
      <c r="U361">
        <v>-70</v>
      </c>
      <c r="V361" s="1" t="s">
        <v>61</v>
      </c>
      <c r="W361" s="1" t="s">
        <v>116</v>
      </c>
    </row>
    <row r="362" spans="1:23" x14ac:dyDescent="0.35">
      <c r="A362">
        <v>1743</v>
      </c>
      <c r="B362" s="1" t="s">
        <v>1466</v>
      </c>
      <c r="C362" s="2">
        <v>43038</v>
      </c>
      <c r="D362" s="2">
        <v>43042</v>
      </c>
      <c r="E362" s="1" t="s">
        <v>42</v>
      </c>
      <c r="F362" s="1" t="s">
        <v>1375</v>
      </c>
      <c r="G362" s="1" t="s">
        <v>1376</v>
      </c>
      <c r="H362" s="1" t="s">
        <v>27</v>
      </c>
      <c r="I362" s="1" t="s">
        <v>28</v>
      </c>
      <c r="J362" s="1" t="s">
        <v>68</v>
      </c>
      <c r="K362" s="1" t="s">
        <v>69</v>
      </c>
      <c r="L362">
        <v>19140</v>
      </c>
      <c r="M362" s="1" t="s">
        <v>70</v>
      </c>
      <c r="N362" s="1" t="s">
        <v>1411</v>
      </c>
      <c r="O362" s="1" t="s">
        <v>33</v>
      </c>
      <c r="P362" s="1" t="s">
        <v>59</v>
      </c>
      <c r="Q362" s="1" t="s">
        <v>1412</v>
      </c>
      <c r="R362">
        <v>7</v>
      </c>
      <c r="S362">
        <v>2</v>
      </c>
      <c r="T362">
        <v>0.2</v>
      </c>
      <c r="U362">
        <v>1</v>
      </c>
      <c r="V362" s="1" t="s">
        <v>86</v>
      </c>
      <c r="W362" s="1" t="s">
        <v>51</v>
      </c>
    </row>
    <row r="363" spans="1:23" x14ac:dyDescent="0.35">
      <c r="A363">
        <v>1751</v>
      </c>
      <c r="B363" s="1" t="s">
        <v>1467</v>
      </c>
      <c r="C363" s="2">
        <v>42330</v>
      </c>
      <c r="D363" s="2">
        <v>42335</v>
      </c>
      <c r="E363" s="1" t="s">
        <v>42</v>
      </c>
      <c r="F363" s="1" t="s">
        <v>662</v>
      </c>
      <c r="G363" s="1" t="s">
        <v>663</v>
      </c>
      <c r="H363" s="1" t="s">
        <v>103</v>
      </c>
      <c r="I363" s="1" t="s">
        <v>28</v>
      </c>
      <c r="J363" s="1" t="s">
        <v>248</v>
      </c>
      <c r="K363" s="1" t="s">
        <v>95</v>
      </c>
      <c r="L363">
        <v>78207</v>
      </c>
      <c r="M363" s="1" t="s">
        <v>96</v>
      </c>
      <c r="N363" s="1" t="s">
        <v>1468</v>
      </c>
      <c r="O363" s="1" t="s">
        <v>33</v>
      </c>
      <c r="P363" s="1" t="s">
        <v>48</v>
      </c>
      <c r="Q363" s="1" t="s">
        <v>1469</v>
      </c>
      <c r="R363">
        <v>207</v>
      </c>
      <c r="S363">
        <v>2</v>
      </c>
      <c r="T363">
        <v>0.3</v>
      </c>
      <c r="U363">
        <v>-33</v>
      </c>
      <c r="V363" s="1" t="s">
        <v>61</v>
      </c>
      <c r="W363" s="1" t="s">
        <v>37</v>
      </c>
    </row>
    <row r="364" spans="1:23" x14ac:dyDescent="0.35">
      <c r="A364">
        <v>1752</v>
      </c>
      <c r="B364" s="1" t="s">
        <v>1470</v>
      </c>
      <c r="C364" s="2">
        <v>43022</v>
      </c>
      <c r="D364" s="2">
        <v>43025</v>
      </c>
      <c r="E364" s="1" t="s">
        <v>90</v>
      </c>
      <c r="F364" s="1" t="s">
        <v>1471</v>
      </c>
      <c r="G364" s="1" t="s">
        <v>1472</v>
      </c>
      <c r="H364" s="1" t="s">
        <v>27</v>
      </c>
      <c r="I364" s="1" t="s">
        <v>28</v>
      </c>
      <c r="J364" s="1" t="s">
        <v>1473</v>
      </c>
      <c r="K364" s="1" t="s">
        <v>56</v>
      </c>
      <c r="L364">
        <v>94601</v>
      </c>
      <c r="M364" s="1" t="s">
        <v>57</v>
      </c>
      <c r="N364" s="1" t="s">
        <v>382</v>
      </c>
      <c r="O364" s="1" t="s">
        <v>33</v>
      </c>
      <c r="P364" s="1" t="s">
        <v>59</v>
      </c>
      <c r="Q364" s="1" t="s">
        <v>383</v>
      </c>
      <c r="R364">
        <v>9</v>
      </c>
      <c r="S364">
        <v>2</v>
      </c>
      <c r="T364">
        <v>0</v>
      </c>
      <c r="U364">
        <v>4</v>
      </c>
      <c r="V364" s="1" t="s">
        <v>36</v>
      </c>
      <c r="W364" s="1" t="s">
        <v>51</v>
      </c>
    </row>
    <row r="365" spans="1:23" x14ac:dyDescent="0.35">
      <c r="A365">
        <v>1761</v>
      </c>
      <c r="B365" s="1" t="s">
        <v>1474</v>
      </c>
      <c r="C365" s="2">
        <v>42252</v>
      </c>
      <c r="D365" s="2">
        <v>42256</v>
      </c>
      <c r="E365" s="1" t="s">
        <v>42</v>
      </c>
      <c r="F365" s="1" t="s">
        <v>1475</v>
      </c>
      <c r="G365" s="1" t="s">
        <v>1476</v>
      </c>
      <c r="H365" s="1" t="s">
        <v>27</v>
      </c>
      <c r="I365" s="1" t="s">
        <v>28</v>
      </c>
      <c r="J365" s="1" t="s">
        <v>642</v>
      </c>
      <c r="K365" s="1" t="s">
        <v>56</v>
      </c>
      <c r="L365">
        <v>92105</v>
      </c>
      <c r="M365" s="1" t="s">
        <v>57</v>
      </c>
      <c r="N365" s="1" t="s">
        <v>1477</v>
      </c>
      <c r="O365" s="1" t="s">
        <v>33</v>
      </c>
      <c r="P365" s="1" t="s">
        <v>34</v>
      </c>
      <c r="Q365" s="1" t="s">
        <v>1478</v>
      </c>
      <c r="R365">
        <v>411</v>
      </c>
      <c r="S365">
        <v>4</v>
      </c>
      <c r="T365">
        <v>0.15</v>
      </c>
      <c r="U365">
        <v>-5</v>
      </c>
      <c r="V365" s="1" t="s">
        <v>86</v>
      </c>
      <c r="W365" s="1" t="s">
        <v>80</v>
      </c>
    </row>
    <row r="366" spans="1:23" x14ac:dyDescent="0.35">
      <c r="A366">
        <v>1763</v>
      </c>
      <c r="B366" s="1" t="s">
        <v>1474</v>
      </c>
      <c r="C366" s="2">
        <v>42252</v>
      </c>
      <c r="D366" s="2">
        <v>42256</v>
      </c>
      <c r="E366" s="1" t="s">
        <v>42</v>
      </c>
      <c r="F366" s="1" t="s">
        <v>1475</v>
      </c>
      <c r="G366" s="1" t="s">
        <v>1476</v>
      </c>
      <c r="H366" s="1" t="s">
        <v>27</v>
      </c>
      <c r="I366" s="1" t="s">
        <v>28</v>
      </c>
      <c r="J366" s="1" t="s">
        <v>642</v>
      </c>
      <c r="K366" s="1" t="s">
        <v>56</v>
      </c>
      <c r="L366">
        <v>92105</v>
      </c>
      <c r="M366" s="1" t="s">
        <v>57</v>
      </c>
      <c r="N366" s="1" t="s">
        <v>1479</v>
      </c>
      <c r="O366" s="1" t="s">
        <v>33</v>
      </c>
      <c r="P366" s="1" t="s">
        <v>34</v>
      </c>
      <c r="Q366" s="1" t="s">
        <v>1480</v>
      </c>
      <c r="R366">
        <v>293</v>
      </c>
      <c r="S366">
        <v>3</v>
      </c>
      <c r="T366">
        <v>0.15</v>
      </c>
      <c r="U366">
        <v>-21</v>
      </c>
      <c r="V366" s="1" t="s">
        <v>86</v>
      </c>
      <c r="W366" s="1" t="s">
        <v>80</v>
      </c>
    </row>
    <row r="367" spans="1:23" x14ac:dyDescent="0.35">
      <c r="A367">
        <v>1766</v>
      </c>
      <c r="B367" s="1" t="s">
        <v>1481</v>
      </c>
      <c r="C367" s="2">
        <v>42586</v>
      </c>
      <c r="D367" s="2">
        <v>42590</v>
      </c>
      <c r="E367" s="1" t="s">
        <v>42</v>
      </c>
      <c r="F367" s="1" t="s">
        <v>1482</v>
      </c>
      <c r="G367" s="1" t="s">
        <v>1483</v>
      </c>
      <c r="H367" s="1" t="s">
        <v>103</v>
      </c>
      <c r="I367" s="1" t="s">
        <v>28</v>
      </c>
      <c r="J367" s="1" t="s">
        <v>1484</v>
      </c>
      <c r="K367" s="1" t="s">
        <v>719</v>
      </c>
      <c r="L367">
        <v>23434</v>
      </c>
      <c r="M367" s="1" t="s">
        <v>31</v>
      </c>
      <c r="N367" s="1" t="s">
        <v>1485</v>
      </c>
      <c r="O367" s="1" t="s">
        <v>33</v>
      </c>
      <c r="P367" s="1" t="s">
        <v>59</v>
      </c>
      <c r="Q367" s="1" t="s">
        <v>1486</v>
      </c>
      <c r="R367">
        <v>110</v>
      </c>
      <c r="S367">
        <v>9</v>
      </c>
      <c r="T367">
        <v>0</v>
      </c>
      <c r="U367">
        <v>46</v>
      </c>
      <c r="V367" s="1" t="s">
        <v>86</v>
      </c>
      <c r="W367" s="1" t="s">
        <v>256</v>
      </c>
    </row>
    <row r="368" spans="1:23" x14ac:dyDescent="0.35">
      <c r="A368">
        <v>1792</v>
      </c>
      <c r="B368" s="1" t="s">
        <v>1487</v>
      </c>
      <c r="C368" s="2">
        <v>41974</v>
      </c>
      <c r="D368" s="2">
        <v>41976</v>
      </c>
      <c r="E368" s="1" t="s">
        <v>90</v>
      </c>
      <c r="F368" s="1" t="s">
        <v>694</v>
      </c>
      <c r="G368" s="1" t="s">
        <v>695</v>
      </c>
      <c r="H368" s="1" t="s">
        <v>27</v>
      </c>
      <c r="I368" s="1" t="s">
        <v>28</v>
      </c>
      <c r="J368" s="1" t="s">
        <v>1488</v>
      </c>
      <c r="K368" s="1" t="s">
        <v>241</v>
      </c>
      <c r="L368">
        <v>53711</v>
      </c>
      <c r="M368" s="1" t="s">
        <v>96</v>
      </c>
      <c r="N368" s="1" t="s">
        <v>1489</v>
      </c>
      <c r="O368" s="1" t="s">
        <v>33</v>
      </c>
      <c r="P368" s="1" t="s">
        <v>39</v>
      </c>
      <c r="Q368" s="1" t="s">
        <v>1490</v>
      </c>
      <c r="R368">
        <v>2808</v>
      </c>
      <c r="S368">
        <v>8</v>
      </c>
      <c r="T368">
        <v>0</v>
      </c>
      <c r="U368">
        <v>674</v>
      </c>
      <c r="V368" s="1" t="s">
        <v>73</v>
      </c>
      <c r="W368" s="1" t="s">
        <v>99</v>
      </c>
    </row>
    <row r="369" spans="1:23" x14ac:dyDescent="0.35">
      <c r="A369">
        <v>1799</v>
      </c>
      <c r="B369" s="1" t="s">
        <v>1491</v>
      </c>
      <c r="C369" s="2">
        <v>42558</v>
      </c>
      <c r="D369" s="2">
        <v>42562</v>
      </c>
      <c r="E369" s="1" t="s">
        <v>42</v>
      </c>
      <c r="F369" s="1" t="s">
        <v>1492</v>
      </c>
      <c r="G369" s="1" t="s">
        <v>1493</v>
      </c>
      <c r="H369" s="1" t="s">
        <v>27</v>
      </c>
      <c r="I369" s="1" t="s">
        <v>28</v>
      </c>
      <c r="J369" s="1" t="s">
        <v>1494</v>
      </c>
      <c r="K369" s="1" t="s">
        <v>56</v>
      </c>
      <c r="L369">
        <v>95123</v>
      </c>
      <c r="M369" s="1" t="s">
        <v>57</v>
      </c>
      <c r="N369" s="1" t="s">
        <v>610</v>
      </c>
      <c r="O369" s="1" t="s">
        <v>33</v>
      </c>
      <c r="P369" s="1" t="s">
        <v>59</v>
      </c>
      <c r="Q369" s="1" t="s">
        <v>611</v>
      </c>
      <c r="R369">
        <v>216</v>
      </c>
      <c r="S369">
        <v>5</v>
      </c>
      <c r="T369">
        <v>0</v>
      </c>
      <c r="U369">
        <v>73</v>
      </c>
      <c r="V369" s="1" t="s">
        <v>86</v>
      </c>
      <c r="W369" s="1" t="s">
        <v>74</v>
      </c>
    </row>
    <row r="370" spans="1:23" x14ac:dyDescent="0.35">
      <c r="A370">
        <v>1802</v>
      </c>
      <c r="B370" s="1" t="s">
        <v>1495</v>
      </c>
      <c r="C370" s="2">
        <v>42687</v>
      </c>
      <c r="D370" s="2">
        <v>42693</v>
      </c>
      <c r="E370" s="1" t="s">
        <v>42</v>
      </c>
      <c r="F370" s="1" t="s">
        <v>1496</v>
      </c>
      <c r="G370" s="1" t="s">
        <v>1497</v>
      </c>
      <c r="H370" s="1" t="s">
        <v>103</v>
      </c>
      <c r="I370" s="1" t="s">
        <v>28</v>
      </c>
      <c r="J370" s="1" t="s">
        <v>955</v>
      </c>
      <c r="K370" s="1" t="s">
        <v>195</v>
      </c>
      <c r="L370">
        <v>98002</v>
      </c>
      <c r="M370" s="1" t="s">
        <v>57</v>
      </c>
      <c r="N370" s="1" t="s">
        <v>1314</v>
      </c>
      <c r="O370" s="1" t="s">
        <v>33</v>
      </c>
      <c r="P370" s="1" t="s">
        <v>59</v>
      </c>
      <c r="Q370" s="1" t="s">
        <v>1315</v>
      </c>
      <c r="R370">
        <v>4</v>
      </c>
      <c r="S370">
        <v>1</v>
      </c>
      <c r="T370">
        <v>0</v>
      </c>
      <c r="U370">
        <v>2</v>
      </c>
      <c r="V370" s="1" t="s">
        <v>132</v>
      </c>
      <c r="W370" s="1" t="s">
        <v>37</v>
      </c>
    </row>
    <row r="371" spans="1:23" x14ac:dyDescent="0.35">
      <c r="A371">
        <v>1810</v>
      </c>
      <c r="B371" s="1" t="s">
        <v>1498</v>
      </c>
      <c r="C371" s="2">
        <v>42666</v>
      </c>
      <c r="D371" s="2">
        <v>42672</v>
      </c>
      <c r="E371" s="1" t="s">
        <v>42</v>
      </c>
      <c r="F371" s="1" t="s">
        <v>272</v>
      </c>
      <c r="G371" s="1" t="s">
        <v>273</v>
      </c>
      <c r="H371" s="1" t="s">
        <v>93</v>
      </c>
      <c r="I371" s="1" t="s">
        <v>28</v>
      </c>
      <c r="J371" s="1" t="s">
        <v>136</v>
      </c>
      <c r="K371" s="1" t="s">
        <v>137</v>
      </c>
      <c r="L371">
        <v>60610</v>
      </c>
      <c r="M371" s="1" t="s">
        <v>96</v>
      </c>
      <c r="N371" s="1" t="s">
        <v>1499</v>
      </c>
      <c r="O371" s="1" t="s">
        <v>33</v>
      </c>
      <c r="P371" s="1" t="s">
        <v>59</v>
      </c>
      <c r="Q371" s="1" t="s">
        <v>1500</v>
      </c>
      <c r="R371">
        <v>16</v>
      </c>
      <c r="S371">
        <v>7</v>
      </c>
      <c r="T371">
        <v>0.6</v>
      </c>
      <c r="U371">
        <v>-12</v>
      </c>
      <c r="V371" s="1" t="s">
        <v>132</v>
      </c>
      <c r="W371" s="1" t="s">
        <v>51</v>
      </c>
    </row>
    <row r="372" spans="1:23" x14ac:dyDescent="0.35">
      <c r="A372">
        <v>1812</v>
      </c>
      <c r="B372" s="1" t="s">
        <v>1501</v>
      </c>
      <c r="C372" s="2">
        <v>41799</v>
      </c>
      <c r="D372" s="2">
        <v>41801</v>
      </c>
      <c r="E372" s="1" t="s">
        <v>24</v>
      </c>
      <c r="F372" s="1" t="s">
        <v>1502</v>
      </c>
      <c r="G372" s="1" t="s">
        <v>1503</v>
      </c>
      <c r="H372" s="1" t="s">
        <v>27</v>
      </c>
      <c r="I372" s="1" t="s">
        <v>28</v>
      </c>
      <c r="J372" s="1" t="s">
        <v>1079</v>
      </c>
      <c r="K372" s="1" t="s">
        <v>719</v>
      </c>
      <c r="L372">
        <v>22801</v>
      </c>
      <c r="M372" s="1" t="s">
        <v>31</v>
      </c>
      <c r="N372" s="1" t="s">
        <v>215</v>
      </c>
      <c r="O372" s="1" t="s">
        <v>33</v>
      </c>
      <c r="P372" s="1" t="s">
        <v>48</v>
      </c>
      <c r="Q372" s="1" t="s">
        <v>216</v>
      </c>
      <c r="R372">
        <v>1441</v>
      </c>
      <c r="S372">
        <v>7</v>
      </c>
      <c r="T372">
        <v>0</v>
      </c>
      <c r="U372">
        <v>245</v>
      </c>
      <c r="V372" s="1" t="s">
        <v>73</v>
      </c>
      <c r="W372" s="1" t="s">
        <v>62</v>
      </c>
    </row>
    <row r="373" spans="1:23" x14ac:dyDescent="0.35">
      <c r="A373">
        <v>1813</v>
      </c>
      <c r="B373" s="1" t="s">
        <v>1504</v>
      </c>
      <c r="C373" s="2">
        <v>43059</v>
      </c>
      <c r="D373" s="2">
        <v>43065</v>
      </c>
      <c r="E373" s="1" t="s">
        <v>42</v>
      </c>
      <c r="F373" s="1" t="s">
        <v>1505</v>
      </c>
      <c r="G373" s="1" t="s">
        <v>1506</v>
      </c>
      <c r="H373" s="1" t="s">
        <v>27</v>
      </c>
      <c r="I373" s="1" t="s">
        <v>28</v>
      </c>
      <c r="J373" s="1" t="s">
        <v>233</v>
      </c>
      <c r="K373" s="1" t="s">
        <v>234</v>
      </c>
      <c r="L373">
        <v>43055</v>
      </c>
      <c r="M373" s="1" t="s">
        <v>70</v>
      </c>
      <c r="N373" s="1" t="s">
        <v>366</v>
      </c>
      <c r="O373" s="1" t="s">
        <v>33</v>
      </c>
      <c r="P373" s="1" t="s">
        <v>59</v>
      </c>
      <c r="Q373" s="1" t="s">
        <v>367</v>
      </c>
      <c r="R373">
        <v>78</v>
      </c>
      <c r="S373">
        <v>5</v>
      </c>
      <c r="T373">
        <v>0.2</v>
      </c>
      <c r="U373">
        <v>28</v>
      </c>
      <c r="V373" s="1" t="s">
        <v>132</v>
      </c>
      <c r="W373" s="1" t="s">
        <v>37</v>
      </c>
    </row>
    <row r="374" spans="1:23" x14ac:dyDescent="0.35">
      <c r="A374">
        <v>1814</v>
      </c>
      <c r="B374" s="1" t="s">
        <v>1504</v>
      </c>
      <c r="C374" s="2">
        <v>43059</v>
      </c>
      <c r="D374" s="2">
        <v>43065</v>
      </c>
      <c r="E374" s="1" t="s">
        <v>42</v>
      </c>
      <c r="F374" s="1" t="s">
        <v>1505</v>
      </c>
      <c r="G374" s="1" t="s">
        <v>1506</v>
      </c>
      <c r="H374" s="1" t="s">
        <v>27</v>
      </c>
      <c r="I374" s="1" t="s">
        <v>28</v>
      </c>
      <c r="J374" s="1" t="s">
        <v>233</v>
      </c>
      <c r="K374" s="1" t="s">
        <v>234</v>
      </c>
      <c r="L374">
        <v>43055</v>
      </c>
      <c r="M374" s="1" t="s">
        <v>70</v>
      </c>
      <c r="N374" s="1" t="s">
        <v>503</v>
      </c>
      <c r="O374" s="1" t="s">
        <v>33</v>
      </c>
      <c r="P374" s="1" t="s">
        <v>59</v>
      </c>
      <c r="Q374" s="1" t="s">
        <v>504</v>
      </c>
      <c r="R374">
        <v>5</v>
      </c>
      <c r="S374">
        <v>2</v>
      </c>
      <c r="T374">
        <v>0.2</v>
      </c>
      <c r="U374">
        <v>2</v>
      </c>
      <c r="V374" s="1" t="s">
        <v>132</v>
      </c>
      <c r="W374" s="1" t="s">
        <v>37</v>
      </c>
    </row>
    <row r="375" spans="1:23" x14ac:dyDescent="0.35">
      <c r="A375">
        <v>1815</v>
      </c>
      <c r="B375" s="1" t="s">
        <v>1507</v>
      </c>
      <c r="C375" s="2">
        <v>42261</v>
      </c>
      <c r="D375" s="2">
        <v>42265</v>
      </c>
      <c r="E375" s="1" t="s">
        <v>42</v>
      </c>
      <c r="F375" s="1" t="s">
        <v>1114</v>
      </c>
      <c r="G375" s="1" t="s">
        <v>1115</v>
      </c>
      <c r="H375" s="1" t="s">
        <v>93</v>
      </c>
      <c r="I375" s="1" t="s">
        <v>28</v>
      </c>
      <c r="J375" s="1" t="s">
        <v>55</v>
      </c>
      <c r="K375" s="1" t="s">
        <v>56</v>
      </c>
      <c r="L375">
        <v>90045</v>
      </c>
      <c r="M375" s="1" t="s">
        <v>57</v>
      </c>
      <c r="N375" s="1" t="s">
        <v>320</v>
      </c>
      <c r="O375" s="1" t="s">
        <v>33</v>
      </c>
      <c r="P375" s="1" t="s">
        <v>48</v>
      </c>
      <c r="Q375" s="1" t="s">
        <v>321</v>
      </c>
      <c r="R375">
        <v>170</v>
      </c>
      <c r="S375">
        <v>3</v>
      </c>
      <c r="T375">
        <v>0.2</v>
      </c>
      <c r="U375">
        <v>-9</v>
      </c>
      <c r="V375" s="1" t="s">
        <v>86</v>
      </c>
      <c r="W375" s="1" t="s">
        <v>80</v>
      </c>
    </row>
    <row r="376" spans="1:23" x14ac:dyDescent="0.35">
      <c r="A376">
        <v>1820</v>
      </c>
      <c r="B376" s="1" t="s">
        <v>1508</v>
      </c>
      <c r="C376" s="2">
        <v>41784</v>
      </c>
      <c r="D376" s="2">
        <v>41788</v>
      </c>
      <c r="E376" s="1" t="s">
        <v>42</v>
      </c>
      <c r="F376" s="1" t="s">
        <v>1509</v>
      </c>
      <c r="G376" s="1" t="s">
        <v>1510</v>
      </c>
      <c r="H376" s="1" t="s">
        <v>27</v>
      </c>
      <c r="I376" s="1" t="s">
        <v>28</v>
      </c>
      <c r="J376" s="1" t="s">
        <v>136</v>
      </c>
      <c r="K376" s="1" t="s">
        <v>137</v>
      </c>
      <c r="L376">
        <v>60623</v>
      </c>
      <c r="M376" s="1" t="s">
        <v>96</v>
      </c>
      <c r="N376" s="1" t="s">
        <v>1511</v>
      </c>
      <c r="O376" s="1" t="s">
        <v>33</v>
      </c>
      <c r="P376" s="1" t="s">
        <v>59</v>
      </c>
      <c r="Q376" s="1" t="s">
        <v>1512</v>
      </c>
      <c r="R376">
        <v>29</v>
      </c>
      <c r="S376">
        <v>2</v>
      </c>
      <c r="T376">
        <v>0.6</v>
      </c>
      <c r="U376">
        <v>-24</v>
      </c>
      <c r="V376" s="1" t="s">
        <v>86</v>
      </c>
      <c r="W376" s="1" t="s">
        <v>164</v>
      </c>
    </row>
    <row r="377" spans="1:23" x14ac:dyDescent="0.35">
      <c r="A377">
        <v>1823</v>
      </c>
      <c r="B377" s="1" t="s">
        <v>1513</v>
      </c>
      <c r="C377" s="2">
        <v>42416</v>
      </c>
      <c r="D377" s="2">
        <v>42420</v>
      </c>
      <c r="E377" s="1" t="s">
        <v>42</v>
      </c>
      <c r="F377" s="1" t="s">
        <v>1514</v>
      </c>
      <c r="G377" s="1" t="s">
        <v>1515</v>
      </c>
      <c r="H377" s="1" t="s">
        <v>93</v>
      </c>
      <c r="I377" s="1" t="s">
        <v>28</v>
      </c>
      <c r="J377" s="1" t="s">
        <v>136</v>
      </c>
      <c r="K377" s="1" t="s">
        <v>137</v>
      </c>
      <c r="L377">
        <v>60623</v>
      </c>
      <c r="M377" s="1" t="s">
        <v>96</v>
      </c>
      <c r="N377" s="1" t="s">
        <v>1516</v>
      </c>
      <c r="O377" s="1" t="s">
        <v>33</v>
      </c>
      <c r="P377" s="1" t="s">
        <v>39</v>
      </c>
      <c r="Q377" s="1" t="s">
        <v>1517</v>
      </c>
      <c r="R377">
        <v>63</v>
      </c>
      <c r="S377">
        <v>3</v>
      </c>
      <c r="T377">
        <v>0.3</v>
      </c>
      <c r="U377">
        <v>-3</v>
      </c>
      <c r="V377" s="1" t="s">
        <v>86</v>
      </c>
      <c r="W377" s="1" t="s">
        <v>300</v>
      </c>
    </row>
    <row r="378" spans="1:23" x14ac:dyDescent="0.35">
      <c r="A378">
        <v>1826</v>
      </c>
      <c r="B378" s="1" t="s">
        <v>1518</v>
      </c>
      <c r="C378" s="2">
        <v>42726</v>
      </c>
      <c r="D378" s="2">
        <v>42732</v>
      </c>
      <c r="E378" s="1" t="s">
        <v>42</v>
      </c>
      <c r="F378" s="1" t="s">
        <v>822</v>
      </c>
      <c r="G378" s="1" t="s">
        <v>823</v>
      </c>
      <c r="H378" s="1" t="s">
        <v>27</v>
      </c>
      <c r="I378" s="1" t="s">
        <v>28</v>
      </c>
      <c r="J378" s="1" t="s">
        <v>1519</v>
      </c>
      <c r="K378" s="1" t="s">
        <v>1520</v>
      </c>
      <c r="L378">
        <v>97756</v>
      </c>
      <c r="M378" s="1" t="s">
        <v>57</v>
      </c>
      <c r="N378" s="1" t="s">
        <v>449</v>
      </c>
      <c r="O378" s="1" t="s">
        <v>33</v>
      </c>
      <c r="P378" s="1" t="s">
        <v>59</v>
      </c>
      <c r="Q378" s="1" t="s">
        <v>450</v>
      </c>
      <c r="R378">
        <v>12</v>
      </c>
      <c r="S378">
        <v>4</v>
      </c>
      <c r="T378">
        <v>0.2</v>
      </c>
      <c r="U378">
        <v>3</v>
      </c>
      <c r="V378" s="1" t="s">
        <v>132</v>
      </c>
      <c r="W378" s="1" t="s">
        <v>99</v>
      </c>
    </row>
    <row r="379" spans="1:23" x14ac:dyDescent="0.35">
      <c r="A379">
        <v>1827</v>
      </c>
      <c r="B379" s="1" t="s">
        <v>1518</v>
      </c>
      <c r="C379" s="2">
        <v>42726</v>
      </c>
      <c r="D379" s="2">
        <v>42732</v>
      </c>
      <c r="E379" s="1" t="s">
        <v>42</v>
      </c>
      <c r="F379" s="1" t="s">
        <v>822</v>
      </c>
      <c r="G379" s="1" t="s">
        <v>823</v>
      </c>
      <c r="H379" s="1" t="s">
        <v>27</v>
      </c>
      <c r="I379" s="1" t="s">
        <v>28</v>
      </c>
      <c r="J379" s="1" t="s">
        <v>1519</v>
      </c>
      <c r="K379" s="1" t="s">
        <v>1520</v>
      </c>
      <c r="L379">
        <v>97756</v>
      </c>
      <c r="M379" s="1" t="s">
        <v>57</v>
      </c>
      <c r="N379" s="1" t="s">
        <v>1521</v>
      </c>
      <c r="O379" s="1" t="s">
        <v>33</v>
      </c>
      <c r="P379" s="1" t="s">
        <v>59</v>
      </c>
      <c r="Q379" s="1" t="s">
        <v>1522</v>
      </c>
      <c r="R379">
        <v>23</v>
      </c>
      <c r="S379">
        <v>1</v>
      </c>
      <c r="T379">
        <v>0.2</v>
      </c>
      <c r="U379">
        <v>5</v>
      </c>
      <c r="V379" s="1" t="s">
        <v>132</v>
      </c>
      <c r="W379" s="1" t="s">
        <v>99</v>
      </c>
    </row>
    <row r="380" spans="1:23" x14ac:dyDescent="0.35">
      <c r="A380">
        <v>1832</v>
      </c>
      <c r="B380" s="1" t="s">
        <v>1523</v>
      </c>
      <c r="C380" s="2">
        <v>43029</v>
      </c>
      <c r="D380" s="2">
        <v>43029</v>
      </c>
      <c r="E380" s="1" t="s">
        <v>428</v>
      </c>
      <c r="F380" s="1" t="s">
        <v>957</v>
      </c>
      <c r="G380" s="1" t="s">
        <v>958</v>
      </c>
      <c r="H380" s="1" t="s">
        <v>103</v>
      </c>
      <c r="I380" s="1" t="s">
        <v>28</v>
      </c>
      <c r="J380" s="1" t="s">
        <v>1524</v>
      </c>
      <c r="K380" s="1" t="s">
        <v>1525</v>
      </c>
      <c r="L380">
        <v>74403</v>
      </c>
      <c r="M380" s="1" t="s">
        <v>96</v>
      </c>
      <c r="N380" s="1" t="s">
        <v>918</v>
      </c>
      <c r="O380" s="1" t="s">
        <v>33</v>
      </c>
      <c r="P380" s="1" t="s">
        <v>48</v>
      </c>
      <c r="Q380" s="1" t="s">
        <v>919</v>
      </c>
      <c r="R380">
        <v>262</v>
      </c>
      <c r="S380">
        <v>1</v>
      </c>
      <c r="T380">
        <v>0</v>
      </c>
      <c r="U380">
        <v>63</v>
      </c>
      <c r="V380" s="1" t="s">
        <v>433</v>
      </c>
      <c r="W380" s="1" t="s">
        <v>51</v>
      </c>
    </row>
    <row r="381" spans="1:23" x14ac:dyDescent="0.35">
      <c r="A381">
        <v>1833</v>
      </c>
      <c r="B381" s="1" t="s">
        <v>1526</v>
      </c>
      <c r="C381" s="2">
        <v>42313</v>
      </c>
      <c r="D381" s="2">
        <v>42317</v>
      </c>
      <c r="E381" s="1" t="s">
        <v>42</v>
      </c>
      <c r="F381" s="1" t="s">
        <v>1083</v>
      </c>
      <c r="G381" s="1" t="s">
        <v>1084</v>
      </c>
      <c r="H381" s="1" t="s">
        <v>93</v>
      </c>
      <c r="I381" s="1" t="s">
        <v>28</v>
      </c>
      <c r="J381" s="1" t="s">
        <v>1038</v>
      </c>
      <c r="K381" s="1" t="s">
        <v>1039</v>
      </c>
      <c r="L381">
        <v>28110</v>
      </c>
      <c r="M381" s="1" t="s">
        <v>31</v>
      </c>
      <c r="N381" s="1" t="s">
        <v>1093</v>
      </c>
      <c r="O381" s="1" t="s">
        <v>33</v>
      </c>
      <c r="P381" s="1" t="s">
        <v>39</v>
      </c>
      <c r="Q381" s="1" t="s">
        <v>1094</v>
      </c>
      <c r="R381">
        <v>207</v>
      </c>
      <c r="S381">
        <v>3</v>
      </c>
      <c r="T381">
        <v>0.2</v>
      </c>
      <c r="U381">
        <v>26</v>
      </c>
      <c r="V381" s="1" t="s">
        <v>86</v>
      </c>
      <c r="W381" s="1" t="s">
        <v>37</v>
      </c>
    </row>
    <row r="382" spans="1:23" x14ac:dyDescent="0.35">
      <c r="A382">
        <v>1839</v>
      </c>
      <c r="B382" s="1" t="s">
        <v>1527</v>
      </c>
      <c r="C382" s="2">
        <v>41852</v>
      </c>
      <c r="D382" s="2">
        <v>41856</v>
      </c>
      <c r="E382" s="1" t="s">
        <v>42</v>
      </c>
      <c r="F382" s="1" t="s">
        <v>1528</v>
      </c>
      <c r="G382" s="1" t="s">
        <v>1529</v>
      </c>
      <c r="H382" s="1" t="s">
        <v>93</v>
      </c>
      <c r="I382" s="1" t="s">
        <v>28</v>
      </c>
      <c r="J382" s="1" t="s">
        <v>1530</v>
      </c>
      <c r="K382" s="1" t="s">
        <v>1039</v>
      </c>
      <c r="L382">
        <v>28205</v>
      </c>
      <c r="M382" s="1" t="s">
        <v>31</v>
      </c>
      <c r="N382" s="1" t="s">
        <v>177</v>
      </c>
      <c r="O382" s="1" t="s">
        <v>33</v>
      </c>
      <c r="P382" s="1" t="s">
        <v>59</v>
      </c>
      <c r="Q382" s="1" t="s">
        <v>178</v>
      </c>
      <c r="R382">
        <v>44</v>
      </c>
      <c r="S382">
        <v>4</v>
      </c>
      <c r="T382">
        <v>0.2</v>
      </c>
      <c r="U382">
        <v>12</v>
      </c>
      <c r="V382" s="1" t="s">
        <v>86</v>
      </c>
      <c r="W382" s="1" t="s">
        <v>256</v>
      </c>
    </row>
    <row r="383" spans="1:23" x14ac:dyDescent="0.35">
      <c r="A383">
        <v>1842</v>
      </c>
      <c r="B383" s="1" t="s">
        <v>1531</v>
      </c>
      <c r="C383" s="2">
        <v>42569</v>
      </c>
      <c r="D383" s="2">
        <v>42574</v>
      </c>
      <c r="E383" s="1" t="s">
        <v>42</v>
      </c>
      <c r="F383" s="1" t="s">
        <v>1532</v>
      </c>
      <c r="G383" s="1" t="s">
        <v>1533</v>
      </c>
      <c r="H383" s="1" t="s">
        <v>93</v>
      </c>
      <c r="I383" s="1" t="s">
        <v>28</v>
      </c>
      <c r="J383" s="1" t="s">
        <v>1534</v>
      </c>
      <c r="K383" s="1" t="s">
        <v>30</v>
      </c>
      <c r="L383">
        <v>42104</v>
      </c>
      <c r="M383" s="1" t="s">
        <v>31</v>
      </c>
      <c r="N383" s="1" t="s">
        <v>1535</v>
      </c>
      <c r="O383" s="1" t="s">
        <v>33</v>
      </c>
      <c r="P383" s="1" t="s">
        <v>39</v>
      </c>
      <c r="Q383" s="1" t="s">
        <v>1536</v>
      </c>
      <c r="R383">
        <v>141</v>
      </c>
      <c r="S383">
        <v>1</v>
      </c>
      <c r="T383">
        <v>0</v>
      </c>
      <c r="U383">
        <v>39</v>
      </c>
      <c r="V383" s="1" t="s">
        <v>61</v>
      </c>
      <c r="W383" s="1" t="s">
        <v>74</v>
      </c>
    </row>
    <row r="384" spans="1:23" x14ac:dyDescent="0.35">
      <c r="A384">
        <v>1844</v>
      </c>
      <c r="B384" s="1" t="s">
        <v>1537</v>
      </c>
      <c r="C384" s="2">
        <v>42044</v>
      </c>
      <c r="D384" s="2">
        <v>42046</v>
      </c>
      <c r="E384" s="1" t="s">
        <v>24</v>
      </c>
      <c r="F384" s="1" t="s">
        <v>1538</v>
      </c>
      <c r="G384" s="1" t="s">
        <v>1539</v>
      </c>
      <c r="H384" s="1" t="s">
        <v>93</v>
      </c>
      <c r="I384" s="1" t="s">
        <v>28</v>
      </c>
      <c r="J384" s="1" t="s">
        <v>248</v>
      </c>
      <c r="K384" s="1" t="s">
        <v>95</v>
      </c>
      <c r="L384">
        <v>78207</v>
      </c>
      <c r="M384" s="1" t="s">
        <v>96</v>
      </c>
      <c r="N384" s="1" t="s">
        <v>1540</v>
      </c>
      <c r="O384" s="1" t="s">
        <v>33</v>
      </c>
      <c r="P384" s="1" t="s">
        <v>59</v>
      </c>
      <c r="Q384" s="1" t="s">
        <v>1541</v>
      </c>
      <c r="R384">
        <v>41</v>
      </c>
      <c r="S384">
        <v>2</v>
      </c>
      <c r="T384">
        <v>0.6</v>
      </c>
      <c r="U384">
        <v>-31</v>
      </c>
      <c r="V384" s="1" t="s">
        <v>73</v>
      </c>
      <c r="W384" s="1" t="s">
        <v>300</v>
      </c>
    </row>
    <row r="385" spans="1:23" x14ac:dyDescent="0.35">
      <c r="A385">
        <v>1847</v>
      </c>
      <c r="B385" s="1" t="s">
        <v>1542</v>
      </c>
      <c r="C385" s="2">
        <v>42747</v>
      </c>
      <c r="D385" s="2">
        <v>42752</v>
      </c>
      <c r="E385" s="1" t="s">
        <v>24</v>
      </c>
      <c r="F385" s="1" t="s">
        <v>1543</v>
      </c>
      <c r="G385" s="1" t="s">
        <v>1544</v>
      </c>
      <c r="H385" s="1" t="s">
        <v>103</v>
      </c>
      <c r="I385" s="1" t="s">
        <v>28</v>
      </c>
      <c r="J385" s="1" t="s">
        <v>195</v>
      </c>
      <c r="K385" s="1" t="s">
        <v>983</v>
      </c>
      <c r="L385">
        <v>20016</v>
      </c>
      <c r="M385" s="1" t="s">
        <v>70</v>
      </c>
      <c r="N385" s="1" t="s">
        <v>1545</v>
      </c>
      <c r="O385" s="1" t="s">
        <v>33</v>
      </c>
      <c r="P385" s="1" t="s">
        <v>59</v>
      </c>
      <c r="Q385" s="1" t="s">
        <v>1546</v>
      </c>
      <c r="R385">
        <v>38</v>
      </c>
      <c r="S385">
        <v>2</v>
      </c>
      <c r="T385">
        <v>0</v>
      </c>
      <c r="U385">
        <v>16</v>
      </c>
      <c r="V385" s="1" t="s">
        <v>61</v>
      </c>
      <c r="W385" s="1" t="s">
        <v>172</v>
      </c>
    </row>
    <row r="386" spans="1:23" x14ac:dyDescent="0.35">
      <c r="A386">
        <v>1848</v>
      </c>
      <c r="B386" s="1" t="s">
        <v>1547</v>
      </c>
      <c r="C386" s="2">
        <v>42988</v>
      </c>
      <c r="D386" s="2">
        <v>42988</v>
      </c>
      <c r="E386" s="1" t="s">
        <v>428</v>
      </c>
      <c r="F386" s="1" t="s">
        <v>1548</v>
      </c>
      <c r="G386" s="1" t="s">
        <v>1549</v>
      </c>
      <c r="H386" s="1" t="s">
        <v>93</v>
      </c>
      <c r="I386" s="1" t="s">
        <v>28</v>
      </c>
      <c r="J386" s="1" t="s">
        <v>55</v>
      </c>
      <c r="K386" s="1" t="s">
        <v>56</v>
      </c>
      <c r="L386">
        <v>90004</v>
      </c>
      <c r="M386" s="1" t="s">
        <v>57</v>
      </c>
      <c r="N386" s="1" t="s">
        <v>397</v>
      </c>
      <c r="O386" s="1" t="s">
        <v>33</v>
      </c>
      <c r="P386" s="1" t="s">
        <v>39</v>
      </c>
      <c r="Q386" s="1" t="s">
        <v>398</v>
      </c>
      <c r="R386">
        <v>362</v>
      </c>
      <c r="S386">
        <v>3</v>
      </c>
      <c r="T386">
        <v>0.2</v>
      </c>
      <c r="U386">
        <v>27</v>
      </c>
      <c r="V386" s="1" t="s">
        <v>433</v>
      </c>
      <c r="W386" s="1" t="s">
        <v>80</v>
      </c>
    </row>
    <row r="387" spans="1:23" x14ac:dyDescent="0.35">
      <c r="A387">
        <v>1861</v>
      </c>
      <c r="B387" s="1" t="s">
        <v>1550</v>
      </c>
      <c r="C387" s="2">
        <v>42820</v>
      </c>
      <c r="D387" s="2">
        <v>42821</v>
      </c>
      <c r="E387" s="1" t="s">
        <v>90</v>
      </c>
      <c r="F387" s="1" t="s">
        <v>836</v>
      </c>
      <c r="G387" s="1" t="s">
        <v>837</v>
      </c>
      <c r="H387" s="1" t="s">
        <v>27</v>
      </c>
      <c r="I387" s="1" t="s">
        <v>28</v>
      </c>
      <c r="J387" s="1" t="s">
        <v>176</v>
      </c>
      <c r="K387" s="1" t="s">
        <v>123</v>
      </c>
      <c r="L387">
        <v>10009</v>
      </c>
      <c r="M387" s="1" t="s">
        <v>70</v>
      </c>
      <c r="N387" s="1" t="s">
        <v>1551</v>
      </c>
      <c r="O387" s="1" t="s">
        <v>33</v>
      </c>
      <c r="P387" s="1" t="s">
        <v>34</v>
      </c>
      <c r="Q387" s="1" t="s">
        <v>1552</v>
      </c>
      <c r="R387">
        <v>258</v>
      </c>
      <c r="S387">
        <v>2</v>
      </c>
      <c r="T387">
        <v>0.2</v>
      </c>
      <c r="U387">
        <v>-29</v>
      </c>
      <c r="V387" s="1" t="s">
        <v>126</v>
      </c>
      <c r="W387" s="1" t="s">
        <v>198</v>
      </c>
    </row>
    <row r="388" spans="1:23" x14ac:dyDescent="0.35">
      <c r="A388">
        <v>1864</v>
      </c>
      <c r="B388" s="1" t="s">
        <v>1553</v>
      </c>
      <c r="C388" s="2">
        <v>42656</v>
      </c>
      <c r="D388" s="2">
        <v>42660</v>
      </c>
      <c r="E388" s="1" t="s">
        <v>42</v>
      </c>
      <c r="F388" s="1" t="s">
        <v>1554</v>
      </c>
      <c r="G388" s="1" t="s">
        <v>1555</v>
      </c>
      <c r="H388" s="1" t="s">
        <v>93</v>
      </c>
      <c r="I388" s="1" t="s">
        <v>28</v>
      </c>
      <c r="J388" s="1" t="s">
        <v>182</v>
      </c>
      <c r="K388" s="1" t="s">
        <v>183</v>
      </c>
      <c r="L388">
        <v>80013</v>
      </c>
      <c r="M388" s="1" t="s">
        <v>57</v>
      </c>
      <c r="N388" s="1" t="s">
        <v>413</v>
      </c>
      <c r="O388" s="1" t="s">
        <v>33</v>
      </c>
      <c r="P388" s="1" t="s">
        <v>48</v>
      </c>
      <c r="Q388" s="1" t="s">
        <v>414</v>
      </c>
      <c r="R388">
        <v>727</v>
      </c>
      <c r="S388">
        <v>5</v>
      </c>
      <c r="T388">
        <v>0.5</v>
      </c>
      <c r="U388">
        <v>-466</v>
      </c>
      <c r="V388" s="1" t="s">
        <v>86</v>
      </c>
      <c r="W388" s="1" t="s">
        <v>51</v>
      </c>
    </row>
    <row r="389" spans="1:23" x14ac:dyDescent="0.35">
      <c r="A389">
        <v>1865</v>
      </c>
      <c r="B389" s="1" t="s">
        <v>1553</v>
      </c>
      <c r="C389" s="2">
        <v>42656</v>
      </c>
      <c r="D389" s="2">
        <v>42660</v>
      </c>
      <c r="E389" s="1" t="s">
        <v>42</v>
      </c>
      <c r="F389" s="1" t="s">
        <v>1554</v>
      </c>
      <c r="G389" s="1" t="s">
        <v>1555</v>
      </c>
      <c r="H389" s="1" t="s">
        <v>93</v>
      </c>
      <c r="I389" s="1" t="s">
        <v>28</v>
      </c>
      <c r="J389" s="1" t="s">
        <v>182</v>
      </c>
      <c r="K389" s="1" t="s">
        <v>183</v>
      </c>
      <c r="L389">
        <v>80013</v>
      </c>
      <c r="M389" s="1" t="s">
        <v>57</v>
      </c>
      <c r="N389" s="1" t="s">
        <v>1556</v>
      </c>
      <c r="O389" s="1" t="s">
        <v>33</v>
      </c>
      <c r="P389" s="1" t="s">
        <v>59</v>
      </c>
      <c r="Q389" s="1" t="s">
        <v>1557</v>
      </c>
      <c r="R389">
        <v>25</v>
      </c>
      <c r="S389">
        <v>3</v>
      </c>
      <c r="T389">
        <v>0.2</v>
      </c>
      <c r="U389">
        <v>4</v>
      </c>
      <c r="V389" s="1" t="s">
        <v>86</v>
      </c>
      <c r="W389" s="1" t="s">
        <v>51</v>
      </c>
    </row>
    <row r="390" spans="1:23" x14ac:dyDescent="0.35">
      <c r="A390">
        <v>1867</v>
      </c>
      <c r="B390" s="1" t="s">
        <v>1558</v>
      </c>
      <c r="C390" s="2">
        <v>42840</v>
      </c>
      <c r="D390" s="2">
        <v>42843</v>
      </c>
      <c r="E390" s="1" t="s">
        <v>90</v>
      </c>
      <c r="F390" s="1" t="s">
        <v>1559</v>
      </c>
      <c r="G390" s="1" t="s">
        <v>1560</v>
      </c>
      <c r="H390" s="1" t="s">
        <v>93</v>
      </c>
      <c r="I390" s="1" t="s">
        <v>28</v>
      </c>
      <c r="J390" s="1" t="s">
        <v>29</v>
      </c>
      <c r="K390" s="1" t="s">
        <v>1343</v>
      </c>
      <c r="L390">
        <v>89015</v>
      </c>
      <c r="M390" s="1" t="s">
        <v>57</v>
      </c>
      <c r="N390" s="1" t="s">
        <v>1015</v>
      </c>
      <c r="O390" s="1" t="s">
        <v>33</v>
      </c>
      <c r="P390" s="1" t="s">
        <v>59</v>
      </c>
      <c r="Q390" s="1" t="s">
        <v>1016</v>
      </c>
      <c r="R390">
        <v>196</v>
      </c>
      <c r="S390">
        <v>5</v>
      </c>
      <c r="T390">
        <v>0</v>
      </c>
      <c r="U390">
        <v>71</v>
      </c>
      <c r="V390" s="1" t="s">
        <v>36</v>
      </c>
      <c r="W390" s="1" t="s">
        <v>116</v>
      </c>
    </row>
    <row r="391" spans="1:23" x14ac:dyDescent="0.35">
      <c r="A391">
        <v>1872</v>
      </c>
      <c r="B391" s="1" t="s">
        <v>1561</v>
      </c>
      <c r="C391" s="2">
        <v>41841</v>
      </c>
      <c r="D391" s="2">
        <v>41845</v>
      </c>
      <c r="E391" s="1" t="s">
        <v>42</v>
      </c>
      <c r="F391" s="1" t="s">
        <v>1562</v>
      </c>
      <c r="G391" s="1" t="s">
        <v>1563</v>
      </c>
      <c r="H391" s="1" t="s">
        <v>93</v>
      </c>
      <c r="I391" s="1" t="s">
        <v>28</v>
      </c>
      <c r="J391" s="1" t="s">
        <v>331</v>
      </c>
      <c r="K391" s="1" t="s">
        <v>56</v>
      </c>
      <c r="L391">
        <v>94122</v>
      </c>
      <c r="M391" s="1" t="s">
        <v>57</v>
      </c>
      <c r="N391" s="1" t="s">
        <v>562</v>
      </c>
      <c r="O391" s="1" t="s">
        <v>33</v>
      </c>
      <c r="P391" s="1" t="s">
        <v>39</v>
      </c>
      <c r="Q391" s="1" t="s">
        <v>563</v>
      </c>
      <c r="R391">
        <v>802</v>
      </c>
      <c r="S391">
        <v>2</v>
      </c>
      <c r="T391">
        <v>0.2</v>
      </c>
      <c r="U391">
        <v>50</v>
      </c>
      <c r="V391" s="1" t="s">
        <v>86</v>
      </c>
      <c r="W391" s="1" t="s">
        <v>74</v>
      </c>
    </row>
    <row r="392" spans="1:23" x14ac:dyDescent="0.35">
      <c r="A392">
        <v>1873</v>
      </c>
      <c r="B392" s="1" t="s">
        <v>1561</v>
      </c>
      <c r="C392" s="2">
        <v>41841</v>
      </c>
      <c r="D392" s="2">
        <v>41845</v>
      </c>
      <c r="E392" s="1" t="s">
        <v>42</v>
      </c>
      <c r="F392" s="1" t="s">
        <v>1562</v>
      </c>
      <c r="G392" s="1" t="s">
        <v>1563</v>
      </c>
      <c r="H392" s="1" t="s">
        <v>93</v>
      </c>
      <c r="I392" s="1" t="s">
        <v>28</v>
      </c>
      <c r="J392" s="1" t="s">
        <v>331</v>
      </c>
      <c r="K392" s="1" t="s">
        <v>56</v>
      </c>
      <c r="L392">
        <v>94122</v>
      </c>
      <c r="M392" s="1" t="s">
        <v>57</v>
      </c>
      <c r="N392" s="1" t="s">
        <v>1564</v>
      </c>
      <c r="O392" s="1" t="s">
        <v>33</v>
      </c>
      <c r="P392" s="1" t="s">
        <v>48</v>
      </c>
      <c r="Q392" s="1" t="s">
        <v>1565</v>
      </c>
      <c r="R392">
        <v>273</v>
      </c>
      <c r="S392">
        <v>1</v>
      </c>
      <c r="T392">
        <v>0.2</v>
      </c>
      <c r="U392">
        <v>27</v>
      </c>
      <c r="V392" s="1" t="s">
        <v>86</v>
      </c>
      <c r="W392" s="1" t="s">
        <v>74</v>
      </c>
    </row>
    <row r="393" spans="1:23" x14ac:dyDescent="0.35">
      <c r="A393">
        <v>1874</v>
      </c>
      <c r="B393" s="1" t="s">
        <v>1566</v>
      </c>
      <c r="C393" s="2">
        <v>43060</v>
      </c>
      <c r="D393" s="2">
        <v>43064</v>
      </c>
      <c r="E393" s="1" t="s">
        <v>42</v>
      </c>
      <c r="F393" s="1" t="s">
        <v>1567</v>
      </c>
      <c r="G393" s="1" t="s">
        <v>1568</v>
      </c>
      <c r="H393" s="1" t="s">
        <v>27</v>
      </c>
      <c r="I393" s="1" t="s">
        <v>28</v>
      </c>
      <c r="J393" s="1" t="s">
        <v>1569</v>
      </c>
      <c r="K393" s="1" t="s">
        <v>195</v>
      </c>
      <c r="L393">
        <v>99207</v>
      </c>
      <c r="M393" s="1" t="s">
        <v>57</v>
      </c>
      <c r="N393" s="1" t="s">
        <v>1570</v>
      </c>
      <c r="O393" s="1" t="s">
        <v>33</v>
      </c>
      <c r="P393" s="1" t="s">
        <v>48</v>
      </c>
      <c r="Q393" s="1" t="s">
        <v>1571</v>
      </c>
      <c r="R393">
        <v>71</v>
      </c>
      <c r="S393">
        <v>1</v>
      </c>
      <c r="T393">
        <v>0</v>
      </c>
      <c r="U393">
        <v>21</v>
      </c>
      <c r="V393" s="1" t="s">
        <v>86</v>
      </c>
      <c r="W393" s="1" t="s">
        <v>37</v>
      </c>
    </row>
    <row r="394" spans="1:23" x14ac:dyDescent="0.35">
      <c r="A394">
        <v>1876</v>
      </c>
      <c r="B394" s="1" t="s">
        <v>1572</v>
      </c>
      <c r="C394" s="2">
        <v>42439</v>
      </c>
      <c r="D394" s="2">
        <v>42445</v>
      </c>
      <c r="E394" s="1" t="s">
        <v>42</v>
      </c>
      <c r="F394" s="1" t="s">
        <v>1348</v>
      </c>
      <c r="G394" s="1" t="s">
        <v>1349</v>
      </c>
      <c r="H394" s="1" t="s">
        <v>27</v>
      </c>
      <c r="I394" s="1" t="s">
        <v>28</v>
      </c>
      <c r="J394" s="1" t="s">
        <v>733</v>
      </c>
      <c r="K394" s="1" t="s">
        <v>123</v>
      </c>
      <c r="L394">
        <v>11561</v>
      </c>
      <c r="M394" s="1" t="s">
        <v>70</v>
      </c>
      <c r="N394" s="1" t="s">
        <v>739</v>
      </c>
      <c r="O394" s="1" t="s">
        <v>33</v>
      </c>
      <c r="P394" s="1" t="s">
        <v>34</v>
      </c>
      <c r="Q394" s="1" t="s">
        <v>740</v>
      </c>
      <c r="R394">
        <v>177</v>
      </c>
      <c r="S394">
        <v>1</v>
      </c>
      <c r="T394">
        <v>0.2</v>
      </c>
      <c r="U394">
        <v>-22</v>
      </c>
      <c r="V394" s="1" t="s">
        <v>132</v>
      </c>
      <c r="W394" s="1" t="s">
        <v>198</v>
      </c>
    </row>
    <row r="395" spans="1:23" x14ac:dyDescent="0.35">
      <c r="A395">
        <v>1878</v>
      </c>
      <c r="B395" s="1" t="s">
        <v>1573</v>
      </c>
      <c r="C395" s="2">
        <v>43098</v>
      </c>
      <c r="D395" s="2">
        <v>43102</v>
      </c>
      <c r="E395" s="1" t="s">
        <v>42</v>
      </c>
      <c r="F395" s="1" t="s">
        <v>1574</v>
      </c>
      <c r="G395" s="1" t="s">
        <v>1575</v>
      </c>
      <c r="H395" s="1" t="s">
        <v>27</v>
      </c>
      <c r="I395" s="1" t="s">
        <v>28</v>
      </c>
      <c r="J395" s="1" t="s">
        <v>55</v>
      </c>
      <c r="K395" s="1" t="s">
        <v>56</v>
      </c>
      <c r="L395">
        <v>90049</v>
      </c>
      <c r="M395" s="1" t="s">
        <v>57</v>
      </c>
      <c r="N395" s="1" t="s">
        <v>1031</v>
      </c>
      <c r="O395" s="1" t="s">
        <v>33</v>
      </c>
      <c r="P395" s="1" t="s">
        <v>39</v>
      </c>
      <c r="Q395" s="1" t="s">
        <v>1032</v>
      </c>
      <c r="R395">
        <v>394</v>
      </c>
      <c r="S395">
        <v>4</v>
      </c>
      <c r="T395">
        <v>0.2</v>
      </c>
      <c r="U395">
        <v>-44</v>
      </c>
      <c r="V395" s="1" t="s">
        <v>86</v>
      </c>
      <c r="W395" s="1" t="s">
        <v>99</v>
      </c>
    </row>
    <row r="396" spans="1:23" x14ac:dyDescent="0.35">
      <c r="A396">
        <v>1882</v>
      </c>
      <c r="B396" s="1" t="s">
        <v>1576</v>
      </c>
      <c r="C396" s="2">
        <v>42068</v>
      </c>
      <c r="D396" s="2">
        <v>42068</v>
      </c>
      <c r="E396" s="1" t="s">
        <v>428</v>
      </c>
      <c r="F396" s="1" t="s">
        <v>1577</v>
      </c>
      <c r="G396" s="1" t="s">
        <v>1578</v>
      </c>
      <c r="H396" s="1" t="s">
        <v>27</v>
      </c>
      <c r="I396" s="1" t="s">
        <v>28</v>
      </c>
      <c r="J396" s="1" t="s">
        <v>176</v>
      </c>
      <c r="K396" s="1" t="s">
        <v>123</v>
      </c>
      <c r="L396">
        <v>10011</v>
      </c>
      <c r="M396" s="1" t="s">
        <v>70</v>
      </c>
      <c r="N396" s="1" t="s">
        <v>138</v>
      </c>
      <c r="O396" s="1" t="s">
        <v>33</v>
      </c>
      <c r="P396" s="1" t="s">
        <v>39</v>
      </c>
      <c r="Q396" s="1" t="s">
        <v>139</v>
      </c>
      <c r="R396">
        <v>384</v>
      </c>
      <c r="S396">
        <v>7</v>
      </c>
      <c r="T396">
        <v>0.1</v>
      </c>
      <c r="U396">
        <v>64</v>
      </c>
      <c r="V396" s="1" t="s">
        <v>433</v>
      </c>
      <c r="W396" s="1" t="s">
        <v>198</v>
      </c>
    </row>
    <row r="397" spans="1:23" x14ac:dyDescent="0.35">
      <c r="A397">
        <v>1886</v>
      </c>
      <c r="B397" s="1" t="s">
        <v>1579</v>
      </c>
      <c r="C397" s="2">
        <v>42482</v>
      </c>
      <c r="D397" s="2">
        <v>42486</v>
      </c>
      <c r="E397" s="1" t="s">
        <v>24</v>
      </c>
      <c r="F397" s="1" t="s">
        <v>596</v>
      </c>
      <c r="G397" s="1" t="s">
        <v>597</v>
      </c>
      <c r="H397" s="1" t="s">
        <v>27</v>
      </c>
      <c r="I397" s="1" t="s">
        <v>28</v>
      </c>
      <c r="J397" s="1" t="s">
        <v>331</v>
      </c>
      <c r="K397" s="1" t="s">
        <v>56</v>
      </c>
      <c r="L397">
        <v>94122</v>
      </c>
      <c r="M397" s="1" t="s">
        <v>57</v>
      </c>
      <c r="N397" s="1" t="s">
        <v>1580</v>
      </c>
      <c r="O397" s="1" t="s">
        <v>33</v>
      </c>
      <c r="P397" s="1" t="s">
        <v>59</v>
      </c>
      <c r="Q397" s="1" t="s">
        <v>1581</v>
      </c>
      <c r="R397">
        <v>32</v>
      </c>
      <c r="S397">
        <v>3</v>
      </c>
      <c r="T397">
        <v>0</v>
      </c>
      <c r="U397">
        <v>10</v>
      </c>
      <c r="V397" s="1" t="s">
        <v>86</v>
      </c>
      <c r="W397" s="1" t="s">
        <v>116</v>
      </c>
    </row>
    <row r="398" spans="1:23" x14ac:dyDescent="0.35">
      <c r="A398">
        <v>1890</v>
      </c>
      <c r="B398" s="1" t="s">
        <v>1582</v>
      </c>
      <c r="C398" s="2">
        <v>41933</v>
      </c>
      <c r="D398" s="2">
        <v>41934</v>
      </c>
      <c r="E398" s="1" t="s">
        <v>90</v>
      </c>
      <c r="F398" s="1" t="s">
        <v>82</v>
      </c>
      <c r="G398" s="1" t="s">
        <v>83</v>
      </c>
      <c r="H398" s="1" t="s">
        <v>27</v>
      </c>
      <c r="I398" s="1" t="s">
        <v>28</v>
      </c>
      <c r="J398" s="1" t="s">
        <v>1583</v>
      </c>
      <c r="K398" s="1" t="s">
        <v>234</v>
      </c>
      <c r="L398">
        <v>45014</v>
      </c>
      <c r="M398" s="1" t="s">
        <v>70</v>
      </c>
      <c r="N398" s="1" t="s">
        <v>444</v>
      </c>
      <c r="O398" s="1" t="s">
        <v>33</v>
      </c>
      <c r="P398" s="1" t="s">
        <v>48</v>
      </c>
      <c r="Q398" s="1" t="s">
        <v>445</v>
      </c>
      <c r="R398">
        <v>410</v>
      </c>
      <c r="S398">
        <v>3</v>
      </c>
      <c r="T398">
        <v>0.4</v>
      </c>
      <c r="U398">
        <v>-123</v>
      </c>
      <c r="V398" s="1" t="s">
        <v>126</v>
      </c>
      <c r="W398" s="1" t="s">
        <v>51</v>
      </c>
    </row>
    <row r="399" spans="1:23" x14ac:dyDescent="0.35">
      <c r="A399">
        <v>1900</v>
      </c>
      <c r="B399" s="1" t="s">
        <v>1584</v>
      </c>
      <c r="C399" s="2">
        <v>41880</v>
      </c>
      <c r="D399" s="2">
        <v>41884</v>
      </c>
      <c r="E399" s="1" t="s">
        <v>24</v>
      </c>
      <c r="F399" s="1" t="s">
        <v>1585</v>
      </c>
      <c r="G399" s="1" t="s">
        <v>1586</v>
      </c>
      <c r="H399" s="1" t="s">
        <v>27</v>
      </c>
      <c r="I399" s="1" t="s">
        <v>28</v>
      </c>
      <c r="J399" s="1" t="s">
        <v>1009</v>
      </c>
      <c r="K399" s="1" t="s">
        <v>46</v>
      </c>
      <c r="L399">
        <v>33178</v>
      </c>
      <c r="M399" s="1" t="s">
        <v>31</v>
      </c>
      <c r="N399" s="1" t="s">
        <v>550</v>
      </c>
      <c r="O399" s="1" t="s">
        <v>33</v>
      </c>
      <c r="P399" s="1" t="s">
        <v>48</v>
      </c>
      <c r="Q399" s="1" t="s">
        <v>551</v>
      </c>
      <c r="R399">
        <v>174</v>
      </c>
      <c r="S399">
        <v>3</v>
      </c>
      <c r="T399">
        <v>0.45</v>
      </c>
      <c r="U399">
        <v>-111</v>
      </c>
      <c r="V399" s="1" t="s">
        <v>86</v>
      </c>
      <c r="W399" s="1" t="s">
        <v>256</v>
      </c>
    </row>
    <row r="400" spans="1:23" x14ac:dyDescent="0.35">
      <c r="A400">
        <v>1904</v>
      </c>
      <c r="B400" s="1" t="s">
        <v>1587</v>
      </c>
      <c r="C400" s="2">
        <v>43029</v>
      </c>
      <c r="D400" s="2">
        <v>43030</v>
      </c>
      <c r="E400" s="1" t="s">
        <v>90</v>
      </c>
      <c r="F400" s="1" t="s">
        <v>1307</v>
      </c>
      <c r="G400" s="1" t="s">
        <v>1308</v>
      </c>
      <c r="H400" s="1" t="s">
        <v>93</v>
      </c>
      <c r="I400" s="1" t="s">
        <v>28</v>
      </c>
      <c r="J400" s="1" t="s">
        <v>881</v>
      </c>
      <c r="K400" s="1" t="s">
        <v>1520</v>
      </c>
      <c r="L400">
        <v>97477</v>
      </c>
      <c r="M400" s="1" t="s">
        <v>57</v>
      </c>
      <c r="N400" s="1" t="s">
        <v>1588</v>
      </c>
      <c r="O400" s="1" t="s">
        <v>33</v>
      </c>
      <c r="P400" s="1" t="s">
        <v>39</v>
      </c>
      <c r="Q400" s="1" t="s">
        <v>1589</v>
      </c>
      <c r="R400">
        <v>478</v>
      </c>
      <c r="S400">
        <v>2</v>
      </c>
      <c r="T400">
        <v>0.2</v>
      </c>
      <c r="U400">
        <v>48</v>
      </c>
      <c r="V400" s="1" t="s">
        <v>126</v>
      </c>
      <c r="W400" s="1" t="s">
        <v>51</v>
      </c>
    </row>
    <row r="401" spans="1:23" x14ac:dyDescent="0.35">
      <c r="A401">
        <v>1909</v>
      </c>
      <c r="B401" s="1" t="s">
        <v>1590</v>
      </c>
      <c r="C401" s="2">
        <v>42038</v>
      </c>
      <c r="D401" s="2">
        <v>42039</v>
      </c>
      <c r="E401" s="1" t="s">
        <v>90</v>
      </c>
      <c r="F401" s="1" t="s">
        <v>1591</v>
      </c>
      <c r="G401" s="1" t="s">
        <v>1592</v>
      </c>
      <c r="H401" s="1" t="s">
        <v>93</v>
      </c>
      <c r="I401" s="1" t="s">
        <v>28</v>
      </c>
      <c r="J401" s="1" t="s">
        <v>55</v>
      </c>
      <c r="K401" s="1" t="s">
        <v>56</v>
      </c>
      <c r="L401">
        <v>90008</v>
      </c>
      <c r="M401" s="1" t="s">
        <v>57</v>
      </c>
      <c r="N401" s="1" t="s">
        <v>1593</v>
      </c>
      <c r="O401" s="1" t="s">
        <v>33</v>
      </c>
      <c r="P401" s="1" t="s">
        <v>59</v>
      </c>
      <c r="Q401" s="1" t="s">
        <v>1594</v>
      </c>
      <c r="R401">
        <v>137</v>
      </c>
      <c r="S401">
        <v>4</v>
      </c>
      <c r="T401">
        <v>0</v>
      </c>
      <c r="U401">
        <v>41</v>
      </c>
      <c r="V401" s="1" t="s">
        <v>126</v>
      </c>
      <c r="W401" s="1" t="s">
        <v>300</v>
      </c>
    </row>
    <row r="402" spans="1:23" x14ac:dyDescent="0.35">
      <c r="A402">
        <v>1910</v>
      </c>
      <c r="B402" s="1" t="s">
        <v>1595</v>
      </c>
      <c r="C402" s="2">
        <v>43087</v>
      </c>
      <c r="D402" s="2">
        <v>43092</v>
      </c>
      <c r="E402" s="1" t="s">
        <v>42</v>
      </c>
      <c r="F402" s="1" t="s">
        <v>1596</v>
      </c>
      <c r="G402" s="1" t="s">
        <v>1597</v>
      </c>
      <c r="H402" s="1" t="s">
        <v>27</v>
      </c>
      <c r="I402" s="1" t="s">
        <v>28</v>
      </c>
      <c r="J402" s="1" t="s">
        <v>764</v>
      </c>
      <c r="K402" s="1" t="s">
        <v>123</v>
      </c>
      <c r="L402">
        <v>11572</v>
      </c>
      <c r="M402" s="1" t="s">
        <v>70</v>
      </c>
      <c r="N402" s="1" t="s">
        <v>1598</v>
      </c>
      <c r="O402" s="1" t="s">
        <v>33</v>
      </c>
      <c r="P402" s="1" t="s">
        <v>59</v>
      </c>
      <c r="Q402" s="1" t="s">
        <v>1599</v>
      </c>
      <c r="R402">
        <v>19</v>
      </c>
      <c r="S402">
        <v>2</v>
      </c>
      <c r="T402">
        <v>0</v>
      </c>
      <c r="U402">
        <v>9</v>
      </c>
      <c r="V402" s="1" t="s">
        <v>61</v>
      </c>
      <c r="W402" s="1" t="s">
        <v>99</v>
      </c>
    </row>
    <row r="403" spans="1:23" x14ac:dyDescent="0.35">
      <c r="A403">
        <v>1921</v>
      </c>
      <c r="B403" s="1" t="s">
        <v>1600</v>
      </c>
      <c r="C403" s="2">
        <v>42964</v>
      </c>
      <c r="D403" s="2">
        <v>42966</v>
      </c>
      <c r="E403" s="1" t="s">
        <v>90</v>
      </c>
      <c r="F403" s="1" t="s">
        <v>1601</v>
      </c>
      <c r="G403" s="1" t="s">
        <v>1602</v>
      </c>
      <c r="H403" s="1" t="s">
        <v>93</v>
      </c>
      <c r="I403" s="1" t="s">
        <v>28</v>
      </c>
      <c r="J403" s="1" t="s">
        <v>1368</v>
      </c>
      <c r="K403" s="1" t="s">
        <v>123</v>
      </c>
      <c r="L403">
        <v>13601</v>
      </c>
      <c r="M403" s="1" t="s">
        <v>70</v>
      </c>
      <c r="N403" s="1" t="s">
        <v>1603</v>
      </c>
      <c r="O403" s="1" t="s">
        <v>33</v>
      </c>
      <c r="P403" s="1" t="s">
        <v>39</v>
      </c>
      <c r="Q403" s="1" t="s">
        <v>1604</v>
      </c>
      <c r="R403">
        <v>463</v>
      </c>
      <c r="S403">
        <v>2</v>
      </c>
      <c r="T403">
        <v>0.1</v>
      </c>
      <c r="U403">
        <v>98</v>
      </c>
      <c r="V403" s="1" t="s">
        <v>73</v>
      </c>
      <c r="W403" s="1" t="s">
        <v>256</v>
      </c>
    </row>
    <row r="404" spans="1:23" x14ac:dyDescent="0.35">
      <c r="A404">
        <v>1933</v>
      </c>
      <c r="B404" s="1" t="s">
        <v>1605</v>
      </c>
      <c r="C404" s="2">
        <v>42953</v>
      </c>
      <c r="D404" s="2">
        <v>42957</v>
      </c>
      <c r="E404" s="1" t="s">
        <v>24</v>
      </c>
      <c r="F404" s="1" t="s">
        <v>742</v>
      </c>
      <c r="G404" s="1" t="s">
        <v>743</v>
      </c>
      <c r="H404" s="1" t="s">
        <v>27</v>
      </c>
      <c r="I404" s="1" t="s">
        <v>28</v>
      </c>
      <c r="J404" s="1" t="s">
        <v>1408</v>
      </c>
      <c r="K404" s="1" t="s">
        <v>1409</v>
      </c>
      <c r="L404">
        <v>70506</v>
      </c>
      <c r="M404" s="1" t="s">
        <v>31</v>
      </c>
      <c r="N404" s="1" t="s">
        <v>1606</v>
      </c>
      <c r="O404" s="1" t="s">
        <v>33</v>
      </c>
      <c r="P404" s="1" t="s">
        <v>34</v>
      </c>
      <c r="Q404" s="1" t="s">
        <v>1607</v>
      </c>
      <c r="R404">
        <v>146</v>
      </c>
      <c r="S404">
        <v>3</v>
      </c>
      <c r="T404">
        <v>0</v>
      </c>
      <c r="U404">
        <v>23</v>
      </c>
      <c r="V404" s="1" t="s">
        <v>86</v>
      </c>
      <c r="W404" s="1" t="s">
        <v>256</v>
      </c>
    </row>
    <row r="405" spans="1:23" x14ac:dyDescent="0.35">
      <c r="A405">
        <v>1934</v>
      </c>
      <c r="B405" s="1" t="s">
        <v>1605</v>
      </c>
      <c r="C405" s="2">
        <v>42953</v>
      </c>
      <c r="D405" s="2">
        <v>42957</v>
      </c>
      <c r="E405" s="1" t="s">
        <v>24</v>
      </c>
      <c r="F405" s="1" t="s">
        <v>742</v>
      </c>
      <c r="G405" s="1" t="s">
        <v>743</v>
      </c>
      <c r="H405" s="1" t="s">
        <v>27</v>
      </c>
      <c r="I405" s="1" t="s">
        <v>28</v>
      </c>
      <c r="J405" s="1" t="s">
        <v>1408</v>
      </c>
      <c r="K405" s="1" t="s">
        <v>1409</v>
      </c>
      <c r="L405">
        <v>70506</v>
      </c>
      <c r="M405" s="1" t="s">
        <v>31</v>
      </c>
      <c r="N405" s="1" t="s">
        <v>114</v>
      </c>
      <c r="O405" s="1" t="s">
        <v>33</v>
      </c>
      <c r="P405" s="1" t="s">
        <v>59</v>
      </c>
      <c r="Q405" s="1" t="s">
        <v>115</v>
      </c>
      <c r="R405">
        <v>15</v>
      </c>
      <c r="S405">
        <v>5</v>
      </c>
      <c r="T405">
        <v>0</v>
      </c>
      <c r="U405">
        <v>7</v>
      </c>
      <c r="V405" s="1" t="s">
        <v>86</v>
      </c>
      <c r="W405" s="1" t="s">
        <v>256</v>
      </c>
    </row>
    <row r="406" spans="1:23" x14ac:dyDescent="0.35">
      <c r="A406">
        <v>1937</v>
      </c>
      <c r="B406" s="1" t="s">
        <v>1608</v>
      </c>
      <c r="C406" s="2">
        <v>42149</v>
      </c>
      <c r="D406" s="2">
        <v>42151</v>
      </c>
      <c r="E406" s="1" t="s">
        <v>24</v>
      </c>
      <c r="F406" s="1" t="s">
        <v>1609</v>
      </c>
      <c r="G406" s="1" t="s">
        <v>1610</v>
      </c>
      <c r="H406" s="1" t="s">
        <v>103</v>
      </c>
      <c r="I406" s="1" t="s">
        <v>28</v>
      </c>
      <c r="J406" s="1" t="s">
        <v>331</v>
      </c>
      <c r="K406" s="1" t="s">
        <v>56</v>
      </c>
      <c r="L406">
        <v>94109</v>
      </c>
      <c r="M406" s="1" t="s">
        <v>57</v>
      </c>
      <c r="N406" s="1" t="s">
        <v>1102</v>
      </c>
      <c r="O406" s="1" t="s">
        <v>33</v>
      </c>
      <c r="P406" s="1" t="s">
        <v>59</v>
      </c>
      <c r="Q406" s="1" t="s">
        <v>1103</v>
      </c>
      <c r="R406">
        <v>15</v>
      </c>
      <c r="S406">
        <v>3</v>
      </c>
      <c r="T406">
        <v>0</v>
      </c>
      <c r="U406">
        <v>5</v>
      </c>
      <c r="V406" s="1" t="s">
        <v>73</v>
      </c>
      <c r="W406" s="1" t="s">
        <v>164</v>
      </c>
    </row>
    <row r="407" spans="1:23" x14ac:dyDescent="0.35">
      <c r="A407">
        <v>1941</v>
      </c>
      <c r="B407" s="1" t="s">
        <v>1611</v>
      </c>
      <c r="C407" s="2">
        <v>42559</v>
      </c>
      <c r="D407" s="2">
        <v>42563</v>
      </c>
      <c r="E407" s="1" t="s">
        <v>42</v>
      </c>
      <c r="F407" s="1" t="s">
        <v>1612</v>
      </c>
      <c r="G407" s="1" t="s">
        <v>1613</v>
      </c>
      <c r="H407" s="1" t="s">
        <v>27</v>
      </c>
      <c r="I407" s="1" t="s">
        <v>28</v>
      </c>
      <c r="J407" s="1" t="s">
        <v>1614</v>
      </c>
      <c r="K407" s="1" t="s">
        <v>183</v>
      </c>
      <c r="L407">
        <v>80020</v>
      </c>
      <c r="M407" s="1" t="s">
        <v>57</v>
      </c>
      <c r="N407" s="1" t="s">
        <v>249</v>
      </c>
      <c r="O407" s="1" t="s">
        <v>33</v>
      </c>
      <c r="P407" s="1" t="s">
        <v>39</v>
      </c>
      <c r="Q407" s="1" t="s">
        <v>250</v>
      </c>
      <c r="R407">
        <v>663</v>
      </c>
      <c r="S407">
        <v>3</v>
      </c>
      <c r="T407">
        <v>0.2</v>
      </c>
      <c r="U407">
        <v>75</v>
      </c>
      <c r="V407" s="1" t="s">
        <v>86</v>
      </c>
      <c r="W407" s="1" t="s">
        <v>74</v>
      </c>
    </row>
    <row r="408" spans="1:23" x14ac:dyDescent="0.35">
      <c r="A408">
        <v>1948</v>
      </c>
      <c r="B408" s="1" t="s">
        <v>1615</v>
      </c>
      <c r="C408" s="2">
        <v>42980</v>
      </c>
      <c r="D408" s="2">
        <v>42984</v>
      </c>
      <c r="E408" s="1" t="s">
        <v>42</v>
      </c>
      <c r="F408" s="1" t="s">
        <v>1616</v>
      </c>
      <c r="G408" s="1" t="s">
        <v>1617</v>
      </c>
      <c r="H408" s="1" t="s">
        <v>93</v>
      </c>
      <c r="I408" s="1" t="s">
        <v>28</v>
      </c>
      <c r="J408" s="1" t="s">
        <v>176</v>
      </c>
      <c r="K408" s="1" t="s">
        <v>123</v>
      </c>
      <c r="L408">
        <v>10009</v>
      </c>
      <c r="M408" s="1" t="s">
        <v>70</v>
      </c>
      <c r="N408" s="1" t="s">
        <v>1499</v>
      </c>
      <c r="O408" s="1" t="s">
        <v>33</v>
      </c>
      <c r="P408" s="1" t="s">
        <v>59</v>
      </c>
      <c r="Q408" s="1" t="s">
        <v>1500</v>
      </c>
      <c r="R408">
        <v>12</v>
      </c>
      <c r="S408">
        <v>2</v>
      </c>
      <c r="T408">
        <v>0</v>
      </c>
      <c r="U408">
        <v>3</v>
      </c>
      <c r="V408" s="1" t="s">
        <v>86</v>
      </c>
      <c r="W408" s="1" t="s">
        <v>80</v>
      </c>
    </row>
    <row r="409" spans="1:23" x14ac:dyDescent="0.35">
      <c r="A409">
        <v>1949</v>
      </c>
      <c r="B409" s="1" t="s">
        <v>1615</v>
      </c>
      <c r="C409" s="2">
        <v>42980</v>
      </c>
      <c r="D409" s="2">
        <v>42984</v>
      </c>
      <c r="E409" s="1" t="s">
        <v>42</v>
      </c>
      <c r="F409" s="1" t="s">
        <v>1616</v>
      </c>
      <c r="G409" s="1" t="s">
        <v>1617</v>
      </c>
      <c r="H409" s="1" t="s">
        <v>93</v>
      </c>
      <c r="I409" s="1" t="s">
        <v>28</v>
      </c>
      <c r="J409" s="1" t="s">
        <v>176</v>
      </c>
      <c r="K409" s="1" t="s">
        <v>123</v>
      </c>
      <c r="L409">
        <v>10009</v>
      </c>
      <c r="M409" s="1" t="s">
        <v>70</v>
      </c>
      <c r="N409" s="1" t="s">
        <v>524</v>
      </c>
      <c r="O409" s="1" t="s">
        <v>33</v>
      </c>
      <c r="P409" s="1" t="s">
        <v>48</v>
      </c>
      <c r="Q409" s="1" t="s">
        <v>525</v>
      </c>
      <c r="R409">
        <v>255</v>
      </c>
      <c r="S409">
        <v>1</v>
      </c>
      <c r="T409">
        <v>0.4</v>
      </c>
      <c r="U409">
        <v>-93</v>
      </c>
      <c r="V409" s="1" t="s">
        <v>86</v>
      </c>
      <c r="W409" s="1" t="s">
        <v>80</v>
      </c>
    </row>
    <row r="410" spans="1:23" x14ac:dyDescent="0.35">
      <c r="A410">
        <v>1954</v>
      </c>
      <c r="B410" s="1" t="s">
        <v>1615</v>
      </c>
      <c r="C410" s="2">
        <v>42980</v>
      </c>
      <c r="D410" s="2">
        <v>42984</v>
      </c>
      <c r="E410" s="1" t="s">
        <v>42</v>
      </c>
      <c r="F410" s="1" t="s">
        <v>1616</v>
      </c>
      <c r="G410" s="1" t="s">
        <v>1617</v>
      </c>
      <c r="H410" s="1" t="s">
        <v>93</v>
      </c>
      <c r="I410" s="1" t="s">
        <v>28</v>
      </c>
      <c r="J410" s="1" t="s">
        <v>176</v>
      </c>
      <c r="K410" s="1" t="s">
        <v>123</v>
      </c>
      <c r="L410">
        <v>10009</v>
      </c>
      <c r="M410" s="1" t="s">
        <v>70</v>
      </c>
      <c r="N410" s="1" t="s">
        <v>578</v>
      </c>
      <c r="O410" s="1" t="s">
        <v>33</v>
      </c>
      <c r="P410" s="1" t="s">
        <v>39</v>
      </c>
      <c r="Q410" s="1" t="s">
        <v>579</v>
      </c>
      <c r="R410">
        <v>1282</v>
      </c>
      <c r="S410">
        <v>5</v>
      </c>
      <c r="T410">
        <v>0.1</v>
      </c>
      <c r="U410">
        <v>214</v>
      </c>
      <c r="V410" s="1" t="s">
        <v>86</v>
      </c>
      <c r="W410" s="1" t="s">
        <v>80</v>
      </c>
    </row>
    <row r="411" spans="1:23" x14ac:dyDescent="0.35">
      <c r="A411">
        <v>1978</v>
      </c>
      <c r="B411" s="1" t="s">
        <v>1618</v>
      </c>
      <c r="C411" s="2">
        <v>41930</v>
      </c>
      <c r="D411" s="2">
        <v>41932</v>
      </c>
      <c r="E411" s="1" t="s">
        <v>24</v>
      </c>
      <c r="F411" s="1" t="s">
        <v>374</v>
      </c>
      <c r="G411" s="1" t="s">
        <v>375</v>
      </c>
      <c r="H411" s="1" t="s">
        <v>93</v>
      </c>
      <c r="I411" s="1" t="s">
        <v>28</v>
      </c>
      <c r="J411" s="1" t="s">
        <v>1619</v>
      </c>
      <c r="K411" s="1" t="s">
        <v>1279</v>
      </c>
      <c r="L411">
        <v>36116</v>
      </c>
      <c r="M411" s="1" t="s">
        <v>31</v>
      </c>
      <c r="N411" s="1" t="s">
        <v>1620</v>
      </c>
      <c r="O411" s="1" t="s">
        <v>33</v>
      </c>
      <c r="P411" s="1" t="s">
        <v>39</v>
      </c>
      <c r="Q411" s="1" t="s">
        <v>1621</v>
      </c>
      <c r="R411">
        <v>546</v>
      </c>
      <c r="S411">
        <v>6</v>
      </c>
      <c r="T411">
        <v>0</v>
      </c>
      <c r="U411">
        <v>71</v>
      </c>
      <c r="V411" s="1" t="s">
        <v>73</v>
      </c>
      <c r="W411" s="1" t="s">
        <v>51</v>
      </c>
    </row>
    <row r="412" spans="1:23" x14ac:dyDescent="0.35">
      <c r="A412">
        <v>1980</v>
      </c>
      <c r="B412" s="1" t="s">
        <v>1622</v>
      </c>
      <c r="C412" s="2">
        <v>42474</v>
      </c>
      <c r="D412" s="2">
        <v>42474</v>
      </c>
      <c r="E412" s="1" t="s">
        <v>428</v>
      </c>
      <c r="F412" s="1" t="s">
        <v>1218</v>
      </c>
      <c r="G412" s="1" t="s">
        <v>1219</v>
      </c>
      <c r="H412" s="1" t="s">
        <v>27</v>
      </c>
      <c r="I412" s="1" t="s">
        <v>28</v>
      </c>
      <c r="J412" s="1" t="s">
        <v>1305</v>
      </c>
      <c r="K412" s="1" t="s">
        <v>523</v>
      </c>
      <c r="L412">
        <v>85301</v>
      </c>
      <c r="M412" s="1" t="s">
        <v>57</v>
      </c>
      <c r="N412" s="1" t="s">
        <v>384</v>
      </c>
      <c r="O412" s="1" t="s">
        <v>33</v>
      </c>
      <c r="P412" s="1" t="s">
        <v>39</v>
      </c>
      <c r="Q412" s="1" t="s">
        <v>385</v>
      </c>
      <c r="R412">
        <v>934</v>
      </c>
      <c r="S412">
        <v>4</v>
      </c>
      <c r="T412">
        <v>0.2</v>
      </c>
      <c r="U412">
        <v>105</v>
      </c>
      <c r="V412" s="1" t="s">
        <v>433</v>
      </c>
      <c r="W412" s="1" t="s">
        <v>116</v>
      </c>
    </row>
    <row r="413" spans="1:23" x14ac:dyDescent="0.35">
      <c r="A413">
        <v>1985</v>
      </c>
      <c r="B413" s="1" t="s">
        <v>1623</v>
      </c>
      <c r="C413" s="2">
        <v>41968</v>
      </c>
      <c r="D413" s="2">
        <v>41970</v>
      </c>
      <c r="E413" s="1" t="s">
        <v>24</v>
      </c>
      <c r="F413" s="1" t="s">
        <v>1624</v>
      </c>
      <c r="G413" s="1" t="s">
        <v>1625</v>
      </c>
      <c r="H413" s="1" t="s">
        <v>93</v>
      </c>
      <c r="I413" s="1" t="s">
        <v>28</v>
      </c>
      <c r="J413" s="1" t="s">
        <v>1626</v>
      </c>
      <c r="K413" s="1" t="s">
        <v>56</v>
      </c>
      <c r="L413">
        <v>94513</v>
      </c>
      <c r="M413" s="1" t="s">
        <v>57</v>
      </c>
      <c r="N413" s="1" t="s">
        <v>930</v>
      </c>
      <c r="O413" s="1" t="s">
        <v>33</v>
      </c>
      <c r="P413" s="1" t="s">
        <v>59</v>
      </c>
      <c r="Q413" s="1" t="s">
        <v>319</v>
      </c>
      <c r="R413">
        <v>24</v>
      </c>
      <c r="S413">
        <v>3</v>
      </c>
      <c r="T413">
        <v>0</v>
      </c>
      <c r="U413">
        <v>11</v>
      </c>
      <c r="V413" s="1" t="s">
        <v>73</v>
      </c>
      <c r="W413" s="1" t="s">
        <v>37</v>
      </c>
    </row>
    <row r="414" spans="1:23" x14ac:dyDescent="0.35">
      <c r="A414">
        <v>1989</v>
      </c>
      <c r="B414" s="1" t="s">
        <v>1627</v>
      </c>
      <c r="C414" s="2">
        <v>42317</v>
      </c>
      <c r="D414" s="2">
        <v>42321</v>
      </c>
      <c r="E414" s="1" t="s">
        <v>42</v>
      </c>
      <c r="F414" s="1" t="s">
        <v>1628</v>
      </c>
      <c r="G414" s="1" t="s">
        <v>1629</v>
      </c>
      <c r="H414" s="1" t="s">
        <v>27</v>
      </c>
      <c r="I414" s="1" t="s">
        <v>28</v>
      </c>
      <c r="J414" s="1" t="s">
        <v>881</v>
      </c>
      <c r="K414" s="1" t="s">
        <v>568</v>
      </c>
      <c r="L414">
        <v>65807</v>
      </c>
      <c r="M414" s="1" t="s">
        <v>96</v>
      </c>
      <c r="N414" s="1" t="s">
        <v>1630</v>
      </c>
      <c r="O414" s="1" t="s">
        <v>33</v>
      </c>
      <c r="P414" s="1" t="s">
        <v>48</v>
      </c>
      <c r="Q414" s="1" t="s">
        <v>1631</v>
      </c>
      <c r="R414">
        <v>1024</v>
      </c>
      <c r="S414">
        <v>7</v>
      </c>
      <c r="T414">
        <v>0</v>
      </c>
      <c r="U414">
        <v>215</v>
      </c>
      <c r="V414" s="1" t="s">
        <v>86</v>
      </c>
      <c r="W414" s="1" t="s">
        <v>37</v>
      </c>
    </row>
    <row r="415" spans="1:23" x14ac:dyDescent="0.35">
      <c r="A415">
        <v>1997</v>
      </c>
      <c r="B415" s="1" t="s">
        <v>1632</v>
      </c>
      <c r="C415" s="2">
        <v>43071</v>
      </c>
      <c r="D415" s="2">
        <v>43073</v>
      </c>
      <c r="E415" s="1" t="s">
        <v>24</v>
      </c>
      <c r="F415" s="1" t="s">
        <v>1633</v>
      </c>
      <c r="G415" s="1" t="s">
        <v>1634</v>
      </c>
      <c r="H415" s="1" t="s">
        <v>27</v>
      </c>
      <c r="I415" s="1" t="s">
        <v>28</v>
      </c>
      <c r="J415" s="1" t="s">
        <v>104</v>
      </c>
      <c r="K415" s="1" t="s">
        <v>95</v>
      </c>
      <c r="L415">
        <v>77036</v>
      </c>
      <c r="M415" s="1" t="s">
        <v>96</v>
      </c>
      <c r="N415" s="1" t="s">
        <v>623</v>
      </c>
      <c r="O415" s="1" t="s">
        <v>33</v>
      </c>
      <c r="P415" s="1" t="s">
        <v>59</v>
      </c>
      <c r="Q415" s="1" t="s">
        <v>624</v>
      </c>
      <c r="R415">
        <v>9</v>
      </c>
      <c r="S415">
        <v>4</v>
      </c>
      <c r="T415">
        <v>0.6</v>
      </c>
      <c r="U415">
        <v>-4</v>
      </c>
      <c r="V415" s="1" t="s">
        <v>73</v>
      </c>
      <c r="W415" s="1" t="s">
        <v>99</v>
      </c>
    </row>
    <row r="416" spans="1:23" x14ac:dyDescent="0.35">
      <c r="A416">
        <v>2004</v>
      </c>
      <c r="B416" s="1" t="s">
        <v>1635</v>
      </c>
      <c r="C416" s="2">
        <v>43094</v>
      </c>
      <c r="D416" s="2">
        <v>43097</v>
      </c>
      <c r="E416" s="1" t="s">
        <v>24</v>
      </c>
      <c r="F416" s="1" t="s">
        <v>1471</v>
      </c>
      <c r="G416" s="1" t="s">
        <v>1472</v>
      </c>
      <c r="H416" s="1" t="s">
        <v>27</v>
      </c>
      <c r="I416" s="1" t="s">
        <v>28</v>
      </c>
      <c r="J416" s="1" t="s">
        <v>868</v>
      </c>
      <c r="K416" s="1" t="s">
        <v>30</v>
      </c>
      <c r="L416">
        <v>40214</v>
      </c>
      <c r="M416" s="1" t="s">
        <v>31</v>
      </c>
      <c r="N416" s="1" t="s">
        <v>138</v>
      </c>
      <c r="O416" s="1" t="s">
        <v>33</v>
      </c>
      <c r="P416" s="1" t="s">
        <v>39</v>
      </c>
      <c r="Q416" s="1" t="s">
        <v>139</v>
      </c>
      <c r="R416">
        <v>304</v>
      </c>
      <c r="S416">
        <v>5</v>
      </c>
      <c r="T416">
        <v>0</v>
      </c>
      <c r="U416">
        <v>76</v>
      </c>
      <c r="V416" s="1" t="s">
        <v>36</v>
      </c>
      <c r="W416" s="1" t="s">
        <v>99</v>
      </c>
    </row>
    <row r="417" spans="1:23" x14ac:dyDescent="0.35">
      <c r="A417">
        <v>2008</v>
      </c>
      <c r="B417" s="1" t="s">
        <v>1636</v>
      </c>
      <c r="C417" s="2">
        <v>42950</v>
      </c>
      <c r="D417" s="2">
        <v>42951</v>
      </c>
      <c r="E417" s="1" t="s">
        <v>90</v>
      </c>
      <c r="F417" s="1" t="s">
        <v>1637</v>
      </c>
      <c r="G417" s="1" t="s">
        <v>1638</v>
      </c>
      <c r="H417" s="1" t="s">
        <v>27</v>
      </c>
      <c r="I417" s="1" t="s">
        <v>28</v>
      </c>
      <c r="J417" s="1" t="s">
        <v>136</v>
      </c>
      <c r="K417" s="1" t="s">
        <v>137</v>
      </c>
      <c r="L417">
        <v>60623</v>
      </c>
      <c r="M417" s="1" t="s">
        <v>96</v>
      </c>
      <c r="N417" s="1" t="s">
        <v>1639</v>
      </c>
      <c r="O417" s="1" t="s">
        <v>33</v>
      </c>
      <c r="P417" s="1" t="s">
        <v>34</v>
      </c>
      <c r="Q417" s="1" t="s">
        <v>1640</v>
      </c>
      <c r="R417">
        <v>183</v>
      </c>
      <c r="S417">
        <v>2</v>
      </c>
      <c r="T417">
        <v>0.3</v>
      </c>
      <c r="U417">
        <v>-37</v>
      </c>
      <c r="V417" s="1" t="s">
        <v>126</v>
      </c>
      <c r="W417" s="1" t="s">
        <v>256</v>
      </c>
    </row>
    <row r="418" spans="1:23" x14ac:dyDescent="0.35">
      <c r="A418">
        <v>2014</v>
      </c>
      <c r="B418" s="1" t="s">
        <v>1641</v>
      </c>
      <c r="C418" s="2">
        <v>42631</v>
      </c>
      <c r="D418" s="2">
        <v>42636</v>
      </c>
      <c r="E418" s="1" t="s">
        <v>42</v>
      </c>
      <c r="F418" s="1" t="s">
        <v>1642</v>
      </c>
      <c r="G418" s="1" t="s">
        <v>1643</v>
      </c>
      <c r="H418" s="1" t="s">
        <v>27</v>
      </c>
      <c r="I418" s="1" t="s">
        <v>28</v>
      </c>
      <c r="J418" s="1" t="s">
        <v>955</v>
      </c>
      <c r="K418" s="1" t="s">
        <v>1279</v>
      </c>
      <c r="L418">
        <v>36830</v>
      </c>
      <c r="M418" s="1" t="s">
        <v>31</v>
      </c>
      <c r="N418" s="1" t="s">
        <v>1489</v>
      </c>
      <c r="O418" s="1" t="s">
        <v>33</v>
      </c>
      <c r="P418" s="1" t="s">
        <v>39</v>
      </c>
      <c r="Q418" s="1" t="s">
        <v>1490</v>
      </c>
      <c r="R418">
        <v>351</v>
      </c>
      <c r="S418">
        <v>1</v>
      </c>
      <c r="T418">
        <v>0</v>
      </c>
      <c r="U418">
        <v>84</v>
      </c>
      <c r="V418" s="1" t="s">
        <v>61</v>
      </c>
      <c r="W418" s="1" t="s">
        <v>80</v>
      </c>
    </row>
    <row r="419" spans="1:23" x14ac:dyDescent="0.35">
      <c r="A419">
        <v>2024</v>
      </c>
      <c r="B419" s="1" t="s">
        <v>1644</v>
      </c>
      <c r="C419" s="2">
        <v>42632</v>
      </c>
      <c r="D419" s="2">
        <v>42634</v>
      </c>
      <c r="E419" s="1" t="s">
        <v>90</v>
      </c>
      <c r="F419" s="1" t="s">
        <v>1645</v>
      </c>
      <c r="G419" s="1" t="s">
        <v>1646</v>
      </c>
      <c r="H419" s="1" t="s">
        <v>103</v>
      </c>
      <c r="I419" s="1" t="s">
        <v>28</v>
      </c>
      <c r="J419" s="1" t="s">
        <v>1647</v>
      </c>
      <c r="K419" s="1" t="s">
        <v>1648</v>
      </c>
      <c r="L419">
        <v>2908</v>
      </c>
      <c r="M419" s="1" t="s">
        <v>70</v>
      </c>
      <c r="N419" s="1" t="s">
        <v>819</v>
      </c>
      <c r="O419" s="1" t="s">
        <v>33</v>
      </c>
      <c r="P419" s="1" t="s">
        <v>39</v>
      </c>
      <c r="Q419" s="1" t="s">
        <v>820</v>
      </c>
      <c r="R419">
        <v>872</v>
      </c>
      <c r="S419">
        <v>4</v>
      </c>
      <c r="T419">
        <v>0</v>
      </c>
      <c r="U419">
        <v>244</v>
      </c>
      <c r="V419" s="1" t="s">
        <v>73</v>
      </c>
      <c r="W419" s="1" t="s">
        <v>80</v>
      </c>
    </row>
    <row r="420" spans="1:23" x14ac:dyDescent="0.35">
      <c r="A420">
        <v>2026</v>
      </c>
      <c r="B420" s="1" t="s">
        <v>1649</v>
      </c>
      <c r="C420" s="2">
        <v>42076</v>
      </c>
      <c r="D420" s="2">
        <v>42078</v>
      </c>
      <c r="E420" s="1" t="s">
        <v>90</v>
      </c>
      <c r="F420" s="1" t="s">
        <v>1406</v>
      </c>
      <c r="G420" s="1" t="s">
        <v>1407</v>
      </c>
      <c r="H420" s="1" t="s">
        <v>27</v>
      </c>
      <c r="I420" s="1" t="s">
        <v>28</v>
      </c>
      <c r="J420" s="1" t="s">
        <v>194</v>
      </c>
      <c r="K420" s="1" t="s">
        <v>195</v>
      </c>
      <c r="L420">
        <v>98103</v>
      </c>
      <c r="M420" s="1" t="s">
        <v>57</v>
      </c>
      <c r="N420" s="1" t="s">
        <v>813</v>
      </c>
      <c r="O420" s="1" t="s">
        <v>33</v>
      </c>
      <c r="P420" s="1" t="s">
        <v>34</v>
      </c>
      <c r="Q420" s="1" t="s">
        <v>814</v>
      </c>
      <c r="R420">
        <v>142</v>
      </c>
      <c r="S420">
        <v>2</v>
      </c>
      <c r="T420">
        <v>0</v>
      </c>
      <c r="U420">
        <v>40</v>
      </c>
      <c r="V420" s="1" t="s">
        <v>73</v>
      </c>
      <c r="W420" s="1" t="s">
        <v>198</v>
      </c>
    </row>
    <row r="421" spans="1:23" x14ac:dyDescent="0.35">
      <c r="A421">
        <v>2036</v>
      </c>
      <c r="B421" s="1" t="s">
        <v>1650</v>
      </c>
      <c r="C421" s="2">
        <v>43003</v>
      </c>
      <c r="D421" s="2">
        <v>43007</v>
      </c>
      <c r="E421" s="1" t="s">
        <v>42</v>
      </c>
      <c r="F421" s="1" t="s">
        <v>1651</v>
      </c>
      <c r="G421" s="1" t="s">
        <v>1652</v>
      </c>
      <c r="H421" s="1" t="s">
        <v>27</v>
      </c>
      <c r="I421" s="1" t="s">
        <v>28</v>
      </c>
      <c r="J421" s="1" t="s">
        <v>897</v>
      </c>
      <c r="K421" s="1" t="s">
        <v>169</v>
      </c>
      <c r="L421">
        <v>55901</v>
      </c>
      <c r="M421" s="1" t="s">
        <v>96</v>
      </c>
      <c r="N421" s="1" t="s">
        <v>117</v>
      </c>
      <c r="O421" s="1" t="s">
        <v>33</v>
      </c>
      <c r="P421" s="1" t="s">
        <v>39</v>
      </c>
      <c r="Q421" s="1" t="s">
        <v>118</v>
      </c>
      <c r="R421">
        <v>270</v>
      </c>
      <c r="S421">
        <v>3</v>
      </c>
      <c r="T421">
        <v>0</v>
      </c>
      <c r="U421">
        <v>51</v>
      </c>
      <c r="V421" s="1" t="s">
        <v>86</v>
      </c>
      <c r="W421" s="1" t="s">
        <v>80</v>
      </c>
    </row>
    <row r="422" spans="1:23" x14ac:dyDescent="0.35">
      <c r="A422">
        <v>2042</v>
      </c>
      <c r="B422" s="1" t="s">
        <v>1653</v>
      </c>
      <c r="C422" s="2">
        <v>42173</v>
      </c>
      <c r="D422" s="2">
        <v>42178</v>
      </c>
      <c r="E422" s="1" t="s">
        <v>42</v>
      </c>
      <c r="F422" s="1" t="s">
        <v>1654</v>
      </c>
      <c r="G422" s="1" t="s">
        <v>1655</v>
      </c>
      <c r="H422" s="1" t="s">
        <v>103</v>
      </c>
      <c r="I422" s="1" t="s">
        <v>28</v>
      </c>
      <c r="J422" s="1" t="s">
        <v>1382</v>
      </c>
      <c r="K422" s="1" t="s">
        <v>523</v>
      </c>
      <c r="L422">
        <v>85345</v>
      </c>
      <c r="M422" s="1" t="s">
        <v>57</v>
      </c>
      <c r="N422" s="1" t="s">
        <v>1545</v>
      </c>
      <c r="O422" s="1" t="s">
        <v>33</v>
      </c>
      <c r="P422" s="1" t="s">
        <v>59</v>
      </c>
      <c r="Q422" s="1" t="s">
        <v>1546</v>
      </c>
      <c r="R422">
        <v>75</v>
      </c>
      <c r="S422">
        <v>5</v>
      </c>
      <c r="T422">
        <v>0.2</v>
      </c>
      <c r="U422">
        <v>21</v>
      </c>
      <c r="V422" s="1" t="s">
        <v>61</v>
      </c>
      <c r="W422" s="1" t="s">
        <v>62</v>
      </c>
    </row>
    <row r="423" spans="1:23" x14ac:dyDescent="0.35">
      <c r="A423">
        <v>2049</v>
      </c>
      <c r="B423" s="1" t="s">
        <v>1656</v>
      </c>
      <c r="C423" s="2">
        <v>42196</v>
      </c>
      <c r="D423" s="2">
        <v>42198</v>
      </c>
      <c r="E423" s="1" t="s">
        <v>90</v>
      </c>
      <c r="F423" s="1" t="s">
        <v>1657</v>
      </c>
      <c r="G423" s="1" t="s">
        <v>1658</v>
      </c>
      <c r="H423" s="1" t="s">
        <v>27</v>
      </c>
      <c r="I423" s="1" t="s">
        <v>28</v>
      </c>
      <c r="J423" s="1" t="s">
        <v>68</v>
      </c>
      <c r="K423" s="1" t="s">
        <v>69</v>
      </c>
      <c r="L423">
        <v>19134</v>
      </c>
      <c r="M423" s="1" t="s">
        <v>70</v>
      </c>
      <c r="N423" s="1" t="s">
        <v>87</v>
      </c>
      <c r="O423" s="1" t="s">
        <v>33</v>
      </c>
      <c r="P423" s="1" t="s">
        <v>59</v>
      </c>
      <c r="Q423" s="1" t="s">
        <v>88</v>
      </c>
      <c r="R423">
        <v>290</v>
      </c>
      <c r="S423">
        <v>7</v>
      </c>
      <c r="T423">
        <v>0.2</v>
      </c>
      <c r="U423">
        <v>36</v>
      </c>
      <c r="V423" s="1" t="s">
        <v>73</v>
      </c>
      <c r="W423" s="1" t="s">
        <v>74</v>
      </c>
    </row>
    <row r="424" spans="1:23" x14ac:dyDescent="0.35">
      <c r="A424">
        <v>2052</v>
      </c>
      <c r="B424" s="1" t="s">
        <v>1656</v>
      </c>
      <c r="C424" s="2">
        <v>42196</v>
      </c>
      <c r="D424" s="2">
        <v>42198</v>
      </c>
      <c r="E424" s="1" t="s">
        <v>90</v>
      </c>
      <c r="F424" s="1" t="s">
        <v>1657</v>
      </c>
      <c r="G424" s="1" t="s">
        <v>1658</v>
      </c>
      <c r="H424" s="1" t="s">
        <v>27</v>
      </c>
      <c r="I424" s="1" t="s">
        <v>28</v>
      </c>
      <c r="J424" s="1" t="s">
        <v>68</v>
      </c>
      <c r="K424" s="1" t="s">
        <v>69</v>
      </c>
      <c r="L424">
        <v>19134</v>
      </c>
      <c r="M424" s="1" t="s">
        <v>70</v>
      </c>
      <c r="N424" s="1" t="s">
        <v>1659</v>
      </c>
      <c r="O424" s="1" t="s">
        <v>33</v>
      </c>
      <c r="P424" s="1" t="s">
        <v>39</v>
      </c>
      <c r="Q424" s="1" t="s">
        <v>1660</v>
      </c>
      <c r="R424">
        <v>341</v>
      </c>
      <c r="S424">
        <v>8</v>
      </c>
      <c r="T424">
        <v>0.3</v>
      </c>
      <c r="U424">
        <v>-73</v>
      </c>
      <c r="V424" s="1" t="s">
        <v>73</v>
      </c>
      <c r="W424" s="1" t="s">
        <v>74</v>
      </c>
    </row>
    <row r="425" spans="1:23" x14ac:dyDescent="0.35">
      <c r="A425">
        <v>2054</v>
      </c>
      <c r="B425" s="1" t="s">
        <v>1656</v>
      </c>
      <c r="C425" s="2">
        <v>42196</v>
      </c>
      <c r="D425" s="2">
        <v>42198</v>
      </c>
      <c r="E425" s="1" t="s">
        <v>90</v>
      </c>
      <c r="F425" s="1" t="s">
        <v>1657</v>
      </c>
      <c r="G425" s="1" t="s">
        <v>1658</v>
      </c>
      <c r="H425" s="1" t="s">
        <v>27</v>
      </c>
      <c r="I425" s="1" t="s">
        <v>28</v>
      </c>
      <c r="J425" s="1" t="s">
        <v>68</v>
      </c>
      <c r="K425" s="1" t="s">
        <v>69</v>
      </c>
      <c r="L425">
        <v>19134</v>
      </c>
      <c r="M425" s="1" t="s">
        <v>70</v>
      </c>
      <c r="N425" s="1" t="s">
        <v>1661</v>
      </c>
      <c r="O425" s="1" t="s">
        <v>33</v>
      </c>
      <c r="P425" s="1" t="s">
        <v>59</v>
      </c>
      <c r="Q425" s="1" t="s">
        <v>1662</v>
      </c>
      <c r="R425">
        <v>25</v>
      </c>
      <c r="S425">
        <v>6</v>
      </c>
      <c r="T425">
        <v>0.2</v>
      </c>
      <c r="U425">
        <v>3</v>
      </c>
      <c r="V425" s="1" t="s">
        <v>73</v>
      </c>
      <c r="W425" s="1" t="s">
        <v>74</v>
      </c>
    </row>
    <row r="426" spans="1:23" x14ac:dyDescent="0.35">
      <c r="A426">
        <v>2055</v>
      </c>
      <c r="B426" s="1" t="s">
        <v>1663</v>
      </c>
      <c r="C426" s="2">
        <v>42705</v>
      </c>
      <c r="D426" s="2">
        <v>42711</v>
      </c>
      <c r="E426" s="1" t="s">
        <v>42</v>
      </c>
      <c r="F426" s="1" t="s">
        <v>1664</v>
      </c>
      <c r="G426" s="1" t="s">
        <v>1665</v>
      </c>
      <c r="H426" s="1" t="s">
        <v>27</v>
      </c>
      <c r="I426" s="1" t="s">
        <v>28</v>
      </c>
      <c r="J426" s="1" t="s">
        <v>638</v>
      </c>
      <c r="K426" s="1" t="s">
        <v>113</v>
      </c>
      <c r="L426">
        <v>47374</v>
      </c>
      <c r="M426" s="1" t="s">
        <v>96</v>
      </c>
      <c r="N426" s="1" t="s">
        <v>1499</v>
      </c>
      <c r="O426" s="1" t="s">
        <v>33</v>
      </c>
      <c r="P426" s="1" t="s">
        <v>59</v>
      </c>
      <c r="Q426" s="1" t="s">
        <v>1500</v>
      </c>
      <c r="R426">
        <v>17</v>
      </c>
      <c r="S426">
        <v>3</v>
      </c>
      <c r="T426">
        <v>0</v>
      </c>
      <c r="U426">
        <v>5</v>
      </c>
      <c r="V426" s="1" t="s">
        <v>132</v>
      </c>
      <c r="W426" s="1" t="s">
        <v>99</v>
      </c>
    </row>
    <row r="427" spans="1:23" x14ac:dyDescent="0.35">
      <c r="A427">
        <v>2057</v>
      </c>
      <c r="B427" s="1" t="s">
        <v>1666</v>
      </c>
      <c r="C427" s="2">
        <v>43091</v>
      </c>
      <c r="D427" s="2">
        <v>43094</v>
      </c>
      <c r="E427" s="1" t="s">
        <v>90</v>
      </c>
      <c r="F427" s="1" t="s">
        <v>1667</v>
      </c>
      <c r="G427" s="1" t="s">
        <v>1668</v>
      </c>
      <c r="H427" s="1" t="s">
        <v>27</v>
      </c>
      <c r="I427" s="1" t="s">
        <v>28</v>
      </c>
      <c r="J427" s="1" t="s">
        <v>291</v>
      </c>
      <c r="K427" s="1" t="s">
        <v>292</v>
      </c>
      <c r="L427">
        <v>48227</v>
      </c>
      <c r="M427" s="1" t="s">
        <v>96</v>
      </c>
      <c r="N427" s="1" t="s">
        <v>808</v>
      </c>
      <c r="O427" s="1" t="s">
        <v>33</v>
      </c>
      <c r="P427" s="1" t="s">
        <v>39</v>
      </c>
      <c r="Q427" s="1" t="s">
        <v>809</v>
      </c>
      <c r="R427">
        <v>1587</v>
      </c>
      <c r="S427">
        <v>7</v>
      </c>
      <c r="T427">
        <v>0</v>
      </c>
      <c r="U427">
        <v>413</v>
      </c>
      <c r="V427" s="1" t="s">
        <v>36</v>
      </c>
      <c r="W427" s="1" t="s">
        <v>99</v>
      </c>
    </row>
    <row r="428" spans="1:23" x14ac:dyDescent="0.35">
      <c r="A428">
        <v>2059</v>
      </c>
      <c r="B428" s="1" t="s">
        <v>1666</v>
      </c>
      <c r="C428" s="2">
        <v>43091</v>
      </c>
      <c r="D428" s="2">
        <v>43094</v>
      </c>
      <c r="E428" s="1" t="s">
        <v>90</v>
      </c>
      <c r="F428" s="1" t="s">
        <v>1667</v>
      </c>
      <c r="G428" s="1" t="s">
        <v>1668</v>
      </c>
      <c r="H428" s="1" t="s">
        <v>27</v>
      </c>
      <c r="I428" s="1" t="s">
        <v>28</v>
      </c>
      <c r="J428" s="1" t="s">
        <v>291</v>
      </c>
      <c r="K428" s="1" t="s">
        <v>292</v>
      </c>
      <c r="L428">
        <v>48227</v>
      </c>
      <c r="M428" s="1" t="s">
        <v>96</v>
      </c>
      <c r="N428" s="1" t="s">
        <v>215</v>
      </c>
      <c r="O428" s="1" t="s">
        <v>33</v>
      </c>
      <c r="P428" s="1" t="s">
        <v>48</v>
      </c>
      <c r="Q428" s="1" t="s">
        <v>216</v>
      </c>
      <c r="R428">
        <v>412</v>
      </c>
      <c r="S428">
        <v>2</v>
      </c>
      <c r="T428">
        <v>0</v>
      </c>
      <c r="U428">
        <v>70</v>
      </c>
      <c r="V428" s="1" t="s">
        <v>36</v>
      </c>
      <c r="W428" s="1" t="s">
        <v>99</v>
      </c>
    </row>
    <row r="429" spans="1:23" x14ac:dyDescent="0.35">
      <c r="A429">
        <v>2066</v>
      </c>
      <c r="B429" s="1" t="s">
        <v>1669</v>
      </c>
      <c r="C429" s="2">
        <v>41943</v>
      </c>
      <c r="D429" s="2">
        <v>41947</v>
      </c>
      <c r="E429" s="1" t="s">
        <v>42</v>
      </c>
      <c r="F429" s="1" t="s">
        <v>1670</v>
      </c>
      <c r="G429" s="1" t="s">
        <v>1671</v>
      </c>
      <c r="H429" s="1" t="s">
        <v>93</v>
      </c>
      <c r="I429" s="1" t="s">
        <v>28</v>
      </c>
      <c r="J429" s="1" t="s">
        <v>55</v>
      </c>
      <c r="K429" s="1" t="s">
        <v>56</v>
      </c>
      <c r="L429">
        <v>90049</v>
      </c>
      <c r="M429" s="1" t="s">
        <v>57</v>
      </c>
      <c r="N429" s="1" t="s">
        <v>1659</v>
      </c>
      <c r="O429" s="1" t="s">
        <v>33</v>
      </c>
      <c r="P429" s="1" t="s">
        <v>39</v>
      </c>
      <c r="Q429" s="1" t="s">
        <v>1660</v>
      </c>
      <c r="R429">
        <v>146</v>
      </c>
      <c r="S429">
        <v>3</v>
      </c>
      <c r="T429">
        <v>0.2</v>
      </c>
      <c r="U429">
        <v>-9</v>
      </c>
      <c r="V429" s="1" t="s">
        <v>86</v>
      </c>
      <c r="W429" s="1" t="s">
        <v>51</v>
      </c>
    </row>
    <row r="430" spans="1:23" x14ac:dyDescent="0.35">
      <c r="A430">
        <v>2070</v>
      </c>
      <c r="B430" s="1" t="s">
        <v>1672</v>
      </c>
      <c r="C430" s="2">
        <v>42107</v>
      </c>
      <c r="D430" s="2">
        <v>42113</v>
      </c>
      <c r="E430" s="1" t="s">
        <v>42</v>
      </c>
      <c r="F430" s="1" t="s">
        <v>846</v>
      </c>
      <c r="G430" s="1" t="s">
        <v>847</v>
      </c>
      <c r="H430" s="1" t="s">
        <v>27</v>
      </c>
      <c r="I430" s="1" t="s">
        <v>28</v>
      </c>
      <c r="J430" s="1" t="s">
        <v>1673</v>
      </c>
      <c r="K430" s="1" t="s">
        <v>56</v>
      </c>
      <c r="L430">
        <v>91767</v>
      </c>
      <c r="M430" s="1" t="s">
        <v>57</v>
      </c>
      <c r="N430" s="1" t="s">
        <v>1674</v>
      </c>
      <c r="O430" s="1" t="s">
        <v>33</v>
      </c>
      <c r="P430" s="1" t="s">
        <v>48</v>
      </c>
      <c r="Q430" s="1" t="s">
        <v>1675</v>
      </c>
      <c r="R430">
        <v>711</v>
      </c>
      <c r="S430">
        <v>3</v>
      </c>
      <c r="T430">
        <v>0.2</v>
      </c>
      <c r="U430">
        <v>-98</v>
      </c>
      <c r="V430" s="1" t="s">
        <v>132</v>
      </c>
      <c r="W430" s="1" t="s">
        <v>116</v>
      </c>
    </row>
    <row r="431" spans="1:23" x14ac:dyDescent="0.35">
      <c r="A431">
        <v>2072</v>
      </c>
      <c r="B431" s="1" t="s">
        <v>1676</v>
      </c>
      <c r="C431" s="2">
        <v>43059</v>
      </c>
      <c r="D431" s="2">
        <v>43064</v>
      </c>
      <c r="E431" s="1" t="s">
        <v>42</v>
      </c>
      <c r="F431" s="1" t="s">
        <v>1677</v>
      </c>
      <c r="G431" s="1" t="s">
        <v>1678</v>
      </c>
      <c r="H431" s="1" t="s">
        <v>27</v>
      </c>
      <c r="I431" s="1" t="s">
        <v>28</v>
      </c>
      <c r="J431" s="1" t="s">
        <v>1679</v>
      </c>
      <c r="K431" s="1" t="s">
        <v>56</v>
      </c>
      <c r="L431">
        <v>91761</v>
      </c>
      <c r="M431" s="1" t="s">
        <v>57</v>
      </c>
      <c r="N431" s="1" t="s">
        <v>461</v>
      </c>
      <c r="O431" s="1" t="s">
        <v>33</v>
      </c>
      <c r="P431" s="1" t="s">
        <v>39</v>
      </c>
      <c r="Q431" s="1" t="s">
        <v>462</v>
      </c>
      <c r="R431">
        <v>284</v>
      </c>
      <c r="S431">
        <v>5</v>
      </c>
      <c r="T431">
        <v>0.2</v>
      </c>
      <c r="U431">
        <v>-46</v>
      </c>
      <c r="V431" s="1" t="s">
        <v>61</v>
      </c>
      <c r="W431" s="1" t="s">
        <v>37</v>
      </c>
    </row>
    <row r="432" spans="1:23" x14ac:dyDescent="0.35">
      <c r="A432">
        <v>2076</v>
      </c>
      <c r="B432" s="1" t="s">
        <v>1680</v>
      </c>
      <c r="C432" s="2">
        <v>41974</v>
      </c>
      <c r="D432" s="2">
        <v>41978</v>
      </c>
      <c r="E432" s="1" t="s">
        <v>42</v>
      </c>
      <c r="F432" s="1" t="s">
        <v>1681</v>
      </c>
      <c r="G432" s="1" t="s">
        <v>1682</v>
      </c>
      <c r="H432" s="1" t="s">
        <v>27</v>
      </c>
      <c r="I432" s="1" t="s">
        <v>28</v>
      </c>
      <c r="J432" s="1" t="s">
        <v>331</v>
      </c>
      <c r="K432" s="1" t="s">
        <v>56</v>
      </c>
      <c r="L432">
        <v>94122</v>
      </c>
      <c r="M432" s="1" t="s">
        <v>57</v>
      </c>
      <c r="N432" s="1" t="s">
        <v>366</v>
      </c>
      <c r="O432" s="1" t="s">
        <v>33</v>
      </c>
      <c r="P432" s="1" t="s">
        <v>59</v>
      </c>
      <c r="Q432" s="1" t="s">
        <v>367</v>
      </c>
      <c r="R432">
        <v>58</v>
      </c>
      <c r="S432">
        <v>3</v>
      </c>
      <c r="T432">
        <v>0</v>
      </c>
      <c r="U432">
        <v>29</v>
      </c>
      <c r="V432" s="1" t="s">
        <v>86</v>
      </c>
      <c r="W432" s="1" t="s">
        <v>99</v>
      </c>
    </row>
    <row r="433" spans="1:23" x14ac:dyDescent="0.35">
      <c r="A433">
        <v>2082</v>
      </c>
      <c r="B433" s="1" t="s">
        <v>1683</v>
      </c>
      <c r="C433" s="2">
        <v>42362</v>
      </c>
      <c r="D433" s="2">
        <v>42367</v>
      </c>
      <c r="E433" s="1" t="s">
        <v>42</v>
      </c>
      <c r="F433" s="1" t="s">
        <v>1684</v>
      </c>
      <c r="G433" s="1" t="s">
        <v>1685</v>
      </c>
      <c r="H433" s="1" t="s">
        <v>27</v>
      </c>
      <c r="I433" s="1" t="s">
        <v>28</v>
      </c>
      <c r="J433" s="1" t="s">
        <v>522</v>
      </c>
      <c r="K433" s="1" t="s">
        <v>523</v>
      </c>
      <c r="L433">
        <v>85023</v>
      </c>
      <c r="M433" s="1" t="s">
        <v>57</v>
      </c>
      <c r="N433" s="1" t="s">
        <v>962</v>
      </c>
      <c r="O433" s="1" t="s">
        <v>33</v>
      </c>
      <c r="P433" s="1" t="s">
        <v>59</v>
      </c>
      <c r="Q433" s="1" t="s">
        <v>963</v>
      </c>
      <c r="R433">
        <v>8</v>
      </c>
      <c r="S433">
        <v>2</v>
      </c>
      <c r="T433">
        <v>0.2</v>
      </c>
      <c r="U433">
        <v>2</v>
      </c>
      <c r="V433" s="1" t="s">
        <v>61</v>
      </c>
      <c r="W433" s="1" t="s">
        <v>99</v>
      </c>
    </row>
    <row r="434" spans="1:23" x14ac:dyDescent="0.35">
      <c r="A434">
        <v>2092</v>
      </c>
      <c r="B434" s="1" t="s">
        <v>1686</v>
      </c>
      <c r="C434" s="2">
        <v>42931</v>
      </c>
      <c r="D434" s="2">
        <v>42935</v>
      </c>
      <c r="E434" s="1" t="s">
        <v>42</v>
      </c>
      <c r="F434" s="1" t="s">
        <v>1687</v>
      </c>
      <c r="G434" s="1" t="s">
        <v>1688</v>
      </c>
      <c r="H434" s="1" t="s">
        <v>27</v>
      </c>
      <c r="I434" s="1" t="s">
        <v>28</v>
      </c>
      <c r="J434" s="1" t="s">
        <v>202</v>
      </c>
      <c r="K434" s="1" t="s">
        <v>203</v>
      </c>
      <c r="L434">
        <v>19805</v>
      </c>
      <c r="M434" s="1" t="s">
        <v>70</v>
      </c>
      <c r="N434" s="1" t="s">
        <v>1468</v>
      </c>
      <c r="O434" s="1" t="s">
        <v>33</v>
      </c>
      <c r="P434" s="1" t="s">
        <v>48</v>
      </c>
      <c r="Q434" s="1" t="s">
        <v>1469</v>
      </c>
      <c r="R434">
        <v>310</v>
      </c>
      <c r="S434">
        <v>3</v>
      </c>
      <c r="T434">
        <v>0.3</v>
      </c>
      <c r="U434">
        <v>-49</v>
      </c>
      <c r="V434" s="1" t="s">
        <v>86</v>
      </c>
      <c r="W434" s="1" t="s">
        <v>74</v>
      </c>
    </row>
    <row r="435" spans="1:23" x14ac:dyDescent="0.35">
      <c r="A435">
        <v>2093</v>
      </c>
      <c r="B435" s="1" t="s">
        <v>1689</v>
      </c>
      <c r="C435" s="2">
        <v>41960</v>
      </c>
      <c r="D435" s="2">
        <v>41964</v>
      </c>
      <c r="E435" s="1" t="s">
        <v>42</v>
      </c>
      <c r="F435" s="1" t="s">
        <v>261</v>
      </c>
      <c r="G435" s="1" t="s">
        <v>262</v>
      </c>
      <c r="H435" s="1" t="s">
        <v>103</v>
      </c>
      <c r="I435" s="1" t="s">
        <v>28</v>
      </c>
      <c r="J435" s="1" t="s">
        <v>1690</v>
      </c>
      <c r="K435" s="1" t="s">
        <v>169</v>
      </c>
      <c r="L435">
        <v>56560</v>
      </c>
      <c r="M435" s="1" t="s">
        <v>96</v>
      </c>
      <c r="N435" s="1" t="s">
        <v>1282</v>
      </c>
      <c r="O435" s="1" t="s">
        <v>33</v>
      </c>
      <c r="P435" s="1" t="s">
        <v>39</v>
      </c>
      <c r="Q435" s="1" t="s">
        <v>1283</v>
      </c>
      <c r="R435">
        <v>480</v>
      </c>
      <c r="S435">
        <v>5</v>
      </c>
      <c r="T435">
        <v>0</v>
      </c>
      <c r="U435">
        <v>82</v>
      </c>
      <c r="V435" s="1" t="s">
        <v>86</v>
      </c>
      <c r="W435" s="1" t="s">
        <v>37</v>
      </c>
    </row>
    <row r="436" spans="1:23" x14ac:dyDescent="0.35">
      <c r="A436">
        <v>2103</v>
      </c>
      <c r="B436" s="1" t="s">
        <v>1691</v>
      </c>
      <c r="C436" s="2">
        <v>41838</v>
      </c>
      <c r="D436" s="2">
        <v>41838</v>
      </c>
      <c r="E436" s="1" t="s">
        <v>428</v>
      </c>
      <c r="F436" s="1" t="s">
        <v>1692</v>
      </c>
      <c r="G436" s="1" t="s">
        <v>1693</v>
      </c>
      <c r="H436" s="1" t="s">
        <v>103</v>
      </c>
      <c r="I436" s="1" t="s">
        <v>28</v>
      </c>
      <c r="J436" s="1" t="s">
        <v>1225</v>
      </c>
      <c r="K436" s="1" t="s">
        <v>523</v>
      </c>
      <c r="L436">
        <v>85705</v>
      </c>
      <c r="M436" s="1" t="s">
        <v>57</v>
      </c>
      <c r="N436" s="1" t="s">
        <v>498</v>
      </c>
      <c r="O436" s="1" t="s">
        <v>33</v>
      </c>
      <c r="P436" s="1" t="s">
        <v>39</v>
      </c>
      <c r="Q436" s="1" t="s">
        <v>499</v>
      </c>
      <c r="R436">
        <v>259</v>
      </c>
      <c r="S436">
        <v>4</v>
      </c>
      <c r="T436">
        <v>0.2</v>
      </c>
      <c r="U436">
        <v>-26</v>
      </c>
      <c r="V436" s="1" t="s">
        <v>433</v>
      </c>
      <c r="W436" s="1" t="s">
        <v>74</v>
      </c>
    </row>
    <row r="437" spans="1:23" x14ac:dyDescent="0.35">
      <c r="A437">
        <v>2112</v>
      </c>
      <c r="B437" s="1" t="s">
        <v>1694</v>
      </c>
      <c r="C437" s="2">
        <v>42308</v>
      </c>
      <c r="D437" s="2">
        <v>42308</v>
      </c>
      <c r="E437" s="1" t="s">
        <v>428</v>
      </c>
      <c r="F437" s="1" t="s">
        <v>1695</v>
      </c>
      <c r="G437" s="1" t="s">
        <v>1696</v>
      </c>
      <c r="H437" s="1" t="s">
        <v>27</v>
      </c>
      <c r="I437" s="1" t="s">
        <v>28</v>
      </c>
      <c r="J437" s="1" t="s">
        <v>1697</v>
      </c>
      <c r="K437" s="1" t="s">
        <v>56</v>
      </c>
      <c r="L437">
        <v>92374</v>
      </c>
      <c r="M437" s="1" t="s">
        <v>57</v>
      </c>
      <c r="N437" s="1" t="s">
        <v>107</v>
      </c>
      <c r="O437" s="1" t="s">
        <v>33</v>
      </c>
      <c r="P437" s="1" t="s">
        <v>39</v>
      </c>
      <c r="Q437" s="1" t="s">
        <v>108</v>
      </c>
      <c r="R437">
        <v>323</v>
      </c>
      <c r="S437">
        <v>4</v>
      </c>
      <c r="T437">
        <v>0.2</v>
      </c>
      <c r="U437">
        <v>20</v>
      </c>
      <c r="V437" s="1" t="s">
        <v>433</v>
      </c>
      <c r="W437" s="1" t="s">
        <v>51</v>
      </c>
    </row>
    <row r="438" spans="1:23" x14ac:dyDescent="0.35">
      <c r="A438">
        <v>2116</v>
      </c>
      <c r="B438" s="1" t="s">
        <v>1694</v>
      </c>
      <c r="C438" s="2">
        <v>42308</v>
      </c>
      <c r="D438" s="2">
        <v>42308</v>
      </c>
      <c r="E438" s="1" t="s">
        <v>428</v>
      </c>
      <c r="F438" s="1" t="s">
        <v>1695</v>
      </c>
      <c r="G438" s="1" t="s">
        <v>1696</v>
      </c>
      <c r="H438" s="1" t="s">
        <v>27</v>
      </c>
      <c r="I438" s="1" t="s">
        <v>28</v>
      </c>
      <c r="J438" s="1" t="s">
        <v>1697</v>
      </c>
      <c r="K438" s="1" t="s">
        <v>56</v>
      </c>
      <c r="L438">
        <v>92374</v>
      </c>
      <c r="M438" s="1" t="s">
        <v>57</v>
      </c>
      <c r="N438" s="1" t="s">
        <v>1698</v>
      </c>
      <c r="O438" s="1" t="s">
        <v>33</v>
      </c>
      <c r="P438" s="1" t="s">
        <v>34</v>
      </c>
      <c r="Q438" s="1" t="s">
        <v>1699</v>
      </c>
      <c r="R438">
        <v>426</v>
      </c>
      <c r="S438">
        <v>1</v>
      </c>
      <c r="T438">
        <v>0.15</v>
      </c>
      <c r="U438">
        <v>20</v>
      </c>
      <c r="V438" s="1" t="s">
        <v>433</v>
      </c>
      <c r="W438" s="1" t="s">
        <v>51</v>
      </c>
    </row>
    <row r="439" spans="1:23" x14ac:dyDescent="0.35">
      <c r="A439">
        <v>2117</v>
      </c>
      <c r="B439" s="1" t="s">
        <v>1700</v>
      </c>
      <c r="C439" s="2">
        <v>42289</v>
      </c>
      <c r="D439" s="2">
        <v>42294</v>
      </c>
      <c r="E439" s="1" t="s">
        <v>24</v>
      </c>
      <c r="F439" s="1" t="s">
        <v>1701</v>
      </c>
      <c r="G439" s="1" t="s">
        <v>1702</v>
      </c>
      <c r="H439" s="1" t="s">
        <v>27</v>
      </c>
      <c r="I439" s="1" t="s">
        <v>28</v>
      </c>
      <c r="J439" s="1" t="s">
        <v>897</v>
      </c>
      <c r="K439" s="1" t="s">
        <v>123</v>
      </c>
      <c r="L439">
        <v>14609</v>
      </c>
      <c r="M439" s="1" t="s">
        <v>70</v>
      </c>
      <c r="N439" s="1" t="s">
        <v>1464</v>
      </c>
      <c r="O439" s="1" t="s">
        <v>33</v>
      </c>
      <c r="P439" s="1" t="s">
        <v>48</v>
      </c>
      <c r="Q439" s="1" t="s">
        <v>1465</v>
      </c>
      <c r="R439">
        <v>210</v>
      </c>
      <c r="S439">
        <v>1</v>
      </c>
      <c r="T439">
        <v>0.4</v>
      </c>
      <c r="U439">
        <v>-14</v>
      </c>
      <c r="V439" s="1" t="s">
        <v>61</v>
      </c>
      <c r="W439" s="1" t="s">
        <v>51</v>
      </c>
    </row>
    <row r="440" spans="1:23" x14ac:dyDescent="0.35">
      <c r="A440">
        <v>2122</v>
      </c>
      <c r="B440" s="1" t="s">
        <v>1703</v>
      </c>
      <c r="C440" s="2">
        <v>43048</v>
      </c>
      <c r="D440" s="2">
        <v>43050</v>
      </c>
      <c r="E440" s="1" t="s">
        <v>90</v>
      </c>
      <c r="F440" s="1" t="s">
        <v>1704</v>
      </c>
      <c r="G440" s="1" t="s">
        <v>1705</v>
      </c>
      <c r="H440" s="1" t="s">
        <v>93</v>
      </c>
      <c r="I440" s="1" t="s">
        <v>28</v>
      </c>
      <c r="J440" s="1" t="s">
        <v>1706</v>
      </c>
      <c r="K440" s="1" t="s">
        <v>56</v>
      </c>
      <c r="L440">
        <v>94086</v>
      </c>
      <c r="M440" s="1" t="s">
        <v>57</v>
      </c>
      <c r="N440" s="1" t="s">
        <v>117</v>
      </c>
      <c r="O440" s="1" t="s">
        <v>33</v>
      </c>
      <c r="P440" s="1" t="s">
        <v>39</v>
      </c>
      <c r="Q440" s="1" t="s">
        <v>118</v>
      </c>
      <c r="R440">
        <v>216</v>
      </c>
      <c r="S440">
        <v>3</v>
      </c>
      <c r="T440">
        <v>0.2</v>
      </c>
      <c r="U440">
        <v>-3</v>
      </c>
      <c r="V440" s="1" t="s">
        <v>73</v>
      </c>
      <c r="W440" s="1" t="s">
        <v>37</v>
      </c>
    </row>
    <row r="441" spans="1:23" x14ac:dyDescent="0.35">
      <c r="A441">
        <v>2123</v>
      </c>
      <c r="B441" s="1" t="s">
        <v>1707</v>
      </c>
      <c r="C441" s="2">
        <v>43000</v>
      </c>
      <c r="D441" s="2">
        <v>43002</v>
      </c>
      <c r="E441" s="1" t="s">
        <v>24</v>
      </c>
      <c r="F441" s="1" t="s">
        <v>1708</v>
      </c>
      <c r="G441" s="1" t="s">
        <v>1709</v>
      </c>
      <c r="H441" s="1" t="s">
        <v>103</v>
      </c>
      <c r="I441" s="1" t="s">
        <v>28</v>
      </c>
      <c r="J441" s="1" t="s">
        <v>1710</v>
      </c>
      <c r="K441" s="1" t="s">
        <v>292</v>
      </c>
      <c r="L441">
        <v>48911</v>
      </c>
      <c r="M441" s="1" t="s">
        <v>96</v>
      </c>
      <c r="N441" s="1" t="s">
        <v>459</v>
      </c>
      <c r="O441" s="1" t="s">
        <v>33</v>
      </c>
      <c r="P441" s="1" t="s">
        <v>34</v>
      </c>
      <c r="Q441" s="1" t="s">
        <v>460</v>
      </c>
      <c r="R441">
        <v>242</v>
      </c>
      <c r="S441">
        <v>2</v>
      </c>
      <c r="T441">
        <v>0</v>
      </c>
      <c r="U441">
        <v>41</v>
      </c>
      <c r="V441" s="1" t="s">
        <v>73</v>
      </c>
      <c r="W441" s="1" t="s">
        <v>80</v>
      </c>
    </row>
    <row r="442" spans="1:23" x14ac:dyDescent="0.35">
      <c r="A442">
        <v>2128</v>
      </c>
      <c r="B442" s="1" t="s">
        <v>1711</v>
      </c>
      <c r="C442" s="2">
        <v>42281</v>
      </c>
      <c r="D442" s="2">
        <v>42286</v>
      </c>
      <c r="E442" s="1" t="s">
        <v>42</v>
      </c>
      <c r="F442" s="1" t="s">
        <v>1240</v>
      </c>
      <c r="G442" s="1" t="s">
        <v>1241</v>
      </c>
      <c r="H442" s="1" t="s">
        <v>103</v>
      </c>
      <c r="I442" s="1" t="s">
        <v>28</v>
      </c>
      <c r="J442" s="1" t="s">
        <v>68</v>
      </c>
      <c r="K442" s="1" t="s">
        <v>69</v>
      </c>
      <c r="L442">
        <v>19134</v>
      </c>
      <c r="M442" s="1" t="s">
        <v>70</v>
      </c>
      <c r="N442" s="1" t="s">
        <v>1712</v>
      </c>
      <c r="O442" s="1" t="s">
        <v>33</v>
      </c>
      <c r="P442" s="1" t="s">
        <v>59</v>
      </c>
      <c r="Q442" s="1" t="s">
        <v>1713</v>
      </c>
      <c r="R442">
        <v>65</v>
      </c>
      <c r="S442">
        <v>3</v>
      </c>
      <c r="T442">
        <v>0.2</v>
      </c>
      <c r="U442">
        <v>6</v>
      </c>
      <c r="V442" s="1" t="s">
        <v>61</v>
      </c>
      <c r="W442" s="1" t="s">
        <v>51</v>
      </c>
    </row>
    <row r="443" spans="1:23" x14ac:dyDescent="0.35">
      <c r="A443">
        <v>2132</v>
      </c>
      <c r="B443" s="1" t="s">
        <v>1714</v>
      </c>
      <c r="C443" s="2">
        <v>41779</v>
      </c>
      <c r="D443" s="2">
        <v>41781</v>
      </c>
      <c r="E443" s="1" t="s">
        <v>24</v>
      </c>
      <c r="F443" s="1" t="s">
        <v>1715</v>
      </c>
      <c r="G443" s="1" t="s">
        <v>1716</v>
      </c>
      <c r="H443" s="1" t="s">
        <v>93</v>
      </c>
      <c r="I443" s="1" t="s">
        <v>28</v>
      </c>
      <c r="J443" s="1" t="s">
        <v>744</v>
      </c>
      <c r="K443" s="1" t="s">
        <v>887</v>
      </c>
      <c r="L443">
        <v>3820</v>
      </c>
      <c r="M443" s="1" t="s">
        <v>70</v>
      </c>
      <c r="N443" s="1" t="s">
        <v>1124</v>
      </c>
      <c r="O443" s="1" t="s">
        <v>33</v>
      </c>
      <c r="P443" s="1" t="s">
        <v>59</v>
      </c>
      <c r="Q443" s="1" t="s">
        <v>1125</v>
      </c>
      <c r="R443">
        <v>140</v>
      </c>
      <c r="S443">
        <v>7</v>
      </c>
      <c r="T443">
        <v>0</v>
      </c>
      <c r="U443">
        <v>60</v>
      </c>
      <c r="V443" s="1" t="s">
        <v>73</v>
      </c>
      <c r="W443" s="1" t="s">
        <v>164</v>
      </c>
    </row>
    <row r="444" spans="1:23" x14ac:dyDescent="0.35">
      <c r="A444">
        <v>2137</v>
      </c>
      <c r="B444" s="1" t="s">
        <v>1717</v>
      </c>
      <c r="C444" s="2">
        <v>42369</v>
      </c>
      <c r="D444" s="2">
        <v>42374</v>
      </c>
      <c r="E444" s="1" t="s">
        <v>42</v>
      </c>
      <c r="F444" s="1" t="s">
        <v>1718</v>
      </c>
      <c r="G444" s="1" t="s">
        <v>1719</v>
      </c>
      <c r="H444" s="1" t="s">
        <v>27</v>
      </c>
      <c r="I444" s="1" t="s">
        <v>28</v>
      </c>
      <c r="J444" s="1" t="s">
        <v>1720</v>
      </c>
      <c r="K444" s="1" t="s">
        <v>95</v>
      </c>
      <c r="L444">
        <v>75051</v>
      </c>
      <c r="M444" s="1" t="s">
        <v>96</v>
      </c>
      <c r="N444" s="1" t="s">
        <v>1721</v>
      </c>
      <c r="O444" s="1" t="s">
        <v>33</v>
      </c>
      <c r="P444" s="1" t="s">
        <v>59</v>
      </c>
      <c r="Q444" s="1" t="s">
        <v>1722</v>
      </c>
      <c r="R444">
        <v>15</v>
      </c>
      <c r="S444">
        <v>5</v>
      </c>
      <c r="T444">
        <v>0.6</v>
      </c>
      <c r="U444">
        <v>-11</v>
      </c>
      <c r="V444" s="1" t="s">
        <v>61</v>
      </c>
      <c r="W444" s="1" t="s">
        <v>99</v>
      </c>
    </row>
    <row r="445" spans="1:23" x14ac:dyDescent="0.35">
      <c r="A445">
        <v>2142</v>
      </c>
      <c r="B445" s="1" t="s">
        <v>1723</v>
      </c>
      <c r="C445" s="2">
        <v>41796</v>
      </c>
      <c r="D445" s="2">
        <v>41801</v>
      </c>
      <c r="E445" s="1" t="s">
        <v>42</v>
      </c>
      <c r="F445" s="1" t="s">
        <v>1724</v>
      </c>
      <c r="G445" s="1" t="s">
        <v>1725</v>
      </c>
      <c r="H445" s="1" t="s">
        <v>93</v>
      </c>
      <c r="I445" s="1" t="s">
        <v>28</v>
      </c>
      <c r="J445" s="1" t="s">
        <v>733</v>
      </c>
      <c r="K445" s="1" t="s">
        <v>123</v>
      </c>
      <c r="L445">
        <v>11561</v>
      </c>
      <c r="M445" s="1" t="s">
        <v>70</v>
      </c>
      <c r="N445" s="1" t="s">
        <v>1726</v>
      </c>
      <c r="O445" s="1" t="s">
        <v>33</v>
      </c>
      <c r="P445" s="1" t="s">
        <v>48</v>
      </c>
      <c r="Q445" s="1" t="s">
        <v>1727</v>
      </c>
      <c r="R445">
        <v>992</v>
      </c>
      <c r="S445">
        <v>3</v>
      </c>
      <c r="T445">
        <v>0.4</v>
      </c>
      <c r="U445">
        <v>-347</v>
      </c>
      <c r="V445" s="1" t="s">
        <v>61</v>
      </c>
      <c r="W445" s="1" t="s">
        <v>62</v>
      </c>
    </row>
    <row r="446" spans="1:23" x14ac:dyDescent="0.35">
      <c r="A446">
        <v>2146</v>
      </c>
      <c r="B446" s="1" t="s">
        <v>1728</v>
      </c>
      <c r="C446" s="2">
        <v>42546</v>
      </c>
      <c r="D446" s="2">
        <v>42550</v>
      </c>
      <c r="E446" s="1" t="s">
        <v>42</v>
      </c>
      <c r="F446" s="1" t="s">
        <v>1729</v>
      </c>
      <c r="G446" s="1" t="s">
        <v>1730</v>
      </c>
      <c r="H446" s="1" t="s">
        <v>93</v>
      </c>
      <c r="I446" s="1" t="s">
        <v>28</v>
      </c>
      <c r="J446" s="1" t="s">
        <v>1731</v>
      </c>
      <c r="K446" s="1" t="s">
        <v>69</v>
      </c>
      <c r="L446">
        <v>17403</v>
      </c>
      <c r="M446" s="1" t="s">
        <v>70</v>
      </c>
      <c r="N446" s="1" t="s">
        <v>332</v>
      </c>
      <c r="O446" s="1" t="s">
        <v>33</v>
      </c>
      <c r="P446" s="1" t="s">
        <v>39</v>
      </c>
      <c r="Q446" s="1" t="s">
        <v>333</v>
      </c>
      <c r="R446">
        <v>422</v>
      </c>
      <c r="S446">
        <v>3</v>
      </c>
      <c r="T446">
        <v>0.3</v>
      </c>
      <c r="U446">
        <v>-18</v>
      </c>
      <c r="V446" s="1" t="s">
        <v>86</v>
      </c>
      <c r="W446" s="1" t="s">
        <v>62</v>
      </c>
    </row>
    <row r="447" spans="1:23" x14ac:dyDescent="0.35">
      <c r="A447">
        <v>2149</v>
      </c>
      <c r="B447" s="1" t="s">
        <v>1732</v>
      </c>
      <c r="C447" s="2">
        <v>41985</v>
      </c>
      <c r="D447" s="2">
        <v>41990</v>
      </c>
      <c r="E447" s="1" t="s">
        <v>42</v>
      </c>
      <c r="F447" s="1" t="s">
        <v>1733</v>
      </c>
      <c r="G447" s="1" t="s">
        <v>1734</v>
      </c>
      <c r="H447" s="1" t="s">
        <v>27</v>
      </c>
      <c r="I447" s="1" t="s">
        <v>28</v>
      </c>
      <c r="J447" s="1" t="s">
        <v>512</v>
      </c>
      <c r="K447" s="1" t="s">
        <v>56</v>
      </c>
      <c r="L447">
        <v>94521</v>
      </c>
      <c r="M447" s="1" t="s">
        <v>57</v>
      </c>
      <c r="N447" s="1" t="s">
        <v>993</v>
      </c>
      <c r="O447" s="1" t="s">
        <v>33</v>
      </c>
      <c r="P447" s="1" t="s">
        <v>59</v>
      </c>
      <c r="Q447" s="1" t="s">
        <v>994</v>
      </c>
      <c r="R447">
        <v>43</v>
      </c>
      <c r="S447">
        <v>1</v>
      </c>
      <c r="T447">
        <v>0</v>
      </c>
      <c r="U447">
        <v>4</v>
      </c>
      <c r="V447" s="1" t="s">
        <v>61</v>
      </c>
      <c r="W447" s="1" t="s">
        <v>99</v>
      </c>
    </row>
    <row r="448" spans="1:23" x14ac:dyDescent="0.35">
      <c r="A448">
        <v>2151</v>
      </c>
      <c r="B448" s="1" t="s">
        <v>1735</v>
      </c>
      <c r="C448" s="2">
        <v>43058</v>
      </c>
      <c r="D448" s="2">
        <v>43065</v>
      </c>
      <c r="E448" s="1" t="s">
        <v>42</v>
      </c>
      <c r="F448" s="1" t="s">
        <v>1736</v>
      </c>
      <c r="G448" s="1" t="s">
        <v>1737</v>
      </c>
      <c r="H448" s="1" t="s">
        <v>27</v>
      </c>
      <c r="I448" s="1" t="s">
        <v>28</v>
      </c>
      <c r="J448" s="1" t="s">
        <v>1738</v>
      </c>
      <c r="K448" s="1" t="s">
        <v>95</v>
      </c>
      <c r="L448">
        <v>77840</v>
      </c>
      <c r="M448" s="1" t="s">
        <v>96</v>
      </c>
      <c r="N448" s="1" t="s">
        <v>1167</v>
      </c>
      <c r="O448" s="1" t="s">
        <v>33</v>
      </c>
      <c r="P448" s="1" t="s">
        <v>39</v>
      </c>
      <c r="Q448" s="1" t="s">
        <v>1168</v>
      </c>
      <c r="R448">
        <v>233</v>
      </c>
      <c r="S448">
        <v>3</v>
      </c>
      <c r="T448">
        <v>0.3</v>
      </c>
      <c r="U448">
        <v>-53</v>
      </c>
      <c r="V448" s="1" t="s">
        <v>50</v>
      </c>
      <c r="W448" s="1" t="s">
        <v>37</v>
      </c>
    </row>
    <row r="449" spans="1:23" x14ac:dyDescent="0.35">
      <c r="A449">
        <v>2155</v>
      </c>
      <c r="B449" s="1" t="s">
        <v>1739</v>
      </c>
      <c r="C449" s="2">
        <v>42490</v>
      </c>
      <c r="D449" s="2">
        <v>42495</v>
      </c>
      <c r="E449" s="1" t="s">
        <v>42</v>
      </c>
      <c r="F449" s="1" t="s">
        <v>1740</v>
      </c>
      <c r="G449" s="1" t="s">
        <v>1741</v>
      </c>
      <c r="H449" s="1" t="s">
        <v>103</v>
      </c>
      <c r="I449" s="1" t="s">
        <v>28</v>
      </c>
      <c r="J449" s="1" t="s">
        <v>1742</v>
      </c>
      <c r="K449" s="1" t="s">
        <v>95</v>
      </c>
      <c r="L449">
        <v>75081</v>
      </c>
      <c r="M449" s="1" t="s">
        <v>96</v>
      </c>
      <c r="N449" s="1" t="s">
        <v>1545</v>
      </c>
      <c r="O449" s="1" t="s">
        <v>33</v>
      </c>
      <c r="P449" s="1" t="s">
        <v>59</v>
      </c>
      <c r="Q449" s="1" t="s">
        <v>1546</v>
      </c>
      <c r="R449">
        <v>23</v>
      </c>
      <c r="S449">
        <v>3</v>
      </c>
      <c r="T449">
        <v>0.6</v>
      </c>
      <c r="U449">
        <v>-10</v>
      </c>
      <c r="V449" s="1" t="s">
        <v>61</v>
      </c>
      <c r="W449" s="1" t="s">
        <v>116</v>
      </c>
    </row>
    <row r="450" spans="1:23" x14ac:dyDescent="0.35">
      <c r="A450">
        <v>2161</v>
      </c>
      <c r="B450" s="1" t="s">
        <v>1743</v>
      </c>
      <c r="C450" s="2">
        <v>42504</v>
      </c>
      <c r="D450" s="2">
        <v>42504</v>
      </c>
      <c r="E450" s="1" t="s">
        <v>428</v>
      </c>
      <c r="F450" s="1" t="s">
        <v>329</v>
      </c>
      <c r="G450" s="1" t="s">
        <v>330</v>
      </c>
      <c r="H450" s="1" t="s">
        <v>27</v>
      </c>
      <c r="I450" s="1" t="s">
        <v>28</v>
      </c>
      <c r="J450" s="1" t="s">
        <v>1744</v>
      </c>
      <c r="K450" s="1" t="s">
        <v>234</v>
      </c>
      <c r="L450">
        <v>45231</v>
      </c>
      <c r="M450" s="1" t="s">
        <v>70</v>
      </c>
      <c r="N450" s="1" t="s">
        <v>1403</v>
      </c>
      <c r="O450" s="1" t="s">
        <v>33</v>
      </c>
      <c r="P450" s="1" t="s">
        <v>59</v>
      </c>
      <c r="Q450" s="1" t="s">
        <v>1404</v>
      </c>
      <c r="R450">
        <v>79</v>
      </c>
      <c r="S450">
        <v>1</v>
      </c>
      <c r="T450">
        <v>0.2</v>
      </c>
      <c r="U450">
        <v>30</v>
      </c>
      <c r="V450" s="1" t="s">
        <v>433</v>
      </c>
      <c r="W450" s="1" t="s">
        <v>164</v>
      </c>
    </row>
    <row r="451" spans="1:23" x14ac:dyDescent="0.35">
      <c r="A451">
        <v>2166</v>
      </c>
      <c r="B451" s="1" t="s">
        <v>1745</v>
      </c>
      <c r="C451" s="2">
        <v>42656</v>
      </c>
      <c r="D451" s="2">
        <v>42662</v>
      </c>
      <c r="E451" s="1" t="s">
        <v>42</v>
      </c>
      <c r="F451" s="1" t="s">
        <v>338</v>
      </c>
      <c r="G451" s="1" t="s">
        <v>339</v>
      </c>
      <c r="H451" s="1" t="s">
        <v>27</v>
      </c>
      <c r="I451" s="1" t="s">
        <v>28</v>
      </c>
      <c r="J451" s="1" t="s">
        <v>1746</v>
      </c>
      <c r="K451" s="1" t="s">
        <v>95</v>
      </c>
      <c r="L451">
        <v>78041</v>
      </c>
      <c r="M451" s="1" t="s">
        <v>96</v>
      </c>
      <c r="N451" s="1" t="s">
        <v>728</v>
      </c>
      <c r="O451" s="1" t="s">
        <v>33</v>
      </c>
      <c r="P451" s="1" t="s">
        <v>59</v>
      </c>
      <c r="Q451" s="1" t="s">
        <v>729</v>
      </c>
      <c r="R451">
        <v>140</v>
      </c>
      <c r="S451">
        <v>5</v>
      </c>
      <c r="T451">
        <v>0.6</v>
      </c>
      <c r="U451">
        <v>-150</v>
      </c>
      <c r="V451" s="1" t="s">
        <v>132</v>
      </c>
      <c r="W451" s="1" t="s">
        <v>51</v>
      </c>
    </row>
    <row r="452" spans="1:23" x14ac:dyDescent="0.35">
      <c r="A452">
        <v>2172</v>
      </c>
      <c r="B452" s="1" t="s">
        <v>1747</v>
      </c>
      <c r="C452" s="2">
        <v>43058</v>
      </c>
      <c r="D452" s="2">
        <v>43064</v>
      </c>
      <c r="E452" s="1" t="s">
        <v>42</v>
      </c>
      <c r="F452" s="1" t="s">
        <v>1300</v>
      </c>
      <c r="G452" s="1" t="s">
        <v>1301</v>
      </c>
      <c r="H452" s="1" t="s">
        <v>93</v>
      </c>
      <c r="I452" s="1" t="s">
        <v>28</v>
      </c>
      <c r="J452" s="1" t="s">
        <v>1748</v>
      </c>
      <c r="K452" s="1" t="s">
        <v>95</v>
      </c>
      <c r="L452">
        <v>76903</v>
      </c>
      <c r="M452" s="1" t="s">
        <v>96</v>
      </c>
      <c r="N452" s="1" t="s">
        <v>819</v>
      </c>
      <c r="O452" s="1" t="s">
        <v>33</v>
      </c>
      <c r="P452" s="1" t="s">
        <v>39</v>
      </c>
      <c r="Q452" s="1" t="s">
        <v>820</v>
      </c>
      <c r="R452">
        <v>305</v>
      </c>
      <c r="S452">
        <v>2</v>
      </c>
      <c r="T452">
        <v>0.3</v>
      </c>
      <c r="U452">
        <v>-9</v>
      </c>
      <c r="V452" s="1" t="s">
        <v>132</v>
      </c>
      <c r="W452" s="1" t="s">
        <v>37</v>
      </c>
    </row>
    <row r="453" spans="1:23" x14ac:dyDescent="0.35">
      <c r="A453">
        <v>2182</v>
      </c>
      <c r="B453" s="1" t="s">
        <v>1749</v>
      </c>
      <c r="C453" s="2">
        <v>42497</v>
      </c>
      <c r="D453" s="2">
        <v>42501</v>
      </c>
      <c r="E453" s="1" t="s">
        <v>42</v>
      </c>
      <c r="F453" s="1" t="s">
        <v>1348</v>
      </c>
      <c r="G453" s="1" t="s">
        <v>1349</v>
      </c>
      <c r="H453" s="1" t="s">
        <v>27</v>
      </c>
      <c r="I453" s="1" t="s">
        <v>28</v>
      </c>
      <c r="J453" s="1" t="s">
        <v>176</v>
      </c>
      <c r="K453" s="1" t="s">
        <v>123</v>
      </c>
      <c r="L453">
        <v>10009</v>
      </c>
      <c r="M453" s="1" t="s">
        <v>70</v>
      </c>
      <c r="N453" s="1" t="s">
        <v>1750</v>
      </c>
      <c r="O453" s="1" t="s">
        <v>33</v>
      </c>
      <c r="P453" s="1" t="s">
        <v>39</v>
      </c>
      <c r="Q453" s="1" t="s">
        <v>1751</v>
      </c>
      <c r="R453">
        <v>443</v>
      </c>
      <c r="S453">
        <v>4</v>
      </c>
      <c r="T453">
        <v>0.1</v>
      </c>
      <c r="U453">
        <v>59</v>
      </c>
      <c r="V453" s="1" t="s">
        <v>86</v>
      </c>
      <c r="W453" s="1" t="s">
        <v>164</v>
      </c>
    </row>
    <row r="454" spans="1:23" x14ac:dyDescent="0.35">
      <c r="A454">
        <v>2185</v>
      </c>
      <c r="B454" s="1" t="s">
        <v>1749</v>
      </c>
      <c r="C454" s="2">
        <v>42497</v>
      </c>
      <c r="D454" s="2">
        <v>42501</v>
      </c>
      <c r="E454" s="1" t="s">
        <v>42</v>
      </c>
      <c r="F454" s="1" t="s">
        <v>1348</v>
      </c>
      <c r="G454" s="1" t="s">
        <v>1349</v>
      </c>
      <c r="H454" s="1" t="s">
        <v>27</v>
      </c>
      <c r="I454" s="1" t="s">
        <v>28</v>
      </c>
      <c r="J454" s="1" t="s">
        <v>176</v>
      </c>
      <c r="K454" s="1" t="s">
        <v>123</v>
      </c>
      <c r="L454">
        <v>10009</v>
      </c>
      <c r="M454" s="1" t="s">
        <v>70</v>
      </c>
      <c r="N454" s="1" t="s">
        <v>930</v>
      </c>
      <c r="O454" s="1" t="s">
        <v>33</v>
      </c>
      <c r="P454" s="1" t="s">
        <v>59</v>
      </c>
      <c r="Q454" s="1" t="s">
        <v>319</v>
      </c>
      <c r="R454">
        <v>64</v>
      </c>
      <c r="S454">
        <v>8</v>
      </c>
      <c r="T454">
        <v>0</v>
      </c>
      <c r="U454">
        <v>28</v>
      </c>
      <c r="V454" s="1" t="s">
        <v>86</v>
      </c>
      <c r="W454" s="1" t="s">
        <v>164</v>
      </c>
    </row>
    <row r="455" spans="1:23" x14ac:dyDescent="0.35">
      <c r="A455">
        <v>2189</v>
      </c>
      <c r="B455" s="1" t="s">
        <v>1752</v>
      </c>
      <c r="C455" s="2">
        <v>42957</v>
      </c>
      <c r="D455" s="2">
        <v>42962</v>
      </c>
      <c r="E455" s="1" t="s">
        <v>42</v>
      </c>
      <c r="F455" s="1" t="s">
        <v>1753</v>
      </c>
      <c r="G455" s="1" t="s">
        <v>1754</v>
      </c>
      <c r="H455" s="1" t="s">
        <v>27</v>
      </c>
      <c r="I455" s="1" t="s">
        <v>28</v>
      </c>
      <c r="J455" s="1" t="s">
        <v>350</v>
      </c>
      <c r="K455" s="1" t="s">
        <v>113</v>
      </c>
      <c r="L455">
        <v>47201</v>
      </c>
      <c r="M455" s="1" t="s">
        <v>96</v>
      </c>
      <c r="N455" s="1" t="s">
        <v>147</v>
      </c>
      <c r="O455" s="1" t="s">
        <v>33</v>
      </c>
      <c r="P455" s="1" t="s">
        <v>59</v>
      </c>
      <c r="Q455" s="1" t="s">
        <v>148</v>
      </c>
      <c r="R455">
        <v>121</v>
      </c>
      <c r="S455">
        <v>2</v>
      </c>
      <c r="T455">
        <v>0</v>
      </c>
      <c r="U455">
        <v>25</v>
      </c>
      <c r="V455" s="1" t="s">
        <v>61</v>
      </c>
      <c r="W455" s="1" t="s">
        <v>256</v>
      </c>
    </row>
    <row r="456" spans="1:23" x14ac:dyDescent="0.35">
      <c r="A456">
        <v>2201</v>
      </c>
      <c r="B456" s="1" t="s">
        <v>1755</v>
      </c>
      <c r="C456" s="2">
        <v>41791</v>
      </c>
      <c r="D456" s="2">
        <v>41796</v>
      </c>
      <c r="E456" s="1" t="s">
        <v>42</v>
      </c>
      <c r="F456" s="1" t="s">
        <v>816</v>
      </c>
      <c r="G456" s="1" t="s">
        <v>817</v>
      </c>
      <c r="H456" s="1" t="s">
        <v>27</v>
      </c>
      <c r="I456" s="1" t="s">
        <v>28</v>
      </c>
      <c r="J456" s="1" t="s">
        <v>1756</v>
      </c>
      <c r="K456" s="1" t="s">
        <v>1061</v>
      </c>
      <c r="L456">
        <v>72209</v>
      </c>
      <c r="M456" s="1" t="s">
        <v>31</v>
      </c>
      <c r="N456" s="1" t="s">
        <v>449</v>
      </c>
      <c r="O456" s="1" t="s">
        <v>33</v>
      </c>
      <c r="P456" s="1" t="s">
        <v>59</v>
      </c>
      <c r="Q456" s="1" t="s">
        <v>450</v>
      </c>
      <c r="R456">
        <v>22</v>
      </c>
      <c r="S456">
        <v>6</v>
      </c>
      <c r="T456">
        <v>0</v>
      </c>
      <c r="U456">
        <v>9</v>
      </c>
      <c r="V456" s="1" t="s">
        <v>61</v>
      </c>
      <c r="W456" s="1" t="s">
        <v>62</v>
      </c>
    </row>
    <row r="457" spans="1:23" x14ac:dyDescent="0.35">
      <c r="A457">
        <v>2204</v>
      </c>
      <c r="B457" s="1" t="s">
        <v>1757</v>
      </c>
      <c r="C457" s="2">
        <v>42253</v>
      </c>
      <c r="D457" s="2">
        <v>42259</v>
      </c>
      <c r="E457" s="1" t="s">
        <v>42</v>
      </c>
      <c r="F457" s="1" t="s">
        <v>1269</v>
      </c>
      <c r="G457" s="1" t="s">
        <v>1270</v>
      </c>
      <c r="H457" s="1" t="s">
        <v>103</v>
      </c>
      <c r="I457" s="1" t="s">
        <v>28</v>
      </c>
      <c r="J457" s="1" t="s">
        <v>194</v>
      </c>
      <c r="K457" s="1" t="s">
        <v>195</v>
      </c>
      <c r="L457">
        <v>98103</v>
      </c>
      <c r="M457" s="1" t="s">
        <v>57</v>
      </c>
      <c r="N457" s="1" t="s">
        <v>1758</v>
      </c>
      <c r="O457" s="1" t="s">
        <v>33</v>
      </c>
      <c r="P457" s="1" t="s">
        <v>59</v>
      </c>
      <c r="Q457" s="1" t="s">
        <v>1759</v>
      </c>
      <c r="R457">
        <v>192</v>
      </c>
      <c r="S457">
        <v>3</v>
      </c>
      <c r="T457">
        <v>0</v>
      </c>
      <c r="U457">
        <v>75</v>
      </c>
      <c r="V457" s="1" t="s">
        <v>132</v>
      </c>
      <c r="W457" s="1" t="s">
        <v>80</v>
      </c>
    </row>
    <row r="458" spans="1:23" x14ac:dyDescent="0.35">
      <c r="A458">
        <v>2205</v>
      </c>
      <c r="B458" s="1" t="s">
        <v>1760</v>
      </c>
      <c r="C458" s="2">
        <v>42184</v>
      </c>
      <c r="D458" s="2">
        <v>42190</v>
      </c>
      <c r="E458" s="1" t="s">
        <v>42</v>
      </c>
      <c r="F458" s="1" t="s">
        <v>200</v>
      </c>
      <c r="G458" s="1" t="s">
        <v>201</v>
      </c>
      <c r="H458" s="1" t="s">
        <v>27</v>
      </c>
      <c r="I458" s="1" t="s">
        <v>28</v>
      </c>
      <c r="J458" s="1" t="s">
        <v>818</v>
      </c>
      <c r="K458" s="1" t="s">
        <v>69</v>
      </c>
      <c r="L458">
        <v>17602</v>
      </c>
      <c r="M458" s="1" t="s">
        <v>70</v>
      </c>
      <c r="N458" s="1" t="s">
        <v>1293</v>
      </c>
      <c r="O458" s="1" t="s">
        <v>33</v>
      </c>
      <c r="P458" s="1" t="s">
        <v>59</v>
      </c>
      <c r="Q458" s="1" t="s">
        <v>1761</v>
      </c>
      <c r="R458">
        <v>20</v>
      </c>
      <c r="S458">
        <v>1</v>
      </c>
      <c r="T458">
        <v>0.2</v>
      </c>
      <c r="U458">
        <v>2</v>
      </c>
      <c r="V458" s="1" t="s">
        <v>132</v>
      </c>
      <c r="W458" s="1" t="s">
        <v>62</v>
      </c>
    </row>
    <row r="459" spans="1:23" x14ac:dyDescent="0.35">
      <c r="A459">
        <v>2213</v>
      </c>
      <c r="B459" s="1" t="s">
        <v>1762</v>
      </c>
      <c r="C459" s="2">
        <v>43060</v>
      </c>
      <c r="D459" s="2">
        <v>43064</v>
      </c>
      <c r="E459" s="1" t="s">
        <v>42</v>
      </c>
      <c r="F459" s="1" t="s">
        <v>1763</v>
      </c>
      <c r="G459" s="1" t="s">
        <v>1764</v>
      </c>
      <c r="H459" s="1" t="s">
        <v>27</v>
      </c>
      <c r="I459" s="1" t="s">
        <v>28</v>
      </c>
      <c r="J459" s="1" t="s">
        <v>176</v>
      </c>
      <c r="K459" s="1" t="s">
        <v>123</v>
      </c>
      <c r="L459">
        <v>10035</v>
      </c>
      <c r="M459" s="1" t="s">
        <v>70</v>
      </c>
      <c r="N459" s="1" t="s">
        <v>1152</v>
      </c>
      <c r="O459" s="1" t="s">
        <v>33</v>
      </c>
      <c r="P459" s="1" t="s">
        <v>59</v>
      </c>
      <c r="Q459" s="1" t="s">
        <v>1153</v>
      </c>
      <c r="R459">
        <v>27</v>
      </c>
      <c r="S459">
        <v>1</v>
      </c>
      <c r="T459">
        <v>0</v>
      </c>
      <c r="U459">
        <v>11</v>
      </c>
      <c r="V459" s="1" t="s">
        <v>86</v>
      </c>
      <c r="W459" s="1" t="s">
        <v>37</v>
      </c>
    </row>
    <row r="460" spans="1:23" x14ac:dyDescent="0.35">
      <c r="A460">
        <v>2217</v>
      </c>
      <c r="B460" s="1" t="s">
        <v>1765</v>
      </c>
      <c r="C460" s="2">
        <v>43009</v>
      </c>
      <c r="D460" s="2">
        <v>43010</v>
      </c>
      <c r="E460" s="1" t="s">
        <v>90</v>
      </c>
      <c r="F460" s="1" t="s">
        <v>1766</v>
      </c>
      <c r="G460" s="1" t="s">
        <v>1767</v>
      </c>
      <c r="H460" s="1" t="s">
        <v>27</v>
      </c>
      <c r="I460" s="1" t="s">
        <v>28</v>
      </c>
      <c r="J460" s="1" t="s">
        <v>1494</v>
      </c>
      <c r="K460" s="1" t="s">
        <v>56</v>
      </c>
      <c r="L460">
        <v>95123</v>
      </c>
      <c r="M460" s="1" t="s">
        <v>57</v>
      </c>
      <c r="N460" s="1" t="s">
        <v>1768</v>
      </c>
      <c r="O460" s="1" t="s">
        <v>33</v>
      </c>
      <c r="P460" s="1" t="s">
        <v>39</v>
      </c>
      <c r="Q460" s="1" t="s">
        <v>1769</v>
      </c>
      <c r="R460">
        <v>109</v>
      </c>
      <c r="S460">
        <v>4</v>
      </c>
      <c r="T460">
        <v>0.2</v>
      </c>
      <c r="U460">
        <v>10</v>
      </c>
      <c r="V460" s="1" t="s">
        <v>126</v>
      </c>
      <c r="W460" s="1" t="s">
        <v>51</v>
      </c>
    </row>
    <row r="461" spans="1:23" x14ac:dyDescent="0.35">
      <c r="A461">
        <v>2224</v>
      </c>
      <c r="B461" s="1" t="s">
        <v>1770</v>
      </c>
      <c r="C461" s="2">
        <v>42344</v>
      </c>
      <c r="D461" s="2">
        <v>42344</v>
      </c>
      <c r="E461" s="1" t="s">
        <v>428</v>
      </c>
      <c r="F461" s="1" t="s">
        <v>1771</v>
      </c>
      <c r="G461" s="1" t="s">
        <v>1772</v>
      </c>
      <c r="H461" s="1" t="s">
        <v>27</v>
      </c>
      <c r="I461" s="1" t="s">
        <v>28</v>
      </c>
      <c r="J461" s="1" t="s">
        <v>1773</v>
      </c>
      <c r="K461" s="1" t="s">
        <v>234</v>
      </c>
      <c r="L461">
        <v>43302</v>
      </c>
      <c r="M461" s="1" t="s">
        <v>70</v>
      </c>
      <c r="N461" s="1" t="s">
        <v>298</v>
      </c>
      <c r="O461" s="1" t="s">
        <v>33</v>
      </c>
      <c r="P461" s="1" t="s">
        <v>39</v>
      </c>
      <c r="Q461" s="1" t="s">
        <v>299</v>
      </c>
      <c r="R461">
        <v>71</v>
      </c>
      <c r="S461">
        <v>1</v>
      </c>
      <c r="T461">
        <v>0.3</v>
      </c>
      <c r="U461">
        <v>-24</v>
      </c>
      <c r="V461" s="1" t="s">
        <v>433</v>
      </c>
      <c r="W461" s="1" t="s">
        <v>99</v>
      </c>
    </row>
    <row r="462" spans="1:23" x14ac:dyDescent="0.35">
      <c r="A462">
        <v>2226</v>
      </c>
      <c r="B462" s="1" t="s">
        <v>1774</v>
      </c>
      <c r="C462" s="2">
        <v>42448</v>
      </c>
      <c r="D462" s="2">
        <v>42450</v>
      </c>
      <c r="E462" s="1" t="s">
        <v>24</v>
      </c>
      <c r="F462" s="1" t="s">
        <v>1775</v>
      </c>
      <c r="G462" s="1" t="s">
        <v>1776</v>
      </c>
      <c r="H462" s="1" t="s">
        <v>27</v>
      </c>
      <c r="I462" s="1" t="s">
        <v>28</v>
      </c>
      <c r="J462" s="1" t="s">
        <v>1777</v>
      </c>
      <c r="K462" s="1" t="s">
        <v>183</v>
      </c>
      <c r="L462">
        <v>80122</v>
      </c>
      <c r="M462" s="1" t="s">
        <v>57</v>
      </c>
      <c r="N462" s="1" t="s">
        <v>1778</v>
      </c>
      <c r="O462" s="1" t="s">
        <v>33</v>
      </c>
      <c r="P462" s="1" t="s">
        <v>34</v>
      </c>
      <c r="Q462" s="1" t="s">
        <v>1779</v>
      </c>
      <c r="R462">
        <v>72</v>
      </c>
      <c r="S462">
        <v>1</v>
      </c>
      <c r="T462">
        <v>0.7</v>
      </c>
      <c r="U462">
        <v>-99</v>
      </c>
      <c r="V462" s="1" t="s">
        <v>73</v>
      </c>
      <c r="W462" s="1" t="s">
        <v>198</v>
      </c>
    </row>
    <row r="463" spans="1:23" x14ac:dyDescent="0.35">
      <c r="A463">
        <v>2229</v>
      </c>
      <c r="B463" s="1" t="s">
        <v>1780</v>
      </c>
      <c r="C463" s="2">
        <v>42644</v>
      </c>
      <c r="D463" s="2">
        <v>42648</v>
      </c>
      <c r="E463" s="1" t="s">
        <v>42</v>
      </c>
      <c r="F463" s="1" t="s">
        <v>1129</v>
      </c>
      <c r="G463" s="1" t="s">
        <v>1130</v>
      </c>
      <c r="H463" s="1" t="s">
        <v>27</v>
      </c>
      <c r="I463" s="1" t="s">
        <v>28</v>
      </c>
      <c r="J463" s="1" t="s">
        <v>176</v>
      </c>
      <c r="K463" s="1" t="s">
        <v>123</v>
      </c>
      <c r="L463">
        <v>10024</v>
      </c>
      <c r="M463" s="1" t="s">
        <v>70</v>
      </c>
      <c r="N463" s="1" t="s">
        <v>1726</v>
      </c>
      <c r="O463" s="1" t="s">
        <v>33</v>
      </c>
      <c r="P463" s="1" t="s">
        <v>48</v>
      </c>
      <c r="Q463" s="1" t="s">
        <v>1727</v>
      </c>
      <c r="R463">
        <v>331</v>
      </c>
      <c r="S463">
        <v>1</v>
      </c>
      <c r="T463">
        <v>0.4</v>
      </c>
      <c r="U463">
        <v>-116</v>
      </c>
      <c r="V463" s="1" t="s">
        <v>86</v>
      </c>
      <c r="W463" s="1" t="s">
        <v>51</v>
      </c>
    </row>
    <row r="464" spans="1:23" x14ac:dyDescent="0.35">
      <c r="A464">
        <v>2232</v>
      </c>
      <c r="B464" s="1" t="s">
        <v>1781</v>
      </c>
      <c r="C464" s="2">
        <v>42912</v>
      </c>
      <c r="D464" s="2">
        <v>42917</v>
      </c>
      <c r="E464" s="1" t="s">
        <v>42</v>
      </c>
      <c r="F464" s="1" t="s">
        <v>1782</v>
      </c>
      <c r="G464" s="1" t="s">
        <v>1783</v>
      </c>
      <c r="H464" s="1" t="s">
        <v>27</v>
      </c>
      <c r="I464" s="1" t="s">
        <v>28</v>
      </c>
      <c r="J464" s="1" t="s">
        <v>1157</v>
      </c>
      <c r="K464" s="1" t="s">
        <v>113</v>
      </c>
      <c r="L464">
        <v>46350</v>
      </c>
      <c r="M464" s="1" t="s">
        <v>96</v>
      </c>
      <c r="N464" s="1" t="s">
        <v>1013</v>
      </c>
      <c r="O464" s="1" t="s">
        <v>33</v>
      </c>
      <c r="P464" s="1" t="s">
        <v>59</v>
      </c>
      <c r="Q464" s="1" t="s">
        <v>1014</v>
      </c>
      <c r="R464">
        <v>526</v>
      </c>
      <c r="S464">
        <v>5</v>
      </c>
      <c r="T464">
        <v>0</v>
      </c>
      <c r="U464">
        <v>32</v>
      </c>
      <c r="V464" s="1" t="s">
        <v>61</v>
      </c>
      <c r="W464" s="1" t="s">
        <v>62</v>
      </c>
    </row>
    <row r="465" spans="1:23" x14ac:dyDescent="0.35">
      <c r="A465">
        <v>2239</v>
      </c>
      <c r="B465" s="1" t="s">
        <v>1784</v>
      </c>
      <c r="C465" s="2">
        <v>42845</v>
      </c>
      <c r="D465" s="2">
        <v>42851</v>
      </c>
      <c r="E465" s="1" t="s">
        <v>42</v>
      </c>
      <c r="F465" s="1" t="s">
        <v>1785</v>
      </c>
      <c r="G465" s="1" t="s">
        <v>1786</v>
      </c>
      <c r="H465" s="1" t="s">
        <v>103</v>
      </c>
      <c r="I465" s="1" t="s">
        <v>28</v>
      </c>
      <c r="J465" s="1" t="s">
        <v>136</v>
      </c>
      <c r="K465" s="1" t="s">
        <v>137</v>
      </c>
      <c r="L465">
        <v>60610</v>
      </c>
      <c r="M465" s="1" t="s">
        <v>96</v>
      </c>
      <c r="N465" s="1" t="s">
        <v>1787</v>
      </c>
      <c r="O465" s="1" t="s">
        <v>33</v>
      </c>
      <c r="P465" s="1" t="s">
        <v>59</v>
      </c>
      <c r="Q465" s="1" t="s">
        <v>1788</v>
      </c>
      <c r="R465">
        <v>44</v>
      </c>
      <c r="S465">
        <v>2</v>
      </c>
      <c r="T465">
        <v>0.6</v>
      </c>
      <c r="U465">
        <v>-52</v>
      </c>
      <c r="V465" s="1" t="s">
        <v>132</v>
      </c>
      <c r="W465" s="1" t="s">
        <v>116</v>
      </c>
    </row>
    <row r="466" spans="1:23" x14ac:dyDescent="0.35">
      <c r="A466">
        <v>2257</v>
      </c>
      <c r="B466" s="1" t="s">
        <v>1789</v>
      </c>
      <c r="C466" s="2">
        <v>42630</v>
      </c>
      <c r="D466" s="2">
        <v>42635</v>
      </c>
      <c r="E466" s="1" t="s">
        <v>42</v>
      </c>
      <c r="F466" s="1" t="s">
        <v>987</v>
      </c>
      <c r="G466" s="1" t="s">
        <v>988</v>
      </c>
      <c r="H466" s="1" t="s">
        <v>93</v>
      </c>
      <c r="I466" s="1" t="s">
        <v>28</v>
      </c>
      <c r="J466" s="1" t="s">
        <v>1790</v>
      </c>
      <c r="K466" s="1" t="s">
        <v>1791</v>
      </c>
      <c r="L466">
        <v>4401</v>
      </c>
      <c r="M466" s="1" t="s">
        <v>70</v>
      </c>
      <c r="N466" s="1" t="s">
        <v>1088</v>
      </c>
      <c r="O466" s="1" t="s">
        <v>33</v>
      </c>
      <c r="P466" s="1" t="s">
        <v>59</v>
      </c>
      <c r="Q466" s="1" t="s">
        <v>1089</v>
      </c>
      <c r="R466">
        <v>109</v>
      </c>
      <c r="S466">
        <v>2</v>
      </c>
      <c r="T466">
        <v>0</v>
      </c>
      <c r="U466">
        <v>34</v>
      </c>
      <c r="V466" s="1" t="s">
        <v>61</v>
      </c>
      <c r="W466" s="1" t="s">
        <v>80</v>
      </c>
    </row>
    <row r="467" spans="1:23" x14ac:dyDescent="0.35">
      <c r="A467">
        <v>2258</v>
      </c>
      <c r="B467" s="1" t="s">
        <v>1792</v>
      </c>
      <c r="C467" s="2">
        <v>42902</v>
      </c>
      <c r="D467" s="2">
        <v>42905</v>
      </c>
      <c r="E467" s="1" t="s">
        <v>90</v>
      </c>
      <c r="F467" s="1" t="s">
        <v>1431</v>
      </c>
      <c r="G467" s="1" t="s">
        <v>1432</v>
      </c>
      <c r="H467" s="1" t="s">
        <v>27</v>
      </c>
      <c r="I467" s="1" t="s">
        <v>28</v>
      </c>
      <c r="J467" s="1" t="s">
        <v>331</v>
      </c>
      <c r="K467" s="1" t="s">
        <v>56</v>
      </c>
      <c r="L467">
        <v>94122</v>
      </c>
      <c r="M467" s="1" t="s">
        <v>57</v>
      </c>
      <c r="N467" s="1" t="s">
        <v>482</v>
      </c>
      <c r="O467" s="1" t="s">
        <v>33</v>
      </c>
      <c r="P467" s="1" t="s">
        <v>39</v>
      </c>
      <c r="Q467" s="1" t="s">
        <v>483</v>
      </c>
      <c r="R467">
        <v>1213</v>
      </c>
      <c r="S467">
        <v>7</v>
      </c>
      <c r="T467">
        <v>0.2</v>
      </c>
      <c r="U467">
        <v>91</v>
      </c>
      <c r="V467" s="1" t="s">
        <v>36</v>
      </c>
      <c r="W467" s="1" t="s">
        <v>62</v>
      </c>
    </row>
    <row r="468" spans="1:23" x14ac:dyDescent="0.35">
      <c r="A468">
        <v>2263</v>
      </c>
      <c r="B468" s="1" t="s">
        <v>1793</v>
      </c>
      <c r="C468" s="2">
        <v>42772</v>
      </c>
      <c r="D468" s="2">
        <v>42775</v>
      </c>
      <c r="E468" s="1" t="s">
        <v>90</v>
      </c>
      <c r="F468" s="1" t="s">
        <v>1794</v>
      </c>
      <c r="G468" s="1" t="s">
        <v>1795</v>
      </c>
      <c r="H468" s="1" t="s">
        <v>27</v>
      </c>
      <c r="I468" s="1" t="s">
        <v>28</v>
      </c>
      <c r="J468" s="1" t="s">
        <v>692</v>
      </c>
      <c r="K468" s="1" t="s">
        <v>719</v>
      </c>
      <c r="L468">
        <v>22204</v>
      </c>
      <c r="M468" s="1" t="s">
        <v>31</v>
      </c>
      <c r="N468" s="1" t="s">
        <v>713</v>
      </c>
      <c r="O468" s="1" t="s">
        <v>33</v>
      </c>
      <c r="P468" s="1" t="s">
        <v>34</v>
      </c>
      <c r="Q468" s="1" t="s">
        <v>714</v>
      </c>
      <c r="R468">
        <v>360</v>
      </c>
      <c r="S468">
        <v>3</v>
      </c>
      <c r="T468">
        <v>0</v>
      </c>
      <c r="U468">
        <v>79</v>
      </c>
      <c r="V468" s="1" t="s">
        <v>36</v>
      </c>
      <c r="W468" s="1" t="s">
        <v>300</v>
      </c>
    </row>
    <row r="469" spans="1:23" x14ac:dyDescent="0.35">
      <c r="A469">
        <v>2273</v>
      </c>
      <c r="B469" s="1" t="s">
        <v>1796</v>
      </c>
      <c r="C469" s="2">
        <v>42069</v>
      </c>
      <c r="D469" s="2">
        <v>42074</v>
      </c>
      <c r="E469" s="1" t="s">
        <v>42</v>
      </c>
      <c r="F469" s="1" t="s">
        <v>1797</v>
      </c>
      <c r="G469" s="1" t="s">
        <v>1798</v>
      </c>
      <c r="H469" s="1" t="s">
        <v>27</v>
      </c>
      <c r="I469" s="1" t="s">
        <v>28</v>
      </c>
      <c r="J469" s="1" t="s">
        <v>331</v>
      </c>
      <c r="K469" s="1" t="s">
        <v>56</v>
      </c>
      <c r="L469">
        <v>94122</v>
      </c>
      <c r="M469" s="1" t="s">
        <v>57</v>
      </c>
      <c r="N469" s="1" t="s">
        <v>1799</v>
      </c>
      <c r="O469" s="1" t="s">
        <v>33</v>
      </c>
      <c r="P469" s="1" t="s">
        <v>59</v>
      </c>
      <c r="Q469" s="1" t="s">
        <v>1800</v>
      </c>
      <c r="R469">
        <v>435</v>
      </c>
      <c r="S469">
        <v>7</v>
      </c>
      <c r="T469">
        <v>0</v>
      </c>
      <c r="U469">
        <v>96</v>
      </c>
      <c r="V469" s="1" t="s">
        <v>61</v>
      </c>
      <c r="W469" s="1" t="s">
        <v>198</v>
      </c>
    </row>
    <row r="470" spans="1:23" x14ac:dyDescent="0.35">
      <c r="A470">
        <v>2275</v>
      </c>
      <c r="B470" s="1" t="s">
        <v>1801</v>
      </c>
      <c r="C470" s="2">
        <v>41915</v>
      </c>
      <c r="D470" s="2">
        <v>41920</v>
      </c>
      <c r="E470" s="1" t="s">
        <v>24</v>
      </c>
      <c r="F470" s="1" t="s">
        <v>435</v>
      </c>
      <c r="G470" s="1" t="s">
        <v>436</v>
      </c>
      <c r="H470" s="1" t="s">
        <v>93</v>
      </c>
      <c r="I470" s="1" t="s">
        <v>28</v>
      </c>
      <c r="J470" s="1" t="s">
        <v>55</v>
      </c>
      <c r="K470" s="1" t="s">
        <v>56</v>
      </c>
      <c r="L470">
        <v>90036</v>
      </c>
      <c r="M470" s="1" t="s">
        <v>57</v>
      </c>
      <c r="N470" s="1" t="s">
        <v>1802</v>
      </c>
      <c r="O470" s="1" t="s">
        <v>33</v>
      </c>
      <c r="P470" s="1" t="s">
        <v>48</v>
      </c>
      <c r="Q470" s="1" t="s">
        <v>1803</v>
      </c>
      <c r="R470">
        <v>143</v>
      </c>
      <c r="S470">
        <v>1</v>
      </c>
      <c r="T470">
        <v>0.2</v>
      </c>
      <c r="U470">
        <v>4</v>
      </c>
      <c r="V470" s="1" t="s">
        <v>61</v>
      </c>
      <c r="W470" s="1" t="s">
        <v>51</v>
      </c>
    </row>
    <row r="471" spans="1:23" x14ac:dyDescent="0.35">
      <c r="A471">
        <v>2276</v>
      </c>
      <c r="B471" s="1" t="s">
        <v>1801</v>
      </c>
      <c r="C471" s="2">
        <v>41915</v>
      </c>
      <c r="D471" s="2">
        <v>41920</v>
      </c>
      <c r="E471" s="1" t="s">
        <v>24</v>
      </c>
      <c r="F471" s="1" t="s">
        <v>435</v>
      </c>
      <c r="G471" s="1" t="s">
        <v>436</v>
      </c>
      <c r="H471" s="1" t="s">
        <v>93</v>
      </c>
      <c r="I471" s="1" t="s">
        <v>28</v>
      </c>
      <c r="J471" s="1" t="s">
        <v>55</v>
      </c>
      <c r="K471" s="1" t="s">
        <v>56</v>
      </c>
      <c r="L471">
        <v>90036</v>
      </c>
      <c r="M471" s="1" t="s">
        <v>57</v>
      </c>
      <c r="N471" s="1" t="s">
        <v>71</v>
      </c>
      <c r="O471" s="1" t="s">
        <v>33</v>
      </c>
      <c r="P471" s="1" t="s">
        <v>39</v>
      </c>
      <c r="Q471" s="1" t="s">
        <v>72</v>
      </c>
      <c r="R471">
        <v>122</v>
      </c>
      <c r="S471">
        <v>3</v>
      </c>
      <c r="T471">
        <v>0.2</v>
      </c>
      <c r="U471">
        <v>14</v>
      </c>
      <c r="V471" s="1" t="s">
        <v>61</v>
      </c>
      <c r="W471" s="1" t="s">
        <v>51</v>
      </c>
    </row>
    <row r="472" spans="1:23" x14ac:dyDescent="0.35">
      <c r="A472">
        <v>2278</v>
      </c>
      <c r="B472" s="1" t="s">
        <v>1804</v>
      </c>
      <c r="C472" s="2">
        <v>41817</v>
      </c>
      <c r="D472" s="2">
        <v>41821</v>
      </c>
      <c r="E472" s="1" t="s">
        <v>42</v>
      </c>
      <c r="F472" s="1" t="s">
        <v>1805</v>
      </c>
      <c r="G472" s="1" t="s">
        <v>1806</v>
      </c>
      <c r="H472" s="1" t="s">
        <v>27</v>
      </c>
      <c r="I472" s="1" t="s">
        <v>28</v>
      </c>
      <c r="J472" s="1" t="s">
        <v>1807</v>
      </c>
      <c r="K472" s="1" t="s">
        <v>481</v>
      </c>
      <c r="L472">
        <v>38671</v>
      </c>
      <c r="M472" s="1" t="s">
        <v>31</v>
      </c>
      <c r="N472" s="1" t="s">
        <v>1262</v>
      </c>
      <c r="O472" s="1" t="s">
        <v>33</v>
      </c>
      <c r="P472" s="1" t="s">
        <v>48</v>
      </c>
      <c r="Q472" s="1" t="s">
        <v>1066</v>
      </c>
      <c r="R472">
        <v>86</v>
      </c>
      <c r="S472">
        <v>1</v>
      </c>
      <c r="T472">
        <v>0</v>
      </c>
      <c r="U472">
        <v>22</v>
      </c>
      <c r="V472" s="1" t="s">
        <v>86</v>
      </c>
      <c r="W472" s="1" t="s">
        <v>62</v>
      </c>
    </row>
    <row r="473" spans="1:23" x14ac:dyDescent="0.35">
      <c r="A473">
        <v>2280</v>
      </c>
      <c r="B473" s="1" t="s">
        <v>1808</v>
      </c>
      <c r="C473" s="2">
        <v>43038</v>
      </c>
      <c r="D473" s="2">
        <v>43041</v>
      </c>
      <c r="E473" s="1" t="s">
        <v>90</v>
      </c>
      <c r="F473" s="1" t="s">
        <v>1809</v>
      </c>
      <c r="G473" s="1" t="s">
        <v>1810</v>
      </c>
      <c r="H473" s="1" t="s">
        <v>27</v>
      </c>
      <c r="I473" s="1" t="s">
        <v>28</v>
      </c>
      <c r="J473" s="1" t="s">
        <v>194</v>
      </c>
      <c r="K473" s="1" t="s">
        <v>195</v>
      </c>
      <c r="L473">
        <v>98115</v>
      </c>
      <c r="M473" s="1" t="s">
        <v>57</v>
      </c>
      <c r="N473" s="1" t="s">
        <v>1659</v>
      </c>
      <c r="O473" s="1" t="s">
        <v>33</v>
      </c>
      <c r="P473" s="1" t="s">
        <v>39</v>
      </c>
      <c r="Q473" s="1" t="s">
        <v>1660</v>
      </c>
      <c r="R473">
        <v>98</v>
      </c>
      <c r="S473">
        <v>2</v>
      </c>
      <c r="T473">
        <v>0.2</v>
      </c>
      <c r="U473">
        <v>-6</v>
      </c>
      <c r="V473" s="1" t="s">
        <v>36</v>
      </c>
      <c r="W473" s="1" t="s">
        <v>51</v>
      </c>
    </row>
    <row r="474" spans="1:23" x14ac:dyDescent="0.35">
      <c r="A474">
        <v>2281</v>
      </c>
      <c r="B474" s="1" t="s">
        <v>1808</v>
      </c>
      <c r="C474" s="2">
        <v>43038</v>
      </c>
      <c r="D474" s="2">
        <v>43041</v>
      </c>
      <c r="E474" s="1" t="s">
        <v>90</v>
      </c>
      <c r="F474" s="1" t="s">
        <v>1809</v>
      </c>
      <c r="G474" s="1" t="s">
        <v>1810</v>
      </c>
      <c r="H474" s="1" t="s">
        <v>27</v>
      </c>
      <c r="I474" s="1" t="s">
        <v>28</v>
      </c>
      <c r="J474" s="1" t="s">
        <v>194</v>
      </c>
      <c r="K474" s="1" t="s">
        <v>195</v>
      </c>
      <c r="L474">
        <v>98115</v>
      </c>
      <c r="M474" s="1" t="s">
        <v>57</v>
      </c>
      <c r="N474" s="1" t="s">
        <v>1282</v>
      </c>
      <c r="O474" s="1" t="s">
        <v>33</v>
      </c>
      <c r="P474" s="1" t="s">
        <v>39</v>
      </c>
      <c r="Q474" s="1" t="s">
        <v>1283</v>
      </c>
      <c r="R474">
        <v>614</v>
      </c>
      <c r="S474">
        <v>8</v>
      </c>
      <c r="T474">
        <v>0.2</v>
      </c>
      <c r="U474">
        <v>-23</v>
      </c>
      <c r="V474" s="1" t="s">
        <v>36</v>
      </c>
      <c r="W474" s="1" t="s">
        <v>51</v>
      </c>
    </row>
    <row r="475" spans="1:23" x14ac:dyDescent="0.35">
      <c r="A475">
        <v>2282</v>
      </c>
      <c r="B475" s="1" t="s">
        <v>1808</v>
      </c>
      <c r="C475" s="2">
        <v>43038</v>
      </c>
      <c r="D475" s="2">
        <v>43041</v>
      </c>
      <c r="E475" s="1" t="s">
        <v>90</v>
      </c>
      <c r="F475" s="1" t="s">
        <v>1809</v>
      </c>
      <c r="G475" s="1" t="s">
        <v>1810</v>
      </c>
      <c r="H475" s="1" t="s">
        <v>27</v>
      </c>
      <c r="I475" s="1" t="s">
        <v>28</v>
      </c>
      <c r="J475" s="1" t="s">
        <v>194</v>
      </c>
      <c r="K475" s="1" t="s">
        <v>195</v>
      </c>
      <c r="L475">
        <v>98115</v>
      </c>
      <c r="M475" s="1" t="s">
        <v>57</v>
      </c>
      <c r="N475" s="1" t="s">
        <v>1139</v>
      </c>
      <c r="O475" s="1" t="s">
        <v>33</v>
      </c>
      <c r="P475" s="1" t="s">
        <v>34</v>
      </c>
      <c r="Q475" s="1" t="s">
        <v>1140</v>
      </c>
      <c r="R475">
        <v>200</v>
      </c>
      <c r="S475">
        <v>2</v>
      </c>
      <c r="T475">
        <v>0</v>
      </c>
      <c r="U475">
        <v>38</v>
      </c>
      <c r="V475" s="1" t="s">
        <v>36</v>
      </c>
      <c r="W475" s="1" t="s">
        <v>51</v>
      </c>
    </row>
    <row r="476" spans="1:23" x14ac:dyDescent="0.35">
      <c r="A476">
        <v>2290</v>
      </c>
      <c r="B476" s="1" t="s">
        <v>1811</v>
      </c>
      <c r="C476" s="2">
        <v>42743</v>
      </c>
      <c r="D476" s="2">
        <v>42746</v>
      </c>
      <c r="E476" s="1" t="s">
        <v>90</v>
      </c>
      <c r="F476" s="1" t="s">
        <v>1812</v>
      </c>
      <c r="G476" s="1" t="s">
        <v>1813</v>
      </c>
      <c r="H476" s="1" t="s">
        <v>93</v>
      </c>
      <c r="I476" s="1" t="s">
        <v>28</v>
      </c>
      <c r="J476" s="1" t="s">
        <v>194</v>
      </c>
      <c r="K476" s="1" t="s">
        <v>195</v>
      </c>
      <c r="L476">
        <v>98115</v>
      </c>
      <c r="M476" s="1" t="s">
        <v>57</v>
      </c>
      <c r="N476" s="1" t="s">
        <v>1814</v>
      </c>
      <c r="O476" s="1" t="s">
        <v>33</v>
      </c>
      <c r="P476" s="1" t="s">
        <v>48</v>
      </c>
      <c r="Q476" s="1" t="s">
        <v>1815</v>
      </c>
      <c r="R476">
        <v>893</v>
      </c>
      <c r="S476">
        <v>2</v>
      </c>
      <c r="T476">
        <v>0</v>
      </c>
      <c r="U476">
        <v>80</v>
      </c>
      <c r="V476" s="1" t="s">
        <v>36</v>
      </c>
      <c r="W476" s="1" t="s">
        <v>172</v>
      </c>
    </row>
    <row r="477" spans="1:23" x14ac:dyDescent="0.35">
      <c r="A477">
        <v>2292</v>
      </c>
      <c r="B477" s="1" t="s">
        <v>1816</v>
      </c>
      <c r="C477" s="2">
        <v>42114</v>
      </c>
      <c r="D477" s="2">
        <v>42119</v>
      </c>
      <c r="E477" s="1" t="s">
        <v>42</v>
      </c>
      <c r="F477" s="1" t="s">
        <v>1729</v>
      </c>
      <c r="G477" s="1" t="s">
        <v>1730</v>
      </c>
      <c r="H477" s="1" t="s">
        <v>93</v>
      </c>
      <c r="I477" s="1" t="s">
        <v>28</v>
      </c>
      <c r="J477" s="1" t="s">
        <v>350</v>
      </c>
      <c r="K477" s="1" t="s">
        <v>670</v>
      </c>
      <c r="L477">
        <v>31907</v>
      </c>
      <c r="M477" s="1" t="s">
        <v>31</v>
      </c>
      <c r="N477" s="1" t="s">
        <v>1403</v>
      </c>
      <c r="O477" s="1" t="s">
        <v>33</v>
      </c>
      <c r="P477" s="1" t="s">
        <v>59</v>
      </c>
      <c r="Q477" s="1" t="s">
        <v>1404</v>
      </c>
      <c r="R477">
        <v>595</v>
      </c>
      <c r="S477">
        <v>6</v>
      </c>
      <c r="T477">
        <v>0</v>
      </c>
      <c r="U477">
        <v>298</v>
      </c>
      <c r="V477" s="1" t="s">
        <v>61</v>
      </c>
      <c r="W477" s="1" t="s">
        <v>116</v>
      </c>
    </row>
    <row r="478" spans="1:23" x14ac:dyDescent="0.35">
      <c r="A478">
        <v>2295</v>
      </c>
      <c r="B478" s="1" t="s">
        <v>1817</v>
      </c>
      <c r="C478" s="2">
        <v>43092</v>
      </c>
      <c r="D478" s="2">
        <v>43096</v>
      </c>
      <c r="E478" s="1" t="s">
        <v>42</v>
      </c>
      <c r="F478" s="1" t="s">
        <v>1462</v>
      </c>
      <c r="G478" s="1" t="s">
        <v>1463</v>
      </c>
      <c r="H478" s="1" t="s">
        <v>93</v>
      </c>
      <c r="I478" s="1" t="s">
        <v>28</v>
      </c>
      <c r="J478" s="1" t="s">
        <v>1292</v>
      </c>
      <c r="K478" s="1" t="s">
        <v>432</v>
      </c>
      <c r="L478">
        <v>6457</v>
      </c>
      <c r="M478" s="1" t="s">
        <v>70</v>
      </c>
      <c r="N478" s="1" t="s">
        <v>147</v>
      </c>
      <c r="O478" s="1" t="s">
        <v>33</v>
      </c>
      <c r="P478" s="1" t="s">
        <v>59</v>
      </c>
      <c r="Q478" s="1" t="s">
        <v>148</v>
      </c>
      <c r="R478">
        <v>182</v>
      </c>
      <c r="S478">
        <v>3</v>
      </c>
      <c r="T478">
        <v>0</v>
      </c>
      <c r="U478">
        <v>38</v>
      </c>
      <c r="V478" s="1" t="s">
        <v>86</v>
      </c>
      <c r="W478" s="1" t="s">
        <v>99</v>
      </c>
    </row>
    <row r="479" spans="1:23" x14ac:dyDescent="0.35">
      <c r="A479">
        <v>2297</v>
      </c>
      <c r="B479" s="1" t="s">
        <v>1818</v>
      </c>
      <c r="C479" s="2">
        <v>42309</v>
      </c>
      <c r="D479" s="2">
        <v>42313</v>
      </c>
      <c r="E479" s="1" t="s">
        <v>42</v>
      </c>
      <c r="F479" s="1" t="s">
        <v>296</v>
      </c>
      <c r="G479" s="1" t="s">
        <v>297</v>
      </c>
      <c r="H479" s="1" t="s">
        <v>27</v>
      </c>
      <c r="I479" s="1" t="s">
        <v>28</v>
      </c>
      <c r="J479" s="1" t="s">
        <v>176</v>
      </c>
      <c r="K479" s="1" t="s">
        <v>123</v>
      </c>
      <c r="L479">
        <v>10011</v>
      </c>
      <c r="M479" s="1" t="s">
        <v>70</v>
      </c>
      <c r="N479" s="1" t="s">
        <v>882</v>
      </c>
      <c r="O479" s="1" t="s">
        <v>33</v>
      </c>
      <c r="P479" s="1" t="s">
        <v>59</v>
      </c>
      <c r="Q479" s="1" t="s">
        <v>883</v>
      </c>
      <c r="R479">
        <v>260</v>
      </c>
      <c r="S479">
        <v>5</v>
      </c>
      <c r="T479">
        <v>0</v>
      </c>
      <c r="U479">
        <v>106</v>
      </c>
      <c r="V479" s="1" t="s">
        <v>86</v>
      </c>
      <c r="W479" s="1" t="s">
        <v>37</v>
      </c>
    </row>
    <row r="480" spans="1:23" x14ac:dyDescent="0.35">
      <c r="A480">
        <v>2304</v>
      </c>
      <c r="B480" s="1" t="s">
        <v>1819</v>
      </c>
      <c r="C480" s="2">
        <v>42995</v>
      </c>
      <c r="D480" s="2">
        <v>43000</v>
      </c>
      <c r="E480" s="1" t="s">
        <v>24</v>
      </c>
      <c r="F480" s="1" t="s">
        <v>662</v>
      </c>
      <c r="G480" s="1" t="s">
        <v>663</v>
      </c>
      <c r="H480" s="1" t="s">
        <v>103</v>
      </c>
      <c r="I480" s="1" t="s">
        <v>28</v>
      </c>
      <c r="J480" s="1" t="s">
        <v>1820</v>
      </c>
      <c r="K480" s="1" t="s">
        <v>670</v>
      </c>
      <c r="L480">
        <v>30076</v>
      </c>
      <c r="M480" s="1" t="s">
        <v>31</v>
      </c>
      <c r="N480" s="1" t="s">
        <v>423</v>
      </c>
      <c r="O480" s="1" t="s">
        <v>33</v>
      </c>
      <c r="P480" s="1" t="s">
        <v>39</v>
      </c>
      <c r="Q480" s="1" t="s">
        <v>424</v>
      </c>
      <c r="R480">
        <v>724</v>
      </c>
      <c r="S480">
        <v>4</v>
      </c>
      <c r="T480">
        <v>0</v>
      </c>
      <c r="U480">
        <v>188</v>
      </c>
      <c r="V480" s="1" t="s">
        <v>61</v>
      </c>
      <c r="W480" s="1" t="s">
        <v>80</v>
      </c>
    </row>
    <row r="481" spans="1:23" x14ac:dyDescent="0.35">
      <c r="A481">
        <v>2306</v>
      </c>
      <c r="B481" s="1" t="s">
        <v>1821</v>
      </c>
      <c r="C481" s="2">
        <v>42727</v>
      </c>
      <c r="D481" s="2">
        <v>42728</v>
      </c>
      <c r="E481" s="1" t="s">
        <v>90</v>
      </c>
      <c r="F481" s="1" t="s">
        <v>379</v>
      </c>
      <c r="G481" s="1" t="s">
        <v>380</v>
      </c>
      <c r="H481" s="1" t="s">
        <v>93</v>
      </c>
      <c r="I481" s="1" t="s">
        <v>28</v>
      </c>
      <c r="J481" s="1" t="s">
        <v>136</v>
      </c>
      <c r="K481" s="1" t="s">
        <v>137</v>
      </c>
      <c r="L481">
        <v>60623</v>
      </c>
      <c r="M481" s="1" t="s">
        <v>96</v>
      </c>
      <c r="N481" s="1" t="s">
        <v>901</v>
      </c>
      <c r="O481" s="1" t="s">
        <v>33</v>
      </c>
      <c r="P481" s="1" t="s">
        <v>34</v>
      </c>
      <c r="Q481" s="1" t="s">
        <v>902</v>
      </c>
      <c r="R481">
        <v>141</v>
      </c>
      <c r="S481">
        <v>2</v>
      </c>
      <c r="T481">
        <v>0.3</v>
      </c>
      <c r="U481">
        <v>-14</v>
      </c>
      <c r="V481" s="1" t="s">
        <v>126</v>
      </c>
      <c r="W481" s="1" t="s">
        <v>99</v>
      </c>
    </row>
    <row r="482" spans="1:23" x14ac:dyDescent="0.35">
      <c r="A482">
        <v>2309</v>
      </c>
      <c r="B482" s="1" t="s">
        <v>1822</v>
      </c>
      <c r="C482" s="2">
        <v>42897</v>
      </c>
      <c r="D482" s="2">
        <v>42898</v>
      </c>
      <c r="E482" s="1" t="s">
        <v>90</v>
      </c>
      <c r="F482" s="1" t="s">
        <v>1823</v>
      </c>
      <c r="G482" s="1" t="s">
        <v>1824</v>
      </c>
      <c r="H482" s="1" t="s">
        <v>103</v>
      </c>
      <c r="I482" s="1" t="s">
        <v>28</v>
      </c>
      <c r="J482" s="1" t="s">
        <v>1382</v>
      </c>
      <c r="K482" s="1" t="s">
        <v>523</v>
      </c>
      <c r="L482">
        <v>85345</v>
      </c>
      <c r="M482" s="1" t="s">
        <v>57</v>
      </c>
      <c r="N482" s="1" t="s">
        <v>854</v>
      </c>
      <c r="O482" s="1" t="s">
        <v>33</v>
      </c>
      <c r="P482" s="1" t="s">
        <v>39</v>
      </c>
      <c r="Q482" s="1" t="s">
        <v>855</v>
      </c>
      <c r="R482">
        <v>281</v>
      </c>
      <c r="S482">
        <v>1</v>
      </c>
      <c r="T482">
        <v>0.2</v>
      </c>
      <c r="U482">
        <v>35</v>
      </c>
      <c r="V482" s="1" t="s">
        <v>126</v>
      </c>
      <c r="W482" s="1" t="s">
        <v>62</v>
      </c>
    </row>
    <row r="483" spans="1:23" x14ac:dyDescent="0.35">
      <c r="A483">
        <v>2317</v>
      </c>
      <c r="B483" s="1" t="s">
        <v>1825</v>
      </c>
      <c r="C483" s="2">
        <v>42936</v>
      </c>
      <c r="D483" s="2">
        <v>42941</v>
      </c>
      <c r="E483" s="1" t="s">
        <v>42</v>
      </c>
      <c r="F483" s="1" t="s">
        <v>1826</v>
      </c>
      <c r="G483" s="1" t="s">
        <v>1827</v>
      </c>
      <c r="H483" s="1" t="s">
        <v>93</v>
      </c>
      <c r="I483" s="1" t="s">
        <v>28</v>
      </c>
      <c r="J483" s="1" t="s">
        <v>1828</v>
      </c>
      <c r="K483" s="1" t="s">
        <v>1829</v>
      </c>
      <c r="L483">
        <v>57103</v>
      </c>
      <c r="M483" s="1" t="s">
        <v>96</v>
      </c>
      <c r="N483" s="1" t="s">
        <v>1659</v>
      </c>
      <c r="O483" s="1" t="s">
        <v>33</v>
      </c>
      <c r="P483" s="1" t="s">
        <v>39</v>
      </c>
      <c r="Q483" s="1" t="s">
        <v>1660</v>
      </c>
      <c r="R483">
        <v>183</v>
      </c>
      <c r="S483">
        <v>3</v>
      </c>
      <c r="T483">
        <v>0</v>
      </c>
      <c r="U483">
        <v>27</v>
      </c>
      <c r="V483" s="1" t="s">
        <v>61</v>
      </c>
      <c r="W483" s="1" t="s">
        <v>74</v>
      </c>
    </row>
    <row r="484" spans="1:23" x14ac:dyDescent="0.35">
      <c r="A484">
        <v>2327</v>
      </c>
      <c r="B484" s="1" t="s">
        <v>1830</v>
      </c>
      <c r="C484" s="2">
        <v>42262</v>
      </c>
      <c r="D484" s="2">
        <v>42266</v>
      </c>
      <c r="E484" s="1" t="s">
        <v>24</v>
      </c>
      <c r="F484" s="1" t="s">
        <v>1831</v>
      </c>
      <c r="G484" s="1" t="s">
        <v>1832</v>
      </c>
      <c r="H484" s="1" t="s">
        <v>93</v>
      </c>
      <c r="I484" s="1" t="s">
        <v>28</v>
      </c>
      <c r="J484" s="1" t="s">
        <v>176</v>
      </c>
      <c r="K484" s="1" t="s">
        <v>123</v>
      </c>
      <c r="L484">
        <v>10035</v>
      </c>
      <c r="M484" s="1" t="s">
        <v>70</v>
      </c>
      <c r="N484" s="1" t="s">
        <v>351</v>
      </c>
      <c r="O484" s="1" t="s">
        <v>33</v>
      </c>
      <c r="P484" s="1" t="s">
        <v>34</v>
      </c>
      <c r="Q484" s="1" t="s">
        <v>352</v>
      </c>
      <c r="R484">
        <v>46</v>
      </c>
      <c r="S484">
        <v>1</v>
      </c>
      <c r="T484">
        <v>0.2</v>
      </c>
      <c r="U484">
        <v>1</v>
      </c>
      <c r="V484" s="1" t="s">
        <v>86</v>
      </c>
      <c r="W484" s="1" t="s">
        <v>80</v>
      </c>
    </row>
    <row r="485" spans="1:23" x14ac:dyDescent="0.35">
      <c r="A485">
        <v>2330</v>
      </c>
      <c r="B485" s="1" t="s">
        <v>1833</v>
      </c>
      <c r="C485" s="2">
        <v>42363</v>
      </c>
      <c r="D485" s="2">
        <v>42367</v>
      </c>
      <c r="E485" s="1" t="s">
        <v>42</v>
      </c>
      <c r="F485" s="1" t="s">
        <v>678</v>
      </c>
      <c r="G485" s="1" t="s">
        <v>679</v>
      </c>
      <c r="H485" s="1" t="s">
        <v>93</v>
      </c>
      <c r="I485" s="1" t="s">
        <v>28</v>
      </c>
      <c r="J485" s="1" t="s">
        <v>68</v>
      </c>
      <c r="K485" s="1" t="s">
        <v>69</v>
      </c>
      <c r="L485">
        <v>19140</v>
      </c>
      <c r="M485" s="1" t="s">
        <v>70</v>
      </c>
      <c r="N485" s="1" t="s">
        <v>1834</v>
      </c>
      <c r="O485" s="1" t="s">
        <v>33</v>
      </c>
      <c r="P485" s="1" t="s">
        <v>59</v>
      </c>
      <c r="Q485" s="1" t="s">
        <v>1835</v>
      </c>
      <c r="R485">
        <v>547</v>
      </c>
      <c r="S485">
        <v>4</v>
      </c>
      <c r="T485">
        <v>0.2</v>
      </c>
      <c r="U485">
        <v>-68</v>
      </c>
      <c r="V485" s="1" t="s">
        <v>86</v>
      </c>
      <c r="W485" s="1" t="s">
        <v>99</v>
      </c>
    </row>
    <row r="486" spans="1:23" x14ac:dyDescent="0.35">
      <c r="A486">
        <v>2342</v>
      </c>
      <c r="B486" s="1" t="s">
        <v>1836</v>
      </c>
      <c r="C486" s="2">
        <v>42004</v>
      </c>
      <c r="D486" s="2">
        <v>42007</v>
      </c>
      <c r="E486" s="1" t="s">
        <v>90</v>
      </c>
      <c r="F486" s="1" t="s">
        <v>1255</v>
      </c>
      <c r="G486" s="1" t="s">
        <v>1256</v>
      </c>
      <c r="H486" s="1" t="s">
        <v>103</v>
      </c>
      <c r="I486" s="1" t="s">
        <v>28</v>
      </c>
      <c r="J486" s="1" t="s">
        <v>240</v>
      </c>
      <c r="K486" s="1" t="s">
        <v>437</v>
      </c>
      <c r="L486">
        <v>2038</v>
      </c>
      <c r="M486" s="1" t="s">
        <v>70</v>
      </c>
      <c r="N486" s="1" t="s">
        <v>1837</v>
      </c>
      <c r="O486" s="1" t="s">
        <v>33</v>
      </c>
      <c r="P486" s="1" t="s">
        <v>59</v>
      </c>
      <c r="Q486" s="1" t="s">
        <v>1838</v>
      </c>
      <c r="R486">
        <v>63</v>
      </c>
      <c r="S486">
        <v>5</v>
      </c>
      <c r="T486">
        <v>0</v>
      </c>
      <c r="U486">
        <v>23</v>
      </c>
      <c r="V486" s="1" t="s">
        <v>36</v>
      </c>
      <c r="W486" s="1" t="s">
        <v>99</v>
      </c>
    </row>
    <row r="487" spans="1:23" x14ac:dyDescent="0.35">
      <c r="A487">
        <v>2348</v>
      </c>
      <c r="B487" s="1" t="s">
        <v>1839</v>
      </c>
      <c r="C487" s="2">
        <v>42442</v>
      </c>
      <c r="D487" s="2">
        <v>42447</v>
      </c>
      <c r="E487" s="1" t="s">
        <v>42</v>
      </c>
      <c r="F487" s="1" t="s">
        <v>816</v>
      </c>
      <c r="G487" s="1" t="s">
        <v>817</v>
      </c>
      <c r="H487" s="1" t="s">
        <v>27</v>
      </c>
      <c r="I487" s="1" t="s">
        <v>28</v>
      </c>
      <c r="J487" s="1" t="s">
        <v>248</v>
      </c>
      <c r="K487" s="1" t="s">
        <v>95</v>
      </c>
      <c r="L487">
        <v>78207</v>
      </c>
      <c r="M487" s="1" t="s">
        <v>96</v>
      </c>
      <c r="N487" s="1" t="s">
        <v>1137</v>
      </c>
      <c r="O487" s="1" t="s">
        <v>33</v>
      </c>
      <c r="P487" s="1" t="s">
        <v>48</v>
      </c>
      <c r="Q487" s="1" t="s">
        <v>1138</v>
      </c>
      <c r="R487">
        <v>558</v>
      </c>
      <c r="S487">
        <v>5</v>
      </c>
      <c r="T487">
        <v>0.3</v>
      </c>
      <c r="U487">
        <v>0</v>
      </c>
      <c r="V487" s="1" t="s">
        <v>61</v>
      </c>
      <c r="W487" s="1" t="s">
        <v>198</v>
      </c>
    </row>
    <row r="488" spans="1:23" x14ac:dyDescent="0.35">
      <c r="A488">
        <v>2354</v>
      </c>
      <c r="B488" s="1" t="s">
        <v>1840</v>
      </c>
      <c r="C488" s="2">
        <v>42247</v>
      </c>
      <c r="D488" s="2">
        <v>42249</v>
      </c>
      <c r="E488" s="1" t="s">
        <v>90</v>
      </c>
      <c r="F488" s="1" t="s">
        <v>1841</v>
      </c>
      <c r="G488" s="1" t="s">
        <v>1842</v>
      </c>
      <c r="H488" s="1" t="s">
        <v>93</v>
      </c>
      <c r="I488" s="1" t="s">
        <v>28</v>
      </c>
      <c r="J488" s="1" t="s">
        <v>331</v>
      </c>
      <c r="K488" s="1" t="s">
        <v>56</v>
      </c>
      <c r="L488">
        <v>94122</v>
      </c>
      <c r="M488" s="1" t="s">
        <v>57</v>
      </c>
      <c r="N488" s="1" t="s">
        <v>105</v>
      </c>
      <c r="O488" s="1" t="s">
        <v>33</v>
      </c>
      <c r="P488" s="1" t="s">
        <v>34</v>
      </c>
      <c r="Q488" s="1" t="s">
        <v>106</v>
      </c>
      <c r="R488">
        <v>1553</v>
      </c>
      <c r="S488">
        <v>7</v>
      </c>
      <c r="T488">
        <v>0.15</v>
      </c>
      <c r="U488">
        <v>201</v>
      </c>
      <c r="V488" s="1" t="s">
        <v>73</v>
      </c>
      <c r="W488" s="1" t="s">
        <v>256</v>
      </c>
    </row>
    <row r="489" spans="1:23" x14ac:dyDescent="0.35">
      <c r="A489">
        <v>2358</v>
      </c>
      <c r="B489" s="1" t="s">
        <v>1843</v>
      </c>
      <c r="C489" s="2">
        <v>41715</v>
      </c>
      <c r="D489" s="2">
        <v>41719</v>
      </c>
      <c r="E489" s="1" t="s">
        <v>42</v>
      </c>
      <c r="F489" s="1" t="s">
        <v>1844</v>
      </c>
      <c r="G489" s="1" t="s">
        <v>1845</v>
      </c>
      <c r="H489" s="1" t="s">
        <v>93</v>
      </c>
      <c r="I489" s="1" t="s">
        <v>28</v>
      </c>
      <c r="J489" s="1" t="s">
        <v>176</v>
      </c>
      <c r="K489" s="1" t="s">
        <v>123</v>
      </c>
      <c r="L489">
        <v>10024</v>
      </c>
      <c r="M489" s="1" t="s">
        <v>70</v>
      </c>
      <c r="N489" s="1" t="s">
        <v>309</v>
      </c>
      <c r="O489" s="1" t="s">
        <v>33</v>
      </c>
      <c r="P489" s="1" t="s">
        <v>48</v>
      </c>
      <c r="Q489" s="1" t="s">
        <v>310</v>
      </c>
      <c r="R489">
        <v>1580</v>
      </c>
      <c r="S489">
        <v>7</v>
      </c>
      <c r="T489">
        <v>0.4</v>
      </c>
      <c r="U489">
        <v>-448</v>
      </c>
      <c r="V489" s="1" t="s">
        <v>86</v>
      </c>
      <c r="W489" s="1" t="s">
        <v>198</v>
      </c>
    </row>
    <row r="490" spans="1:23" x14ac:dyDescent="0.35">
      <c r="A490">
        <v>2359</v>
      </c>
      <c r="B490" s="1" t="s">
        <v>1843</v>
      </c>
      <c r="C490" s="2">
        <v>41715</v>
      </c>
      <c r="D490" s="2">
        <v>41719</v>
      </c>
      <c r="E490" s="1" t="s">
        <v>42</v>
      </c>
      <c r="F490" s="1" t="s">
        <v>1844</v>
      </c>
      <c r="G490" s="1" t="s">
        <v>1845</v>
      </c>
      <c r="H490" s="1" t="s">
        <v>93</v>
      </c>
      <c r="I490" s="1" t="s">
        <v>28</v>
      </c>
      <c r="J490" s="1" t="s">
        <v>176</v>
      </c>
      <c r="K490" s="1" t="s">
        <v>123</v>
      </c>
      <c r="L490">
        <v>10024</v>
      </c>
      <c r="M490" s="1" t="s">
        <v>70</v>
      </c>
      <c r="N490" s="1" t="s">
        <v>1814</v>
      </c>
      <c r="O490" s="1" t="s">
        <v>33</v>
      </c>
      <c r="P490" s="1" t="s">
        <v>48</v>
      </c>
      <c r="Q490" s="1" t="s">
        <v>1815</v>
      </c>
      <c r="R490">
        <v>1072</v>
      </c>
      <c r="S490">
        <v>4</v>
      </c>
      <c r="T490">
        <v>0.4</v>
      </c>
      <c r="U490">
        <v>-554</v>
      </c>
      <c r="V490" s="1" t="s">
        <v>86</v>
      </c>
      <c r="W490" s="1" t="s">
        <v>198</v>
      </c>
    </row>
    <row r="491" spans="1:23" x14ac:dyDescent="0.35">
      <c r="A491">
        <v>2360</v>
      </c>
      <c r="B491" s="1" t="s">
        <v>1843</v>
      </c>
      <c r="C491" s="2">
        <v>41715</v>
      </c>
      <c r="D491" s="2">
        <v>41719</v>
      </c>
      <c r="E491" s="1" t="s">
        <v>42</v>
      </c>
      <c r="F491" s="1" t="s">
        <v>1844</v>
      </c>
      <c r="G491" s="1" t="s">
        <v>1845</v>
      </c>
      <c r="H491" s="1" t="s">
        <v>93</v>
      </c>
      <c r="I491" s="1" t="s">
        <v>28</v>
      </c>
      <c r="J491" s="1" t="s">
        <v>176</v>
      </c>
      <c r="K491" s="1" t="s">
        <v>123</v>
      </c>
      <c r="L491">
        <v>10024</v>
      </c>
      <c r="M491" s="1" t="s">
        <v>70</v>
      </c>
      <c r="N491" s="1" t="s">
        <v>1564</v>
      </c>
      <c r="O491" s="1" t="s">
        <v>33</v>
      </c>
      <c r="P491" s="1" t="s">
        <v>48</v>
      </c>
      <c r="Q491" s="1" t="s">
        <v>1565</v>
      </c>
      <c r="R491">
        <v>614</v>
      </c>
      <c r="S491">
        <v>3</v>
      </c>
      <c r="T491">
        <v>0.4</v>
      </c>
      <c r="U491">
        <v>-123</v>
      </c>
      <c r="V491" s="1" t="s">
        <v>86</v>
      </c>
      <c r="W491" s="1" t="s">
        <v>198</v>
      </c>
    </row>
    <row r="492" spans="1:23" x14ac:dyDescent="0.35">
      <c r="A492">
        <v>2364</v>
      </c>
      <c r="B492" s="1" t="s">
        <v>1846</v>
      </c>
      <c r="C492" s="2">
        <v>42442</v>
      </c>
      <c r="D492" s="2">
        <v>42447</v>
      </c>
      <c r="E492" s="1" t="s">
        <v>42</v>
      </c>
      <c r="F492" s="1" t="s">
        <v>1847</v>
      </c>
      <c r="G492" s="1" t="s">
        <v>1848</v>
      </c>
      <c r="H492" s="1" t="s">
        <v>103</v>
      </c>
      <c r="I492" s="1" t="s">
        <v>28</v>
      </c>
      <c r="J492" s="1" t="s">
        <v>718</v>
      </c>
      <c r="K492" s="1" t="s">
        <v>719</v>
      </c>
      <c r="L492">
        <v>22980</v>
      </c>
      <c r="M492" s="1" t="s">
        <v>31</v>
      </c>
      <c r="N492" s="1" t="s">
        <v>554</v>
      </c>
      <c r="O492" s="1" t="s">
        <v>33</v>
      </c>
      <c r="P492" s="1" t="s">
        <v>59</v>
      </c>
      <c r="Q492" s="1" t="s">
        <v>555</v>
      </c>
      <c r="R492">
        <v>128</v>
      </c>
      <c r="S492">
        <v>2</v>
      </c>
      <c r="T492">
        <v>0</v>
      </c>
      <c r="U492">
        <v>41</v>
      </c>
      <c r="V492" s="1" t="s">
        <v>61</v>
      </c>
      <c r="W492" s="1" t="s">
        <v>198</v>
      </c>
    </row>
    <row r="493" spans="1:23" x14ac:dyDescent="0.35">
      <c r="A493">
        <v>2367</v>
      </c>
      <c r="B493" s="1" t="s">
        <v>1849</v>
      </c>
      <c r="C493" s="2">
        <v>41967</v>
      </c>
      <c r="D493" s="2">
        <v>41969</v>
      </c>
      <c r="E493" s="1" t="s">
        <v>24</v>
      </c>
      <c r="F493" s="1" t="s">
        <v>1850</v>
      </c>
      <c r="G493" s="1" t="s">
        <v>1851</v>
      </c>
      <c r="H493" s="1" t="s">
        <v>27</v>
      </c>
      <c r="I493" s="1" t="s">
        <v>28</v>
      </c>
      <c r="J493" s="1" t="s">
        <v>1852</v>
      </c>
      <c r="K493" s="1" t="s">
        <v>56</v>
      </c>
      <c r="L493">
        <v>95823</v>
      </c>
      <c r="M493" s="1" t="s">
        <v>57</v>
      </c>
      <c r="N493" s="1" t="s">
        <v>1853</v>
      </c>
      <c r="O493" s="1" t="s">
        <v>33</v>
      </c>
      <c r="P493" s="1" t="s">
        <v>39</v>
      </c>
      <c r="Q493" s="1" t="s">
        <v>1854</v>
      </c>
      <c r="R493">
        <v>121</v>
      </c>
      <c r="S493">
        <v>1</v>
      </c>
      <c r="T493">
        <v>0.2</v>
      </c>
      <c r="U493">
        <v>-18</v>
      </c>
      <c r="V493" s="1" t="s">
        <v>73</v>
      </c>
      <c r="W493" s="1" t="s">
        <v>37</v>
      </c>
    </row>
    <row r="494" spans="1:23" x14ac:dyDescent="0.35">
      <c r="A494">
        <v>2369</v>
      </c>
      <c r="B494" s="1" t="s">
        <v>1855</v>
      </c>
      <c r="C494" s="2">
        <v>42636</v>
      </c>
      <c r="D494" s="2">
        <v>42640</v>
      </c>
      <c r="E494" s="1" t="s">
        <v>42</v>
      </c>
      <c r="F494" s="1" t="s">
        <v>354</v>
      </c>
      <c r="G494" s="1" t="s">
        <v>355</v>
      </c>
      <c r="H494" s="1" t="s">
        <v>93</v>
      </c>
      <c r="I494" s="1" t="s">
        <v>28</v>
      </c>
      <c r="J494" s="1" t="s">
        <v>1583</v>
      </c>
      <c r="K494" s="1" t="s">
        <v>234</v>
      </c>
      <c r="L494">
        <v>45014</v>
      </c>
      <c r="M494" s="1" t="s">
        <v>70</v>
      </c>
      <c r="N494" s="1" t="s">
        <v>1856</v>
      </c>
      <c r="O494" s="1" t="s">
        <v>33</v>
      </c>
      <c r="P494" s="1" t="s">
        <v>59</v>
      </c>
      <c r="Q494" s="1" t="s">
        <v>1857</v>
      </c>
      <c r="R494">
        <v>533</v>
      </c>
      <c r="S494">
        <v>6</v>
      </c>
      <c r="T494">
        <v>0.2</v>
      </c>
      <c r="U494">
        <v>-27</v>
      </c>
      <c r="V494" s="1" t="s">
        <v>86</v>
      </c>
      <c r="W494" s="1" t="s">
        <v>80</v>
      </c>
    </row>
    <row r="495" spans="1:23" x14ac:dyDescent="0.35">
      <c r="A495">
        <v>2372</v>
      </c>
      <c r="B495" s="1" t="s">
        <v>1858</v>
      </c>
      <c r="C495" s="2">
        <v>42558</v>
      </c>
      <c r="D495" s="2">
        <v>42562</v>
      </c>
      <c r="E495" s="1" t="s">
        <v>24</v>
      </c>
      <c r="F495" s="1" t="s">
        <v>1859</v>
      </c>
      <c r="G495" s="1" t="s">
        <v>1860</v>
      </c>
      <c r="H495" s="1" t="s">
        <v>93</v>
      </c>
      <c r="I495" s="1" t="s">
        <v>28</v>
      </c>
      <c r="J495" s="1" t="s">
        <v>182</v>
      </c>
      <c r="K495" s="1" t="s">
        <v>137</v>
      </c>
      <c r="L495">
        <v>60505</v>
      </c>
      <c r="M495" s="1" t="s">
        <v>96</v>
      </c>
      <c r="N495" s="1" t="s">
        <v>1545</v>
      </c>
      <c r="O495" s="1" t="s">
        <v>33</v>
      </c>
      <c r="P495" s="1" t="s">
        <v>59</v>
      </c>
      <c r="Q495" s="1" t="s">
        <v>1546</v>
      </c>
      <c r="R495">
        <v>60</v>
      </c>
      <c r="S495">
        <v>8</v>
      </c>
      <c r="T495">
        <v>0.6</v>
      </c>
      <c r="U495">
        <v>-27</v>
      </c>
      <c r="V495" s="1" t="s">
        <v>86</v>
      </c>
      <c r="W495" s="1" t="s">
        <v>74</v>
      </c>
    </row>
    <row r="496" spans="1:23" x14ac:dyDescent="0.35">
      <c r="A496">
        <v>2375</v>
      </c>
      <c r="B496" s="1" t="s">
        <v>1858</v>
      </c>
      <c r="C496" s="2">
        <v>42558</v>
      </c>
      <c r="D496" s="2">
        <v>42562</v>
      </c>
      <c r="E496" s="1" t="s">
        <v>24</v>
      </c>
      <c r="F496" s="1" t="s">
        <v>1859</v>
      </c>
      <c r="G496" s="1" t="s">
        <v>1860</v>
      </c>
      <c r="H496" s="1" t="s">
        <v>93</v>
      </c>
      <c r="I496" s="1" t="s">
        <v>28</v>
      </c>
      <c r="J496" s="1" t="s">
        <v>182</v>
      </c>
      <c r="K496" s="1" t="s">
        <v>137</v>
      </c>
      <c r="L496">
        <v>60505</v>
      </c>
      <c r="M496" s="1" t="s">
        <v>96</v>
      </c>
      <c r="N496" s="1" t="s">
        <v>423</v>
      </c>
      <c r="O496" s="1" t="s">
        <v>33</v>
      </c>
      <c r="P496" s="1" t="s">
        <v>39</v>
      </c>
      <c r="Q496" s="1" t="s">
        <v>424</v>
      </c>
      <c r="R496">
        <v>253</v>
      </c>
      <c r="S496">
        <v>2</v>
      </c>
      <c r="T496">
        <v>0.3</v>
      </c>
      <c r="U496">
        <v>-14</v>
      </c>
      <c r="V496" s="1" t="s">
        <v>86</v>
      </c>
      <c r="W496" s="1" t="s">
        <v>74</v>
      </c>
    </row>
    <row r="497" spans="1:23" x14ac:dyDescent="0.35">
      <c r="A497">
        <v>2382</v>
      </c>
      <c r="B497" s="1" t="s">
        <v>1861</v>
      </c>
      <c r="C497" s="2">
        <v>42496</v>
      </c>
      <c r="D497" s="2">
        <v>42500</v>
      </c>
      <c r="E497" s="1" t="s">
        <v>42</v>
      </c>
      <c r="F497" s="1" t="s">
        <v>1862</v>
      </c>
      <c r="G497" s="1" t="s">
        <v>1863</v>
      </c>
      <c r="H497" s="1" t="s">
        <v>103</v>
      </c>
      <c r="I497" s="1" t="s">
        <v>28</v>
      </c>
      <c r="J497" s="1" t="s">
        <v>872</v>
      </c>
      <c r="K497" s="1" t="s">
        <v>234</v>
      </c>
      <c r="L497">
        <v>44052</v>
      </c>
      <c r="M497" s="1" t="s">
        <v>70</v>
      </c>
      <c r="N497" s="1" t="s">
        <v>87</v>
      </c>
      <c r="O497" s="1" t="s">
        <v>33</v>
      </c>
      <c r="P497" s="1" t="s">
        <v>59</v>
      </c>
      <c r="Q497" s="1" t="s">
        <v>1864</v>
      </c>
      <c r="R497">
        <v>55</v>
      </c>
      <c r="S497">
        <v>7</v>
      </c>
      <c r="T497">
        <v>0.2</v>
      </c>
      <c r="U497">
        <v>12</v>
      </c>
      <c r="V497" s="1" t="s">
        <v>86</v>
      </c>
      <c r="W497" s="1" t="s">
        <v>164</v>
      </c>
    </row>
    <row r="498" spans="1:23" x14ac:dyDescent="0.35">
      <c r="A498">
        <v>2393</v>
      </c>
      <c r="B498" s="1" t="s">
        <v>1865</v>
      </c>
      <c r="C498" s="2">
        <v>42344</v>
      </c>
      <c r="D498" s="2">
        <v>42348</v>
      </c>
      <c r="E498" s="1" t="s">
        <v>42</v>
      </c>
      <c r="F498" s="1" t="s">
        <v>1866</v>
      </c>
      <c r="G498" s="1" t="s">
        <v>1867</v>
      </c>
      <c r="H498" s="1" t="s">
        <v>27</v>
      </c>
      <c r="I498" s="1" t="s">
        <v>28</v>
      </c>
      <c r="J498" s="1" t="s">
        <v>176</v>
      </c>
      <c r="K498" s="1" t="s">
        <v>123</v>
      </c>
      <c r="L498">
        <v>10009</v>
      </c>
      <c r="M498" s="1" t="s">
        <v>70</v>
      </c>
      <c r="N498" s="1" t="s">
        <v>1521</v>
      </c>
      <c r="O498" s="1" t="s">
        <v>33</v>
      </c>
      <c r="P498" s="1" t="s">
        <v>59</v>
      </c>
      <c r="Q498" s="1" t="s">
        <v>1522</v>
      </c>
      <c r="R498">
        <v>114</v>
      </c>
      <c r="S498">
        <v>4</v>
      </c>
      <c r="T498">
        <v>0</v>
      </c>
      <c r="U498">
        <v>42</v>
      </c>
      <c r="V498" s="1" t="s">
        <v>86</v>
      </c>
      <c r="W498" s="1" t="s">
        <v>99</v>
      </c>
    </row>
    <row r="499" spans="1:23" x14ac:dyDescent="0.35">
      <c r="A499">
        <v>2404</v>
      </c>
      <c r="B499" s="1" t="s">
        <v>1868</v>
      </c>
      <c r="C499" s="2">
        <v>42640</v>
      </c>
      <c r="D499" s="2">
        <v>42646</v>
      </c>
      <c r="E499" s="1" t="s">
        <v>42</v>
      </c>
      <c r="F499" s="1" t="s">
        <v>1869</v>
      </c>
      <c r="G499" s="1" t="s">
        <v>1870</v>
      </c>
      <c r="H499" s="1" t="s">
        <v>93</v>
      </c>
      <c r="I499" s="1" t="s">
        <v>28</v>
      </c>
      <c r="J499" s="1" t="s">
        <v>1871</v>
      </c>
      <c r="K499" s="1" t="s">
        <v>95</v>
      </c>
      <c r="L499">
        <v>77340</v>
      </c>
      <c r="M499" s="1" t="s">
        <v>96</v>
      </c>
      <c r="N499" s="1" t="s">
        <v>1872</v>
      </c>
      <c r="O499" s="1" t="s">
        <v>33</v>
      </c>
      <c r="P499" s="1" t="s">
        <v>34</v>
      </c>
      <c r="Q499" s="1" t="s">
        <v>1873</v>
      </c>
      <c r="R499">
        <v>957</v>
      </c>
      <c r="S499">
        <v>7</v>
      </c>
      <c r="T499">
        <v>0.32</v>
      </c>
      <c r="U499">
        <v>-225</v>
      </c>
      <c r="V499" s="1" t="s">
        <v>132</v>
      </c>
      <c r="W499" s="1" t="s">
        <v>80</v>
      </c>
    </row>
    <row r="500" spans="1:23" x14ac:dyDescent="0.35">
      <c r="A500">
        <v>2410</v>
      </c>
      <c r="B500" s="1" t="s">
        <v>1874</v>
      </c>
      <c r="C500" s="2">
        <v>42817</v>
      </c>
      <c r="D500" s="2">
        <v>42819</v>
      </c>
      <c r="E500" s="1" t="s">
        <v>90</v>
      </c>
      <c r="F500" s="1" t="s">
        <v>1875</v>
      </c>
      <c r="G500" s="1" t="s">
        <v>1876</v>
      </c>
      <c r="H500" s="1" t="s">
        <v>103</v>
      </c>
      <c r="I500" s="1" t="s">
        <v>28</v>
      </c>
      <c r="J500" s="1" t="s">
        <v>331</v>
      </c>
      <c r="K500" s="1" t="s">
        <v>56</v>
      </c>
      <c r="L500">
        <v>94122</v>
      </c>
      <c r="M500" s="1" t="s">
        <v>57</v>
      </c>
      <c r="N500" s="1" t="s">
        <v>1424</v>
      </c>
      <c r="O500" s="1" t="s">
        <v>33</v>
      </c>
      <c r="P500" s="1" t="s">
        <v>59</v>
      </c>
      <c r="Q500" s="1" t="s">
        <v>1425</v>
      </c>
      <c r="R500">
        <v>212</v>
      </c>
      <c r="S500">
        <v>8</v>
      </c>
      <c r="T500">
        <v>0</v>
      </c>
      <c r="U500">
        <v>76</v>
      </c>
      <c r="V500" s="1" t="s">
        <v>73</v>
      </c>
      <c r="W500" s="1" t="s">
        <v>198</v>
      </c>
    </row>
    <row r="501" spans="1:23" x14ac:dyDescent="0.35">
      <c r="A501">
        <v>2414</v>
      </c>
      <c r="B501" s="1" t="s">
        <v>1877</v>
      </c>
      <c r="C501" s="2">
        <v>41955</v>
      </c>
      <c r="D501" s="2">
        <v>41959</v>
      </c>
      <c r="E501" s="1" t="s">
        <v>42</v>
      </c>
      <c r="F501" s="1" t="s">
        <v>1878</v>
      </c>
      <c r="G501" s="1" t="s">
        <v>1879</v>
      </c>
      <c r="H501" s="1" t="s">
        <v>27</v>
      </c>
      <c r="I501" s="1" t="s">
        <v>28</v>
      </c>
      <c r="J501" s="1" t="s">
        <v>55</v>
      </c>
      <c r="K501" s="1" t="s">
        <v>56</v>
      </c>
      <c r="L501">
        <v>90045</v>
      </c>
      <c r="M501" s="1" t="s">
        <v>57</v>
      </c>
      <c r="N501" s="1" t="s">
        <v>918</v>
      </c>
      <c r="O501" s="1" t="s">
        <v>33</v>
      </c>
      <c r="P501" s="1" t="s">
        <v>48</v>
      </c>
      <c r="Q501" s="1" t="s">
        <v>919</v>
      </c>
      <c r="R501">
        <v>629</v>
      </c>
      <c r="S501">
        <v>3</v>
      </c>
      <c r="T501">
        <v>0.2</v>
      </c>
      <c r="U501">
        <v>31</v>
      </c>
      <c r="V501" s="1" t="s">
        <v>86</v>
      </c>
      <c r="W501" s="1" t="s">
        <v>37</v>
      </c>
    </row>
    <row r="502" spans="1:23" x14ac:dyDescent="0.35">
      <c r="A502">
        <v>2415</v>
      </c>
      <c r="B502" s="1" t="s">
        <v>1880</v>
      </c>
      <c r="C502" s="2">
        <v>42733</v>
      </c>
      <c r="D502" s="2">
        <v>42737</v>
      </c>
      <c r="E502" s="1" t="s">
        <v>42</v>
      </c>
      <c r="F502" s="1" t="s">
        <v>501</v>
      </c>
      <c r="G502" s="1" t="s">
        <v>502</v>
      </c>
      <c r="H502" s="1" t="s">
        <v>27</v>
      </c>
      <c r="I502" s="1" t="s">
        <v>28</v>
      </c>
      <c r="J502" s="1" t="s">
        <v>908</v>
      </c>
      <c r="K502" s="1" t="s">
        <v>241</v>
      </c>
      <c r="L502">
        <v>53209</v>
      </c>
      <c r="M502" s="1" t="s">
        <v>96</v>
      </c>
      <c r="N502" s="1" t="s">
        <v>1853</v>
      </c>
      <c r="O502" s="1" t="s">
        <v>33</v>
      </c>
      <c r="P502" s="1" t="s">
        <v>39</v>
      </c>
      <c r="Q502" s="1" t="s">
        <v>1854</v>
      </c>
      <c r="R502">
        <v>754</v>
      </c>
      <c r="S502">
        <v>5</v>
      </c>
      <c r="T502">
        <v>0</v>
      </c>
      <c r="U502">
        <v>60</v>
      </c>
      <c r="V502" s="1" t="s">
        <v>86</v>
      </c>
      <c r="W502" s="1" t="s">
        <v>99</v>
      </c>
    </row>
    <row r="503" spans="1:23" x14ac:dyDescent="0.35">
      <c r="A503">
        <v>2416</v>
      </c>
      <c r="B503" s="1" t="s">
        <v>1881</v>
      </c>
      <c r="C503" s="2">
        <v>42191</v>
      </c>
      <c r="D503" s="2">
        <v>42196</v>
      </c>
      <c r="E503" s="1" t="s">
        <v>42</v>
      </c>
      <c r="F503" s="1" t="s">
        <v>1243</v>
      </c>
      <c r="G503" s="1" t="s">
        <v>1244</v>
      </c>
      <c r="H503" s="1" t="s">
        <v>103</v>
      </c>
      <c r="I503" s="1" t="s">
        <v>28</v>
      </c>
      <c r="J503" s="1" t="s">
        <v>1882</v>
      </c>
      <c r="K503" s="1" t="s">
        <v>437</v>
      </c>
      <c r="L503">
        <v>1040</v>
      </c>
      <c r="M503" s="1" t="s">
        <v>70</v>
      </c>
      <c r="N503" s="1" t="s">
        <v>532</v>
      </c>
      <c r="O503" s="1" t="s">
        <v>33</v>
      </c>
      <c r="P503" s="1" t="s">
        <v>34</v>
      </c>
      <c r="Q503" s="1" t="s">
        <v>533</v>
      </c>
      <c r="R503">
        <v>302</v>
      </c>
      <c r="S503">
        <v>2</v>
      </c>
      <c r="T503">
        <v>0</v>
      </c>
      <c r="U503">
        <v>60</v>
      </c>
      <c r="V503" s="1" t="s">
        <v>61</v>
      </c>
      <c r="W503" s="1" t="s">
        <v>74</v>
      </c>
    </row>
    <row r="504" spans="1:23" x14ac:dyDescent="0.35">
      <c r="A504">
        <v>2426</v>
      </c>
      <c r="B504" s="1" t="s">
        <v>1883</v>
      </c>
      <c r="C504" s="2">
        <v>43094</v>
      </c>
      <c r="D504" s="2">
        <v>43099</v>
      </c>
      <c r="E504" s="1" t="s">
        <v>42</v>
      </c>
      <c r="F504" s="1" t="s">
        <v>1884</v>
      </c>
      <c r="G504" s="1" t="s">
        <v>1885</v>
      </c>
      <c r="H504" s="1" t="s">
        <v>27</v>
      </c>
      <c r="I504" s="1" t="s">
        <v>28</v>
      </c>
      <c r="J504" s="1" t="s">
        <v>1583</v>
      </c>
      <c r="K504" s="1" t="s">
        <v>234</v>
      </c>
      <c r="L504">
        <v>45014</v>
      </c>
      <c r="M504" s="1" t="s">
        <v>70</v>
      </c>
      <c r="N504" s="1" t="s">
        <v>1886</v>
      </c>
      <c r="O504" s="1" t="s">
        <v>33</v>
      </c>
      <c r="P504" s="1" t="s">
        <v>48</v>
      </c>
      <c r="Q504" s="1" t="s">
        <v>1887</v>
      </c>
      <c r="R504">
        <v>273</v>
      </c>
      <c r="S504">
        <v>2</v>
      </c>
      <c r="T504">
        <v>0.4</v>
      </c>
      <c r="U504">
        <v>-105</v>
      </c>
      <c r="V504" s="1" t="s">
        <v>61</v>
      </c>
      <c r="W504" s="1" t="s">
        <v>99</v>
      </c>
    </row>
    <row r="505" spans="1:23" x14ac:dyDescent="0.35">
      <c r="A505">
        <v>2430</v>
      </c>
      <c r="B505" s="1" t="s">
        <v>1888</v>
      </c>
      <c r="C505" s="2">
        <v>42532</v>
      </c>
      <c r="D505" s="2">
        <v>42538</v>
      </c>
      <c r="E505" s="1" t="s">
        <v>42</v>
      </c>
      <c r="F505" s="1" t="s">
        <v>1889</v>
      </c>
      <c r="G505" s="1" t="s">
        <v>1890</v>
      </c>
      <c r="H505" s="1" t="s">
        <v>93</v>
      </c>
      <c r="I505" s="1" t="s">
        <v>28</v>
      </c>
      <c r="J505" s="1" t="s">
        <v>692</v>
      </c>
      <c r="K505" s="1" t="s">
        <v>95</v>
      </c>
      <c r="L505">
        <v>76017</v>
      </c>
      <c r="M505" s="1" t="s">
        <v>96</v>
      </c>
      <c r="N505" s="1" t="s">
        <v>1411</v>
      </c>
      <c r="O505" s="1" t="s">
        <v>33</v>
      </c>
      <c r="P505" s="1" t="s">
        <v>59</v>
      </c>
      <c r="Q505" s="1" t="s">
        <v>1412</v>
      </c>
      <c r="R505">
        <v>13</v>
      </c>
      <c r="S505">
        <v>7</v>
      </c>
      <c r="T505">
        <v>0.6</v>
      </c>
      <c r="U505">
        <v>-9</v>
      </c>
      <c r="V505" s="1" t="s">
        <v>132</v>
      </c>
      <c r="W505" s="1" t="s">
        <v>62</v>
      </c>
    </row>
    <row r="506" spans="1:23" x14ac:dyDescent="0.35">
      <c r="A506">
        <v>2432</v>
      </c>
      <c r="B506" s="1" t="s">
        <v>1891</v>
      </c>
      <c r="C506" s="2">
        <v>43097</v>
      </c>
      <c r="D506" s="2">
        <v>43102</v>
      </c>
      <c r="E506" s="1" t="s">
        <v>42</v>
      </c>
      <c r="F506" s="1" t="s">
        <v>1869</v>
      </c>
      <c r="G506" s="1" t="s">
        <v>1870</v>
      </c>
      <c r="H506" s="1" t="s">
        <v>93</v>
      </c>
      <c r="I506" s="1" t="s">
        <v>28</v>
      </c>
      <c r="J506" s="1" t="s">
        <v>194</v>
      </c>
      <c r="K506" s="1" t="s">
        <v>195</v>
      </c>
      <c r="L506">
        <v>98103</v>
      </c>
      <c r="M506" s="1" t="s">
        <v>57</v>
      </c>
      <c r="N506" s="1" t="s">
        <v>449</v>
      </c>
      <c r="O506" s="1" t="s">
        <v>33</v>
      </c>
      <c r="P506" s="1" t="s">
        <v>59</v>
      </c>
      <c r="Q506" s="1" t="s">
        <v>450</v>
      </c>
      <c r="R506">
        <v>7</v>
      </c>
      <c r="S506">
        <v>2</v>
      </c>
      <c r="T506">
        <v>0</v>
      </c>
      <c r="U506">
        <v>3</v>
      </c>
      <c r="V506" s="1" t="s">
        <v>61</v>
      </c>
      <c r="W506" s="1" t="s">
        <v>99</v>
      </c>
    </row>
    <row r="507" spans="1:23" x14ac:dyDescent="0.35">
      <c r="A507">
        <v>2433</v>
      </c>
      <c r="B507" s="1" t="s">
        <v>1892</v>
      </c>
      <c r="C507" s="2">
        <v>41723</v>
      </c>
      <c r="D507" s="2">
        <v>41730</v>
      </c>
      <c r="E507" s="1" t="s">
        <v>42</v>
      </c>
      <c r="F507" s="1" t="s">
        <v>1893</v>
      </c>
      <c r="G507" s="1" t="s">
        <v>1894</v>
      </c>
      <c r="H507" s="1" t="s">
        <v>27</v>
      </c>
      <c r="I507" s="1" t="s">
        <v>28</v>
      </c>
      <c r="J507" s="1" t="s">
        <v>176</v>
      </c>
      <c r="K507" s="1" t="s">
        <v>123</v>
      </c>
      <c r="L507">
        <v>10009</v>
      </c>
      <c r="M507" s="1" t="s">
        <v>70</v>
      </c>
      <c r="N507" s="1" t="s">
        <v>1895</v>
      </c>
      <c r="O507" s="1" t="s">
        <v>33</v>
      </c>
      <c r="P507" s="1" t="s">
        <v>39</v>
      </c>
      <c r="Q507" s="1" t="s">
        <v>1896</v>
      </c>
      <c r="R507">
        <v>367</v>
      </c>
      <c r="S507">
        <v>7</v>
      </c>
      <c r="T507">
        <v>0.1</v>
      </c>
      <c r="U507">
        <v>65</v>
      </c>
      <c r="V507" s="1" t="s">
        <v>50</v>
      </c>
      <c r="W507" s="1" t="s">
        <v>198</v>
      </c>
    </row>
    <row r="508" spans="1:23" x14ac:dyDescent="0.35">
      <c r="A508">
        <v>2437</v>
      </c>
      <c r="B508" s="1" t="s">
        <v>1897</v>
      </c>
      <c r="C508" s="2">
        <v>42919</v>
      </c>
      <c r="D508" s="2">
        <v>42926</v>
      </c>
      <c r="E508" s="1" t="s">
        <v>42</v>
      </c>
      <c r="F508" s="1" t="s">
        <v>1234</v>
      </c>
      <c r="G508" s="1" t="s">
        <v>1235</v>
      </c>
      <c r="H508" s="1" t="s">
        <v>27</v>
      </c>
      <c r="I508" s="1" t="s">
        <v>28</v>
      </c>
      <c r="J508" s="1" t="s">
        <v>1898</v>
      </c>
      <c r="K508" s="1" t="s">
        <v>1899</v>
      </c>
      <c r="L508">
        <v>87401</v>
      </c>
      <c r="M508" s="1" t="s">
        <v>57</v>
      </c>
      <c r="N508" s="1" t="s">
        <v>147</v>
      </c>
      <c r="O508" s="1" t="s">
        <v>33</v>
      </c>
      <c r="P508" s="1" t="s">
        <v>59</v>
      </c>
      <c r="Q508" s="1" t="s">
        <v>148</v>
      </c>
      <c r="R508">
        <v>546</v>
      </c>
      <c r="S508">
        <v>9</v>
      </c>
      <c r="T508">
        <v>0</v>
      </c>
      <c r="U508">
        <v>115</v>
      </c>
      <c r="V508" s="1" t="s">
        <v>50</v>
      </c>
      <c r="W508" s="1" t="s">
        <v>74</v>
      </c>
    </row>
    <row r="509" spans="1:23" x14ac:dyDescent="0.35">
      <c r="A509">
        <v>2438</v>
      </c>
      <c r="B509" s="1" t="s">
        <v>1900</v>
      </c>
      <c r="C509" s="2">
        <v>41961</v>
      </c>
      <c r="D509" s="2">
        <v>41963</v>
      </c>
      <c r="E509" s="1" t="s">
        <v>24</v>
      </c>
      <c r="F509" s="1" t="s">
        <v>1901</v>
      </c>
      <c r="G509" s="1" t="s">
        <v>1902</v>
      </c>
      <c r="H509" s="1" t="s">
        <v>27</v>
      </c>
      <c r="I509" s="1" t="s">
        <v>28</v>
      </c>
      <c r="J509" s="1" t="s">
        <v>868</v>
      </c>
      <c r="K509" s="1" t="s">
        <v>183</v>
      </c>
      <c r="L509">
        <v>80027</v>
      </c>
      <c r="M509" s="1" t="s">
        <v>57</v>
      </c>
      <c r="N509" s="1" t="s">
        <v>1903</v>
      </c>
      <c r="O509" s="1" t="s">
        <v>33</v>
      </c>
      <c r="P509" s="1" t="s">
        <v>48</v>
      </c>
      <c r="Q509" s="1" t="s">
        <v>1904</v>
      </c>
      <c r="R509">
        <v>146</v>
      </c>
      <c r="S509">
        <v>2</v>
      </c>
      <c r="T509">
        <v>0.5</v>
      </c>
      <c r="U509">
        <v>-99</v>
      </c>
      <c r="V509" s="1" t="s">
        <v>73</v>
      </c>
      <c r="W509" s="1" t="s">
        <v>37</v>
      </c>
    </row>
    <row r="510" spans="1:23" x14ac:dyDescent="0.35">
      <c r="A510">
        <v>2440</v>
      </c>
      <c r="B510" s="1" t="s">
        <v>1905</v>
      </c>
      <c r="C510" s="2">
        <v>42933</v>
      </c>
      <c r="D510" s="2">
        <v>42938</v>
      </c>
      <c r="E510" s="1" t="s">
        <v>42</v>
      </c>
      <c r="F510" s="1" t="s">
        <v>1906</v>
      </c>
      <c r="G510" s="1" t="s">
        <v>1907</v>
      </c>
      <c r="H510" s="1" t="s">
        <v>27</v>
      </c>
      <c r="I510" s="1" t="s">
        <v>28</v>
      </c>
      <c r="J510" s="1" t="s">
        <v>306</v>
      </c>
      <c r="K510" s="1" t="s">
        <v>46</v>
      </c>
      <c r="L510">
        <v>33614</v>
      </c>
      <c r="M510" s="1" t="s">
        <v>31</v>
      </c>
      <c r="N510" s="1" t="s">
        <v>805</v>
      </c>
      <c r="O510" s="1" t="s">
        <v>33</v>
      </c>
      <c r="P510" s="1" t="s">
        <v>59</v>
      </c>
      <c r="Q510" s="1" t="s">
        <v>806</v>
      </c>
      <c r="R510">
        <v>8</v>
      </c>
      <c r="S510">
        <v>2</v>
      </c>
      <c r="T510">
        <v>0.2</v>
      </c>
      <c r="U510">
        <v>2</v>
      </c>
      <c r="V510" s="1" t="s">
        <v>61</v>
      </c>
      <c r="W510" s="1" t="s">
        <v>74</v>
      </c>
    </row>
    <row r="511" spans="1:23" x14ac:dyDescent="0.35">
      <c r="A511">
        <v>2442</v>
      </c>
      <c r="B511" s="1" t="s">
        <v>1908</v>
      </c>
      <c r="C511" s="2">
        <v>42512</v>
      </c>
      <c r="D511" s="2">
        <v>42517</v>
      </c>
      <c r="E511" s="1" t="s">
        <v>42</v>
      </c>
      <c r="F511" s="1" t="s">
        <v>1736</v>
      </c>
      <c r="G511" s="1" t="s">
        <v>1737</v>
      </c>
      <c r="H511" s="1" t="s">
        <v>27</v>
      </c>
      <c r="I511" s="1" t="s">
        <v>28</v>
      </c>
      <c r="J511" s="1" t="s">
        <v>1909</v>
      </c>
      <c r="K511" s="1" t="s">
        <v>365</v>
      </c>
      <c r="L511">
        <v>7055</v>
      </c>
      <c r="M511" s="1" t="s">
        <v>70</v>
      </c>
      <c r="N511" s="1" t="s">
        <v>293</v>
      </c>
      <c r="O511" s="1" t="s">
        <v>33</v>
      </c>
      <c r="P511" s="1" t="s">
        <v>48</v>
      </c>
      <c r="Q511" s="1" t="s">
        <v>294</v>
      </c>
      <c r="R511">
        <v>174</v>
      </c>
      <c r="S511">
        <v>2</v>
      </c>
      <c r="T511">
        <v>0.3</v>
      </c>
      <c r="U511">
        <v>-20</v>
      </c>
      <c r="V511" s="1" t="s">
        <v>61</v>
      </c>
      <c r="W511" s="1" t="s">
        <v>164</v>
      </c>
    </row>
    <row r="512" spans="1:23" x14ac:dyDescent="0.35">
      <c r="A512">
        <v>2448</v>
      </c>
      <c r="B512" s="1" t="s">
        <v>1910</v>
      </c>
      <c r="C512" s="2">
        <v>42674</v>
      </c>
      <c r="D512" s="2">
        <v>42680</v>
      </c>
      <c r="E512" s="1" t="s">
        <v>42</v>
      </c>
      <c r="F512" s="1" t="s">
        <v>602</v>
      </c>
      <c r="G512" s="1" t="s">
        <v>603</v>
      </c>
      <c r="H512" s="1" t="s">
        <v>27</v>
      </c>
      <c r="I512" s="1" t="s">
        <v>28</v>
      </c>
      <c r="J512" s="1" t="s">
        <v>68</v>
      </c>
      <c r="K512" s="1" t="s">
        <v>69</v>
      </c>
      <c r="L512">
        <v>19143</v>
      </c>
      <c r="M512" s="1" t="s">
        <v>70</v>
      </c>
      <c r="N512" s="1" t="s">
        <v>1535</v>
      </c>
      <c r="O512" s="1" t="s">
        <v>33</v>
      </c>
      <c r="P512" s="1" t="s">
        <v>39</v>
      </c>
      <c r="Q512" s="1" t="s">
        <v>1536</v>
      </c>
      <c r="R512">
        <v>493</v>
      </c>
      <c r="S512">
        <v>5</v>
      </c>
      <c r="T512">
        <v>0.3</v>
      </c>
      <c r="U512">
        <v>-14</v>
      </c>
      <c r="V512" s="1" t="s">
        <v>132</v>
      </c>
      <c r="W512" s="1" t="s">
        <v>51</v>
      </c>
    </row>
    <row r="513" spans="1:23" x14ac:dyDescent="0.35">
      <c r="A513">
        <v>2471</v>
      </c>
      <c r="B513" s="1" t="s">
        <v>1911</v>
      </c>
      <c r="C513" s="2">
        <v>42391</v>
      </c>
      <c r="D513" s="2">
        <v>42397</v>
      </c>
      <c r="E513" s="1" t="s">
        <v>42</v>
      </c>
      <c r="F513" s="1" t="s">
        <v>1912</v>
      </c>
      <c r="G513" s="1" t="s">
        <v>1913</v>
      </c>
      <c r="H513" s="1" t="s">
        <v>27</v>
      </c>
      <c r="I513" s="1" t="s">
        <v>28</v>
      </c>
      <c r="J513" s="1" t="s">
        <v>1914</v>
      </c>
      <c r="K513" s="1" t="s">
        <v>1039</v>
      </c>
      <c r="L513">
        <v>28314</v>
      </c>
      <c r="M513" s="1" t="s">
        <v>31</v>
      </c>
      <c r="N513" s="1" t="s">
        <v>1915</v>
      </c>
      <c r="O513" s="1" t="s">
        <v>33</v>
      </c>
      <c r="P513" s="1" t="s">
        <v>59</v>
      </c>
      <c r="Q513" s="1" t="s">
        <v>1916</v>
      </c>
      <c r="R513">
        <v>14</v>
      </c>
      <c r="S513">
        <v>8</v>
      </c>
      <c r="T513">
        <v>0.2</v>
      </c>
      <c r="U513">
        <v>4</v>
      </c>
      <c r="V513" s="1" t="s">
        <v>132</v>
      </c>
      <c r="W513" s="1" t="s">
        <v>172</v>
      </c>
    </row>
    <row r="514" spans="1:23" x14ac:dyDescent="0.35">
      <c r="A514">
        <v>2472</v>
      </c>
      <c r="B514" s="1" t="s">
        <v>1911</v>
      </c>
      <c r="C514" s="2">
        <v>42391</v>
      </c>
      <c r="D514" s="2">
        <v>42397</v>
      </c>
      <c r="E514" s="1" t="s">
        <v>42</v>
      </c>
      <c r="F514" s="1" t="s">
        <v>1912</v>
      </c>
      <c r="G514" s="1" t="s">
        <v>1913</v>
      </c>
      <c r="H514" s="1" t="s">
        <v>27</v>
      </c>
      <c r="I514" s="1" t="s">
        <v>28</v>
      </c>
      <c r="J514" s="1" t="s">
        <v>1914</v>
      </c>
      <c r="K514" s="1" t="s">
        <v>1039</v>
      </c>
      <c r="L514">
        <v>28314</v>
      </c>
      <c r="M514" s="1" t="s">
        <v>31</v>
      </c>
      <c r="N514" s="1" t="s">
        <v>1698</v>
      </c>
      <c r="O514" s="1" t="s">
        <v>33</v>
      </c>
      <c r="P514" s="1" t="s">
        <v>34</v>
      </c>
      <c r="Q514" s="1" t="s">
        <v>1917</v>
      </c>
      <c r="R514">
        <v>451</v>
      </c>
      <c r="S514">
        <v>4</v>
      </c>
      <c r="T514">
        <v>0.2</v>
      </c>
      <c r="U514">
        <v>-68</v>
      </c>
      <c r="V514" s="1" t="s">
        <v>132</v>
      </c>
      <c r="W514" s="1" t="s">
        <v>172</v>
      </c>
    </row>
    <row r="515" spans="1:23" x14ac:dyDescent="0.35">
      <c r="A515">
        <v>2474</v>
      </c>
      <c r="B515" s="1" t="s">
        <v>1918</v>
      </c>
      <c r="C515" s="2">
        <v>42677</v>
      </c>
      <c r="D515" s="2">
        <v>42680</v>
      </c>
      <c r="E515" s="1" t="s">
        <v>90</v>
      </c>
      <c r="F515" s="1" t="s">
        <v>1919</v>
      </c>
      <c r="G515" s="1" t="s">
        <v>1920</v>
      </c>
      <c r="H515" s="1" t="s">
        <v>27</v>
      </c>
      <c r="I515" s="1" t="s">
        <v>28</v>
      </c>
      <c r="J515" s="1" t="s">
        <v>55</v>
      </c>
      <c r="K515" s="1" t="s">
        <v>56</v>
      </c>
      <c r="L515">
        <v>90032</v>
      </c>
      <c r="M515" s="1" t="s">
        <v>57</v>
      </c>
      <c r="N515" s="1" t="s">
        <v>1921</v>
      </c>
      <c r="O515" s="1" t="s">
        <v>33</v>
      </c>
      <c r="P515" s="1" t="s">
        <v>39</v>
      </c>
      <c r="Q515" s="1" t="s">
        <v>1922</v>
      </c>
      <c r="R515">
        <v>218</v>
      </c>
      <c r="S515">
        <v>2</v>
      </c>
      <c r="T515">
        <v>0.2</v>
      </c>
      <c r="U515">
        <v>-30</v>
      </c>
      <c r="V515" s="1" t="s">
        <v>36</v>
      </c>
      <c r="W515" s="1" t="s">
        <v>37</v>
      </c>
    </row>
    <row r="516" spans="1:23" x14ac:dyDescent="0.35">
      <c r="A516">
        <v>2478</v>
      </c>
      <c r="B516" s="1" t="s">
        <v>1923</v>
      </c>
      <c r="C516" s="2">
        <v>42982</v>
      </c>
      <c r="D516" s="2">
        <v>42986</v>
      </c>
      <c r="E516" s="1" t="s">
        <v>24</v>
      </c>
      <c r="F516" s="1" t="s">
        <v>1924</v>
      </c>
      <c r="G516" s="1" t="s">
        <v>1925</v>
      </c>
      <c r="H516" s="1" t="s">
        <v>93</v>
      </c>
      <c r="I516" s="1" t="s">
        <v>28</v>
      </c>
      <c r="J516" s="1" t="s">
        <v>55</v>
      </c>
      <c r="K516" s="1" t="s">
        <v>56</v>
      </c>
      <c r="L516">
        <v>90036</v>
      </c>
      <c r="M516" s="1" t="s">
        <v>57</v>
      </c>
      <c r="N516" s="1" t="s">
        <v>754</v>
      </c>
      <c r="O516" s="1" t="s">
        <v>33</v>
      </c>
      <c r="P516" s="1" t="s">
        <v>48</v>
      </c>
      <c r="Q516" s="1" t="s">
        <v>755</v>
      </c>
      <c r="R516">
        <v>1322</v>
      </c>
      <c r="S516">
        <v>3</v>
      </c>
      <c r="T516">
        <v>0.2</v>
      </c>
      <c r="U516">
        <v>-99</v>
      </c>
      <c r="V516" s="1" t="s">
        <v>86</v>
      </c>
      <c r="W516" s="1" t="s">
        <v>80</v>
      </c>
    </row>
    <row r="517" spans="1:23" x14ac:dyDescent="0.35">
      <c r="A517">
        <v>2484</v>
      </c>
      <c r="B517" s="1" t="s">
        <v>1926</v>
      </c>
      <c r="C517" s="2">
        <v>42975</v>
      </c>
      <c r="D517" s="2">
        <v>42981</v>
      </c>
      <c r="E517" s="1" t="s">
        <v>42</v>
      </c>
      <c r="F517" s="1" t="s">
        <v>1927</v>
      </c>
      <c r="G517" s="1" t="s">
        <v>1928</v>
      </c>
      <c r="H517" s="1" t="s">
        <v>103</v>
      </c>
      <c r="I517" s="1" t="s">
        <v>28</v>
      </c>
      <c r="J517" s="1" t="s">
        <v>194</v>
      </c>
      <c r="K517" s="1" t="s">
        <v>195</v>
      </c>
      <c r="L517">
        <v>98105</v>
      </c>
      <c r="M517" s="1" t="s">
        <v>57</v>
      </c>
      <c r="N517" s="1" t="s">
        <v>444</v>
      </c>
      <c r="O517" s="1" t="s">
        <v>33</v>
      </c>
      <c r="P517" s="1" t="s">
        <v>48</v>
      </c>
      <c r="Q517" s="1" t="s">
        <v>445</v>
      </c>
      <c r="R517">
        <v>1138</v>
      </c>
      <c r="S517">
        <v>5</v>
      </c>
      <c r="T517">
        <v>0</v>
      </c>
      <c r="U517">
        <v>250</v>
      </c>
      <c r="V517" s="1" t="s">
        <v>132</v>
      </c>
      <c r="W517" s="1" t="s">
        <v>256</v>
      </c>
    </row>
    <row r="518" spans="1:23" x14ac:dyDescent="0.35">
      <c r="A518">
        <v>2494</v>
      </c>
      <c r="B518" s="1" t="s">
        <v>1929</v>
      </c>
      <c r="C518" s="2">
        <v>42623</v>
      </c>
      <c r="D518" s="2">
        <v>42627</v>
      </c>
      <c r="E518" s="1" t="s">
        <v>24</v>
      </c>
      <c r="F518" s="1" t="s">
        <v>1930</v>
      </c>
      <c r="G518" s="1" t="s">
        <v>1931</v>
      </c>
      <c r="H518" s="1" t="s">
        <v>27</v>
      </c>
      <c r="I518" s="1" t="s">
        <v>28</v>
      </c>
      <c r="J518" s="1" t="s">
        <v>104</v>
      </c>
      <c r="K518" s="1" t="s">
        <v>95</v>
      </c>
      <c r="L518">
        <v>77095</v>
      </c>
      <c r="M518" s="1" t="s">
        <v>96</v>
      </c>
      <c r="N518" s="1" t="s">
        <v>1065</v>
      </c>
      <c r="O518" s="1" t="s">
        <v>33</v>
      </c>
      <c r="P518" s="1" t="s">
        <v>48</v>
      </c>
      <c r="Q518" s="1" t="s">
        <v>1066</v>
      </c>
      <c r="R518">
        <v>301</v>
      </c>
      <c r="S518">
        <v>5</v>
      </c>
      <c r="T518">
        <v>0.3</v>
      </c>
      <c r="U518">
        <v>-34</v>
      </c>
      <c r="V518" s="1" t="s">
        <v>86</v>
      </c>
      <c r="W518" s="1" t="s">
        <v>80</v>
      </c>
    </row>
    <row r="519" spans="1:23" x14ac:dyDescent="0.35">
      <c r="A519">
        <v>2496</v>
      </c>
      <c r="B519" s="1" t="s">
        <v>1932</v>
      </c>
      <c r="C519" s="2">
        <v>41806</v>
      </c>
      <c r="D519" s="2">
        <v>41812</v>
      </c>
      <c r="E519" s="1" t="s">
        <v>42</v>
      </c>
      <c r="F519" s="1" t="s">
        <v>1933</v>
      </c>
      <c r="G519" s="1" t="s">
        <v>1934</v>
      </c>
      <c r="H519" s="1" t="s">
        <v>27</v>
      </c>
      <c r="I519" s="1" t="s">
        <v>28</v>
      </c>
      <c r="J519" s="1" t="s">
        <v>1935</v>
      </c>
      <c r="K519" s="1" t="s">
        <v>113</v>
      </c>
      <c r="L519">
        <v>46544</v>
      </c>
      <c r="M519" s="1" t="s">
        <v>96</v>
      </c>
      <c r="N519" s="1" t="s">
        <v>513</v>
      </c>
      <c r="O519" s="1" t="s">
        <v>33</v>
      </c>
      <c r="P519" s="1" t="s">
        <v>39</v>
      </c>
      <c r="Q519" s="1" t="s">
        <v>514</v>
      </c>
      <c r="R519">
        <v>648</v>
      </c>
      <c r="S519">
        <v>8</v>
      </c>
      <c r="T519">
        <v>0</v>
      </c>
      <c r="U519">
        <v>32</v>
      </c>
      <c r="V519" s="1" t="s">
        <v>132</v>
      </c>
      <c r="W519" s="1" t="s">
        <v>62</v>
      </c>
    </row>
    <row r="520" spans="1:23" x14ac:dyDescent="0.35">
      <c r="A520">
        <v>2507</v>
      </c>
      <c r="B520" s="1" t="s">
        <v>1936</v>
      </c>
      <c r="C520" s="2">
        <v>41845</v>
      </c>
      <c r="D520" s="2">
        <v>41847</v>
      </c>
      <c r="E520" s="1" t="s">
        <v>24</v>
      </c>
      <c r="F520" s="1" t="s">
        <v>314</v>
      </c>
      <c r="G520" s="1" t="s">
        <v>315</v>
      </c>
      <c r="H520" s="1" t="s">
        <v>27</v>
      </c>
      <c r="I520" s="1" t="s">
        <v>28</v>
      </c>
      <c r="J520" s="1" t="s">
        <v>331</v>
      </c>
      <c r="K520" s="1" t="s">
        <v>56</v>
      </c>
      <c r="L520">
        <v>94122</v>
      </c>
      <c r="M520" s="1" t="s">
        <v>57</v>
      </c>
      <c r="N520" s="1" t="s">
        <v>318</v>
      </c>
      <c r="O520" s="1" t="s">
        <v>33</v>
      </c>
      <c r="P520" s="1" t="s">
        <v>59</v>
      </c>
      <c r="Q520" s="1" t="s">
        <v>319</v>
      </c>
      <c r="R520">
        <v>78</v>
      </c>
      <c r="S520">
        <v>8</v>
      </c>
      <c r="T520">
        <v>0</v>
      </c>
      <c r="U520">
        <v>34</v>
      </c>
      <c r="V520" s="1" t="s">
        <v>73</v>
      </c>
      <c r="W520" s="1" t="s">
        <v>74</v>
      </c>
    </row>
    <row r="521" spans="1:23" x14ac:dyDescent="0.35">
      <c r="A521">
        <v>2515</v>
      </c>
      <c r="B521" s="1" t="s">
        <v>1937</v>
      </c>
      <c r="C521" s="2">
        <v>42685</v>
      </c>
      <c r="D521" s="2">
        <v>42691</v>
      </c>
      <c r="E521" s="1" t="s">
        <v>42</v>
      </c>
      <c r="F521" s="1" t="s">
        <v>1938</v>
      </c>
      <c r="G521" s="1" t="s">
        <v>1939</v>
      </c>
      <c r="H521" s="1" t="s">
        <v>93</v>
      </c>
      <c r="I521" s="1" t="s">
        <v>28</v>
      </c>
      <c r="J521" s="1" t="s">
        <v>136</v>
      </c>
      <c r="K521" s="1" t="s">
        <v>137</v>
      </c>
      <c r="L521">
        <v>60623</v>
      </c>
      <c r="M521" s="1" t="s">
        <v>96</v>
      </c>
      <c r="N521" s="1" t="s">
        <v>1105</v>
      </c>
      <c r="O521" s="1" t="s">
        <v>33</v>
      </c>
      <c r="P521" s="1" t="s">
        <v>39</v>
      </c>
      <c r="Q521" s="1" t="s">
        <v>1106</v>
      </c>
      <c r="R521">
        <v>48</v>
      </c>
      <c r="S521">
        <v>2</v>
      </c>
      <c r="T521">
        <v>0.3</v>
      </c>
      <c r="U521">
        <v>-2</v>
      </c>
      <c r="V521" s="1" t="s">
        <v>132</v>
      </c>
      <c r="W521" s="1" t="s">
        <v>37</v>
      </c>
    </row>
    <row r="522" spans="1:23" x14ac:dyDescent="0.35">
      <c r="A522">
        <v>2518</v>
      </c>
      <c r="B522" s="1" t="s">
        <v>1940</v>
      </c>
      <c r="C522" s="2">
        <v>42857</v>
      </c>
      <c r="D522" s="2">
        <v>42862</v>
      </c>
      <c r="E522" s="1" t="s">
        <v>42</v>
      </c>
      <c r="F522" s="1" t="s">
        <v>1941</v>
      </c>
      <c r="G522" s="1" t="s">
        <v>1942</v>
      </c>
      <c r="H522" s="1" t="s">
        <v>93</v>
      </c>
      <c r="I522" s="1" t="s">
        <v>28</v>
      </c>
      <c r="J522" s="1" t="s">
        <v>1943</v>
      </c>
      <c r="K522" s="1" t="s">
        <v>365</v>
      </c>
      <c r="L522">
        <v>7090</v>
      </c>
      <c r="M522" s="1" t="s">
        <v>70</v>
      </c>
      <c r="N522" s="1" t="s">
        <v>993</v>
      </c>
      <c r="O522" s="1" t="s">
        <v>33</v>
      </c>
      <c r="P522" s="1" t="s">
        <v>59</v>
      </c>
      <c r="Q522" s="1" t="s">
        <v>994</v>
      </c>
      <c r="R522">
        <v>130</v>
      </c>
      <c r="S522">
        <v>3</v>
      </c>
      <c r="T522">
        <v>0</v>
      </c>
      <c r="U522">
        <v>13</v>
      </c>
      <c r="V522" s="1" t="s">
        <v>61</v>
      </c>
      <c r="W522" s="1" t="s">
        <v>164</v>
      </c>
    </row>
    <row r="523" spans="1:23" x14ac:dyDescent="0.35">
      <c r="A523">
        <v>2537</v>
      </c>
      <c r="B523" s="1" t="s">
        <v>1944</v>
      </c>
      <c r="C523" s="2">
        <v>42031</v>
      </c>
      <c r="D523" s="2">
        <v>42033</v>
      </c>
      <c r="E523" s="1" t="s">
        <v>24</v>
      </c>
      <c r="F523" s="1" t="s">
        <v>742</v>
      </c>
      <c r="G523" s="1" t="s">
        <v>743</v>
      </c>
      <c r="H523" s="1" t="s">
        <v>27</v>
      </c>
      <c r="I523" s="1" t="s">
        <v>28</v>
      </c>
      <c r="J523" s="1" t="s">
        <v>696</v>
      </c>
      <c r="K523" s="1" t="s">
        <v>234</v>
      </c>
      <c r="L523">
        <v>44105</v>
      </c>
      <c r="M523" s="1" t="s">
        <v>70</v>
      </c>
      <c r="N523" s="1" t="s">
        <v>145</v>
      </c>
      <c r="O523" s="1" t="s">
        <v>33</v>
      </c>
      <c r="P523" s="1" t="s">
        <v>39</v>
      </c>
      <c r="Q523" s="1" t="s">
        <v>146</v>
      </c>
      <c r="R523">
        <v>182</v>
      </c>
      <c r="S523">
        <v>2</v>
      </c>
      <c r="T523">
        <v>0.3</v>
      </c>
      <c r="U523">
        <v>-55</v>
      </c>
      <c r="V523" s="1" t="s">
        <v>73</v>
      </c>
      <c r="W523" s="1" t="s">
        <v>172</v>
      </c>
    </row>
    <row r="524" spans="1:23" x14ac:dyDescent="0.35">
      <c r="A524">
        <v>2540</v>
      </c>
      <c r="B524" s="1" t="s">
        <v>1945</v>
      </c>
      <c r="C524" s="2">
        <v>42201</v>
      </c>
      <c r="D524" s="2">
        <v>42201</v>
      </c>
      <c r="E524" s="1" t="s">
        <v>428</v>
      </c>
      <c r="F524" s="1" t="s">
        <v>1946</v>
      </c>
      <c r="G524" s="1" t="s">
        <v>1947</v>
      </c>
      <c r="H524" s="1" t="s">
        <v>93</v>
      </c>
      <c r="I524" s="1" t="s">
        <v>28</v>
      </c>
      <c r="J524" s="1" t="s">
        <v>331</v>
      </c>
      <c r="K524" s="1" t="s">
        <v>56</v>
      </c>
      <c r="L524">
        <v>94122</v>
      </c>
      <c r="M524" s="1" t="s">
        <v>57</v>
      </c>
      <c r="N524" s="1" t="s">
        <v>408</v>
      </c>
      <c r="O524" s="1" t="s">
        <v>33</v>
      </c>
      <c r="P524" s="1" t="s">
        <v>39</v>
      </c>
      <c r="Q524" s="1" t="s">
        <v>409</v>
      </c>
      <c r="R524">
        <v>1349</v>
      </c>
      <c r="S524">
        <v>6</v>
      </c>
      <c r="T524">
        <v>0.2</v>
      </c>
      <c r="U524">
        <v>-219</v>
      </c>
      <c r="V524" s="1" t="s">
        <v>433</v>
      </c>
      <c r="W524" s="1" t="s">
        <v>74</v>
      </c>
    </row>
    <row r="525" spans="1:23" x14ac:dyDescent="0.35">
      <c r="A525">
        <v>2541</v>
      </c>
      <c r="B525" s="1" t="s">
        <v>1945</v>
      </c>
      <c r="C525" s="2">
        <v>42201</v>
      </c>
      <c r="D525" s="2">
        <v>42201</v>
      </c>
      <c r="E525" s="1" t="s">
        <v>428</v>
      </c>
      <c r="F525" s="1" t="s">
        <v>1946</v>
      </c>
      <c r="G525" s="1" t="s">
        <v>1947</v>
      </c>
      <c r="H525" s="1" t="s">
        <v>93</v>
      </c>
      <c r="I525" s="1" t="s">
        <v>28</v>
      </c>
      <c r="J525" s="1" t="s">
        <v>331</v>
      </c>
      <c r="K525" s="1" t="s">
        <v>56</v>
      </c>
      <c r="L525">
        <v>94122</v>
      </c>
      <c r="M525" s="1" t="s">
        <v>57</v>
      </c>
      <c r="N525" s="1" t="s">
        <v>384</v>
      </c>
      <c r="O525" s="1" t="s">
        <v>33</v>
      </c>
      <c r="P525" s="1" t="s">
        <v>39</v>
      </c>
      <c r="Q525" s="1" t="s">
        <v>385</v>
      </c>
      <c r="R525">
        <v>700</v>
      </c>
      <c r="S525">
        <v>3</v>
      </c>
      <c r="T525">
        <v>0.2</v>
      </c>
      <c r="U525">
        <v>79</v>
      </c>
      <c r="V525" s="1" t="s">
        <v>433</v>
      </c>
      <c r="W525" s="1" t="s">
        <v>74</v>
      </c>
    </row>
    <row r="526" spans="1:23" x14ac:dyDescent="0.35">
      <c r="A526">
        <v>2542</v>
      </c>
      <c r="B526" s="1" t="s">
        <v>1948</v>
      </c>
      <c r="C526" s="2">
        <v>42490</v>
      </c>
      <c r="D526" s="2">
        <v>42494</v>
      </c>
      <c r="E526" s="1" t="s">
        <v>42</v>
      </c>
      <c r="F526" s="1" t="s">
        <v>1949</v>
      </c>
      <c r="G526" s="1" t="s">
        <v>1950</v>
      </c>
      <c r="H526" s="1" t="s">
        <v>93</v>
      </c>
      <c r="I526" s="1" t="s">
        <v>28</v>
      </c>
      <c r="J526" s="1" t="s">
        <v>1951</v>
      </c>
      <c r="K526" s="1" t="s">
        <v>523</v>
      </c>
      <c r="L526">
        <v>85254</v>
      </c>
      <c r="M526" s="1" t="s">
        <v>57</v>
      </c>
      <c r="N526" s="1" t="s">
        <v>700</v>
      </c>
      <c r="O526" s="1" t="s">
        <v>33</v>
      </c>
      <c r="P526" s="1" t="s">
        <v>59</v>
      </c>
      <c r="Q526" s="1" t="s">
        <v>701</v>
      </c>
      <c r="R526">
        <v>112</v>
      </c>
      <c r="S526">
        <v>7</v>
      </c>
      <c r="T526">
        <v>0.2</v>
      </c>
      <c r="U526">
        <v>22</v>
      </c>
      <c r="V526" s="1" t="s">
        <v>86</v>
      </c>
      <c r="W526" s="1" t="s">
        <v>116</v>
      </c>
    </row>
    <row r="527" spans="1:23" x14ac:dyDescent="0.35">
      <c r="A527">
        <v>2544</v>
      </c>
      <c r="B527" s="1" t="s">
        <v>1952</v>
      </c>
      <c r="C527" s="2">
        <v>42621</v>
      </c>
      <c r="D527" s="2">
        <v>42627</v>
      </c>
      <c r="E527" s="1" t="s">
        <v>42</v>
      </c>
      <c r="F527" s="1" t="s">
        <v>1953</v>
      </c>
      <c r="G527" s="1" t="s">
        <v>1954</v>
      </c>
      <c r="H527" s="1" t="s">
        <v>103</v>
      </c>
      <c r="I527" s="1" t="s">
        <v>28</v>
      </c>
      <c r="J527" s="1" t="s">
        <v>1955</v>
      </c>
      <c r="K527" s="1" t="s">
        <v>437</v>
      </c>
      <c r="L527">
        <v>2148</v>
      </c>
      <c r="M527" s="1" t="s">
        <v>70</v>
      </c>
      <c r="N527" s="1" t="s">
        <v>1956</v>
      </c>
      <c r="O527" s="1" t="s">
        <v>33</v>
      </c>
      <c r="P527" s="1" t="s">
        <v>34</v>
      </c>
      <c r="Q527" s="1" t="s">
        <v>1957</v>
      </c>
      <c r="R527">
        <v>174</v>
      </c>
      <c r="S527">
        <v>3</v>
      </c>
      <c r="T527">
        <v>0</v>
      </c>
      <c r="U527">
        <v>14</v>
      </c>
      <c r="V527" s="1" t="s">
        <v>132</v>
      </c>
      <c r="W527" s="1" t="s">
        <v>80</v>
      </c>
    </row>
    <row r="528" spans="1:23" x14ac:dyDescent="0.35">
      <c r="A528">
        <v>2547</v>
      </c>
      <c r="B528" s="1" t="s">
        <v>1958</v>
      </c>
      <c r="C528" s="2">
        <v>42841</v>
      </c>
      <c r="D528" s="2">
        <v>42845</v>
      </c>
      <c r="E528" s="1" t="s">
        <v>42</v>
      </c>
      <c r="F528" s="1" t="s">
        <v>141</v>
      </c>
      <c r="G528" s="1" t="s">
        <v>142</v>
      </c>
      <c r="H528" s="1" t="s">
        <v>27</v>
      </c>
      <c r="I528" s="1" t="s">
        <v>28</v>
      </c>
      <c r="J528" s="1" t="s">
        <v>1494</v>
      </c>
      <c r="K528" s="1" t="s">
        <v>56</v>
      </c>
      <c r="L528">
        <v>95123</v>
      </c>
      <c r="M528" s="1" t="s">
        <v>57</v>
      </c>
      <c r="N528" s="1" t="s">
        <v>545</v>
      </c>
      <c r="O528" s="1" t="s">
        <v>33</v>
      </c>
      <c r="P528" s="1" t="s">
        <v>34</v>
      </c>
      <c r="Q528" s="1" t="s">
        <v>546</v>
      </c>
      <c r="R528">
        <v>103</v>
      </c>
      <c r="S528">
        <v>1</v>
      </c>
      <c r="T528">
        <v>0.15</v>
      </c>
      <c r="U528">
        <v>-6</v>
      </c>
      <c r="V528" s="1" t="s">
        <v>86</v>
      </c>
      <c r="W528" s="1" t="s">
        <v>116</v>
      </c>
    </row>
    <row r="529" spans="1:23" x14ac:dyDescent="0.35">
      <c r="A529">
        <v>2552</v>
      </c>
      <c r="B529" s="1" t="s">
        <v>1959</v>
      </c>
      <c r="C529" s="2">
        <v>43058</v>
      </c>
      <c r="D529" s="2">
        <v>43062</v>
      </c>
      <c r="E529" s="1" t="s">
        <v>42</v>
      </c>
      <c r="F529" s="1" t="s">
        <v>1265</v>
      </c>
      <c r="G529" s="1" t="s">
        <v>1266</v>
      </c>
      <c r="H529" s="1" t="s">
        <v>27</v>
      </c>
      <c r="I529" s="1" t="s">
        <v>28</v>
      </c>
      <c r="J529" s="1" t="s">
        <v>29</v>
      </c>
      <c r="K529" s="1" t="s">
        <v>30</v>
      </c>
      <c r="L529">
        <v>42420</v>
      </c>
      <c r="M529" s="1" t="s">
        <v>31</v>
      </c>
      <c r="N529" s="1" t="s">
        <v>1960</v>
      </c>
      <c r="O529" s="1" t="s">
        <v>33</v>
      </c>
      <c r="P529" s="1" t="s">
        <v>59</v>
      </c>
      <c r="Q529" s="1" t="s">
        <v>1961</v>
      </c>
      <c r="R529">
        <v>822</v>
      </c>
      <c r="S529">
        <v>6</v>
      </c>
      <c r="T529">
        <v>0</v>
      </c>
      <c r="U529">
        <v>214</v>
      </c>
      <c r="V529" s="1" t="s">
        <v>86</v>
      </c>
      <c r="W529" s="1" t="s">
        <v>37</v>
      </c>
    </row>
    <row r="530" spans="1:23" x14ac:dyDescent="0.35">
      <c r="A530">
        <v>2557</v>
      </c>
      <c r="B530" s="1" t="s">
        <v>1962</v>
      </c>
      <c r="C530" s="2">
        <v>42651</v>
      </c>
      <c r="D530" s="2">
        <v>42657</v>
      </c>
      <c r="E530" s="1" t="s">
        <v>42</v>
      </c>
      <c r="F530" s="1" t="s">
        <v>1963</v>
      </c>
      <c r="G530" s="1" t="s">
        <v>1964</v>
      </c>
      <c r="H530" s="1" t="s">
        <v>93</v>
      </c>
      <c r="I530" s="1" t="s">
        <v>28</v>
      </c>
      <c r="J530" s="1" t="s">
        <v>104</v>
      </c>
      <c r="K530" s="1" t="s">
        <v>95</v>
      </c>
      <c r="L530">
        <v>77070</v>
      </c>
      <c r="M530" s="1" t="s">
        <v>96</v>
      </c>
      <c r="N530" s="1" t="s">
        <v>1965</v>
      </c>
      <c r="O530" s="1" t="s">
        <v>33</v>
      </c>
      <c r="P530" s="1" t="s">
        <v>59</v>
      </c>
      <c r="Q530" s="1" t="s">
        <v>1966</v>
      </c>
      <c r="R530">
        <v>52</v>
      </c>
      <c r="S530">
        <v>8</v>
      </c>
      <c r="T530">
        <v>0.6</v>
      </c>
      <c r="U530">
        <v>-32</v>
      </c>
      <c r="V530" s="1" t="s">
        <v>132</v>
      </c>
      <c r="W530" s="1" t="s">
        <v>51</v>
      </c>
    </row>
    <row r="531" spans="1:23" x14ac:dyDescent="0.35">
      <c r="A531">
        <v>2559</v>
      </c>
      <c r="B531" s="1" t="s">
        <v>1967</v>
      </c>
      <c r="C531" s="2">
        <v>42155</v>
      </c>
      <c r="D531" s="2">
        <v>42159</v>
      </c>
      <c r="E531" s="1" t="s">
        <v>42</v>
      </c>
      <c r="F531" s="1" t="s">
        <v>1968</v>
      </c>
      <c r="G531" s="1" t="s">
        <v>1969</v>
      </c>
      <c r="H531" s="1" t="s">
        <v>27</v>
      </c>
      <c r="I531" s="1" t="s">
        <v>28</v>
      </c>
      <c r="J531" s="1" t="s">
        <v>78</v>
      </c>
      <c r="K531" s="1" t="s">
        <v>79</v>
      </c>
      <c r="L531">
        <v>84057</v>
      </c>
      <c r="M531" s="1" t="s">
        <v>57</v>
      </c>
      <c r="N531" s="1" t="s">
        <v>1970</v>
      </c>
      <c r="O531" s="1" t="s">
        <v>33</v>
      </c>
      <c r="P531" s="1" t="s">
        <v>34</v>
      </c>
      <c r="Q531" s="1" t="s">
        <v>1971</v>
      </c>
      <c r="R531">
        <v>1407</v>
      </c>
      <c r="S531">
        <v>7</v>
      </c>
      <c r="T531">
        <v>0</v>
      </c>
      <c r="U531">
        <v>141</v>
      </c>
      <c r="V531" s="1" t="s">
        <v>86</v>
      </c>
      <c r="W531" s="1" t="s">
        <v>164</v>
      </c>
    </row>
    <row r="532" spans="1:23" x14ac:dyDescent="0.35">
      <c r="A532">
        <v>2568</v>
      </c>
      <c r="B532" s="1" t="s">
        <v>1972</v>
      </c>
      <c r="C532" s="2">
        <v>43040</v>
      </c>
      <c r="D532" s="2">
        <v>43042</v>
      </c>
      <c r="E532" s="1" t="s">
        <v>24</v>
      </c>
      <c r="F532" s="1" t="s">
        <v>1973</v>
      </c>
      <c r="G532" s="1" t="s">
        <v>1974</v>
      </c>
      <c r="H532" s="1" t="s">
        <v>27</v>
      </c>
      <c r="I532" s="1" t="s">
        <v>28</v>
      </c>
      <c r="J532" s="1" t="s">
        <v>1975</v>
      </c>
      <c r="K532" s="1" t="s">
        <v>195</v>
      </c>
      <c r="L532">
        <v>98226</v>
      </c>
      <c r="M532" s="1" t="s">
        <v>57</v>
      </c>
      <c r="N532" s="1" t="s">
        <v>1674</v>
      </c>
      <c r="O532" s="1" t="s">
        <v>33</v>
      </c>
      <c r="P532" s="1" t="s">
        <v>48</v>
      </c>
      <c r="Q532" s="1" t="s">
        <v>1675</v>
      </c>
      <c r="R532">
        <v>2666</v>
      </c>
      <c r="S532">
        <v>9</v>
      </c>
      <c r="T532">
        <v>0</v>
      </c>
      <c r="U532">
        <v>240</v>
      </c>
      <c r="V532" s="1" t="s">
        <v>73</v>
      </c>
      <c r="W532" s="1" t="s">
        <v>37</v>
      </c>
    </row>
    <row r="533" spans="1:23" x14ac:dyDescent="0.35">
      <c r="A533">
        <v>2574</v>
      </c>
      <c r="B533" s="1" t="s">
        <v>1976</v>
      </c>
      <c r="C533" s="2">
        <v>42925</v>
      </c>
      <c r="D533" s="2">
        <v>42930</v>
      </c>
      <c r="E533" s="1" t="s">
        <v>42</v>
      </c>
      <c r="F533" s="1" t="s">
        <v>1977</v>
      </c>
      <c r="G533" s="1" t="s">
        <v>1978</v>
      </c>
      <c r="H533" s="1" t="s">
        <v>103</v>
      </c>
      <c r="I533" s="1" t="s">
        <v>28</v>
      </c>
      <c r="J533" s="1" t="s">
        <v>1408</v>
      </c>
      <c r="K533" s="1" t="s">
        <v>113</v>
      </c>
      <c r="L533">
        <v>47905</v>
      </c>
      <c r="M533" s="1" t="s">
        <v>96</v>
      </c>
      <c r="N533" s="1" t="s">
        <v>1013</v>
      </c>
      <c r="O533" s="1" t="s">
        <v>33</v>
      </c>
      <c r="P533" s="1" t="s">
        <v>59</v>
      </c>
      <c r="Q533" s="1" t="s">
        <v>1014</v>
      </c>
      <c r="R533">
        <v>526</v>
      </c>
      <c r="S533">
        <v>5</v>
      </c>
      <c r="T533">
        <v>0</v>
      </c>
      <c r="U533">
        <v>32</v>
      </c>
      <c r="V533" s="1" t="s">
        <v>61</v>
      </c>
      <c r="W533" s="1" t="s">
        <v>74</v>
      </c>
    </row>
    <row r="534" spans="1:23" x14ac:dyDescent="0.35">
      <c r="A534">
        <v>2579</v>
      </c>
      <c r="B534" s="1" t="s">
        <v>1979</v>
      </c>
      <c r="C534" s="2">
        <v>41665</v>
      </c>
      <c r="D534" s="2">
        <v>41670</v>
      </c>
      <c r="E534" s="1" t="s">
        <v>42</v>
      </c>
      <c r="F534" s="1" t="s">
        <v>1260</v>
      </c>
      <c r="G534" s="1" t="s">
        <v>1261</v>
      </c>
      <c r="H534" s="1" t="s">
        <v>103</v>
      </c>
      <c r="I534" s="1" t="s">
        <v>28</v>
      </c>
      <c r="J534" s="1" t="s">
        <v>1980</v>
      </c>
      <c r="K534" s="1" t="s">
        <v>719</v>
      </c>
      <c r="L534">
        <v>22304</v>
      </c>
      <c r="M534" s="1" t="s">
        <v>31</v>
      </c>
      <c r="N534" s="1" t="s">
        <v>1981</v>
      </c>
      <c r="O534" s="1" t="s">
        <v>33</v>
      </c>
      <c r="P534" s="1" t="s">
        <v>59</v>
      </c>
      <c r="Q534" s="1" t="s">
        <v>1982</v>
      </c>
      <c r="R534">
        <v>63</v>
      </c>
      <c r="S534">
        <v>3</v>
      </c>
      <c r="T534">
        <v>0</v>
      </c>
      <c r="U534">
        <v>31</v>
      </c>
      <c r="V534" s="1" t="s">
        <v>61</v>
      </c>
      <c r="W534" s="1" t="s">
        <v>172</v>
      </c>
    </row>
    <row r="535" spans="1:23" x14ac:dyDescent="0.35">
      <c r="A535">
        <v>2584</v>
      </c>
      <c r="B535" s="1" t="s">
        <v>1979</v>
      </c>
      <c r="C535" s="2">
        <v>41665</v>
      </c>
      <c r="D535" s="2">
        <v>41670</v>
      </c>
      <c r="E535" s="1" t="s">
        <v>42</v>
      </c>
      <c r="F535" s="1" t="s">
        <v>1260</v>
      </c>
      <c r="G535" s="1" t="s">
        <v>1261</v>
      </c>
      <c r="H535" s="1" t="s">
        <v>103</v>
      </c>
      <c r="I535" s="1" t="s">
        <v>28</v>
      </c>
      <c r="J535" s="1" t="s">
        <v>1980</v>
      </c>
      <c r="K535" s="1" t="s">
        <v>719</v>
      </c>
      <c r="L535">
        <v>22304</v>
      </c>
      <c r="M535" s="1" t="s">
        <v>31</v>
      </c>
      <c r="N535" s="1" t="s">
        <v>1983</v>
      </c>
      <c r="O535" s="1" t="s">
        <v>33</v>
      </c>
      <c r="P535" s="1" t="s">
        <v>59</v>
      </c>
      <c r="Q535" s="1" t="s">
        <v>1984</v>
      </c>
      <c r="R535">
        <v>12</v>
      </c>
      <c r="S535">
        <v>3</v>
      </c>
      <c r="T535">
        <v>0</v>
      </c>
      <c r="U535">
        <v>4</v>
      </c>
      <c r="V535" s="1" t="s">
        <v>61</v>
      </c>
      <c r="W535" s="1" t="s">
        <v>172</v>
      </c>
    </row>
    <row r="536" spans="1:23" x14ac:dyDescent="0.35">
      <c r="A536">
        <v>2588</v>
      </c>
      <c r="B536" s="1" t="s">
        <v>1985</v>
      </c>
      <c r="C536" s="2">
        <v>42916</v>
      </c>
      <c r="D536" s="2">
        <v>42922</v>
      </c>
      <c r="E536" s="1" t="s">
        <v>42</v>
      </c>
      <c r="F536" s="1" t="s">
        <v>711</v>
      </c>
      <c r="G536" s="1" t="s">
        <v>712</v>
      </c>
      <c r="H536" s="1" t="s">
        <v>27</v>
      </c>
      <c r="I536" s="1" t="s">
        <v>28</v>
      </c>
      <c r="J536" s="1" t="s">
        <v>176</v>
      </c>
      <c r="K536" s="1" t="s">
        <v>123</v>
      </c>
      <c r="L536">
        <v>10024</v>
      </c>
      <c r="M536" s="1" t="s">
        <v>70</v>
      </c>
      <c r="N536" s="1" t="s">
        <v>1986</v>
      </c>
      <c r="O536" s="1" t="s">
        <v>33</v>
      </c>
      <c r="P536" s="1" t="s">
        <v>59</v>
      </c>
      <c r="Q536" s="1" t="s">
        <v>1987</v>
      </c>
      <c r="R536">
        <v>22</v>
      </c>
      <c r="S536">
        <v>1</v>
      </c>
      <c r="T536">
        <v>0</v>
      </c>
      <c r="U536">
        <v>10</v>
      </c>
      <c r="V536" s="1" t="s">
        <v>132</v>
      </c>
      <c r="W536" s="1" t="s">
        <v>62</v>
      </c>
    </row>
    <row r="537" spans="1:23" x14ac:dyDescent="0.35">
      <c r="A537">
        <v>2591</v>
      </c>
      <c r="B537" s="1" t="s">
        <v>1988</v>
      </c>
      <c r="C537" s="2">
        <v>42621</v>
      </c>
      <c r="D537" s="2">
        <v>42627</v>
      </c>
      <c r="E537" s="1" t="s">
        <v>42</v>
      </c>
      <c r="F537" s="1" t="s">
        <v>1989</v>
      </c>
      <c r="G537" s="1" t="s">
        <v>1990</v>
      </c>
      <c r="H537" s="1" t="s">
        <v>27</v>
      </c>
      <c r="I537" s="1" t="s">
        <v>28</v>
      </c>
      <c r="J537" s="1" t="s">
        <v>1991</v>
      </c>
      <c r="K537" s="1" t="s">
        <v>137</v>
      </c>
      <c r="L537">
        <v>60090</v>
      </c>
      <c r="M537" s="1" t="s">
        <v>96</v>
      </c>
      <c r="N537" s="1" t="s">
        <v>1992</v>
      </c>
      <c r="O537" s="1" t="s">
        <v>33</v>
      </c>
      <c r="P537" s="1" t="s">
        <v>59</v>
      </c>
      <c r="Q537" s="1" t="s">
        <v>1993</v>
      </c>
      <c r="R537">
        <v>14</v>
      </c>
      <c r="S537">
        <v>2</v>
      </c>
      <c r="T537">
        <v>0.6</v>
      </c>
      <c r="U537">
        <v>-8</v>
      </c>
      <c r="V537" s="1" t="s">
        <v>132</v>
      </c>
      <c r="W537" s="1" t="s">
        <v>80</v>
      </c>
    </row>
    <row r="538" spans="1:23" x14ac:dyDescent="0.35">
      <c r="A538">
        <v>2592</v>
      </c>
      <c r="B538" s="1" t="s">
        <v>1988</v>
      </c>
      <c r="C538" s="2">
        <v>42621</v>
      </c>
      <c r="D538" s="2">
        <v>42627</v>
      </c>
      <c r="E538" s="1" t="s">
        <v>42</v>
      </c>
      <c r="F538" s="1" t="s">
        <v>1989</v>
      </c>
      <c r="G538" s="1" t="s">
        <v>1990</v>
      </c>
      <c r="H538" s="1" t="s">
        <v>27</v>
      </c>
      <c r="I538" s="1" t="s">
        <v>28</v>
      </c>
      <c r="J538" s="1" t="s">
        <v>1991</v>
      </c>
      <c r="K538" s="1" t="s">
        <v>137</v>
      </c>
      <c r="L538">
        <v>60090</v>
      </c>
      <c r="M538" s="1" t="s">
        <v>96</v>
      </c>
      <c r="N538" s="1" t="s">
        <v>1994</v>
      </c>
      <c r="O538" s="1" t="s">
        <v>33</v>
      </c>
      <c r="P538" s="1" t="s">
        <v>48</v>
      </c>
      <c r="Q538" s="1" t="s">
        <v>1995</v>
      </c>
      <c r="R538">
        <v>601</v>
      </c>
      <c r="S538">
        <v>3</v>
      </c>
      <c r="T538">
        <v>0.5</v>
      </c>
      <c r="U538">
        <v>-301</v>
      </c>
      <c r="V538" s="1" t="s">
        <v>132</v>
      </c>
      <c r="W538" s="1" t="s">
        <v>80</v>
      </c>
    </row>
    <row r="539" spans="1:23" x14ac:dyDescent="0.35">
      <c r="A539">
        <v>2604</v>
      </c>
      <c r="B539" s="1" t="s">
        <v>1996</v>
      </c>
      <c r="C539" s="2">
        <v>42525</v>
      </c>
      <c r="D539" s="2">
        <v>42525</v>
      </c>
      <c r="E539" s="1" t="s">
        <v>428</v>
      </c>
      <c r="F539" s="1" t="s">
        <v>1997</v>
      </c>
      <c r="G539" s="1" t="s">
        <v>1998</v>
      </c>
      <c r="H539" s="1" t="s">
        <v>27</v>
      </c>
      <c r="I539" s="1" t="s">
        <v>28</v>
      </c>
      <c r="J539" s="1" t="s">
        <v>176</v>
      </c>
      <c r="K539" s="1" t="s">
        <v>123</v>
      </c>
      <c r="L539">
        <v>10035</v>
      </c>
      <c r="M539" s="1" t="s">
        <v>70</v>
      </c>
      <c r="N539" s="1" t="s">
        <v>1383</v>
      </c>
      <c r="O539" s="1" t="s">
        <v>33</v>
      </c>
      <c r="P539" s="1" t="s">
        <v>34</v>
      </c>
      <c r="Q539" s="1" t="s">
        <v>1384</v>
      </c>
      <c r="R539">
        <v>137</v>
      </c>
      <c r="S539">
        <v>1</v>
      </c>
      <c r="T539">
        <v>0.2</v>
      </c>
      <c r="U539">
        <v>5</v>
      </c>
      <c r="V539" s="1" t="s">
        <v>433</v>
      </c>
      <c r="W539" s="1" t="s">
        <v>62</v>
      </c>
    </row>
    <row r="540" spans="1:23" x14ac:dyDescent="0.35">
      <c r="A540">
        <v>2605</v>
      </c>
      <c r="B540" s="1" t="s">
        <v>1996</v>
      </c>
      <c r="C540" s="2">
        <v>42525</v>
      </c>
      <c r="D540" s="2">
        <v>42525</v>
      </c>
      <c r="E540" s="1" t="s">
        <v>428</v>
      </c>
      <c r="F540" s="1" t="s">
        <v>1997</v>
      </c>
      <c r="G540" s="1" t="s">
        <v>1998</v>
      </c>
      <c r="H540" s="1" t="s">
        <v>27</v>
      </c>
      <c r="I540" s="1" t="s">
        <v>28</v>
      </c>
      <c r="J540" s="1" t="s">
        <v>176</v>
      </c>
      <c r="K540" s="1" t="s">
        <v>123</v>
      </c>
      <c r="L540">
        <v>10035</v>
      </c>
      <c r="M540" s="1" t="s">
        <v>70</v>
      </c>
      <c r="N540" s="1" t="s">
        <v>873</v>
      </c>
      <c r="O540" s="1" t="s">
        <v>33</v>
      </c>
      <c r="P540" s="1" t="s">
        <v>59</v>
      </c>
      <c r="Q540" s="1" t="s">
        <v>874</v>
      </c>
      <c r="R540">
        <v>61</v>
      </c>
      <c r="S540">
        <v>4</v>
      </c>
      <c r="T540">
        <v>0</v>
      </c>
      <c r="U540">
        <v>21</v>
      </c>
      <c r="V540" s="1" t="s">
        <v>433</v>
      </c>
      <c r="W540" s="1" t="s">
        <v>62</v>
      </c>
    </row>
    <row r="541" spans="1:23" x14ac:dyDescent="0.35">
      <c r="A541">
        <v>2610</v>
      </c>
      <c r="B541" s="1" t="s">
        <v>1999</v>
      </c>
      <c r="C541" s="2">
        <v>41968</v>
      </c>
      <c r="D541" s="2">
        <v>41973</v>
      </c>
      <c r="E541" s="1" t="s">
        <v>42</v>
      </c>
      <c r="F541" s="1" t="s">
        <v>2000</v>
      </c>
      <c r="G541" s="1" t="s">
        <v>2001</v>
      </c>
      <c r="H541" s="1" t="s">
        <v>93</v>
      </c>
      <c r="I541" s="1" t="s">
        <v>28</v>
      </c>
      <c r="J541" s="1" t="s">
        <v>692</v>
      </c>
      <c r="K541" s="1" t="s">
        <v>95</v>
      </c>
      <c r="L541">
        <v>76017</v>
      </c>
      <c r="M541" s="1" t="s">
        <v>96</v>
      </c>
      <c r="N541" s="1" t="s">
        <v>47</v>
      </c>
      <c r="O541" s="1" t="s">
        <v>33</v>
      </c>
      <c r="P541" s="1" t="s">
        <v>48</v>
      </c>
      <c r="Q541" s="1" t="s">
        <v>49</v>
      </c>
      <c r="R541">
        <v>1219</v>
      </c>
      <c r="S541">
        <v>5</v>
      </c>
      <c r="T541">
        <v>0.3</v>
      </c>
      <c r="U541">
        <v>-122</v>
      </c>
      <c r="V541" s="1" t="s">
        <v>61</v>
      </c>
      <c r="W541" s="1" t="s">
        <v>37</v>
      </c>
    </row>
    <row r="542" spans="1:23" x14ac:dyDescent="0.35">
      <c r="A542">
        <v>2613</v>
      </c>
      <c r="B542" s="1" t="s">
        <v>1999</v>
      </c>
      <c r="C542" s="2">
        <v>41968</v>
      </c>
      <c r="D542" s="2">
        <v>41973</v>
      </c>
      <c r="E542" s="1" t="s">
        <v>42</v>
      </c>
      <c r="F542" s="1" t="s">
        <v>2000</v>
      </c>
      <c r="G542" s="1" t="s">
        <v>2001</v>
      </c>
      <c r="H542" s="1" t="s">
        <v>93</v>
      </c>
      <c r="I542" s="1" t="s">
        <v>28</v>
      </c>
      <c r="J542" s="1" t="s">
        <v>692</v>
      </c>
      <c r="K542" s="1" t="s">
        <v>95</v>
      </c>
      <c r="L542">
        <v>76017</v>
      </c>
      <c r="M542" s="1" t="s">
        <v>96</v>
      </c>
      <c r="N542" s="1" t="s">
        <v>664</v>
      </c>
      <c r="O542" s="1" t="s">
        <v>33</v>
      </c>
      <c r="P542" s="1" t="s">
        <v>59</v>
      </c>
      <c r="Q542" s="1" t="s">
        <v>665</v>
      </c>
      <c r="R542">
        <v>6</v>
      </c>
      <c r="S542">
        <v>3</v>
      </c>
      <c r="T542">
        <v>0.6</v>
      </c>
      <c r="U542">
        <v>-4</v>
      </c>
      <c r="V542" s="1" t="s">
        <v>61</v>
      </c>
      <c r="W542" s="1" t="s">
        <v>37</v>
      </c>
    </row>
    <row r="543" spans="1:23" x14ac:dyDescent="0.35">
      <c r="A543">
        <v>2614</v>
      </c>
      <c r="B543" s="1" t="s">
        <v>2002</v>
      </c>
      <c r="C543" s="2">
        <v>42488</v>
      </c>
      <c r="D543" s="2">
        <v>42495</v>
      </c>
      <c r="E543" s="1" t="s">
        <v>42</v>
      </c>
      <c r="F543" s="1" t="s">
        <v>2003</v>
      </c>
      <c r="G543" s="1" t="s">
        <v>2004</v>
      </c>
      <c r="H543" s="1" t="s">
        <v>93</v>
      </c>
      <c r="I543" s="1" t="s">
        <v>28</v>
      </c>
      <c r="J543" s="1" t="s">
        <v>55</v>
      </c>
      <c r="K543" s="1" t="s">
        <v>56</v>
      </c>
      <c r="L543">
        <v>90045</v>
      </c>
      <c r="M543" s="1" t="s">
        <v>57</v>
      </c>
      <c r="N543" s="1" t="s">
        <v>1006</v>
      </c>
      <c r="O543" s="1" t="s">
        <v>33</v>
      </c>
      <c r="P543" s="1" t="s">
        <v>39</v>
      </c>
      <c r="Q543" s="1" t="s">
        <v>1007</v>
      </c>
      <c r="R543">
        <v>42</v>
      </c>
      <c r="S543">
        <v>2</v>
      </c>
      <c r="T543">
        <v>0.2</v>
      </c>
      <c r="U543">
        <v>3</v>
      </c>
      <c r="V543" s="1" t="s">
        <v>50</v>
      </c>
      <c r="W543" s="1" t="s">
        <v>116</v>
      </c>
    </row>
    <row r="544" spans="1:23" x14ac:dyDescent="0.35">
      <c r="A544">
        <v>2615</v>
      </c>
      <c r="B544" s="1" t="s">
        <v>2005</v>
      </c>
      <c r="C544" s="2">
        <v>41755</v>
      </c>
      <c r="D544" s="2">
        <v>41762</v>
      </c>
      <c r="E544" s="1" t="s">
        <v>42</v>
      </c>
      <c r="F544" s="1" t="s">
        <v>2006</v>
      </c>
      <c r="G544" s="1" t="s">
        <v>2007</v>
      </c>
      <c r="H544" s="1" t="s">
        <v>93</v>
      </c>
      <c r="I544" s="1" t="s">
        <v>28</v>
      </c>
      <c r="J544" s="1" t="s">
        <v>55</v>
      </c>
      <c r="K544" s="1" t="s">
        <v>56</v>
      </c>
      <c r="L544">
        <v>90049</v>
      </c>
      <c r="M544" s="1" t="s">
        <v>57</v>
      </c>
      <c r="N544" s="1" t="s">
        <v>469</v>
      </c>
      <c r="O544" s="1" t="s">
        <v>33</v>
      </c>
      <c r="P544" s="1" t="s">
        <v>39</v>
      </c>
      <c r="Q544" s="1" t="s">
        <v>470</v>
      </c>
      <c r="R544">
        <v>230</v>
      </c>
      <c r="S544">
        <v>3</v>
      </c>
      <c r="T544">
        <v>0.2</v>
      </c>
      <c r="U544">
        <v>23</v>
      </c>
      <c r="V544" s="1" t="s">
        <v>50</v>
      </c>
      <c r="W544" s="1" t="s">
        <v>116</v>
      </c>
    </row>
    <row r="545" spans="1:23" x14ac:dyDescent="0.35">
      <c r="A545">
        <v>2632</v>
      </c>
      <c r="B545" s="1" t="s">
        <v>2008</v>
      </c>
      <c r="C545" s="2">
        <v>42870</v>
      </c>
      <c r="D545" s="2">
        <v>42875</v>
      </c>
      <c r="E545" s="1" t="s">
        <v>42</v>
      </c>
      <c r="F545" s="1" t="s">
        <v>2009</v>
      </c>
      <c r="G545" s="1" t="s">
        <v>2010</v>
      </c>
      <c r="H545" s="1" t="s">
        <v>27</v>
      </c>
      <c r="I545" s="1" t="s">
        <v>28</v>
      </c>
      <c r="J545" s="1" t="s">
        <v>194</v>
      </c>
      <c r="K545" s="1" t="s">
        <v>195</v>
      </c>
      <c r="L545">
        <v>98103</v>
      </c>
      <c r="M545" s="1" t="s">
        <v>57</v>
      </c>
      <c r="N545" s="1" t="s">
        <v>1124</v>
      </c>
      <c r="O545" s="1" t="s">
        <v>33</v>
      </c>
      <c r="P545" s="1" t="s">
        <v>59</v>
      </c>
      <c r="Q545" s="1" t="s">
        <v>1125</v>
      </c>
      <c r="R545">
        <v>40</v>
      </c>
      <c r="S545">
        <v>2</v>
      </c>
      <c r="T545">
        <v>0</v>
      </c>
      <c r="U545">
        <v>17</v>
      </c>
      <c r="V545" s="1" t="s">
        <v>61</v>
      </c>
      <c r="W545" s="1" t="s">
        <v>164</v>
      </c>
    </row>
    <row r="546" spans="1:23" x14ac:dyDescent="0.35">
      <c r="A546">
        <v>2633</v>
      </c>
      <c r="B546" s="1" t="s">
        <v>2008</v>
      </c>
      <c r="C546" s="2">
        <v>42870</v>
      </c>
      <c r="D546" s="2">
        <v>42875</v>
      </c>
      <c r="E546" s="1" t="s">
        <v>42</v>
      </c>
      <c r="F546" s="1" t="s">
        <v>2009</v>
      </c>
      <c r="G546" s="1" t="s">
        <v>2010</v>
      </c>
      <c r="H546" s="1" t="s">
        <v>27</v>
      </c>
      <c r="I546" s="1" t="s">
        <v>28</v>
      </c>
      <c r="J546" s="1" t="s">
        <v>194</v>
      </c>
      <c r="K546" s="1" t="s">
        <v>195</v>
      </c>
      <c r="L546">
        <v>98103</v>
      </c>
      <c r="M546" s="1" t="s">
        <v>57</v>
      </c>
      <c r="N546" s="1" t="s">
        <v>2011</v>
      </c>
      <c r="O546" s="1" t="s">
        <v>33</v>
      </c>
      <c r="P546" s="1" t="s">
        <v>39</v>
      </c>
      <c r="Q546" s="1" t="s">
        <v>2012</v>
      </c>
      <c r="R546">
        <v>43</v>
      </c>
      <c r="S546">
        <v>2</v>
      </c>
      <c r="T546">
        <v>0.2</v>
      </c>
      <c r="U546">
        <v>4</v>
      </c>
      <c r="V546" s="1" t="s">
        <v>61</v>
      </c>
      <c r="W546" s="1" t="s">
        <v>164</v>
      </c>
    </row>
    <row r="547" spans="1:23" x14ac:dyDescent="0.35">
      <c r="A547">
        <v>2634</v>
      </c>
      <c r="B547" s="1" t="s">
        <v>2008</v>
      </c>
      <c r="C547" s="2">
        <v>42870</v>
      </c>
      <c r="D547" s="2">
        <v>42875</v>
      </c>
      <c r="E547" s="1" t="s">
        <v>42</v>
      </c>
      <c r="F547" s="1" t="s">
        <v>2009</v>
      </c>
      <c r="G547" s="1" t="s">
        <v>2010</v>
      </c>
      <c r="H547" s="1" t="s">
        <v>27</v>
      </c>
      <c r="I547" s="1" t="s">
        <v>28</v>
      </c>
      <c r="J547" s="1" t="s">
        <v>194</v>
      </c>
      <c r="K547" s="1" t="s">
        <v>195</v>
      </c>
      <c r="L547">
        <v>98103</v>
      </c>
      <c r="M547" s="1" t="s">
        <v>57</v>
      </c>
      <c r="N547" s="1" t="s">
        <v>249</v>
      </c>
      <c r="O547" s="1" t="s">
        <v>33</v>
      </c>
      <c r="P547" s="1" t="s">
        <v>39</v>
      </c>
      <c r="Q547" s="1" t="s">
        <v>250</v>
      </c>
      <c r="R547">
        <v>221</v>
      </c>
      <c r="S547">
        <v>1</v>
      </c>
      <c r="T547">
        <v>0.2</v>
      </c>
      <c r="U547">
        <v>25</v>
      </c>
      <c r="V547" s="1" t="s">
        <v>61</v>
      </c>
      <c r="W547" s="1" t="s">
        <v>164</v>
      </c>
    </row>
    <row r="548" spans="1:23" x14ac:dyDescent="0.35">
      <c r="A548">
        <v>2635</v>
      </c>
      <c r="B548" s="1" t="s">
        <v>2013</v>
      </c>
      <c r="C548" s="2">
        <v>42190</v>
      </c>
      <c r="D548" s="2">
        <v>42195</v>
      </c>
      <c r="E548" s="1" t="s">
        <v>24</v>
      </c>
      <c r="F548" s="1" t="s">
        <v>1528</v>
      </c>
      <c r="G548" s="1" t="s">
        <v>1529</v>
      </c>
      <c r="H548" s="1" t="s">
        <v>93</v>
      </c>
      <c r="I548" s="1" t="s">
        <v>28</v>
      </c>
      <c r="J548" s="1" t="s">
        <v>1914</v>
      </c>
      <c r="K548" s="1" t="s">
        <v>1039</v>
      </c>
      <c r="L548">
        <v>28314</v>
      </c>
      <c r="M548" s="1" t="s">
        <v>31</v>
      </c>
      <c r="N548" s="1" t="s">
        <v>2014</v>
      </c>
      <c r="O548" s="1" t="s">
        <v>33</v>
      </c>
      <c r="P548" s="1" t="s">
        <v>59</v>
      </c>
      <c r="Q548" s="1" t="s">
        <v>2015</v>
      </c>
      <c r="R548">
        <v>5</v>
      </c>
      <c r="S548">
        <v>2</v>
      </c>
      <c r="T548">
        <v>0.2</v>
      </c>
      <c r="U548">
        <v>1</v>
      </c>
      <c r="V548" s="1" t="s">
        <v>61</v>
      </c>
      <c r="W548" s="1" t="s">
        <v>74</v>
      </c>
    </row>
    <row r="549" spans="1:23" x14ac:dyDescent="0.35">
      <c r="A549">
        <v>2641</v>
      </c>
      <c r="B549" s="1" t="s">
        <v>2016</v>
      </c>
      <c r="C549" s="2">
        <v>42898</v>
      </c>
      <c r="D549" s="2">
        <v>42904</v>
      </c>
      <c r="E549" s="1" t="s">
        <v>42</v>
      </c>
      <c r="F549" s="1" t="s">
        <v>2017</v>
      </c>
      <c r="G549" s="1" t="s">
        <v>2018</v>
      </c>
      <c r="H549" s="1" t="s">
        <v>27</v>
      </c>
      <c r="I549" s="1" t="s">
        <v>28</v>
      </c>
      <c r="J549" s="1" t="s">
        <v>176</v>
      </c>
      <c r="K549" s="1" t="s">
        <v>123</v>
      </c>
      <c r="L549">
        <v>10035</v>
      </c>
      <c r="M549" s="1" t="s">
        <v>70</v>
      </c>
      <c r="N549" s="1" t="s">
        <v>583</v>
      </c>
      <c r="O549" s="1" t="s">
        <v>33</v>
      </c>
      <c r="P549" s="1" t="s">
        <v>39</v>
      </c>
      <c r="Q549" s="1" t="s">
        <v>584</v>
      </c>
      <c r="R549">
        <v>858</v>
      </c>
      <c r="S549">
        <v>4</v>
      </c>
      <c r="T549">
        <v>0.1</v>
      </c>
      <c r="U549">
        <v>143</v>
      </c>
      <c r="V549" s="1" t="s">
        <v>132</v>
      </c>
      <c r="W549" s="1" t="s">
        <v>62</v>
      </c>
    </row>
    <row r="550" spans="1:23" x14ac:dyDescent="0.35">
      <c r="A550">
        <v>2645</v>
      </c>
      <c r="B550" s="1" t="s">
        <v>2019</v>
      </c>
      <c r="C550" s="2">
        <v>42477</v>
      </c>
      <c r="D550" s="2">
        <v>42481</v>
      </c>
      <c r="E550" s="1" t="s">
        <v>24</v>
      </c>
      <c r="F550" s="1" t="s">
        <v>1740</v>
      </c>
      <c r="G550" s="1" t="s">
        <v>1741</v>
      </c>
      <c r="H550" s="1" t="s">
        <v>103</v>
      </c>
      <c r="I550" s="1" t="s">
        <v>28</v>
      </c>
      <c r="J550" s="1" t="s">
        <v>2020</v>
      </c>
      <c r="K550" s="1" t="s">
        <v>1039</v>
      </c>
      <c r="L550">
        <v>27604</v>
      </c>
      <c r="M550" s="1" t="s">
        <v>31</v>
      </c>
      <c r="N550" s="1" t="s">
        <v>503</v>
      </c>
      <c r="O550" s="1" t="s">
        <v>33</v>
      </c>
      <c r="P550" s="1" t="s">
        <v>59</v>
      </c>
      <c r="Q550" s="1" t="s">
        <v>504</v>
      </c>
      <c r="R550">
        <v>19</v>
      </c>
      <c r="S550">
        <v>8</v>
      </c>
      <c r="T550">
        <v>0.2</v>
      </c>
      <c r="U550">
        <v>6</v>
      </c>
      <c r="V550" s="1" t="s">
        <v>86</v>
      </c>
      <c r="W550" s="1" t="s">
        <v>116</v>
      </c>
    </row>
    <row r="551" spans="1:23" x14ac:dyDescent="0.35">
      <c r="A551">
        <v>2646</v>
      </c>
      <c r="B551" s="1" t="s">
        <v>2021</v>
      </c>
      <c r="C551" s="2">
        <v>41889</v>
      </c>
      <c r="D551" s="2">
        <v>41894</v>
      </c>
      <c r="E551" s="1" t="s">
        <v>24</v>
      </c>
      <c r="F551" s="1" t="s">
        <v>2022</v>
      </c>
      <c r="G551" s="1" t="s">
        <v>2023</v>
      </c>
      <c r="H551" s="1" t="s">
        <v>27</v>
      </c>
      <c r="I551" s="1" t="s">
        <v>28</v>
      </c>
      <c r="J551" s="1" t="s">
        <v>2024</v>
      </c>
      <c r="K551" s="1" t="s">
        <v>1525</v>
      </c>
      <c r="L551">
        <v>74133</v>
      </c>
      <c r="M551" s="1" t="s">
        <v>96</v>
      </c>
      <c r="N551" s="1" t="s">
        <v>1314</v>
      </c>
      <c r="O551" s="1" t="s">
        <v>33</v>
      </c>
      <c r="P551" s="1" t="s">
        <v>59</v>
      </c>
      <c r="Q551" s="1" t="s">
        <v>2025</v>
      </c>
      <c r="R551">
        <v>58</v>
      </c>
      <c r="S551">
        <v>3</v>
      </c>
      <c r="T551">
        <v>0</v>
      </c>
      <c r="U551">
        <v>24</v>
      </c>
      <c r="V551" s="1" t="s">
        <v>61</v>
      </c>
      <c r="W551" s="1" t="s">
        <v>80</v>
      </c>
    </row>
    <row r="552" spans="1:23" x14ac:dyDescent="0.35">
      <c r="A552">
        <v>2649</v>
      </c>
      <c r="B552" s="1" t="s">
        <v>2021</v>
      </c>
      <c r="C552" s="2">
        <v>41889</v>
      </c>
      <c r="D552" s="2">
        <v>41894</v>
      </c>
      <c r="E552" s="1" t="s">
        <v>24</v>
      </c>
      <c r="F552" s="1" t="s">
        <v>2022</v>
      </c>
      <c r="G552" s="1" t="s">
        <v>2023</v>
      </c>
      <c r="H552" s="1" t="s">
        <v>27</v>
      </c>
      <c r="I552" s="1" t="s">
        <v>28</v>
      </c>
      <c r="J552" s="1" t="s">
        <v>2024</v>
      </c>
      <c r="K552" s="1" t="s">
        <v>1525</v>
      </c>
      <c r="L552">
        <v>74133</v>
      </c>
      <c r="M552" s="1" t="s">
        <v>96</v>
      </c>
      <c r="N552" s="1" t="s">
        <v>1960</v>
      </c>
      <c r="O552" s="1" t="s">
        <v>33</v>
      </c>
      <c r="P552" s="1" t="s">
        <v>59</v>
      </c>
      <c r="Q552" s="1" t="s">
        <v>1961</v>
      </c>
      <c r="R552">
        <v>822</v>
      </c>
      <c r="S552">
        <v>6</v>
      </c>
      <c r="T552">
        <v>0</v>
      </c>
      <c r="U552">
        <v>214</v>
      </c>
      <c r="V552" s="1" t="s">
        <v>61</v>
      </c>
      <c r="W552" s="1" t="s">
        <v>80</v>
      </c>
    </row>
    <row r="553" spans="1:23" x14ac:dyDescent="0.35">
      <c r="A553">
        <v>2651</v>
      </c>
      <c r="B553" s="1" t="s">
        <v>2026</v>
      </c>
      <c r="C553" s="2">
        <v>42639</v>
      </c>
      <c r="D553" s="2">
        <v>42644</v>
      </c>
      <c r="E553" s="1" t="s">
        <v>42</v>
      </c>
      <c r="F553" s="1" t="s">
        <v>2027</v>
      </c>
      <c r="G553" s="1" t="s">
        <v>2028</v>
      </c>
      <c r="H553" s="1" t="s">
        <v>93</v>
      </c>
      <c r="I553" s="1" t="s">
        <v>28</v>
      </c>
      <c r="J553" s="1" t="s">
        <v>2029</v>
      </c>
      <c r="K553" s="1" t="s">
        <v>56</v>
      </c>
      <c r="L553">
        <v>92345</v>
      </c>
      <c r="M553" s="1" t="s">
        <v>57</v>
      </c>
      <c r="N553" s="1" t="s">
        <v>1139</v>
      </c>
      <c r="O553" s="1" t="s">
        <v>33</v>
      </c>
      <c r="P553" s="1" t="s">
        <v>34</v>
      </c>
      <c r="Q553" s="1" t="s">
        <v>1140</v>
      </c>
      <c r="R553">
        <v>425</v>
      </c>
      <c r="S553">
        <v>5</v>
      </c>
      <c r="T553">
        <v>0.15</v>
      </c>
      <c r="U553">
        <v>20</v>
      </c>
      <c r="V553" s="1" t="s">
        <v>61</v>
      </c>
      <c r="W553" s="1" t="s">
        <v>80</v>
      </c>
    </row>
    <row r="554" spans="1:23" x14ac:dyDescent="0.35">
      <c r="A554">
        <v>2655</v>
      </c>
      <c r="B554" s="1" t="s">
        <v>2030</v>
      </c>
      <c r="C554" s="2">
        <v>42995</v>
      </c>
      <c r="D554" s="2">
        <v>42999</v>
      </c>
      <c r="E554" s="1" t="s">
        <v>24</v>
      </c>
      <c r="F554" s="1" t="s">
        <v>374</v>
      </c>
      <c r="G554" s="1" t="s">
        <v>375</v>
      </c>
      <c r="H554" s="1" t="s">
        <v>93</v>
      </c>
      <c r="I554" s="1" t="s">
        <v>28</v>
      </c>
      <c r="J554" s="1" t="s">
        <v>1236</v>
      </c>
      <c r="K554" s="1" t="s">
        <v>79</v>
      </c>
      <c r="L554">
        <v>84604</v>
      </c>
      <c r="M554" s="1" t="s">
        <v>57</v>
      </c>
      <c r="N554" s="1" t="s">
        <v>2031</v>
      </c>
      <c r="O554" s="1" t="s">
        <v>33</v>
      </c>
      <c r="P554" s="1" t="s">
        <v>34</v>
      </c>
      <c r="Q554" s="1" t="s">
        <v>2032</v>
      </c>
      <c r="R554">
        <v>1293</v>
      </c>
      <c r="S554">
        <v>3</v>
      </c>
      <c r="T554">
        <v>0</v>
      </c>
      <c r="U554">
        <v>78</v>
      </c>
      <c r="V554" s="1" t="s">
        <v>86</v>
      </c>
      <c r="W554" s="1" t="s">
        <v>80</v>
      </c>
    </row>
    <row r="555" spans="1:23" x14ac:dyDescent="0.35">
      <c r="A555">
        <v>2660</v>
      </c>
      <c r="B555" s="1" t="s">
        <v>2033</v>
      </c>
      <c r="C555" s="2">
        <v>42362</v>
      </c>
      <c r="D555" s="2">
        <v>42366</v>
      </c>
      <c r="E555" s="1" t="s">
        <v>42</v>
      </c>
      <c r="F555" s="1" t="s">
        <v>2034</v>
      </c>
      <c r="G555" s="1" t="s">
        <v>2035</v>
      </c>
      <c r="H555" s="1" t="s">
        <v>93</v>
      </c>
      <c r="I555" s="1" t="s">
        <v>28</v>
      </c>
      <c r="J555" s="1" t="s">
        <v>2036</v>
      </c>
      <c r="K555" s="1" t="s">
        <v>523</v>
      </c>
      <c r="L555">
        <v>85234</v>
      </c>
      <c r="M555" s="1" t="s">
        <v>57</v>
      </c>
      <c r="N555" s="1" t="s">
        <v>249</v>
      </c>
      <c r="O555" s="1" t="s">
        <v>33</v>
      </c>
      <c r="P555" s="1" t="s">
        <v>39</v>
      </c>
      <c r="Q555" s="1" t="s">
        <v>250</v>
      </c>
      <c r="R555">
        <v>884</v>
      </c>
      <c r="S555">
        <v>4</v>
      </c>
      <c r="T555">
        <v>0.2</v>
      </c>
      <c r="U555">
        <v>99</v>
      </c>
      <c r="V555" s="1" t="s">
        <v>86</v>
      </c>
      <c r="W555" s="1" t="s">
        <v>99</v>
      </c>
    </row>
    <row r="556" spans="1:23" x14ac:dyDescent="0.35">
      <c r="A556">
        <v>2665</v>
      </c>
      <c r="B556" s="1" t="s">
        <v>2037</v>
      </c>
      <c r="C556" s="2">
        <v>42491</v>
      </c>
      <c r="D556" s="2">
        <v>42494</v>
      </c>
      <c r="E556" s="1" t="s">
        <v>90</v>
      </c>
      <c r="F556" s="1" t="s">
        <v>2038</v>
      </c>
      <c r="G556" s="1" t="s">
        <v>2039</v>
      </c>
      <c r="H556" s="1" t="s">
        <v>27</v>
      </c>
      <c r="I556" s="1" t="s">
        <v>28</v>
      </c>
      <c r="J556" s="1" t="s">
        <v>143</v>
      </c>
      <c r="K556" s="1" t="s">
        <v>144</v>
      </c>
      <c r="L556">
        <v>38109</v>
      </c>
      <c r="M556" s="1" t="s">
        <v>31</v>
      </c>
      <c r="N556" s="1" t="s">
        <v>215</v>
      </c>
      <c r="O556" s="1" t="s">
        <v>33</v>
      </c>
      <c r="P556" s="1" t="s">
        <v>48</v>
      </c>
      <c r="Q556" s="1" t="s">
        <v>216</v>
      </c>
      <c r="R556">
        <v>371</v>
      </c>
      <c r="S556">
        <v>3</v>
      </c>
      <c r="T556">
        <v>0.4</v>
      </c>
      <c r="U556">
        <v>-142</v>
      </c>
      <c r="V556" s="1" t="s">
        <v>36</v>
      </c>
      <c r="W556" s="1" t="s">
        <v>164</v>
      </c>
    </row>
    <row r="557" spans="1:23" x14ac:dyDescent="0.35">
      <c r="A557">
        <v>2669</v>
      </c>
      <c r="B557" s="1" t="s">
        <v>2040</v>
      </c>
      <c r="C557" s="2">
        <v>42241</v>
      </c>
      <c r="D557" s="2">
        <v>42246</v>
      </c>
      <c r="E557" s="1" t="s">
        <v>42</v>
      </c>
      <c r="F557" s="1" t="s">
        <v>2041</v>
      </c>
      <c r="G557" s="1" t="s">
        <v>2042</v>
      </c>
      <c r="H557" s="1" t="s">
        <v>103</v>
      </c>
      <c r="I557" s="1" t="s">
        <v>28</v>
      </c>
      <c r="J557" s="1" t="s">
        <v>55</v>
      </c>
      <c r="K557" s="1" t="s">
        <v>56</v>
      </c>
      <c r="L557">
        <v>90045</v>
      </c>
      <c r="M557" s="1" t="s">
        <v>57</v>
      </c>
      <c r="N557" s="1" t="s">
        <v>71</v>
      </c>
      <c r="O557" s="1" t="s">
        <v>33</v>
      </c>
      <c r="P557" s="1" t="s">
        <v>39</v>
      </c>
      <c r="Q557" s="1" t="s">
        <v>72</v>
      </c>
      <c r="R557">
        <v>41</v>
      </c>
      <c r="S557">
        <v>1</v>
      </c>
      <c r="T557">
        <v>0.2</v>
      </c>
      <c r="U557">
        <v>5</v>
      </c>
      <c r="V557" s="1" t="s">
        <v>61</v>
      </c>
      <c r="W557" s="1" t="s">
        <v>256</v>
      </c>
    </row>
    <row r="558" spans="1:23" x14ac:dyDescent="0.35">
      <c r="A558">
        <v>2672</v>
      </c>
      <c r="B558" s="1" t="s">
        <v>2043</v>
      </c>
      <c r="C558" s="2">
        <v>41891</v>
      </c>
      <c r="D558" s="2">
        <v>41894</v>
      </c>
      <c r="E558" s="1" t="s">
        <v>24</v>
      </c>
      <c r="F558" s="1" t="s">
        <v>2044</v>
      </c>
      <c r="G558" s="1" t="s">
        <v>2045</v>
      </c>
      <c r="H558" s="1" t="s">
        <v>93</v>
      </c>
      <c r="I558" s="1" t="s">
        <v>28</v>
      </c>
      <c r="J558" s="1" t="s">
        <v>2046</v>
      </c>
      <c r="K558" s="1" t="s">
        <v>437</v>
      </c>
      <c r="L558">
        <v>1852</v>
      </c>
      <c r="M558" s="1" t="s">
        <v>70</v>
      </c>
      <c r="N558" s="1" t="s">
        <v>2047</v>
      </c>
      <c r="O558" s="1" t="s">
        <v>33</v>
      </c>
      <c r="P558" s="1" t="s">
        <v>39</v>
      </c>
      <c r="Q558" s="1" t="s">
        <v>2048</v>
      </c>
      <c r="R558">
        <v>786</v>
      </c>
      <c r="S558">
        <v>6</v>
      </c>
      <c r="T558">
        <v>0</v>
      </c>
      <c r="U558">
        <v>212</v>
      </c>
      <c r="V558" s="1" t="s">
        <v>36</v>
      </c>
      <c r="W558" s="1" t="s">
        <v>80</v>
      </c>
    </row>
    <row r="559" spans="1:23" x14ac:dyDescent="0.35">
      <c r="A559">
        <v>2694</v>
      </c>
      <c r="B559" s="1" t="s">
        <v>2049</v>
      </c>
      <c r="C559" s="2">
        <v>42391</v>
      </c>
      <c r="D559" s="2">
        <v>42397</v>
      </c>
      <c r="E559" s="1" t="s">
        <v>42</v>
      </c>
      <c r="F559" s="1" t="s">
        <v>790</v>
      </c>
      <c r="G559" s="1" t="s">
        <v>791</v>
      </c>
      <c r="H559" s="1" t="s">
        <v>93</v>
      </c>
      <c r="I559" s="1" t="s">
        <v>28</v>
      </c>
      <c r="J559" s="1" t="s">
        <v>194</v>
      </c>
      <c r="K559" s="1" t="s">
        <v>195</v>
      </c>
      <c r="L559">
        <v>98115</v>
      </c>
      <c r="M559" s="1" t="s">
        <v>57</v>
      </c>
      <c r="N559" s="1" t="s">
        <v>633</v>
      </c>
      <c r="O559" s="1" t="s">
        <v>33</v>
      </c>
      <c r="P559" s="1" t="s">
        <v>59</v>
      </c>
      <c r="Q559" s="1" t="s">
        <v>634</v>
      </c>
      <c r="R559">
        <v>110</v>
      </c>
      <c r="S559">
        <v>5</v>
      </c>
      <c r="T559">
        <v>0</v>
      </c>
      <c r="U559">
        <v>37</v>
      </c>
      <c r="V559" s="1" t="s">
        <v>132</v>
      </c>
      <c r="W559" s="1" t="s">
        <v>172</v>
      </c>
    </row>
    <row r="560" spans="1:23" x14ac:dyDescent="0.35">
      <c r="A560">
        <v>2695</v>
      </c>
      <c r="B560" s="1" t="s">
        <v>2050</v>
      </c>
      <c r="C560" s="2">
        <v>41927</v>
      </c>
      <c r="D560" s="2">
        <v>41932</v>
      </c>
      <c r="E560" s="1" t="s">
        <v>42</v>
      </c>
      <c r="F560" s="1" t="s">
        <v>2051</v>
      </c>
      <c r="G560" s="1" t="s">
        <v>2052</v>
      </c>
      <c r="H560" s="1" t="s">
        <v>27</v>
      </c>
      <c r="I560" s="1" t="s">
        <v>28</v>
      </c>
      <c r="J560" s="1" t="s">
        <v>2053</v>
      </c>
      <c r="K560" s="1" t="s">
        <v>46</v>
      </c>
      <c r="L560">
        <v>33012</v>
      </c>
      <c r="M560" s="1" t="s">
        <v>31</v>
      </c>
      <c r="N560" s="1" t="s">
        <v>1314</v>
      </c>
      <c r="O560" s="1" t="s">
        <v>33</v>
      </c>
      <c r="P560" s="1" t="s">
        <v>59</v>
      </c>
      <c r="Q560" s="1" t="s">
        <v>2025</v>
      </c>
      <c r="R560">
        <v>15</v>
      </c>
      <c r="S560">
        <v>1</v>
      </c>
      <c r="T560">
        <v>0.2</v>
      </c>
      <c r="U560">
        <v>4</v>
      </c>
      <c r="V560" s="1" t="s">
        <v>61</v>
      </c>
      <c r="W560" s="1" t="s">
        <v>51</v>
      </c>
    </row>
    <row r="561" spans="1:23" x14ac:dyDescent="0.35">
      <c r="A561">
        <v>2701</v>
      </c>
      <c r="B561" s="1" t="s">
        <v>2054</v>
      </c>
      <c r="C561" s="2">
        <v>41716</v>
      </c>
      <c r="D561" s="2">
        <v>41721</v>
      </c>
      <c r="E561" s="1" t="s">
        <v>42</v>
      </c>
      <c r="F561" s="1" t="s">
        <v>1977</v>
      </c>
      <c r="G561" s="1" t="s">
        <v>1978</v>
      </c>
      <c r="H561" s="1" t="s">
        <v>103</v>
      </c>
      <c r="I561" s="1" t="s">
        <v>28</v>
      </c>
      <c r="J561" s="1" t="s">
        <v>609</v>
      </c>
      <c r="K561" s="1" t="s">
        <v>46</v>
      </c>
      <c r="L561">
        <v>32216</v>
      </c>
      <c r="M561" s="1" t="s">
        <v>31</v>
      </c>
      <c r="N561" s="1" t="s">
        <v>1314</v>
      </c>
      <c r="O561" s="1" t="s">
        <v>33</v>
      </c>
      <c r="P561" s="1" t="s">
        <v>59</v>
      </c>
      <c r="Q561" s="1" t="s">
        <v>2025</v>
      </c>
      <c r="R561">
        <v>31</v>
      </c>
      <c r="S561">
        <v>2</v>
      </c>
      <c r="T561">
        <v>0.2</v>
      </c>
      <c r="U561">
        <v>8</v>
      </c>
      <c r="V561" s="1" t="s">
        <v>61</v>
      </c>
      <c r="W561" s="1" t="s">
        <v>198</v>
      </c>
    </row>
    <row r="562" spans="1:23" x14ac:dyDescent="0.35">
      <c r="A562">
        <v>2703</v>
      </c>
      <c r="B562" s="1" t="s">
        <v>2054</v>
      </c>
      <c r="C562" s="2">
        <v>41716</v>
      </c>
      <c r="D562" s="2">
        <v>41721</v>
      </c>
      <c r="E562" s="1" t="s">
        <v>42</v>
      </c>
      <c r="F562" s="1" t="s">
        <v>1977</v>
      </c>
      <c r="G562" s="1" t="s">
        <v>1978</v>
      </c>
      <c r="H562" s="1" t="s">
        <v>103</v>
      </c>
      <c r="I562" s="1" t="s">
        <v>28</v>
      </c>
      <c r="J562" s="1" t="s">
        <v>609</v>
      </c>
      <c r="K562" s="1" t="s">
        <v>46</v>
      </c>
      <c r="L562">
        <v>32216</v>
      </c>
      <c r="M562" s="1" t="s">
        <v>31</v>
      </c>
      <c r="N562" s="1" t="s">
        <v>1540</v>
      </c>
      <c r="O562" s="1" t="s">
        <v>33</v>
      </c>
      <c r="P562" s="1" t="s">
        <v>59</v>
      </c>
      <c r="Q562" s="1" t="s">
        <v>1541</v>
      </c>
      <c r="R562">
        <v>122</v>
      </c>
      <c r="S562">
        <v>3</v>
      </c>
      <c r="T562">
        <v>0.2</v>
      </c>
      <c r="U562">
        <v>15</v>
      </c>
      <c r="V562" s="1" t="s">
        <v>61</v>
      </c>
      <c r="W562" s="1" t="s">
        <v>198</v>
      </c>
    </row>
    <row r="563" spans="1:23" x14ac:dyDescent="0.35">
      <c r="A563">
        <v>2709</v>
      </c>
      <c r="B563" s="1" t="s">
        <v>2055</v>
      </c>
      <c r="C563" s="2">
        <v>42034</v>
      </c>
      <c r="D563" s="2">
        <v>42041</v>
      </c>
      <c r="E563" s="1" t="s">
        <v>42</v>
      </c>
      <c r="F563" s="1" t="s">
        <v>2056</v>
      </c>
      <c r="G563" s="1" t="s">
        <v>2057</v>
      </c>
      <c r="H563" s="1" t="s">
        <v>27</v>
      </c>
      <c r="I563" s="1" t="s">
        <v>28</v>
      </c>
      <c r="J563" s="1" t="s">
        <v>55</v>
      </c>
      <c r="K563" s="1" t="s">
        <v>56</v>
      </c>
      <c r="L563">
        <v>90049</v>
      </c>
      <c r="M563" s="1" t="s">
        <v>57</v>
      </c>
      <c r="N563" s="1" t="s">
        <v>2058</v>
      </c>
      <c r="O563" s="1" t="s">
        <v>33</v>
      </c>
      <c r="P563" s="1" t="s">
        <v>59</v>
      </c>
      <c r="Q563" s="1" t="s">
        <v>2059</v>
      </c>
      <c r="R563">
        <v>227</v>
      </c>
      <c r="S563">
        <v>7</v>
      </c>
      <c r="T563">
        <v>0</v>
      </c>
      <c r="U563">
        <v>82</v>
      </c>
      <c r="V563" s="1" t="s">
        <v>50</v>
      </c>
      <c r="W563" s="1" t="s">
        <v>172</v>
      </c>
    </row>
    <row r="564" spans="1:23" x14ac:dyDescent="0.35">
      <c r="A564">
        <v>2712</v>
      </c>
      <c r="B564" s="1" t="s">
        <v>2060</v>
      </c>
      <c r="C564" s="2">
        <v>43017</v>
      </c>
      <c r="D564" s="2">
        <v>43019</v>
      </c>
      <c r="E564" s="1" t="s">
        <v>90</v>
      </c>
      <c r="F564" s="1" t="s">
        <v>2061</v>
      </c>
      <c r="G564" s="1" t="s">
        <v>2062</v>
      </c>
      <c r="H564" s="1" t="s">
        <v>93</v>
      </c>
      <c r="I564" s="1" t="s">
        <v>28</v>
      </c>
      <c r="J564" s="1" t="s">
        <v>2063</v>
      </c>
      <c r="K564" s="1" t="s">
        <v>234</v>
      </c>
      <c r="L564">
        <v>44107</v>
      </c>
      <c r="M564" s="1" t="s">
        <v>70</v>
      </c>
      <c r="N564" s="1" t="s">
        <v>779</v>
      </c>
      <c r="O564" s="1" t="s">
        <v>33</v>
      </c>
      <c r="P564" s="1" t="s">
        <v>59</v>
      </c>
      <c r="Q564" s="1" t="s">
        <v>780</v>
      </c>
      <c r="R564">
        <v>46</v>
      </c>
      <c r="S564">
        <v>4</v>
      </c>
      <c r="T564">
        <v>0.2</v>
      </c>
      <c r="U564">
        <v>9</v>
      </c>
      <c r="V564" s="1" t="s">
        <v>73</v>
      </c>
      <c r="W564" s="1" t="s">
        <v>51</v>
      </c>
    </row>
    <row r="565" spans="1:23" x14ac:dyDescent="0.35">
      <c r="A565">
        <v>2720</v>
      </c>
      <c r="B565" s="1" t="s">
        <v>2064</v>
      </c>
      <c r="C565" s="2">
        <v>41979</v>
      </c>
      <c r="D565" s="2">
        <v>41981</v>
      </c>
      <c r="E565" s="1" t="s">
        <v>24</v>
      </c>
      <c r="F565" s="1" t="s">
        <v>1577</v>
      </c>
      <c r="G565" s="1" t="s">
        <v>1578</v>
      </c>
      <c r="H565" s="1" t="s">
        <v>27</v>
      </c>
      <c r="I565" s="1" t="s">
        <v>28</v>
      </c>
      <c r="J565" s="1" t="s">
        <v>104</v>
      </c>
      <c r="K565" s="1" t="s">
        <v>95</v>
      </c>
      <c r="L565">
        <v>77095</v>
      </c>
      <c r="M565" s="1" t="s">
        <v>96</v>
      </c>
      <c r="N565" s="1" t="s">
        <v>700</v>
      </c>
      <c r="O565" s="1" t="s">
        <v>33</v>
      </c>
      <c r="P565" s="1" t="s">
        <v>59</v>
      </c>
      <c r="Q565" s="1" t="s">
        <v>701</v>
      </c>
      <c r="R565">
        <v>24</v>
      </c>
      <c r="S565">
        <v>3</v>
      </c>
      <c r="T565">
        <v>0.6</v>
      </c>
      <c r="U565">
        <v>-14</v>
      </c>
      <c r="V565" s="1" t="s">
        <v>73</v>
      </c>
      <c r="W565" s="1" t="s">
        <v>99</v>
      </c>
    </row>
    <row r="566" spans="1:23" x14ac:dyDescent="0.35">
      <c r="A566">
        <v>2727</v>
      </c>
      <c r="B566" s="1" t="s">
        <v>2065</v>
      </c>
      <c r="C566" s="2">
        <v>43046</v>
      </c>
      <c r="D566" s="2">
        <v>43052</v>
      </c>
      <c r="E566" s="1" t="s">
        <v>42</v>
      </c>
      <c r="F566" s="1" t="s">
        <v>2066</v>
      </c>
      <c r="G566" s="1" t="s">
        <v>2067</v>
      </c>
      <c r="H566" s="1" t="s">
        <v>27</v>
      </c>
      <c r="I566" s="1" t="s">
        <v>28</v>
      </c>
      <c r="J566" s="1" t="s">
        <v>68</v>
      </c>
      <c r="K566" s="1" t="s">
        <v>69</v>
      </c>
      <c r="L566">
        <v>19120</v>
      </c>
      <c r="M566" s="1" t="s">
        <v>70</v>
      </c>
      <c r="N566" s="1" t="s">
        <v>1903</v>
      </c>
      <c r="O566" s="1" t="s">
        <v>33</v>
      </c>
      <c r="P566" s="1" t="s">
        <v>48</v>
      </c>
      <c r="Q566" s="1" t="s">
        <v>1904</v>
      </c>
      <c r="R566">
        <v>350</v>
      </c>
      <c r="S566">
        <v>4</v>
      </c>
      <c r="T566">
        <v>0.4</v>
      </c>
      <c r="U566">
        <v>-140</v>
      </c>
      <c r="V566" s="1" t="s">
        <v>132</v>
      </c>
      <c r="W566" s="1" t="s">
        <v>37</v>
      </c>
    </row>
    <row r="567" spans="1:23" x14ac:dyDescent="0.35">
      <c r="A567">
        <v>2732</v>
      </c>
      <c r="B567" s="1" t="s">
        <v>2068</v>
      </c>
      <c r="C567" s="2">
        <v>42779</v>
      </c>
      <c r="D567" s="2">
        <v>42785</v>
      </c>
      <c r="E567" s="1" t="s">
        <v>42</v>
      </c>
      <c r="F567" s="1" t="s">
        <v>2069</v>
      </c>
      <c r="G567" s="1" t="s">
        <v>2070</v>
      </c>
      <c r="H567" s="1" t="s">
        <v>27</v>
      </c>
      <c r="I567" s="1" t="s">
        <v>28</v>
      </c>
      <c r="J567" s="1" t="s">
        <v>194</v>
      </c>
      <c r="K567" s="1" t="s">
        <v>195</v>
      </c>
      <c r="L567">
        <v>98105</v>
      </c>
      <c r="M567" s="1" t="s">
        <v>57</v>
      </c>
      <c r="N567" s="1" t="s">
        <v>311</v>
      </c>
      <c r="O567" s="1" t="s">
        <v>33</v>
      </c>
      <c r="P567" s="1" t="s">
        <v>59</v>
      </c>
      <c r="Q567" s="1" t="s">
        <v>312</v>
      </c>
      <c r="R567">
        <v>108</v>
      </c>
      <c r="S567">
        <v>1</v>
      </c>
      <c r="T567">
        <v>0</v>
      </c>
      <c r="U567">
        <v>22</v>
      </c>
      <c r="V567" s="1" t="s">
        <v>132</v>
      </c>
      <c r="W567" s="1" t="s">
        <v>300</v>
      </c>
    </row>
    <row r="568" spans="1:23" x14ac:dyDescent="0.35">
      <c r="A568">
        <v>2738</v>
      </c>
      <c r="B568" s="1" t="s">
        <v>2071</v>
      </c>
      <c r="C568" s="2">
        <v>42321</v>
      </c>
      <c r="D568" s="2">
        <v>42327</v>
      </c>
      <c r="E568" s="1" t="s">
        <v>42</v>
      </c>
      <c r="F568" s="1" t="s">
        <v>314</v>
      </c>
      <c r="G568" s="1" t="s">
        <v>315</v>
      </c>
      <c r="H568" s="1" t="s">
        <v>27</v>
      </c>
      <c r="I568" s="1" t="s">
        <v>28</v>
      </c>
      <c r="J568" s="1" t="s">
        <v>233</v>
      </c>
      <c r="K568" s="1" t="s">
        <v>203</v>
      </c>
      <c r="L568">
        <v>19711</v>
      </c>
      <c r="M568" s="1" t="s">
        <v>70</v>
      </c>
      <c r="N568" s="1" t="s">
        <v>1139</v>
      </c>
      <c r="O568" s="1" t="s">
        <v>33</v>
      </c>
      <c r="P568" s="1" t="s">
        <v>34</v>
      </c>
      <c r="Q568" s="1" t="s">
        <v>1140</v>
      </c>
      <c r="R568">
        <v>300</v>
      </c>
      <c r="S568">
        <v>3</v>
      </c>
      <c r="T568">
        <v>0</v>
      </c>
      <c r="U568">
        <v>57</v>
      </c>
      <c r="V568" s="1" t="s">
        <v>132</v>
      </c>
      <c r="W568" s="1" t="s">
        <v>37</v>
      </c>
    </row>
    <row r="569" spans="1:23" x14ac:dyDescent="0.35">
      <c r="A569">
        <v>2743</v>
      </c>
      <c r="B569" s="1" t="s">
        <v>2072</v>
      </c>
      <c r="C569" s="2">
        <v>41947</v>
      </c>
      <c r="D569" s="2">
        <v>41951</v>
      </c>
      <c r="E569" s="1" t="s">
        <v>42</v>
      </c>
      <c r="F569" s="1" t="s">
        <v>2073</v>
      </c>
      <c r="G569" s="1" t="s">
        <v>2074</v>
      </c>
      <c r="H569" s="1" t="s">
        <v>27</v>
      </c>
      <c r="I569" s="1" t="s">
        <v>28</v>
      </c>
      <c r="J569" s="1" t="s">
        <v>642</v>
      </c>
      <c r="K569" s="1" t="s">
        <v>56</v>
      </c>
      <c r="L569">
        <v>92037</v>
      </c>
      <c r="M569" s="1" t="s">
        <v>57</v>
      </c>
      <c r="N569" s="1" t="s">
        <v>1992</v>
      </c>
      <c r="O569" s="1" t="s">
        <v>33</v>
      </c>
      <c r="P569" s="1" t="s">
        <v>59</v>
      </c>
      <c r="Q569" s="1" t="s">
        <v>1993</v>
      </c>
      <c r="R569">
        <v>35</v>
      </c>
      <c r="S569">
        <v>2</v>
      </c>
      <c r="T569">
        <v>0</v>
      </c>
      <c r="U569">
        <v>13</v>
      </c>
      <c r="V569" s="1" t="s">
        <v>86</v>
      </c>
      <c r="W569" s="1" t="s">
        <v>37</v>
      </c>
    </row>
    <row r="570" spans="1:23" x14ac:dyDescent="0.35">
      <c r="A570">
        <v>2744</v>
      </c>
      <c r="B570" s="1" t="s">
        <v>2075</v>
      </c>
      <c r="C570" s="2">
        <v>42175</v>
      </c>
      <c r="D570" s="2">
        <v>42180</v>
      </c>
      <c r="E570" s="1" t="s">
        <v>24</v>
      </c>
      <c r="F570" s="1" t="s">
        <v>2076</v>
      </c>
      <c r="G570" s="1" t="s">
        <v>2077</v>
      </c>
      <c r="H570" s="1" t="s">
        <v>93</v>
      </c>
      <c r="I570" s="1" t="s">
        <v>28</v>
      </c>
      <c r="J570" s="1" t="s">
        <v>331</v>
      </c>
      <c r="K570" s="1" t="s">
        <v>56</v>
      </c>
      <c r="L570">
        <v>94122</v>
      </c>
      <c r="M570" s="1" t="s">
        <v>57</v>
      </c>
      <c r="N570" s="1" t="s">
        <v>748</v>
      </c>
      <c r="O570" s="1" t="s">
        <v>33</v>
      </c>
      <c r="P570" s="1" t="s">
        <v>59</v>
      </c>
      <c r="Q570" s="1" t="s">
        <v>749</v>
      </c>
      <c r="R570">
        <v>258</v>
      </c>
      <c r="S570">
        <v>6</v>
      </c>
      <c r="T570">
        <v>0</v>
      </c>
      <c r="U570">
        <v>100</v>
      </c>
      <c r="V570" s="1" t="s">
        <v>61</v>
      </c>
      <c r="W570" s="1" t="s">
        <v>62</v>
      </c>
    </row>
    <row r="571" spans="1:23" x14ac:dyDescent="0.35">
      <c r="A571">
        <v>2747</v>
      </c>
      <c r="B571" s="1" t="s">
        <v>2078</v>
      </c>
      <c r="C571" s="2">
        <v>41771</v>
      </c>
      <c r="D571" s="2">
        <v>41776</v>
      </c>
      <c r="E571" s="1" t="s">
        <v>42</v>
      </c>
      <c r="F571" s="1" t="s">
        <v>1930</v>
      </c>
      <c r="G571" s="1" t="s">
        <v>1931</v>
      </c>
      <c r="H571" s="1" t="s">
        <v>27</v>
      </c>
      <c r="I571" s="1" t="s">
        <v>28</v>
      </c>
      <c r="J571" s="1" t="s">
        <v>240</v>
      </c>
      <c r="K571" s="1" t="s">
        <v>437</v>
      </c>
      <c r="L571">
        <v>2038</v>
      </c>
      <c r="M571" s="1" t="s">
        <v>70</v>
      </c>
      <c r="N571" s="1" t="s">
        <v>765</v>
      </c>
      <c r="O571" s="1" t="s">
        <v>33</v>
      </c>
      <c r="P571" s="1" t="s">
        <v>48</v>
      </c>
      <c r="Q571" s="1" t="s">
        <v>766</v>
      </c>
      <c r="R571">
        <v>700</v>
      </c>
      <c r="S571">
        <v>3</v>
      </c>
      <c r="T571">
        <v>0.3</v>
      </c>
      <c r="U571">
        <v>-130</v>
      </c>
      <c r="V571" s="1" t="s">
        <v>61</v>
      </c>
      <c r="W571" s="1" t="s">
        <v>164</v>
      </c>
    </row>
    <row r="572" spans="1:23" x14ac:dyDescent="0.35">
      <c r="A572">
        <v>2750</v>
      </c>
      <c r="B572" s="1" t="s">
        <v>2079</v>
      </c>
      <c r="C572" s="2">
        <v>41798</v>
      </c>
      <c r="D572" s="2">
        <v>41804</v>
      </c>
      <c r="E572" s="1" t="s">
        <v>42</v>
      </c>
      <c r="F572" s="1" t="s">
        <v>631</v>
      </c>
      <c r="G572" s="1" t="s">
        <v>632</v>
      </c>
      <c r="H572" s="1" t="s">
        <v>27</v>
      </c>
      <c r="I572" s="1" t="s">
        <v>28</v>
      </c>
      <c r="J572" s="1" t="s">
        <v>194</v>
      </c>
      <c r="K572" s="1" t="s">
        <v>195</v>
      </c>
      <c r="L572">
        <v>98115</v>
      </c>
      <c r="M572" s="1" t="s">
        <v>57</v>
      </c>
      <c r="N572" s="1" t="s">
        <v>2080</v>
      </c>
      <c r="O572" s="1" t="s">
        <v>33</v>
      </c>
      <c r="P572" s="1" t="s">
        <v>39</v>
      </c>
      <c r="Q572" s="1" t="s">
        <v>2081</v>
      </c>
      <c r="R572">
        <v>586</v>
      </c>
      <c r="S572">
        <v>3</v>
      </c>
      <c r="T572">
        <v>0.2</v>
      </c>
      <c r="U572">
        <v>73</v>
      </c>
      <c r="V572" s="1" t="s">
        <v>132</v>
      </c>
      <c r="W572" s="1" t="s">
        <v>62</v>
      </c>
    </row>
    <row r="573" spans="1:23" x14ac:dyDescent="0.35">
      <c r="A573">
        <v>2752</v>
      </c>
      <c r="B573" s="1" t="s">
        <v>2082</v>
      </c>
      <c r="C573" s="2">
        <v>41785</v>
      </c>
      <c r="D573" s="2">
        <v>41789</v>
      </c>
      <c r="E573" s="1" t="s">
        <v>42</v>
      </c>
      <c r="F573" s="1" t="s">
        <v>2038</v>
      </c>
      <c r="G573" s="1" t="s">
        <v>2039</v>
      </c>
      <c r="H573" s="1" t="s">
        <v>27</v>
      </c>
      <c r="I573" s="1" t="s">
        <v>28</v>
      </c>
      <c r="J573" s="1" t="s">
        <v>55</v>
      </c>
      <c r="K573" s="1" t="s">
        <v>56</v>
      </c>
      <c r="L573">
        <v>90008</v>
      </c>
      <c r="M573" s="1" t="s">
        <v>57</v>
      </c>
      <c r="N573" s="1" t="s">
        <v>1535</v>
      </c>
      <c r="O573" s="1" t="s">
        <v>33</v>
      </c>
      <c r="P573" s="1" t="s">
        <v>39</v>
      </c>
      <c r="Q573" s="1" t="s">
        <v>1536</v>
      </c>
      <c r="R573">
        <v>225</v>
      </c>
      <c r="S573">
        <v>2</v>
      </c>
      <c r="T573">
        <v>0.2</v>
      </c>
      <c r="U573">
        <v>23</v>
      </c>
      <c r="V573" s="1" t="s">
        <v>86</v>
      </c>
      <c r="W573" s="1" t="s">
        <v>164</v>
      </c>
    </row>
    <row r="574" spans="1:23" x14ac:dyDescent="0.35">
      <c r="A574">
        <v>2759</v>
      </c>
      <c r="B574" s="1" t="s">
        <v>2083</v>
      </c>
      <c r="C574" s="2">
        <v>42440</v>
      </c>
      <c r="D574" s="2">
        <v>42444</v>
      </c>
      <c r="E574" s="1" t="s">
        <v>42</v>
      </c>
      <c r="F574" s="1" t="s">
        <v>2084</v>
      </c>
      <c r="G574" s="1" t="s">
        <v>2085</v>
      </c>
      <c r="H574" s="1" t="s">
        <v>103</v>
      </c>
      <c r="I574" s="1" t="s">
        <v>28</v>
      </c>
      <c r="J574" s="1" t="s">
        <v>350</v>
      </c>
      <c r="K574" s="1" t="s">
        <v>670</v>
      </c>
      <c r="L574">
        <v>31907</v>
      </c>
      <c r="M574" s="1" t="s">
        <v>31</v>
      </c>
      <c r="N574" s="1" t="s">
        <v>1314</v>
      </c>
      <c r="O574" s="1" t="s">
        <v>33</v>
      </c>
      <c r="P574" s="1" t="s">
        <v>59</v>
      </c>
      <c r="Q574" s="1" t="s">
        <v>2025</v>
      </c>
      <c r="R574">
        <v>77</v>
      </c>
      <c r="S574">
        <v>4</v>
      </c>
      <c r="T574">
        <v>0</v>
      </c>
      <c r="U574">
        <v>32</v>
      </c>
      <c r="V574" s="1" t="s">
        <v>86</v>
      </c>
      <c r="W574" s="1" t="s">
        <v>198</v>
      </c>
    </row>
    <row r="575" spans="1:23" x14ac:dyDescent="0.35">
      <c r="A575">
        <v>2773</v>
      </c>
      <c r="B575" s="1" t="s">
        <v>2086</v>
      </c>
      <c r="C575" s="2">
        <v>43079</v>
      </c>
      <c r="D575" s="2">
        <v>43081</v>
      </c>
      <c r="E575" s="1" t="s">
        <v>90</v>
      </c>
      <c r="F575" s="1" t="s">
        <v>1505</v>
      </c>
      <c r="G575" s="1" t="s">
        <v>1506</v>
      </c>
      <c r="H575" s="1" t="s">
        <v>27</v>
      </c>
      <c r="I575" s="1" t="s">
        <v>28</v>
      </c>
      <c r="J575" s="1" t="s">
        <v>45</v>
      </c>
      <c r="K575" s="1" t="s">
        <v>46</v>
      </c>
      <c r="L575">
        <v>33311</v>
      </c>
      <c r="M575" s="1" t="s">
        <v>31</v>
      </c>
      <c r="N575" s="1" t="s">
        <v>930</v>
      </c>
      <c r="O575" s="1" t="s">
        <v>33</v>
      </c>
      <c r="P575" s="1" t="s">
        <v>59</v>
      </c>
      <c r="Q575" s="1" t="s">
        <v>319</v>
      </c>
      <c r="R575">
        <v>19</v>
      </c>
      <c r="S575">
        <v>3</v>
      </c>
      <c r="T575">
        <v>0.2</v>
      </c>
      <c r="U575">
        <v>6</v>
      </c>
      <c r="V575" s="1" t="s">
        <v>73</v>
      </c>
      <c r="W575" s="1" t="s">
        <v>99</v>
      </c>
    </row>
    <row r="576" spans="1:23" x14ac:dyDescent="0.35">
      <c r="A576">
        <v>2778</v>
      </c>
      <c r="B576" s="1" t="s">
        <v>2087</v>
      </c>
      <c r="C576" s="2">
        <v>42202</v>
      </c>
      <c r="D576" s="2">
        <v>42204</v>
      </c>
      <c r="E576" s="1" t="s">
        <v>24</v>
      </c>
      <c r="F576" s="1" t="s">
        <v>1334</v>
      </c>
      <c r="G576" s="1" t="s">
        <v>1335</v>
      </c>
      <c r="H576" s="1" t="s">
        <v>27</v>
      </c>
      <c r="I576" s="1" t="s">
        <v>28</v>
      </c>
      <c r="J576" s="1" t="s">
        <v>2088</v>
      </c>
      <c r="K576" s="1" t="s">
        <v>56</v>
      </c>
      <c r="L576">
        <v>93309</v>
      </c>
      <c r="M576" s="1" t="s">
        <v>57</v>
      </c>
      <c r="N576" s="1" t="s">
        <v>1479</v>
      </c>
      <c r="O576" s="1" t="s">
        <v>33</v>
      </c>
      <c r="P576" s="1" t="s">
        <v>34</v>
      </c>
      <c r="Q576" s="1" t="s">
        <v>1480</v>
      </c>
      <c r="R576">
        <v>195</v>
      </c>
      <c r="S576">
        <v>2</v>
      </c>
      <c r="T576">
        <v>0.15</v>
      </c>
      <c r="U576">
        <v>-14</v>
      </c>
      <c r="V576" s="1" t="s">
        <v>73</v>
      </c>
      <c r="W576" s="1" t="s">
        <v>74</v>
      </c>
    </row>
    <row r="577" spans="1:23" x14ac:dyDescent="0.35">
      <c r="A577">
        <v>2779</v>
      </c>
      <c r="B577" s="1" t="s">
        <v>2089</v>
      </c>
      <c r="C577" s="2">
        <v>42855</v>
      </c>
      <c r="D577" s="2">
        <v>42860</v>
      </c>
      <c r="E577" s="1" t="s">
        <v>42</v>
      </c>
      <c r="F577" s="1" t="s">
        <v>2090</v>
      </c>
      <c r="G577" s="1" t="s">
        <v>2091</v>
      </c>
      <c r="H577" s="1" t="s">
        <v>93</v>
      </c>
      <c r="I577" s="1" t="s">
        <v>28</v>
      </c>
      <c r="J577" s="1" t="s">
        <v>2092</v>
      </c>
      <c r="K577" s="1" t="s">
        <v>46</v>
      </c>
      <c r="L577">
        <v>33068</v>
      </c>
      <c r="M577" s="1" t="s">
        <v>31</v>
      </c>
      <c r="N577" s="1" t="s">
        <v>449</v>
      </c>
      <c r="O577" s="1" t="s">
        <v>33</v>
      </c>
      <c r="P577" s="1" t="s">
        <v>59</v>
      </c>
      <c r="Q577" s="1" t="s">
        <v>450</v>
      </c>
      <c r="R577">
        <v>24</v>
      </c>
      <c r="S577">
        <v>8</v>
      </c>
      <c r="T577">
        <v>0.2</v>
      </c>
      <c r="U577">
        <v>6</v>
      </c>
      <c r="V577" s="1" t="s">
        <v>61</v>
      </c>
      <c r="W577" s="1" t="s">
        <v>116</v>
      </c>
    </row>
    <row r="578" spans="1:23" x14ac:dyDescent="0.35">
      <c r="A578">
        <v>2786</v>
      </c>
      <c r="B578" s="1" t="s">
        <v>2093</v>
      </c>
      <c r="C578" s="2">
        <v>42268</v>
      </c>
      <c r="D578" s="2">
        <v>42270</v>
      </c>
      <c r="E578" s="1" t="s">
        <v>90</v>
      </c>
      <c r="F578" s="1" t="s">
        <v>2094</v>
      </c>
      <c r="G578" s="1" t="s">
        <v>2095</v>
      </c>
      <c r="H578" s="1" t="s">
        <v>103</v>
      </c>
      <c r="I578" s="1" t="s">
        <v>28</v>
      </c>
      <c r="J578" s="1" t="s">
        <v>55</v>
      </c>
      <c r="K578" s="1" t="s">
        <v>56</v>
      </c>
      <c r="L578">
        <v>90036</v>
      </c>
      <c r="M578" s="1" t="s">
        <v>57</v>
      </c>
      <c r="N578" s="1" t="s">
        <v>628</v>
      </c>
      <c r="O578" s="1" t="s">
        <v>33</v>
      </c>
      <c r="P578" s="1" t="s">
        <v>39</v>
      </c>
      <c r="Q578" s="1" t="s">
        <v>629</v>
      </c>
      <c r="R578">
        <v>602</v>
      </c>
      <c r="S578">
        <v>4</v>
      </c>
      <c r="T578">
        <v>0.2</v>
      </c>
      <c r="U578">
        <v>0</v>
      </c>
      <c r="V578" s="1" t="s">
        <v>73</v>
      </c>
      <c r="W578" s="1" t="s">
        <v>80</v>
      </c>
    </row>
    <row r="579" spans="1:23" x14ac:dyDescent="0.35">
      <c r="A579">
        <v>2788</v>
      </c>
      <c r="B579" s="1" t="s">
        <v>2096</v>
      </c>
      <c r="C579" s="2">
        <v>41975</v>
      </c>
      <c r="D579" s="2">
        <v>41979</v>
      </c>
      <c r="E579" s="1" t="s">
        <v>42</v>
      </c>
      <c r="F579" s="1" t="s">
        <v>2097</v>
      </c>
      <c r="G579" s="1" t="s">
        <v>2098</v>
      </c>
      <c r="H579" s="1" t="s">
        <v>93</v>
      </c>
      <c r="I579" s="1" t="s">
        <v>28</v>
      </c>
      <c r="J579" s="1" t="s">
        <v>2099</v>
      </c>
      <c r="K579" s="1" t="s">
        <v>95</v>
      </c>
      <c r="L579">
        <v>78415</v>
      </c>
      <c r="M579" s="1" t="s">
        <v>96</v>
      </c>
      <c r="N579" s="1" t="s">
        <v>392</v>
      </c>
      <c r="O579" s="1" t="s">
        <v>33</v>
      </c>
      <c r="P579" s="1" t="s">
        <v>59</v>
      </c>
      <c r="Q579" s="1" t="s">
        <v>393</v>
      </c>
      <c r="R579">
        <v>58</v>
      </c>
      <c r="S579">
        <v>5</v>
      </c>
      <c r="T579">
        <v>0.6</v>
      </c>
      <c r="U579">
        <v>-25</v>
      </c>
      <c r="V579" s="1" t="s">
        <v>86</v>
      </c>
      <c r="W579" s="1" t="s">
        <v>99</v>
      </c>
    </row>
    <row r="580" spans="1:23" x14ac:dyDescent="0.35">
      <c r="A580">
        <v>2790</v>
      </c>
      <c r="B580" s="1" t="s">
        <v>2096</v>
      </c>
      <c r="C580" s="2">
        <v>41975</v>
      </c>
      <c r="D580" s="2">
        <v>41979</v>
      </c>
      <c r="E580" s="1" t="s">
        <v>42</v>
      </c>
      <c r="F580" s="1" t="s">
        <v>2097</v>
      </c>
      <c r="G580" s="1" t="s">
        <v>2098</v>
      </c>
      <c r="H580" s="1" t="s">
        <v>93</v>
      </c>
      <c r="I580" s="1" t="s">
        <v>28</v>
      </c>
      <c r="J580" s="1" t="s">
        <v>2099</v>
      </c>
      <c r="K580" s="1" t="s">
        <v>95</v>
      </c>
      <c r="L580">
        <v>78415</v>
      </c>
      <c r="M580" s="1" t="s">
        <v>96</v>
      </c>
      <c r="N580" s="1" t="s">
        <v>700</v>
      </c>
      <c r="O580" s="1" t="s">
        <v>33</v>
      </c>
      <c r="P580" s="1" t="s">
        <v>59</v>
      </c>
      <c r="Q580" s="1" t="s">
        <v>701</v>
      </c>
      <c r="R580">
        <v>40</v>
      </c>
      <c r="S580">
        <v>5</v>
      </c>
      <c r="T580">
        <v>0.6</v>
      </c>
      <c r="U580">
        <v>-24</v>
      </c>
      <c r="V580" s="1" t="s">
        <v>86</v>
      </c>
      <c r="W580" s="1" t="s">
        <v>99</v>
      </c>
    </row>
    <row r="581" spans="1:23" x14ac:dyDescent="0.35">
      <c r="A581">
        <v>2797</v>
      </c>
      <c r="B581" s="1" t="s">
        <v>2100</v>
      </c>
      <c r="C581" s="2">
        <v>41741</v>
      </c>
      <c r="D581" s="2">
        <v>41746</v>
      </c>
      <c r="E581" s="1" t="s">
        <v>42</v>
      </c>
      <c r="F581" s="1" t="s">
        <v>2101</v>
      </c>
      <c r="G581" s="1" t="s">
        <v>2102</v>
      </c>
      <c r="H581" s="1" t="s">
        <v>93</v>
      </c>
      <c r="I581" s="1" t="s">
        <v>28</v>
      </c>
      <c r="J581" s="1" t="s">
        <v>2103</v>
      </c>
      <c r="K581" s="1" t="s">
        <v>56</v>
      </c>
      <c r="L581">
        <v>90278</v>
      </c>
      <c r="M581" s="1" t="s">
        <v>57</v>
      </c>
      <c r="N581" s="1" t="s">
        <v>545</v>
      </c>
      <c r="O581" s="1" t="s">
        <v>33</v>
      </c>
      <c r="P581" s="1" t="s">
        <v>34</v>
      </c>
      <c r="Q581" s="1" t="s">
        <v>546</v>
      </c>
      <c r="R581">
        <v>308</v>
      </c>
      <c r="S581">
        <v>3</v>
      </c>
      <c r="T581">
        <v>0.15</v>
      </c>
      <c r="U581">
        <v>-18</v>
      </c>
      <c r="V581" s="1" t="s">
        <v>61</v>
      </c>
      <c r="W581" s="1" t="s">
        <v>116</v>
      </c>
    </row>
    <row r="582" spans="1:23" x14ac:dyDescent="0.35">
      <c r="A582">
        <v>2803</v>
      </c>
      <c r="B582" s="1" t="s">
        <v>2104</v>
      </c>
      <c r="C582" s="2">
        <v>43042</v>
      </c>
      <c r="D582" s="2">
        <v>43047</v>
      </c>
      <c r="E582" s="1" t="s">
        <v>42</v>
      </c>
      <c r="F582" s="1" t="s">
        <v>2105</v>
      </c>
      <c r="G582" s="1" t="s">
        <v>2106</v>
      </c>
      <c r="H582" s="1" t="s">
        <v>27</v>
      </c>
      <c r="I582" s="1" t="s">
        <v>28</v>
      </c>
      <c r="J582" s="1" t="s">
        <v>2107</v>
      </c>
      <c r="K582" s="1" t="s">
        <v>1899</v>
      </c>
      <c r="L582">
        <v>88001</v>
      </c>
      <c r="M582" s="1" t="s">
        <v>57</v>
      </c>
      <c r="N582" s="1" t="s">
        <v>177</v>
      </c>
      <c r="O582" s="1" t="s">
        <v>33</v>
      </c>
      <c r="P582" s="1" t="s">
        <v>59</v>
      </c>
      <c r="Q582" s="1" t="s">
        <v>178</v>
      </c>
      <c r="R582">
        <v>41</v>
      </c>
      <c r="S582">
        <v>3</v>
      </c>
      <c r="T582">
        <v>0</v>
      </c>
      <c r="U582">
        <v>17</v>
      </c>
      <c r="V582" s="1" t="s">
        <v>61</v>
      </c>
      <c r="W582" s="1" t="s">
        <v>37</v>
      </c>
    </row>
    <row r="583" spans="1:23" x14ac:dyDescent="0.35">
      <c r="A583">
        <v>2806</v>
      </c>
      <c r="B583" s="1" t="s">
        <v>2108</v>
      </c>
      <c r="C583" s="2">
        <v>42254</v>
      </c>
      <c r="D583" s="2">
        <v>42258</v>
      </c>
      <c r="E583" s="1" t="s">
        <v>42</v>
      </c>
      <c r="F583" s="1" t="s">
        <v>2056</v>
      </c>
      <c r="G583" s="1" t="s">
        <v>2057</v>
      </c>
      <c r="H583" s="1" t="s">
        <v>27</v>
      </c>
      <c r="I583" s="1" t="s">
        <v>28</v>
      </c>
      <c r="J583" s="1" t="s">
        <v>1377</v>
      </c>
      <c r="K583" s="1" t="s">
        <v>95</v>
      </c>
      <c r="L583">
        <v>79907</v>
      </c>
      <c r="M583" s="1" t="s">
        <v>96</v>
      </c>
      <c r="N583" s="1" t="s">
        <v>1768</v>
      </c>
      <c r="O583" s="1" t="s">
        <v>33</v>
      </c>
      <c r="P583" s="1" t="s">
        <v>39</v>
      </c>
      <c r="Q583" s="1" t="s">
        <v>1769</v>
      </c>
      <c r="R583">
        <v>48</v>
      </c>
      <c r="S583">
        <v>2</v>
      </c>
      <c r="T583">
        <v>0.3</v>
      </c>
      <c r="U583">
        <v>-2</v>
      </c>
      <c r="V583" s="1" t="s">
        <v>86</v>
      </c>
      <c r="W583" s="1" t="s">
        <v>80</v>
      </c>
    </row>
    <row r="584" spans="1:23" x14ac:dyDescent="0.35">
      <c r="A584">
        <v>2809</v>
      </c>
      <c r="B584" s="1" t="s">
        <v>2109</v>
      </c>
      <c r="C584" s="2">
        <v>42210</v>
      </c>
      <c r="D584" s="2">
        <v>42212</v>
      </c>
      <c r="E584" s="1" t="s">
        <v>24</v>
      </c>
      <c r="F584" s="1" t="s">
        <v>2110</v>
      </c>
      <c r="G584" s="1" t="s">
        <v>2111</v>
      </c>
      <c r="H584" s="1" t="s">
        <v>27</v>
      </c>
      <c r="I584" s="1" t="s">
        <v>28</v>
      </c>
      <c r="J584" s="1" t="s">
        <v>194</v>
      </c>
      <c r="K584" s="1" t="s">
        <v>195</v>
      </c>
      <c r="L584">
        <v>98115</v>
      </c>
      <c r="M584" s="1" t="s">
        <v>57</v>
      </c>
      <c r="N584" s="1" t="s">
        <v>1698</v>
      </c>
      <c r="O584" s="1" t="s">
        <v>33</v>
      </c>
      <c r="P584" s="1" t="s">
        <v>34</v>
      </c>
      <c r="Q584" s="1" t="s">
        <v>1917</v>
      </c>
      <c r="R584">
        <v>705</v>
      </c>
      <c r="S584">
        <v>5</v>
      </c>
      <c r="T584">
        <v>0</v>
      </c>
      <c r="U584">
        <v>56</v>
      </c>
      <c r="V584" s="1" t="s">
        <v>73</v>
      </c>
      <c r="W584" s="1" t="s">
        <v>74</v>
      </c>
    </row>
    <row r="585" spans="1:23" x14ac:dyDescent="0.35">
      <c r="A585">
        <v>2810</v>
      </c>
      <c r="B585" s="1" t="s">
        <v>2109</v>
      </c>
      <c r="C585" s="2">
        <v>42210</v>
      </c>
      <c r="D585" s="2">
        <v>42212</v>
      </c>
      <c r="E585" s="1" t="s">
        <v>24</v>
      </c>
      <c r="F585" s="1" t="s">
        <v>2110</v>
      </c>
      <c r="G585" s="1" t="s">
        <v>2111</v>
      </c>
      <c r="H585" s="1" t="s">
        <v>27</v>
      </c>
      <c r="I585" s="1" t="s">
        <v>28</v>
      </c>
      <c r="J585" s="1" t="s">
        <v>194</v>
      </c>
      <c r="K585" s="1" t="s">
        <v>195</v>
      </c>
      <c r="L585">
        <v>98115</v>
      </c>
      <c r="M585" s="1" t="s">
        <v>57</v>
      </c>
      <c r="N585" s="1" t="s">
        <v>1489</v>
      </c>
      <c r="O585" s="1" t="s">
        <v>33</v>
      </c>
      <c r="P585" s="1" t="s">
        <v>39</v>
      </c>
      <c r="Q585" s="1" t="s">
        <v>1490</v>
      </c>
      <c r="R585">
        <v>562</v>
      </c>
      <c r="S585">
        <v>2</v>
      </c>
      <c r="T585">
        <v>0.2</v>
      </c>
      <c r="U585">
        <v>28</v>
      </c>
      <c r="V585" s="1" t="s">
        <v>73</v>
      </c>
      <c r="W585" s="1" t="s">
        <v>74</v>
      </c>
    </row>
    <row r="586" spans="1:23" x14ac:dyDescent="0.35">
      <c r="A586">
        <v>2812</v>
      </c>
      <c r="B586" s="1" t="s">
        <v>2112</v>
      </c>
      <c r="C586" s="2">
        <v>42324</v>
      </c>
      <c r="D586" s="2">
        <v>42326</v>
      </c>
      <c r="E586" s="1" t="s">
        <v>24</v>
      </c>
      <c r="F586" s="1" t="s">
        <v>1354</v>
      </c>
      <c r="G586" s="1" t="s">
        <v>1355</v>
      </c>
      <c r="H586" s="1" t="s">
        <v>103</v>
      </c>
      <c r="I586" s="1" t="s">
        <v>28</v>
      </c>
      <c r="J586" s="1" t="s">
        <v>908</v>
      </c>
      <c r="K586" s="1" t="s">
        <v>241</v>
      </c>
      <c r="L586">
        <v>53209</v>
      </c>
      <c r="M586" s="1" t="s">
        <v>96</v>
      </c>
      <c r="N586" s="1" t="s">
        <v>2113</v>
      </c>
      <c r="O586" s="1" t="s">
        <v>33</v>
      </c>
      <c r="P586" s="1" t="s">
        <v>59</v>
      </c>
      <c r="Q586" s="1" t="s">
        <v>2114</v>
      </c>
      <c r="R586">
        <v>186</v>
      </c>
      <c r="S586">
        <v>6</v>
      </c>
      <c r="T586">
        <v>0</v>
      </c>
      <c r="U586">
        <v>76</v>
      </c>
      <c r="V586" s="1" t="s">
        <v>73</v>
      </c>
      <c r="W586" s="1" t="s">
        <v>37</v>
      </c>
    </row>
    <row r="587" spans="1:23" x14ac:dyDescent="0.35">
      <c r="A587">
        <v>2813</v>
      </c>
      <c r="B587" s="1" t="s">
        <v>2112</v>
      </c>
      <c r="C587" s="2">
        <v>42324</v>
      </c>
      <c r="D587" s="2">
        <v>42326</v>
      </c>
      <c r="E587" s="1" t="s">
        <v>24</v>
      </c>
      <c r="F587" s="1" t="s">
        <v>1354</v>
      </c>
      <c r="G587" s="1" t="s">
        <v>1355</v>
      </c>
      <c r="H587" s="1" t="s">
        <v>103</v>
      </c>
      <c r="I587" s="1" t="s">
        <v>28</v>
      </c>
      <c r="J587" s="1" t="s">
        <v>908</v>
      </c>
      <c r="K587" s="1" t="s">
        <v>241</v>
      </c>
      <c r="L587">
        <v>53209</v>
      </c>
      <c r="M587" s="1" t="s">
        <v>96</v>
      </c>
      <c r="N587" s="1" t="s">
        <v>910</v>
      </c>
      <c r="O587" s="1" t="s">
        <v>33</v>
      </c>
      <c r="P587" s="1" t="s">
        <v>48</v>
      </c>
      <c r="Q587" s="1" t="s">
        <v>911</v>
      </c>
      <c r="R587">
        <v>214</v>
      </c>
      <c r="S587">
        <v>3</v>
      </c>
      <c r="T587">
        <v>0</v>
      </c>
      <c r="U587">
        <v>36</v>
      </c>
      <c r="V587" s="1" t="s">
        <v>73</v>
      </c>
      <c r="W587" s="1" t="s">
        <v>37</v>
      </c>
    </row>
    <row r="588" spans="1:23" x14ac:dyDescent="0.35">
      <c r="A588">
        <v>2815</v>
      </c>
      <c r="B588" s="1" t="s">
        <v>2112</v>
      </c>
      <c r="C588" s="2">
        <v>42324</v>
      </c>
      <c r="D588" s="2">
        <v>42326</v>
      </c>
      <c r="E588" s="1" t="s">
        <v>24</v>
      </c>
      <c r="F588" s="1" t="s">
        <v>1354</v>
      </c>
      <c r="G588" s="1" t="s">
        <v>1355</v>
      </c>
      <c r="H588" s="1" t="s">
        <v>103</v>
      </c>
      <c r="I588" s="1" t="s">
        <v>28</v>
      </c>
      <c r="J588" s="1" t="s">
        <v>908</v>
      </c>
      <c r="K588" s="1" t="s">
        <v>241</v>
      </c>
      <c r="L588">
        <v>53209</v>
      </c>
      <c r="M588" s="1" t="s">
        <v>96</v>
      </c>
      <c r="N588" s="1" t="s">
        <v>702</v>
      </c>
      <c r="O588" s="1" t="s">
        <v>33</v>
      </c>
      <c r="P588" s="1" t="s">
        <v>48</v>
      </c>
      <c r="Q588" s="1" t="s">
        <v>703</v>
      </c>
      <c r="R588">
        <v>654</v>
      </c>
      <c r="S588">
        <v>3</v>
      </c>
      <c r="T588">
        <v>0</v>
      </c>
      <c r="U588">
        <v>111</v>
      </c>
      <c r="V588" s="1" t="s">
        <v>73</v>
      </c>
      <c r="W588" s="1" t="s">
        <v>37</v>
      </c>
    </row>
    <row r="589" spans="1:23" x14ac:dyDescent="0.35">
      <c r="A589">
        <v>2817</v>
      </c>
      <c r="B589" s="1" t="s">
        <v>2115</v>
      </c>
      <c r="C589" s="2">
        <v>42248</v>
      </c>
      <c r="D589" s="2">
        <v>42255</v>
      </c>
      <c r="E589" s="1" t="s">
        <v>42</v>
      </c>
      <c r="F589" s="1" t="s">
        <v>2116</v>
      </c>
      <c r="G589" s="1" t="s">
        <v>2117</v>
      </c>
      <c r="H589" s="1" t="s">
        <v>103</v>
      </c>
      <c r="I589" s="1" t="s">
        <v>28</v>
      </c>
      <c r="J589" s="1" t="s">
        <v>240</v>
      </c>
      <c r="K589" s="1" t="s">
        <v>437</v>
      </c>
      <c r="L589">
        <v>2038</v>
      </c>
      <c r="M589" s="1" t="s">
        <v>70</v>
      </c>
      <c r="N589" s="1" t="s">
        <v>254</v>
      </c>
      <c r="O589" s="1" t="s">
        <v>33</v>
      </c>
      <c r="P589" s="1" t="s">
        <v>39</v>
      </c>
      <c r="Q589" s="1" t="s">
        <v>255</v>
      </c>
      <c r="R589">
        <v>61</v>
      </c>
      <c r="S589">
        <v>1</v>
      </c>
      <c r="T589">
        <v>0</v>
      </c>
      <c r="U589">
        <v>15</v>
      </c>
      <c r="V589" s="1" t="s">
        <v>50</v>
      </c>
      <c r="W589" s="1" t="s">
        <v>80</v>
      </c>
    </row>
    <row r="590" spans="1:23" x14ac:dyDescent="0.35">
      <c r="A590">
        <v>2818</v>
      </c>
      <c r="B590" s="1" t="s">
        <v>2115</v>
      </c>
      <c r="C590" s="2">
        <v>42248</v>
      </c>
      <c r="D590" s="2">
        <v>42255</v>
      </c>
      <c r="E590" s="1" t="s">
        <v>42</v>
      </c>
      <c r="F590" s="1" t="s">
        <v>2116</v>
      </c>
      <c r="G590" s="1" t="s">
        <v>2117</v>
      </c>
      <c r="H590" s="1" t="s">
        <v>103</v>
      </c>
      <c r="I590" s="1" t="s">
        <v>28</v>
      </c>
      <c r="J590" s="1" t="s">
        <v>240</v>
      </c>
      <c r="K590" s="1" t="s">
        <v>437</v>
      </c>
      <c r="L590">
        <v>2038</v>
      </c>
      <c r="M590" s="1" t="s">
        <v>70</v>
      </c>
      <c r="N590" s="1" t="s">
        <v>1799</v>
      </c>
      <c r="O590" s="1" t="s">
        <v>33</v>
      </c>
      <c r="P590" s="1" t="s">
        <v>59</v>
      </c>
      <c r="Q590" s="1" t="s">
        <v>1800</v>
      </c>
      <c r="R590">
        <v>124</v>
      </c>
      <c r="S590">
        <v>2</v>
      </c>
      <c r="T590">
        <v>0</v>
      </c>
      <c r="U590">
        <v>27</v>
      </c>
      <c r="V590" s="1" t="s">
        <v>50</v>
      </c>
      <c r="W590" s="1" t="s">
        <v>80</v>
      </c>
    </row>
    <row r="591" spans="1:23" x14ac:dyDescent="0.35">
      <c r="A591">
        <v>2821</v>
      </c>
      <c r="B591" s="1" t="s">
        <v>2118</v>
      </c>
      <c r="C591" s="2">
        <v>42495</v>
      </c>
      <c r="D591" s="2">
        <v>42498</v>
      </c>
      <c r="E591" s="1" t="s">
        <v>90</v>
      </c>
      <c r="F591" s="1" t="s">
        <v>2119</v>
      </c>
      <c r="G591" s="1" t="s">
        <v>2120</v>
      </c>
      <c r="H591" s="1" t="s">
        <v>27</v>
      </c>
      <c r="I591" s="1" t="s">
        <v>28</v>
      </c>
      <c r="J591" s="1" t="s">
        <v>1054</v>
      </c>
      <c r="K591" s="1" t="s">
        <v>56</v>
      </c>
      <c r="L591">
        <v>92024</v>
      </c>
      <c r="M591" s="1" t="s">
        <v>57</v>
      </c>
      <c r="N591" s="1" t="s">
        <v>293</v>
      </c>
      <c r="O591" s="1" t="s">
        <v>33</v>
      </c>
      <c r="P591" s="1" t="s">
        <v>48</v>
      </c>
      <c r="Q591" s="1" t="s">
        <v>294</v>
      </c>
      <c r="R591">
        <v>299</v>
      </c>
      <c r="S591">
        <v>3</v>
      </c>
      <c r="T591">
        <v>0.2</v>
      </c>
      <c r="U591">
        <v>7</v>
      </c>
      <c r="V591" s="1" t="s">
        <v>36</v>
      </c>
      <c r="W591" s="1" t="s">
        <v>164</v>
      </c>
    </row>
    <row r="592" spans="1:23" x14ac:dyDescent="0.35">
      <c r="A592">
        <v>2826</v>
      </c>
      <c r="B592" s="1" t="s">
        <v>2121</v>
      </c>
      <c r="C592" s="2">
        <v>41907</v>
      </c>
      <c r="D592" s="2">
        <v>41912</v>
      </c>
      <c r="E592" s="1" t="s">
        <v>42</v>
      </c>
      <c r="F592" s="1" t="s">
        <v>543</v>
      </c>
      <c r="G592" s="1" t="s">
        <v>544</v>
      </c>
      <c r="H592" s="1" t="s">
        <v>103</v>
      </c>
      <c r="I592" s="1" t="s">
        <v>28</v>
      </c>
      <c r="J592" s="1" t="s">
        <v>104</v>
      </c>
      <c r="K592" s="1" t="s">
        <v>95</v>
      </c>
      <c r="L592">
        <v>77041</v>
      </c>
      <c r="M592" s="1" t="s">
        <v>96</v>
      </c>
      <c r="N592" s="1" t="s">
        <v>739</v>
      </c>
      <c r="O592" s="1" t="s">
        <v>33</v>
      </c>
      <c r="P592" s="1" t="s">
        <v>34</v>
      </c>
      <c r="Q592" s="1" t="s">
        <v>740</v>
      </c>
      <c r="R592">
        <v>301</v>
      </c>
      <c r="S592">
        <v>2</v>
      </c>
      <c r="T592">
        <v>0.32</v>
      </c>
      <c r="U592">
        <v>-97</v>
      </c>
      <c r="V592" s="1" t="s">
        <v>61</v>
      </c>
      <c r="W592" s="1" t="s">
        <v>80</v>
      </c>
    </row>
    <row r="593" spans="1:23" x14ac:dyDescent="0.35">
      <c r="A593">
        <v>2841</v>
      </c>
      <c r="B593" s="1" t="s">
        <v>2122</v>
      </c>
      <c r="C593" s="2">
        <v>41712</v>
      </c>
      <c r="D593" s="2">
        <v>41717</v>
      </c>
      <c r="E593" s="1" t="s">
        <v>42</v>
      </c>
      <c r="F593" s="1" t="s">
        <v>751</v>
      </c>
      <c r="G593" s="1" t="s">
        <v>752</v>
      </c>
      <c r="H593" s="1" t="s">
        <v>103</v>
      </c>
      <c r="I593" s="1" t="s">
        <v>28</v>
      </c>
      <c r="J593" s="1" t="s">
        <v>2123</v>
      </c>
      <c r="K593" s="1" t="s">
        <v>719</v>
      </c>
      <c r="L593">
        <v>23320</v>
      </c>
      <c r="M593" s="1" t="s">
        <v>31</v>
      </c>
      <c r="N593" s="1" t="s">
        <v>578</v>
      </c>
      <c r="O593" s="1" t="s">
        <v>33</v>
      </c>
      <c r="P593" s="1" t="s">
        <v>39</v>
      </c>
      <c r="Q593" s="1" t="s">
        <v>579</v>
      </c>
      <c r="R593">
        <v>1140</v>
      </c>
      <c r="S593">
        <v>4</v>
      </c>
      <c r="T593">
        <v>0</v>
      </c>
      <c r="U593">
        <v>285</v>
      </c>
      <c r="V593" s="1" t="s">
        <v>61</v>
      </c>
      <c r="W593" s="1" t="s">
        <v>198</v>
      </c>
    </row>
    <row r="594" spans="1:23" x14ac:dyDescent="0.35">
      <c r="A594">
        <v>2845</v>
      </c>
      <c r="B594" s="1" t="s">
        <v>2124</v>
      </c>
      <c r="C594" s="2">
        <v>42731</v>
      </c>
      <c r="D594" s="2">
        <v>42735</v>
      </c>
      <c r="E594" s="1" t="s">
        <v>42</v>
      </c>
      <c r="F594" s="1" t="s">
        <v>1162</v>
      </c>
      <c r="G594" s="1" t="s">
        <v>1163</v>
      </c>
      <c r="H594" s="1" t="s">
        <v>93</v>
      </c>
      <c r="I594" s="1" t="s">
        <v>28</v>
      </c>
      <c r="J594" s="1" t="s">
        <v>2125</v>
      </c>
      <c r="K594" s="1" t="s">
        <v>137</v>
      </c>
      <c r="L594">
        <v>60098</v>
      </c>
      <c r="M594" s="1" t="s">
        <v>96</v>
      </c>
      <c r="N594" s="1" t="s">
        <v>659</v>
      </c>
      <c r="O594" s="1" t="s">
        <v>33</v>
      </c>
      <c r="P594" s="1" t="s">
        <v>39</v>
      </c>
      <c r="Q594" s="1" t="s">
        <v>660</v>
      </c>
      <c r="R594">
        <v>845</v>
      </c>
      <c r="S594">
        <v>8</v>
      </c>
      <c r="T594">
        <v>0.3</v>
      </c>
      <c r="U594">
        <v>-12</v>
      </c>
      <c r="V594" s="1" t="s">
        <v>86</v>
      </c>
      <c r="W594" s="1" t="s">
        <v>99</v>
      </c>
    </row>
    <row r="595" spans="1:23" x14ac:dyDescent="0.35">
      <c r="A595">
        <v>2848</v>
      </c>
      <c r="B595" s="1" t="s">
        <v>2126</v>
      </c>
      <c r="C595" s="2">
        <v>42833</v>
      </c>
      <c r="D595" s="2">
        <v>42840</v>
      </c>
      <c r="E595" s="1" t="s">
        <v>42</v>
      </c>
      <c r="F595" s="1" t="s">
        <v>2127</v>
      </c>
      <c r="G595" s="1" t="s">
        <v>2128</v>
      </c>
      <c r="H595" s="1" t="s">
        <v>93</v>
      </c>
      <c r="I595" s="1" t="s">
        <v>28</v>
      </c>
      <c r="J595" s="1" t="s">
        <v>1820</v>
      </c>
      <c r="K595" s="1" t="s">
        <v>670</v>
      </c>
      <c r="L595">
        <v>30076</v>
      </c>
      <c r="M595" s="1" t="s">
        <v>31</v>
      </c>
      <c r="N595" s="1" t="s">
        <v>2129</v>
      </c>
      <c r="O595" s="1" t="s">
        <v>33</v>
      </c>
      <c r="P595" s="1" t="s">
        <v>59</v>
      </c>
      <c r="Q595" s="1" t="s">
        <v>2130</v>
      </c>
      <c r="R595">
        <v>56</v>
      </c>
      <c r="S595">
        <v>6</v>
      </c>
      <c r="T595">
        <v>0</v>
      </c>
      <c r="U595">
        <v>16</v>
      </c>
      <c r="V595" s="1" t="s">
        <v>50</v>
      </c>
      <c r="W595" s="1" t="s">
        <v>116</v>
      </c>
    </row>
    <row r="596" spans="1:23" x14ac:dyDescent="0.35">
      <c r="A596">
        <v>2853</v>
      </c>
      <c r="B596" s="1" t="s">
        <v>2131</v>
      </c>
      <c r="C596" s="2">
        <v>42448</v>
      </c>
      <c r="D596" s="2">
        <v>42450</v>
      </c>
      <c r="E596" s="1" t="s">
        <v>24</v>
      </c>
      <c r="F596" s="1" t="s">
        <v>1884</v>
      </c>
      <c r="G596" s="1" t="s">
        <v>1885</v>
      </c>
      <c r="H596" s="1" t="s">
        <v>27</v>
      </c>
      <c r="I596" s="1" t="s">
        <v>28</v>
      </c>
      <c r="J596" s="1" t="s">
        <v>764</v>
      </c>
      <c r="K596" s="1" t="s">
        <v>123</v>
      </c>
      <c r="L596">
        <v>11572</v>
      </c>
      <c r="M596" s="1" t="s">
        <v>70</v>
      </c>
      <c r="N596" s="1" t="s">
        <v>2132</v>
      </c>
      <c r="O596" s="1" t="s">
        <v>33</v>
      </c>
      <c r="P596" s="1" t="s">
        <v>59</v>
      </c>
      <c r="Q596" s="1" t="s">
        <v>2133</v>
      </c>
      <c r="R596">
        <v>15</v>
      </c>
      <c r="S596">
        <v>1</v>
      </c>
      <c r="T596">
        <v>0</v>
      </c>
      <c r="U596">
        <v>7</v>
      </c>
      <c r="V596" s="1" t="s">
        <v>73</v>
      </c>
      <c r="W596" s="1" t="s">
        <v>198</v>
      </c>
    </row>
    <row r="597" spans="1:23" x14ac:dyDescent="0.35">
      <c r="A597">
        <v>2854</v>
      </c>
      <c r="B597" s="1" t="s">
        <v>2131</v>
      </c>
      <c r="C597" s="2">
        <v>42448</v>
      </c>
      <c r="D597" s="2">
        <v>42450</v>
      </c>
      <c r="E597" s="1" t="s">
        <v>24</v>
      </c>
      <c r="F597" s="1" t="s">
        <v>1884</v>
      </c>
      <c r="G597" s="1" t="s">
        <v>1885</v>
      </c>
      <c r="H597" s="1" t="s">
        <v>27</v>
      </c>
      <c r="I597" s="1" t="s">
        <v>28</v>
      </c>
      <c r="J597" s="1" t="s">
        <v>764</v>
      </c>
      <c r="K597" s="1" t="s">
        <v>123</v>
      </c>
      <c r="L597">
        <v>11572</v>
      </c>
      <c r="M597" s="1" t="s">
        <v>70</v>
      </c>
      <c r="N597" s="1" t="s">
        <v>664</v>
      </c>
      <c r="O597" s="1" t="s">
        <v>33</v>
      </c>
      <c r="P597" s="1" t="s">
        <v>59</v>
      </c>
      <c r="Q597" s="1" t="s">
        <v>665</v>
      </c>
      <c r="R597">
        <v>20</v>
      </c>
      <c r="S597">
        <v>4</v>
      </c>
      <c r="T597">
        <v>0</v>
      </c>
      <c r="U597">
        <v>7</v>
      </c>
      <c r="V597" s="1" t="s">
        <v>73</v>
      </c>
      <c r="W597" s="1" t="s">
        <v>198</v>
      </c>
    </row>
    <row r="598" spans="1:23" x14ac:dyDescent="0.35">
      <c r="A598">
        <v>2857</v>
      </c>
      <c r="B598" s="1" t="s">
        <v>2134</v>
      </c>
      <c r="C598" s="2">
        <v>42608</v>
      </c>
      <c r="D598" s="2">
        <v>42611</v>
      </c>
      <c r="E598" s="1" t="s">
        <v>90</v>
      </c>
      <c r="F598" s="1" t="s">
        <v>400</v>
      </c>
      <c r="G598" s="1" t="s">
        <v>401</v>
      </c>
      <c r="H598" s="1" t="s">
        <v>93</v>
      </c>
      <c r="I598" s="1" t="s">
        <v>28</v>
      </c>
      <c r="J598" s="1" t="s">
        <v>642</v>
      </c>
      <c r="K598" s="1" t="s">
        <v>56</v>
      </c>
      <c r="L598">
        <v>92037</v>
      </c>
      <c r="M598" s="1" t="s">
        <v>57</v>
      </c>
      <c r="N598" s="1" t="s">
        <v>562</v>
      </c>
      <c r="O598" s="1" t="s">
        <v>33</v>
      </c>
      <c r="P598" s="1" t="s">
        <v>39</v>
      </c>
      <c r="Q598" s="1" t="s">
        <v>563</v>
      </c>
      <c r="R598">
        <v>1603</v>
      </c>
      <c r="S598">
        <v>4</v>
      </c>
      <c r="T598">
        <v>0.2</v>
      </c>
      <c r="U598">
        <v>100</v>
      </c>
      <c r="V598" s="1" t="s">
        <v>36</v>
      </c>
      <c r="W598" s="1" t="s">
        <v>256</v>
      </c>
    </row>
    <row r="599" spans="1:23" x14ac:dyDescent="0.35">
      <c r="A599">
        <v>2858</v>
      </c>
      <c r="B599" s="1" t="s">
        <v>2135</v>
      </c>
      <c r="C599" s="2">
        <v>42597</v>
      </c>
      <c r="D599" s="2">
        <v>42599</v>
      </c>
      <c r="E599" s="1" t="s">
        <v>24</v>
      </c>
      <c r="F599" s="1" t="s">
        <v>2136</v>
      </c>
      <c r="G599" s="1" t="s">
        <v>2137</v>
      </c>
      <c r="H599" s="1" t="s">
        <v>27</v>
      </c>
      <c r="I599" s="1" t="s">
        <v>28</v>
      </c>
      <c r="J599" s="1" t="s">
        <v>1914</v>
      </c>
      <c r="K599" s="1" t="s">
        <v>1039</v>
      </c>
      <c r="L599">
        <v>28314</v>
      </c>
      <c r="M599" s="1" t="s">
        <v>31</v>
      </c>
      <c r="N599" s="1" t="s">
        <v>1535</v>
      </c>
      <c r="O599" s="1" t="s">
        <v>33</v>
      </c>
      <c r="P599" s="1" t="s">
        <v>39</v>
      </c>
      <c r="Q599" s="1" t="s">
        <v>1536</v>
      </c>
      <c r="R599">
        <v>225</v>
      </c>
      <c r="S599">
        <v>2</v>
      </c>
      <c r="T599">
        <v>0.2</v>
      </c>
      <c r="U599">
        <v>23</v>
      </c>
      <c r="V599" s="1" t="s">
        <v>73</v>
      </c>
      <c r="W599" s="1" t="s">
        <v>256</v>
      </c>
    </row>
    <row r="600" spans="1:23" x14ac:dyDescent="0.35">
      <c r="A600">
        <v>2861</v>
      </c>
      <c r="B600" s="1" t="s">
        <v>2138</v>
      </c>
      <c r="C600" s="2">
        <v>42874</v>
      </c>
      <c r="D600" s="2">
        <v>42878</v>
      </c>
      <c r="E600" s="1" t="s">
        <v>42</v>
      </c>
      <c r="F600" s="1" t="s">
        <v>2139</v>
      </c>
      <c r="G600" s="1" t="s">
        <v>2140</v>
      </c>
      <c r="H600" s="1" t="s">
        <v>27</v>
      </c>
      <c r="I600" s="1" t="s">
        <v>28</v>
      </c>
      <c r="J600" s="1" t="s">
        <v>2141</v>
      </c>
      <c r="K600" s="1" t="s">
        <v>670</v>
      </c>
      <c r="L600">
        <v>30318</v>
      </c>
      <c r="M600" s="1" t="s">
        <v>31</v>
      </c>
      <c r="N600" s="1" t="s">
        <v>280</v>
      </c>
      <c r="O600" s="1" t="s">
        <v>33</v>
      </c>
      <c r="P600" s="1" t="s">
        <v>34</v>
      </c>
      <c r="Q600" s="1" t="s">
        <v>281</v>
      </c>
      <c r="R600">
        <v>1629</v>
      </c>
      <c r="S600">
        <v>9</v>
      </c>
      <c r="T600">
        <v>0</v>
      </c>
      <c r="U600">
        <v>375</v>
      </c>
      <c r="V600" s="1" t="s">
        <v>86</v>
      </c>
      <c r="W600" s="1" t="s">
        <v>164</v>
      </c>
    </row>
    <row r="601" spans="1:23" x14ac:dyDescent="0.35">
      <c r="A601">
        <v>2870</v>
      </c>
      <c r="B601" s="1" t="s">
        <v>2142</v>
      </c>
      <c r="C601" s="2">
        <v>42898</v>
      </c>
      <c r="D601" s="2">
        <v>42905</v>
      </c>
      <c r="E601" s="1" t="s">
        <v>42</v>
      </c>
      <c r="F601" s="1" t="s">
        <v>224</v>
      </c>
      <c r="G601" s="1" t="s">
        <v>225</v>
      </c>
      <c r="H601" s="1" t="s">
        <v>27</v>
      </c>
      <c r="I601" s="1" t="s">
        <v>28</v>
      </c>
      <c r="J601" s="1" t="s">
        <v>792</v>
      </c>
      <c r="K601" s="1" t="s">
        <v>46</v>
      </c>
      <c r="L601">
        <v>33710</v>
      </c>
      <c r="M601" s="1" t="s">
        <v>31</v>
      </c>
      <c r="N601" s="1" t="s">
        <v>2143</v>
      </c>
      <c r="O601" s="1" t="s">
        <v>33</v>
      </c>
      <c r="P601" s="1" t="s">
        <v>59</v>
      </c>
      <c r="Q601" s="1" t="s">
        <v>2144</v>
      </c>
      <c r="R601">
        <v>17</v>
      </c>
      <c r="S601">
        <v>2</v>
      </c>
      <c r="T601">
        <v>0.2</v>
      </c>
      <c r="U601">
        <v>1</v>
      </c>
      <c r="V601" s="1" t="s">
        <v>50</v>
      </c>
      <c r="W601" s="1" t="s">
        <v>62</v>
      </c>
    </row>
    <row r="602" spans="1:23" x14ac:dyDescent="0.35">
      <c r="A602">
        <v>2872</v>
      </c>
      <c r="B602" s="1" t="s">
        <v>2145</v>
      </c>
      <c r="C602" s="2">
        <v>41720</v>
      </c>
      <c r="D602" s="2">
        <v>41724</v>
      </c>
      <c r="E602" s="1" t="s">
        <v>42</v>
      </c>
      <c r="F602" s="1" t="s">
        <v>2146</v>
      </c>
      <c r="G602" s="1" t="s">
        <v>2147</v>
      </c>
      <c r="H602" s="1" t="s">
        <v>93</v>
      </c>
      <c r="I602" s="1" t="s">
        <v>28</v>
      </c>
      <c r="J602" s="1" t="s">
        <v>1225</v>
      </c>
      <c r="K602" s="1" t="s">
        <v>523</v>
      </c>
      <c r="L602">
        <v>85705</v>
      </c>
      <c r="M602" s="1" t="s">
        <v>57</v>
      </c>
      <c r="N602" s="1" t="s">
        <v>671</v>
      </c>
      <c r="O602" s="1" t="s">
        <v>33</v>
      </c>
      <c r="P602" s="1" t="s">
        <v>39</v>
      </c>
      <c r="Q602" s="1" t="s">
        <v>672</v>
      </c>
      <c r="R602">
        <v>314</v>
      </c>
      <c r="S602">
        <v>3</v>
      </c>
      <c r="T602">
        <v>0.2</v>
      </c>
      <c r="U602">
        <v>-35</v>
      </c>
      <c r="V602" s="1" t="s">
        <v>86</v>
      </c>
      <c r="W602" s="1" t="s">
        <v>198</v>
      </c>
    </row>
    <row r="603" spans="1:23" x14ac:dyDescent="0.35">
      <c r="A603">
        <v>2876</v>
      </c>
      <c r="B603" s="1" t="s">
        <v>2148</v>
      </c>
      <c r="C603" s="2">
        <v>42390</v>
      </c>
      <c r="D603" s="2">
        <v>42392</v>
      </c>
      <c r="E603" s="1" t="s">
        <v>24</v>
      </c>
      <c r="F603" s="1" t="s">
        <v>2149</v>
      </c>
      <c r="G603" s="1" t="s">
        <v>2150</v>
      </c>
      <c r="H603" s="1" t="s">
        <v>27</v>
      </c>
      <c r="I603" s="1" t="s">
        <v>28</v>
      </c>
      <c r="J603" s="1" t="s">
        <v>642</v>
      </c>
      <c r="K603" s="1" t="s">
        <v>56</v>
      </c>
      <c r="L603">
        <v>92037</v>
      </c>
      <c r="M603" s="1" t="s">
        <v>57</v>
      </c>
      <c r="N603" s="1" t="s">
        <v>1282</v>
      </c>
      <c r="O603" s="1" t="s">
        <v>33</v>
      </c>
      <c r="P603" s="1" t="s">
        <v>39</v>
      </c>
      <c r="Q603" s="1" t="s">
        <v>1283</v>
      </c>
      <c r="R603">
        <v>154</v>
      </c>
      <c r="S603">
        <v>2</v>
      </c>
      <c r="T603">
        <v>0.2</v>
      </c>
      <c r="U603">
        <v>-6</v>
      </c>
      <c r="V603" s="1" t="s">
        <v>73</v>
      </c>
      <c r="W603" s="1" t="s">
        <v>172</v>
      </c>
    </row>
    <row r="604" spans="1:23" x14ac:dyDescent="0.35">
      <c r="A604">
        <v>2877</v>
      </c>
      <c r="B604" s="1" t="s">
        <v>2148</v>
      </c>
      <c r="C604" s="2">
        <v>42390</v>
      </c>
      <c r="D604" s="2">
        <v>42392</v>
      </c>
      <c r="E604" s="1" t="s">
        <v>24</v>
      </c>
      <c r="F604" s="1" t="s">
        <v>2149</v>
      </c>
      <c r="G604" s="1" t="s">
        <v>2150</v>
      </c>
      <c r="H604" s="1" t="s">
        <v>27</v>
      </c>
      <c r="I604" s="1" t="s">
        <v>28</v>
      </c>
      <c r="J604" s="1" t="s">
        <v>642</v>
      </c>
      <c r="K604" s="1" t="s">
        <v>56</v>
      </c>
      <c r="L604">
        <v>92037</v>
      </c>
      <c r="M604" s="1" t="s">
        <v>57</v>
      </c>
      <c r="N604" s="1" t="s">
        <v>423</v>
      </c>
      <c r="O604" s="1" t="s">
        <v>33</v>
      </c>
      <c r="P604" s="1" t="s">
        <v>39</v>
      </c>
      <c r="Q604" s="1" t="s">
        <v>424</v>
      </c>
      <c r="R604">
        <v>1013</v>
      </c>
      <c r="S604">
        <v>7</v>
      </c>
      <c r="T604">
        <v>0.2</v>
      </c>
      <c r="U604">
        <v>76</v>
      </c>
      <c r="V604" s="1" t="s">
        <v>73</v>
      </c>
      <c r="W604" s="1" t="s">
        <v>172</v>
      </c>
    </row>
    <row r="605" spans="1:23" x14ac:dyDescent="0.35">
      <c r="A605">
        <v>2884</v>
      </c>
      <c r="B605" s="1" t="s">
        <v>2151</v>
      </c>
      <c r="C605" s="2">
        <v>42685</v>
      </c>
      <c r="D605" s="2">
        <v>42690</v>
      </c>
      <c r="E605" s="1" t="s">
        <v>24</v>
      </c>
      <c r="F605" s="1" t="s">
        <v>2152</v>
      </c>
      <c r="G605" s="1" t="s">
        <v>2153</v>
      </c>
      <c r="H605" s="1" t="s">
        <v>27</v>
      </c>
      <c r="I605" s="1" t="s">
        <v>28</v>
      </c>
      <c r="J605" s="1" t="s">
        <v>331</v>
      </c>
      <c r="K605" s="1" t="s">
        <v>56</v>
      </c>
      <c r="L605">
        <v>94110</v>
      </c>
      <c r="M605" s="1" t="s">
        <v>57</v>
      </c>
      <c r="N605" s="1" t="s">
        <v>1074</v>
      </c>
      <c r="O605" s="1" t="s">
        <v>33</v>
      </c>
      <c r="P605" s="1" t="s">
        <v>59</v>
      </c>
      <c r="Q605" s="1" t="s">
        <v>1075</v>
      </c>
      <c r="R605">
        <v>7</v>
      </c>
      <c r="S605">
        <v>4</v>
      </c>
      <c r="T605">
        <v>0</v>
      </c>
      <c r="U605">
        <v>2</v>
      </c>
      <c r="V605" s="1" t="s">
        <v>61</v>
      </c>
      <c r="W605" s="1" t="s">
        <v>37</v>
      </c>
    </row>
    <row r="606" spans="1:23" x14ac:dyDescent="0.35">
      <c r="A606">
        <v>2886</v>
      </c>
      <c r="B606" s="1" t="s">
        <v>2154</v>
      </c>
      <c r="C606" s="2">
        <v>42661</v>
      </c>
      <c r="D606" s="2">
        <v>42665</v>
      </c>
      <c r="E606" s="1" t="s">
        <v>42</v>
      </c>
      <c r="F606" s="1" t="s">
        <v>2066</v>
      </c>
      <c r="G606" s="1" t="s">
        <v>2067</v>
      </c>
      <c r="H606" s="1" t="s">
        <v>27</v>
      </c>
      <c r="I606" s="1" t="s">
        <v>28</v>
      </c>
      <c r="J606" s="1" t="s">
        <v>2155</v>
      </c>
      <c r="K606" s="1" t="s">
        <v>523</v>
      </c>
      <c r="L606">
        <v>85281</v>
      </c>
      <c r="M606" s="1" t="s">
        <v>57</v>
      </c>
      <c r="N606" s="1" t="s">
        <v>491</v>
      </c>
      <c r="O606" s="1" t="s">
        <v>33</v>
      </c>
      <c r="P606" s="1" t="s">
        <v>39</v>
      </c>
      <c r="Q606" s="1" t="s">
        <v>492</v>
      </c>
      <c r="R606">
        <v>308</v>
      </c>
      <c r="S606">
        <v>5</v>
      </c>
      <c r="T606">
        <v>0.2</v>
      </c>
      <c r="U606">
        <v>-35</v>
      </c>
      <c r="V606" s="1" t="s">
        <v>86</v>
      </c>
      <c r="W606" s="1" t="s">
        <v>51</v>
      </c>
    </row>
    <row r="607" spans="1:23" x14ac:dyDescent="0.35">
      <c r="A607">
        <v>2891</v>
      </c>
      <c r="B607" s="1" t="s">
        <v>2156</v>
      </c>
      <c r="C607" s="2">
        <v>41758</v>
      </c>
      <c r="D607" s="2">
        <v>41760</v>
      </c>
      <c r="E607" s="1" t="s">
        <v>24</v>
      </c>
      <c r="F607" s="1" t="s">
        <v>2157</v>
      </c>
      <c r="G607" s="1" t="s">
        <v>2158</v>
      </c>
      <c r="H607" s="1" t="s">
        <v>27</v>
      </c>
      <c r="I607" s="1" t="s">
        <v>28</v>
      </c>
      <c r="J607" s="1" t="s">
        <v>2159</v>
      </c>
      <c r="K607" s="1" t="s">
        <v>1409</v>
      </c>
      <c r="L607">
        <v>70601</v>
      </c>
      <c r="M607" s="1" t="s">
        <v>31</v>
      </c>
      <c r="N607" s="1" t="s">
        <v>1006</v>
      </c>
      <c r="O607" s="1" t="s">
        <v>33</v>
      </c>
      <c r="P607" s="1" t="s">
        <v>39</v>
      </c>
      <c r="Q607" s="1" t="s">
        <v>1007</v>
      </c>
      <c r="R607">
        <v>52</v>
      </c>
      <c r="S607">
        <v>2</v>
      </c>
      <c r="T607">
        <v>0</v>
      </c>
      <c r="U607">
        <v>13</v>
      </c>
      <c r="V607" s="1" t="s">
        <v>73</v>
      </c>
      <c r="W607" s="1" t="s">
        <v>116</v>
      </c>
    </row>
    <row r="608" spans="1:23" x14ac:dyDescent="0.35">
      <c r="A608">
        <v>2895</v>
      </c>
      <c r="B608" s="1" t="s">
        <v>2160</v>
      </c>
      <c r="C608" s="2">
        <v>43031</v>
      </c>
      <c r="D608" s="2">
        <v>43037</v>
      </c>
      <c r="E608" s="1" t="s">
        <v>42</v>
      </c>
      <c r="F608" s="1" t="s">
        <v>1159</v>
      </c>
      <c r="G608" s="1" t="s">
        <v>1160</v>
      </c>
      <c r="H608" s="1" t="s">
        <v>93</v>
      </c>
      <c r="I608" s="1" t="s">
        <v>28</v>
      </c>
      <c r="J608" s="1" t="s">
        <v>897</v>
      </c>
      <c r="K608" s="1" t="s">
        <v>123</v>
      </c>
      <c r="L608">
        <v>14609</v>
      </c>
      <c r="M608" s="1" t="s">
        <v>70</v>
      </c>
      <c r="N608" s="1" t="s">
        <v>2161</v>
      </c>
      <c r="O608" s="1" t="s">
        <v>33</v>
      </c>
      <c r="P608" s="1" t="s">
        <v>59</v>
      </c>
      <c r="Q608" s="1" t="s">
        <v>2162</v>
      </c>
      <c r="R608">
        <v>69</v>
      </c>
      <c r="S608">
        <v>11</v>
      </c>
      <c r="T608">
        <v>0</v>
      </c>
      <c r="U608">
        <v>29</v>
      </c>
      <c r="V608" s="1" t="s">
        <v>132</v>
      </c>
      <c r="W608" s="1" t="s">
        <v>51</v>
      </c>
    </row>
    <row r="609" spans="1:23" x14ac:dyDescent="0.35">
      <c r="A609">
        <v>2899</v>
      </c>
      <c r="B609" s="1" t="s">
        <v>2163</v>
      </c>
      <c r="C609" s="2">
        <v>42120</v>
      </c>
      <c r="D609" s="2">
        <v>42124</v>
      </c>
      <c r="E609" s="1" t="s">
        <v>42</v>
      </c>
      <c r="F609" s="1" t="s">
        <v>1901</v>
      </c>
      <c r="G609" s="1" t="s">
        <v>1902</v>
      </c>
      <c r="H609" s="1" t="s">
        <v>27</v>
      </c>
      <c r="I609" s="1" t="s">
        <v>28</v>
      </c>
      <c r="J609" s="1" t="s">
        <v>104</v>
      </c>
      <c r="K609" s="1" t="s">
        <v>95</v>
      </c>
      <c r="L609">
        <v>77036</v>
      </c>
      <c r="M609" s="1" t="s">
        <v>96</v>
      </c>
      <c r="N609" s="1" t="s">
        <v>384</v>
      </c>
      <c r="O609" s="1" t="s">
        <v>33</v>
      </c>
      <c r="P609" s="1" t="s">
        <v>39</v>
      </c>
      <c r="Q609" s="1" t="s">
        <v>385</v>
      </c>
      <c r="R609">
        <v>408</v>
      </c>
      <c r="S609">
        <v>2</v>
      </c>
      <c r="T609">
        <v>0.3</v>
      </c>
      <c r="U609">
        <v>-6</v>
      </c>
      <c r="V609" s="1" t="s">
        <v>86</v>
      </c>
      <c r="W609" s="1" t="s">
        <v>116</v>
      </c>
    </row>
    <row r="610" spans="1:23" x14ac:dyDescent="0.35">
      <c r="A610">
        <v>2905</v>
      </c>
      <c r="B610" s="1" t="s">
        <v>2164</v>
      </c>
      <c r="C610" s="2">
        <v>42548</v>
      </c>
      <c r="D610" s="2">
        <v>42552</v>
      </c>
      <c r="E610" s="1" t="s">
        <v>42</v>
      </c>
      <c r="F610" s="1" t="s">
        <v>1532</v>
      </c>
      <c r="G610" s="1" t="s">
        <v>1533</v>
      </c>
      <c r="H610" s="1" t="s">
        <v>93</v>
      </c>
      <c r="I610" s="1" t="s">
        <v>28</v>
      </c>
      <c r="J610" s="1" t="s">
        <v>2165</v>
      </c>
      <c r="K610" s="1" t="s">
        <v>137</v>
      </c>
      <c r="L610">
        <v>60035</v>
      </c>
      <c r="M610" s="1" t="s">
        <v>96</v>
      </c>
      <c r="N610" s="1" t="s">
        <v>1603</v>
      </c>
      <c r="O610" s="1" t="s">
        <v>33</v>
      </c>
      <c r="P610" s="1" t="s">
        <v>39</v>
      </c>
      <c r="Q610" s="1" t="s">
        <v>1604</v>
      </c>
      <c r="R610">
        <v>540</v>
      </c>
      <c r="S610">
        <v>3</v>
      </c>
      <c r="T610">
        <v>0.3</v>
      </c>
      <c r="U610">
        <v>-8</v>
      </c>
      <c r="V610" s="1" t="s">
        <v>86</v>
      </c>
      <c r="W610" s="1" t="s">
        <v>62</v>
      </c>
    </row>
    <row r="611" spans="1:23" x14ac:dyDescent="0.35">
      <c r="A611">
        <v>2920</v>
      </c>
      <c r="B611" s="1" t="s">
        <v>2166</v>
      </c>
      <c r="C611" s="2">
        <v>42697</v>
      </c>
      <c r="D611" s="2">
        <v>42697</v>
      </c>
      <c r="E611" s="1" t="s">
        <v>428</v>
      </c>
      <c r="F611" s="1" t="s">
        <v>2167</v>
      </c>
      <c r="G611" s="1" t="s">
        <v>2168</v>
      </c>
      <c r="H611" s="1" t="s">
        <v>93</v>
      </c>
      <c r="I611" s="1" t="s">
        <v>28</v>
      </c>
      <c r="J611" s="1" t="s">
        <v>68</v>
      </c>
      <c r="K611" s="1" t="s">
        <v>69</v>
      </c>
      <c r="L611">
        <v>19140</v>
      </c>
      <c r="M611" s="1" t="s">
        <v>70</v>
      </c>
      <c r="N611" s="1" t="s">
        <v>1454</v>
      </c>
      <c r="O611" s="1" t="s">
        <v>33</v>
      </c>
      <c r="P611" s="1" t="s">
        <v>59</v>
      </c>
      <c r="Q611" s="1" t="s">
        <v>1455</v>
      </c>
      <c r="R611">
        <v>14</v>
      </c>
      <c r="S611">
        <v>2</v>
      </c>
      <c r="T611">
        <v>0.2</v>
      </c>
      <c r="U611">
        <v>4</v>
      </c>
      <c r="V611" s="1" t="s">
        <v>433</v>
      </c>
      <c r="W611" s="1" t="s">
        <v>37</v>
      </c>
    </row>
    <row r="612" spans="1:23" x14ac:dyDescent="0.35">
      <c r="A612">
        <v>2921</v>
      </c>
      <c r="B612" s="1" t="s">
        <v>2166</v>
      </c>
      <c r="C612" s="2">
        <v>42697</v>
      </c>
      <c r="D612" s="2">
        <v>42697</v>
      </c>
      <c r="E612" s="1" t="s">
        <v>428</v>
      </c>
      <c r="F612" s="1" t="s">
        <v>2167</v>
      </c>
      <c r="G612" s="1" t="s">
        <v>2168</v>
      </c>
      <c r="H612" s="1" t="s">
        <v>93</v>
      </c>
      <c r="I612" s="1" t="s">
        <v>28</v>
      </c>
      <c r="J612" s="1" t="s">
        <v>68</v>
      </c>
      <c r="K612" s="1" t="s">
        <v>69</v>
      </c>
      <c r="L612">
        <v>19140</v>
      </c>
      <c r="M612" s="1" t="s">
        <v>70</v>
      </c>
      <c r="N612" s="1" t="s">
        <v>1271</v>
      </c>
      <c r="O612" s="1" t="s">
        <v>33</v>
      </c>
      <c r="P612" s="1" t="s">
        <v>59</v>
      </c>
      <c r="Q612" s="1" t="s">
        <v>1272</v>
      </c>
      <c r="R612">
        <v>70</v>
      </c>
      <c r="S612">
        <v>7</v>
      </c>
      <c r="T612">
        <v>0.2</v>
      </c>
      <c r="U612">
        <v>12</v>
      </c>
      <c r="V612" s="1" t="s">
        <v>433</v>
      </c>
      <c r="W612" s="1" t="s">
        <v>37</v>
      </c>
    </row>
    <row r="613" spans="1:23" x14ac:dyDescent="0.35">
      <c r="A613">
        <v>2926</v>
      </c>
      <c r="B613" s="1" t="s">
        <v>2169</v>
      </c>
      <c r="C613" s="2">
        <v>41884</v>
      </c>
      <c r="D613" s="2">
        <v>41887</v>
      </c>
      <c r="E613" s="1" t="s">
        <v>90</v>
      </c>
      <c r="F613" s="1" t="s">
        <v>2170</v>
      </c>
      <c r="G613" s="1" t="s">
        <v>2171</v>
      </c>
      <c r="H613" s="1" t="s">
        <v>27</v>
      </c>
      <c r="I613" s="1" t="s">
        <v>28</v>
      </c>
      <c r="J613" s="1" t="s">
        <v>1368</v>
      </c>
      <c r="K613" s="1" t="s">
        <v>123</v>
      </c>
      <c r="L613">
        <v>13601</v>
      </c>
      <c r="M613" s="1" t="s">
        <v>70</v>
      </c>
      <c r="N613" s="1" t="s">
        <v>2172</v>
      </c>
      <c r="O613" s="1" t="s">
        <v>33</v>
      </c>
      <c r="P613" s="1" t="s">
        <v>59</v>
      </c>
      <c r="Q613" s="1" t="s">
        <v>2173</v>
      </c>
      <c r="R613">
        <v>71</v>
      </c>
      <c r="S613">
        <v>1</v>
      </c>
      <c r="T613">
        <v>0</v>
      </c>
      <c r="U613">
        <v>5</v>
      </c>
      <c r="V613" s="1" t="s">
        <v>36</v>
      </c>
      <c r="W613" s="1" t="s">
        <v>80</v>
      </c>
    </row>
    <row r="614" spans="1:23" x14ac:dyDescent="0.35">
      <c r="A614">
        <v>2927</v>
      </c>
      <c r="B614" s="1" t="s">
        <v>2174</v>
      </c>
      <c r="C614" s="2">
        <v>42926</v>
      </c>
      <c r="D614" s="2">
        <v>42930</v>
      </c>
      <c r="E614" s="1" t="s">
        <v>24</v>
      </c>
      <c r="F614" s="1" t="s">
        <v>2175</v>
      </c>
      <c r="G614" s="1" t="s">
        <v>2176</v>
      </c>
      <c r="H614" s="1" t="s">
        <v>27</v>
      </c>
      <c r="I614" s="1" t="s">
        <v>28</v>
      </c>
      <c r="J614" s="1" t="s">
        <v>350</v>
      </c>
      <c r="K614" s="1" t="s">
        <v>670</v>
      </c>
      <c r="L614">
        <v>31907</v>
      </c>
      <c r="M614" s="1" t="s">
        <v>31</v>
      </c>
      <c r="N614" s="1" t="s">
        <v>2161</v>
      </c>
      <c r="O614" s="1" t="s">
        <v>33</v>
      </c>
      <c r="P614" s="1" t="s">
        <v>59</v>
      </c>
      <c r="Q614" s="1" t="s">
        <v>2162</v>
      </c>
      <c r="R614">
        <v>19</v>
      </c>
      <c r="S614">
        <v>3</v>
      </c>
      <c r="T614">
        <v>0</v>
      </c>
      <c r="U614">
        <v>8</v>
      </c>
      <c r="V614" s="1" t="s">
        <v>86</v>
      </c>
      <c r="W614" s="1" t="s">
        <v>74</v>
      </c>
    </row>
    <row r="615" spans="1:23" x14ac:dyDescent="0.35">
      <c r="A615">
        <v>2930</v>
      </c>
      <c r="B615" s="1" t="s">
        <v>2177</v>
      </c>
      <c r="C615" s="2">
        <v>43057</v>
      </c>
      <c r="D615" s="2">
        <v>43063</v>
      </c>
      <c r="E615" s="1" t="s">
        <v>42</v>
      </c>
      <c r="F615" s="1" t="s">
        <v>1285</v>
      </c>
      <c r="G615" s="1" t="s">
        <v>1286</v>
      </c>
      <c r="H615" s="1" t="s">
        <v>103</v>
      </c>
      <c r="I615" s="1" t="s">
        <v>28</v>
      </c>
      <c r="J615" s="1" t="s">
        <v>2178</v>
      </c>
      <c r="K615" s="1" t="s">
        <v>292</v>
      </c>
      <c r="L615">
        <v>48601</v>
      </c>
      <c r="M615" s="1" t="s">
        <v>96</v>
      </c>
      <c r="N615" s="1" t="s">
        <v>805</v>
      </c>
      <c r="O615" s="1" t="s">
        <v>33</v>
      </c>
      <c r="P615" s="1" t="s">
        <v>59</v>
      </c>
      <c r="Q615" s="1" t="s">
        <v>806</v>
      </c>
      <c r="R615">
        <v>20</v>
      </c>
      <c r="S615">
        <v>4</v>
      </c>
      <c r="T615">
        <v>0</v>
      </c>
      <c r="U615">
        <v>8</v>
      </c>
      <c r="V615" s="1" t="s">
        <v>132</v>
      </c>
      <c r="W615" s="1" t="s">
        <v>37</v>
      </c>
    </row>
    <row r="616" spans="1:23" x14ac:dyDescent="0.35">
      <c r="A616">
        <v>2933</v>
      </c>
      <c r="B616" s="1" t="s">
        <v>2179</v>
      </c>
      <c r="C616" s="2">
        <v>42224</v>
      </c>
      <c r="D616" s="2">
        <v>42224</v>
      </c>
      <c r="E616" s="1" t="s">
        <v>428</v>
      </c>
      <c r="F616" s="1" t="s">
        <v>2180</v>
      </c>
      <c r="G616" s="1" t="s">
        <v>2181</v>
      </c>
      <c r="H616" s="1" t="s">
        <v>27</v>
      </c>
      <c r="I616" s="1" t="s">
        <v>28</v>
      </c>
      <c r="J616" s="1" t="s">
        <v>331</v>
      </c>
      <c r="K616" s="1" t="s">
        <v>56</v>
      </c>
      <c r="L616">
        <v>94109</v>
      </c>
      <c r="M616" s="1" t="s">
        <v>57</v>
      </c>
      <c r="N616" s="1" t="s">
        <v>423</v>
      </c>
      <c r="O616" s="1" t="s">
        <v>33</v>
      </c>
      <c r="P616" s="1" t="s">
        <v>39</v>
      </c>
      <c r="Q616" s="1" t="s">
        <v>424</v>
      </c>
      <c r="R616">
        <v>145</v>
      </c>
      <c r="S616">
        <v>1</v>
      </c>
      <c r="T616">
        <v>0.2</v>
      </c>
      <c r="U616">
        <v>11</v>
      </c>
      <c r="V616" s="1" t="s">
        <v>433</v>
      </c>
      <c r="W616" s="1" t="s">
        <v>256</v>
      </c>
    </row>
    <row r="617" spans="1:23" x14ac:dyDescent="0.35">
      <c r="A617">
        <v>2941</v>
      </c>
      <c r="B617" s="1" t="s">
        <v>2182</v>
      </c>
      <c r="C617" s="2">
        <v>42819</v>
      </c>
      <c r="D617" s="2">
        <v>42825</v>
      </c>
      <c r="E617" s="1" t="s">
        <v>42</v>
      </c>
      <c r="F617" s="1" t="s">
        <v>678</v>
      </c>
      <c r="G617" s="1" t="s">
        <v>679</v>
      </c>
      <c r="H617" s="1" t="s">
        <v>93</v>
      </c>
      <c r="I617" s="1" t="s">
        <v>28</v>
      </c>
      <c r="J617" s="1" t="s">
        <v>908</v>
      </c>
      <c r="K617" s="1" t="s">
        <v>241</v>
      </c>
      <c r="L617">
        <v>53209</v>
      </c>
      <c r="M617" s="1" t="s">
        <v>96</v>
      </c>
      <c r="N617" s="1" t="s">
        <v>2183</v>
      </c>
      <c r="O617" s="1" t="s">
        <v>33</v>
      </c>
      <c r="P617" s="1" t="s">
        <v>39</v>
      </c>
      <c r="Q617" s="1" t="s">
        <v>2184</v>
      </c>
      <c r="R617">
        <v>91</v>
      </c>
      <c r="S617">
        <v>1</v>
      </c>
      <c r="T617">
        <v>0</v>
      </c>
      <c r="U617">
        <v>15</v>
      </c>
      <c r="V617" s="1" t="s">
        <v>132</v>
      </c>
      <c r="W617" s="1" t="s">
        <v>198</v>
      </c>
    </row>
    <row r="618" spans="1:23" x14ac:dyDescent="0.35">
      <c r="A618">
        <v>2942</v>
      </c>
      <c r="B618" s="1" t="s">
        <v>2182</v>
      </c>
      <c r="C618" s="2">
        <v>42819</v>
      </c>
      <c r="D618" s="2">
        <v>42825</v>
      </c>
      <c r="E618" s="1" t="s">
        <v>42</v>
      </c>
      <c r="F618" s="1" t="s">
        <v>678</v>
      </c>
      <c r="G618" s="1" t="s">
        <v>679</v>
      </c>
      <c r="H618" s="1" t="s">
        <v>93</v>
      </c>
      <c r="I618" s="1" t="s">
        <v>28</v>
      </c>
      <c r="J618" s="1" t="s">
        <v>908</v>
      </c>
      <c r="K618" s="1" t="s">
        <v>241</v>
      </c>
      <c r="L618">
        <v>53209</v>
      </c>
      <c r="M618" s="1" t="s">
        <v>96</v>
      </c>
      <c r="N618" s="1" t="s">
        <v>819</v>
      </c>
      <c r="O618" s="1" t="s">
        <v>33</v>
      </c>
      <c r="P618" s="1" t="s">
        <v>39</v>
      </c>
      <c r="Q618" s="1" t="s">
        <v>820</v>
      </c>
      <c r="R618">
        <v>1527</v>
      </c>
      <c r="S618">
        <v>7</v>
      </c>
      <c r="T618">
        <v>0</v>
      </c>
      <c r="U618">
        <v>427</v>
      </c>
      <c r="V618" s="1" t="s">
        <v>132</v>
      </c>
      <c r="W618" s="1" t="s">
        <v>198</v>
      </c>
    </row>
    <row r="619" spans="1:23" x14ac:dyDescent="0.35">
      <c r="A619">
        <v>2943</v>
      </c>
      <c r="B619" s="1" t="s">
        <v>2182</v>
      </c>
      <c r="C619" s="2">
        <v>42819</v>
      </c>
      <c r="D619" s="2">
        <v>42825</v>
      </c>
      <c r="E619" s="1" t="s">
        <v>42</v>
      </c>
      <c r="F619" s="1" t="s">
        <v>678</v>
      </c>
      <c r="G619" s="1" t="s">
        <v>679</v>
      </c>
      <c r="H619" s="1" t="s">
        <v>93</v>
      </c>
      <c r="I619" s="1" t="s">
        <v>28</v>
      </c>
      <c r="J619" s="1" t="s">
        <v>908</v>
      </c>
      <c r="K619" s="1" t="s">
        <v>241</v>
      </c>
      <c r="L619">
        <v>53209</v>
      </c>
      <c r="M619" s="1" t="s">
        <v>96</v>
      </c>
      <c r="N619" s="1" t="s">
        <v>1031</v>
      </c>
      <c r="O619" s="1" t="s">
        <v>33</v>
      </c>
      <c r="P619" s="1" t="s">
        <v>39</v>
      </c>
      <c r="Q619" s="1" t="s">
        <v>1032</v>
      </c>
      <c r="R619">
        <v>369</v>
      </c>
      <c r="S619">
        <v>3</v>
      </c>
      <c r="T619">
        <v>0</v>
      </c>
      <c r="U619">
        <v>41</v>
      </c>
      <c r="V619" s="1" t="s">
        <v>132</v>
      </c>
      <c r="W619" s="1" t="s">
        <v>198</v>
      </c>
    </row>
    <row r="620" spans="1:23" x14ac:dyDescent="0.35">
      <c r="A620">
        <v>2945</v>
      </c>
      <c r="B620" s="1" t="s">
        <v>2185</v>
      </c>
      <c r="C620" s="2">
        <v>43058</v>
      </c>
      <c r="D620" s="2">
        <v>43063</v>
      </c>
      <c r="E620" s="1" t="s">
        <v>42</v>
      </c>
      <c r="F620" s="1" t="s">
        <v>1375</v>
      </c>
      <c r="G620" s="1" t="s">
        <v>1376</v>
      </c>
      <c r="H620" s="1" t="s">
        <v>27</v>
      </c>
      <c r="I620" s="1" t="s">
        <v>28</v>
      </c>
      <c r="J620" s="1" t="s">
        <v>55</v>
      </c>
      <c r="K620" s="1" t="s">
        <v>56</v>
      </c>
      <c r="L620">
        <v>90049</v>
      </c>
      <c r="M620" s="1" t="s">
        <v>57</v>
      </c>
      <c r="N620" s="1" t="s">
        <v>2186</v>
      </c>
      <c r="O620" s="1" t="s">
        <v>33</v>
      </c>
      <c r="P620" s="1" t="s">
        <v>59</v>
      </c>
      <c r="Q620" s="1" t="s">
        <v>2187</v>
      </c>
      <c r="R620">
        <v>19</v>
      </c>
      <c r="S620">
        <v>1</v>
      </c>
      <c r="T620">
        <v>0</v>
      </c>
      <c r="U620">
        <v>7</v>
      </c>
      <c r="V620" s="1" t="s">
        <v>61</v>
      </c>
      <c r="W620" s="1" t="s">
        <v>37</v>
      </c>
    </row>
    <row r="621" spans="1:23" x14ac:dyDescent="0.35">
      <c r="A621">
        <v>2946</v>
      </c>
      <c r="B621" s="1" t="s">
        <v>2188</v>
      </c>
      <c r="C621" s="2">
        <v>42678</v>
      </c>
      <c r="D621" s="2">
        <v>42679</v>
      </c>
      <c r="E621" s="1" t="s">
        <v>90</v>
      </c>
      <c r="F621" s="1" t="s">
        <v>2189</v>
      </c>
      <c r="G621" s="1" t="s">
        <v>2190</v>
      </c>
      <c r="H621" s="1" t="s">
        <v>27</v>
      </c>
      <c r="I621" s="1" t="s">
        <v>28</v>
      </c>
      <c r="J621" s="1" t="s">
        <v>331</v>
      </c>
      <c r="K621" s="1" t="s">
        <v>56</v>
      </c>
      <c r="L621">
        <v>94122</v>
      </c>
      <c r="M621" s="1" t="s">
        <v>57</v>
      </c>
      <c r="N621" s="1" t="s">
        <v>623</v>
      </c>
      <c r="O621" s="1" t="s">
        <v>33</v>
      </c>
      <c r="P621" s="1" t="s">
        <v>59</v>
      </c>
      <c r="Q621" s="1" t="s">
        <v>624</v>
      </c>
      <c r="R621">
        <v>38</v>
      </c>
      <c r="S621">
        <v>7</v>
      </c>
      <c r="T621">
        <v>0</v>
      </c>
      <c r="U621">
        <v>16</v>
      </c>
      <c r="V621" s="1" t="s">
        <v>126</v>
      </c>
      <c r="W621" s="1" t="s">
        <v>37</v>
      </c>
    </row>
    <row r="622" spans="1:23" x14ac:dyDescent="0.35">
      <c r="A622">
        <v>2947</v>
      </c>
      <c r="B622" s="1" t="s">
        <v>2191</v>
      </c>
      <c r="C622" s="2">
        <v>43083</v>
      </c>
      <c r="D622" s="2">
        <v>43087</v>
      </c>
      <c r="E622" s="1" t="s">
        <v>42</v>
      </c>
      <c r="F622" s="1" t="s">
        <v>1354</v>
      </c>
      <c r="G622" s="1" t="s">
        <v>1355</v>
      </c>
      <c r="H622" s="1" t="s">
        <v>103</v>
      </c>
      <c r="I622" s="1" t="s">
        <v>28</v>
      </c>
      <c r="J622" s="1" t="s">
        <v>642</v>
      </c>
      <c r="K622" s="1" t="s">
        <v>56</v>
      </c>
      <c r="L622">
        <v>92024</v>
      </c>
      <c r="M622" s="1" t="s">
        <v>57</v>
      </c>
      <c r="N622" s="1" t="s">
        <v>2192</v>
      </c>
      <c r="O622" s="1" t="s">
        <v>33</v>
      </c>
      <c r="P622" s="1" t="s">
        <v>59</v>
      </c>
      <c r="Q622" s="1" t="s">
        <v>2193</v>
      </c>
      <c r="R622">
        <v>26</v>
      </c>
      <c r="S622">
        <v>3</v>
      </c>
      <c r="T622">
        <v>0</v>
      </c>
      <c r="U622">
        <v>11</v>
      </c>
      <c r="V622" s="1" t="s">
        <v>86</v>
      </c>
      <c r="W622" s="1" t="s">
        <v>99</v>
      </c>
    </row>
    <row r="623" spans="1:23" x14ac:dyDescent="0.35">
      <c r="A623">
        <v>2952</v>
      </c>
      <c r="B623" s="1" t="s">
        <v>2194</v>
      </c>
      <c r="C623" s="2">
        <v>43051</v>
      </c>
      <c r="D623" s="2">
        <v>43051</v>
      </c>
      <c r="E623" s="1" t="s">
        <v>428</v>
      </c>
      <c r="F623" s="1" t="s">
        <v>2195</v>
      </c>
      <c r="G623" s="1" t="s">
        <v>2196</v>
      </c>
      <c r="H623" s="1" t="s">
        <v>103</v>
      </c>
      <c r="I623" s="1" t="s">
        <v>28</v>
      </c>
      <c r="J623" s="1" t="s">
        <v>1305</v>
      </c>
      <c r="K623" s="1" t="s">
        <v>523</v>
      </c>
      <c r="L623">
        <v>85301</v>
      </c>
      <c r="M623" s="1" t="s">
        <v>57</v>
      </c>
      <c r="N623" s="1" t="s">
        <v>2197</v>
      </c>
      <c r="O623" s="1" t="s">
        <v>33</v>
      </c>
      <c r="P623" s="1" t="s">
        <v>39</v>
      </c>
      <c r="Q623" s="1" t="s">
        <v>2198</v>
      </c>
      <c r="R623">
        <v>114</v>
      </c>
      <c r="S623">
        <v>2</v>
      </c>
      <c r="T623">
        <v>0.2</v>
      </c>
      <c r="U623">
        <v>10</v>
      </c>
      <c r="V623" s="1" t="s">
        <v>433</v>
      </c>
      <c r="W623" s="1" t="s">
        <v>37</v>
      </c>
    </row>
    <row r="624" spans="1:23" x14ac:dyDescent="0.35">
      <c r="A624">
        <v>2953</v>
      </c>
      <c r="B624" s="1" t="s">
        <v>2194</v>
      </c>
      <c r="C624" s="2">
        <v>43051</v>
      </c>
      <c r="D624" s="2">
        <v>43051</v>
      </c>
      <c r="E624" s="1" t="s">
        <v>428</v>
      </c>
      <c r="F624" s="1" t="s">
        <v>2195</v>
      </c>
      <c r="G624" s="1" t="s">
        <v>2196</v>
      </c>
      <c r="H624" s="1" t="s">
        <v>103</v>
      </c>
      <c r="I624" s="1" t="s">
        <v>28</v>
      </c>
      <c r="J624" s="1" t="s">
        <v>1305</v>
      </c>
      <c r="K624" s="1" t="s">
        <v>523</v>
      </c>
      <c r="L624">
        <v>85301</v>
      </c>
      <c r="M624" s="1" t="s">
        <v>57</v>
      </c>
      <c r="N624" s="1" t="s">
        <v>2199</v>
      </c>
      <c r="O624" s="1" t="s">
        <v>33</v>
      </c>
      <c r="P624" s="1" t="s">
        <v>59</v>
      </c>
      <c r="Q624" s="1" t="s">
        <v>2200</v>
      </c>
      <c r="R624">
        <v>114</v>
      </c>
      <c r="S624">
        <v>2</v>
      </c>
      <c r="T624">
        <v>0.2</v>
      </c>
      <c r="U624">
        <v>-6</v>
      </c>
      <c r="V624" s="1" t="s">
        <v>433</v>
      </c>
      <c r="W624" s="1" t="s">
        <v>37</v>
      </c>
    </row>
    <row r="625" spans="1:23" x14ac:dyDescent="0.35">
      <c r="A625">
        <v>2957</v>
      </c>
      <c r="B625" s="1" t="s">
        <v>2201</v>
      </c>
      <c r="C625" s="2">
        <v>42913</v>
      </c>
      <c r="D625" s="2">
        <v>42920</v>
      </c>
      <c r="E625" s="1" t="s">
        <v>42</v>
      </c>
      <c r="F625" s="1" t="s">
        <v>2202</v>
      </c>
      <c r="G625" s="1" t="s">
        <v>2203</v>
      </c>
      <c r="H625" s="1" t="s">
        <v>103</v>
      </c>
      <c r="I625" s="1" t="s">
        <v>28</v>
      </c>
      <c r="J625" s="1" t="s">
        <v>1368</v>
      </c>
      <c r="K625" s="1" t="s">
        <v>123</v>
      </c>
      <c r="L625">
        <v>13601</v>
      </c>
      <c r="M625" s="1" t="s">
        <v>70</v>
      </c>
      <c r="N625" s="1" t="s">
        <v>593</v>
      </c>
      <c r="O625" s="1" t="s">
        <v>33</v>
      </c>
      <c r="P625" s="1" t="s">
        <v>39</v>
      </c>
      <c r="Q625" s="1" t="s">
        <v>594</v>
      </c>
      <c r="R625">
        <v>192</v>
      </c>
      <c r="S625">
        <v>3</v>
      </c>
      <c r="T625">
        <v>0.1</v>
      </c>
      <c r="U625">
        <v>32</v>
      </c>
      <c r="V625" s="1" t="s">
        <v>50</v>
      </c>
      <c r="W625" s="1" t="s">
        <v>62</v>
      </c>
    </row>
    <row r="626" spans="1:23" x14ac:dyDescent="0.35">
      <c r="A626">
        <v>2963</v>
      </c>
      <c r="B626" s="1" t="s">
        <v>2204</v>
      </c>
      <c r="C626" s="2">
        <v>43085</v>
      </c>
      <c r="D626" s="2">
        <v>43090</v>
      </c>
      <c r="E626" s="1" t="s">
        <v>24</v>
      </c>
      <c r="F626" s="1" t="s">
        <v>2205</v>
      </c>
      <c r="G626" s="1" t="s">
        <v>2206</v>
      </c>
      <c r="H626" s="1" t="s">
        <v>93</v>
      </c>
      <c r="I626" s="1" t="s">
        <v>28</v>
      </c>
      <c r="J626" s="1" t="s">
        <v>764</v>
      </c>
      <c r="K626" s="1" t="s">
        <v>56</v>
      </c>
      <c r="L626">
        <v>92054</v>
      </c>
      <c r="M626" s="1" t="s">
        <v>57</v>
      </c>
      <c r="N626" s="1" t="s">
        <v>71</v>
      </c>
      <c r="O626" s="1" t="s">
        <v>33</v>
      </c>
      <c r="P626" s="1" t="s">
        <v>39</v>
      </c>
      <c r="Q626" s="1" t="s">
        <v>72</v>
      </c>
      <c r="R626">
        <v>82</v>
      </c>
      <c r="S626">
        <v>2</v>
      </c>
      <c r="T626">
        <v>0.2</v>
      </c>
      <c r="U626">
        <v>9</v>
      </c>
      <c r="V626" s="1" t="s">
        <v>61</v>
      </c>
      <c r="W626" s="1" t="s">
        <v>99</v>
      </c>
    </row>
    <row r="627" spans="1:23" x14ac:dyDescent="0.35">
      <c r="A627">
        <v>2964</v>
      </c>
      <c r="B627" s="1" t="s">
        <v>2204</v>
      </c>
      <c r="C627" s="2">
        <v>43085</v>
      </c>
      <c r="D627" s="2">
        <v>43090</v>
      </c>
      <c r="E627" s="1" t="s">
        <v>24</v>
      </c>
      <c r="F627" s="1" t="s">
        <v>2205</v>
      </c>
      <c r="G627" s="1" t="s">
        <v>2206</v>
      </c>
      <c r="H627" s="1" t="s">
        <v>93</v>
      </c>
      <c r="I627" s="1" t="s">
        <v>28</v>
      </c>
      <c r="J627" s="1" t="s">
        <v>764</v>
      </c>
      <c r="K627" s="1" t="s">
        <v>56</v>
      </c>
      <c r="L627">
        <v>92054</v>
      </c>
      <c r="M627" s="1" t="s">
        <v>57</v>
      </c>
      <c r="N627" s="1" t="s">
        <v>254</v>
      </c>
      <c r="O627" s="1" t="s">
        <v>33</v>
      </c>
      <c r="P627" s="1" t="s">
        <v>39</v>
      </c>
      <c r="Q627" s="1" t="s">
        <v>255</v>
      </c>
      <c r="R627">
        <v>97</v>
      </c>
      <c r="S627">
        <v>2</v>
      </c>
      <c r="T627">
        <v>0.2</v>
      </c>
      <c r="U627">
        <v>6</v>
      </c>
      <c r="V627" s="1" t="s">
        <v>61</v>
      </c>
      <c r="W627" s="1" t="s">
        <v>99</v>
      </c>
    </row>
    <row r="628" spans="1:23" x14ac:dyDescent="0.35">
      <c r="A628">
        <v>2966</v>
      </c>
      <c r="B628" s="1" t="s">
        <v>2204</v>
      </c>
      <c r="C628" s="2">
        <v>43085</v>
      </c>
      <c r="D628" s="2">
        <v>43090</v>
      </c>
      <c r="E628" s="1" t="s">
        <v>24</v>
      </c>
      <c r="F628" s="1" t="s">
        <v>2205</v>
      </c>
      <c r="G628" s="1" t="s">
        <v>2206</v>
      </c>
      <c r="H628" s="1" t="s">
        <v>93</v>
      </c>
      <c r="I628" s="1" t="s">
        <v>28</v>
      </c>
      <c r="J628" s="1" t="s">
        <v>764</v>
      </c>
      <c r="K628" s="1" t="s">
        <v>56</v>
      </c>
      <c r="L628">
        <v>92054</v>
      </c>
      <c r="M628" s="1" t="s">
        <v>57</v>
      </c>
      <c r="N628" s="1" t="s">
        <v>2207</v>
      </c>
      <c r="O628" s="1" t="s">
        <v>33</v>
      </c>
      <c r="P628" s="1" t="s">
        <v>59</v>
      </c>
      <c r="Q628" s="1" t="s">
        <v>2208</v>
      </c>
      <c r="R628">
        <v>19</v>
      </c>
      <c r="S628">
        <v>2</v>
      </c>
      <c r="T628">
        <v>0</v>
      </c>
      <c r="U628">
        <v>8</v>
      </c>
      <c r="V628" s="1" t="s">
        <v>61</v>
      </c>
      <c r="W628" s="1" t="s">
        <v>99</v>
      </c>
    </row>
    <row r="629" spans="1:23" x14ac:dyDescent="0.35">
      <c r="A629">
        <v>2967</v>
      </c>
      <c r="B629" s="1" t="s">
        <v>2209</v>
      </c>
      <c r="C629" s="2">
        <v>42000</v>
      </c>
      <c r="D629" s="2">
        <v>42004</v>
      </c>
      <c r="E629" s="1" t="s">
        <v>42</v>
      </c>
      <c r="F629" s="1" t="s">
        <v>2210</v>
      </c>
      <c r="G629" s="1" t="s">
        <v>2211</v>
      </c>
      <c r="H629" s="1" t="s">
        <v>27</v>
      </c>
      <c r="I629" s="1" t="s">
        <v>28</v>
      </c>
      <c r="J629" s="1" t="s">
        <v>2212</v>
      </c>
      <c r="K629" s="1" t="s">
        <v>137</v>
      </c>
      <c r="L629">
        <v>60076</v>
      </c>
      <c r="M629" s="1" t="s">
        <v>96</v>
      </c>
      <c r="N629" s="1" t="s">
        <v>1293</v>
      </c>
      <c r="O629" s="1" t="s">
        <v>33</v>
      </c>
      <c r="P629" s="1" t="s">
        <v>59</v>
      </c>
      <c r="Q629" s="1" t="s">
        <v>1294</v>
      </c>
      <c r="R629">
        <v>33</v>
      </c>
      <c r="S629">
        <v>6</v>
      </c>
      <c r="T629">
        <v>0.6</v>
      </c>
      <c r="U629">
        <v>-20</v>
      </c>
      <c r="V629" s="1" t="s">
        <v>86</v>
      </c>
      <c r="W629" s="1" t="s">
        <v>99</v>
      </c>
    </row>
    <row r="630" spans="1:23" x14ac:dyDescent="0.35">
      <c r="A630">
        <v>2972</v>
      </c>
      <c r="B630" s="1" t="s">
        <v>2213</v>
      </c>
      <c r="C630" s="2">
        <v>43045</v>
      </c>
      <c r="D630" s="2">
        <v>43048</v>
      </c>
      <c r="E630" s="1" t="s">
        <v>24</v>
      </c>
      <c r="F630" s="1" t="s">
        <v>2214</v>
      </c>
      <c r="G630" s="1" t="s">
        <v>2215</v>
      </c>
      <c r="H630" s="1" t="s">
        <v>27</v>
      </c>
      <c r="I630" s="1" t="s">
        <v>28</v>
      </c>
      <c r="J630" s="1" t="s">
        <v>1914</v>
      </c>
      <c r="K630" s="1" t="s">
        <v>1039</v>
      </c>
      <c r="L630">
        <v>28314</v>
      </c>
      <c r="M630" s="1" t="s">
        <v>31</v>
      </c>
      <c r="N630" s="1" t="s">
        <v>1992</v>
      </c>
      <c r="O630" s="1" t="s">
        <v>33</v>
      </c>
      <c r="P630" s="1" t="s">
        <v>59</v>
      </c>
      <c r="Q630" s="1" t="s">
        <v>1993</v>
      </c>
      <c r="R630">
        <v>28</v>
      </c>
      <c r="S630">
        <v>2</v>
      </c>
      <c r="T630">
        <v>0.2</v>
      </c>
      <c r="U630">
        <v>6</v>
      </c>
      <c r="V630" s="1" t="s">
        <v>36</v>
      </c>
      <c r="W630" s="1" t="s">
        <v>37</v>
      </c>
    </row>
    <row r="631" spans="1:23" x14ac:dyDescent="0.35">
      <c r="A631">
        <v>2975</v>
      </c>
      <c r="B631" s="1" t="s">
        <v>2216</v>
      </c>
      <c r="C631" s="2">
        <v>42131</v>
      </c>
      <c r="D631" s="2">
        <v>42136</v>
      </c>
      <c r="E631" s="1" t="s">
        <v>42</v>
      </c>
      <c r="F631" s="1" t="s">
        <v>452</v>
      </c>
      <c r="G631" s="1" t="s">
        <v>453</v>
      </c>
      <c r="H631" s="1" t="s">
        <v>27</v>
      </c>
      <c r="I631" s="1" t="s">
        <v>28</v>
      </c>
      <c r="J631" s="1" t="s">
        <v>2217</v>
      </c>
      <c r="K631" s="1" t="s">
        <v>95</v>
      </c>
      <c r="L631">
        <v>75002</v>
      </c>
      <c r="M631" s="1" t="s">
        <v>96</v>
      </c>
      <c r="N631" s="1" t="s">
        <v>787</v>
      </c>
      <c r="O631" s="1" t="s">
        <v>33</v>
      </c>
      <c r="P631" s="1" t="s">
        <v>48</v>
      </c>
      <c r="Q631" s="1" t="s">
        <v>788</v>
      </c>
      <c r="R631">
        <v>244</v>
      </c>
      <c r="S631">
        <v>2</v>
      </c>
      <c r="T631">
        <v>0.3</v>
      </c>
      <c r="U631">
        <v>-31</v>
      </c>
      <c r="V631" s="1" t="s">
        <v>61</v>
      </c>
      <c r="W631" s="1" t="s">
        <v>164</v>
      </c>
    </row>
    <row r="632" spans="1:23" x14ac:dyDescent="0.35">
      <c r="A632">
        <v>2977</v>
      </c>
      <c r="B632" s="1" t="s">
        <v>2218</v>
      </c>
      <c r="C632" s="2">
        <v>43073</v>
      </c>
      <c r="D632" s="2">
        <v>43073</v>
      </c>
      <c r="E632" s="1" t="s">
        <v>428</v>
      </c>
      <c r="F632" s="1" t="s">
        <v>2219</v>
      </c>
      <c r="G632" s="1" t="s">
        <v>2220</v>
      </c>
      <c r="H632" s="1" t="s">
        <v>93</v>
      </c>
      <c r="I632" s="1" t="s">
        <v>28</v>
      </c>
      <c r="J632" s="1" t="s">
        <v>68</v>
      </c>
      <c r="K632" s="1" t="s">
        <v>69</v>
      </c>
      <c r="L632">
        <v>19143</v>
      </c>
      <c r="M632" s="1" t="s">
        <v>70</v>
      </c>
      <c r="N632" s="1" t="s">
        <v>2221</v>
      </c>
      <c r="O632" s="1" t="s">
        <v>33</v>
      </c>
      <c r="P632" s="1" t="s">
        <v>39</v>
      </c>
      <c r="Q632" s="1" t="s">
        <v>2222</v>
      </c>
      <c r="R632">
        <v>189</v>
      </c>
      <c r="S632">
        <v>7</v>
      </c>
      <c r="T632">
        <v>0.3</v>
      </c>
      <c r="U632">
        <v>-3</v>
      </c>
      <c r="V632" s="1" t="s">
        <v>433</v>
      </c>
      <c r="W632" s="1" t="s">
        <v>99</v>
      </c>
    </row>
    <row r="633" spans="1:23" x14ac:dyDescent="0.35">
      <c r="A633">
        <v>2979</v>
      </c>
      <c r="B633" s="1" t="s">
        <v>2223</v>
      </c>
      <c r="C633" s="2">
        <v>41652</v>
      </c>
      <c r="D633" s="2">
        <v>41655</v>
      </c>
      <c r="E633" s="1" t="s">
        <v>24</v>
      </c>
      <c r="F633" s="1" t="s">
        <v>1438</v>
      </c>
      <c r="G633" s="1" t="s">
        <v>1439</v>
      </c>
      <c r="H633" s="1" t="s">
        <v>27</v>
      </c>
      <c r="I633" s="1" t="s">
        <v>28</v>
      </c>
      <c r="J633" s="1" t="s">
        <v>2224</v>
      </c>
      <c r="K633" s="1" t="s">
        <v>161</v>
      </c>
      <c r="L633">
        <v>29464</v>
      </c>
      <c r="M633" s="1" t="s">
        <v>31</v>
      </c>
      <c r="N633" s="1" t="s">
        <v>2183</v>
      </c>
      <c r="O633" s="1" t="s">
        <v>33</v>
      </c>
      <c r="P633" s="1" t="s">
        <v>39</v>
      </c>
      <c r="Q633" s="1" t="s">
        <v>2184</v>
      </c>
      <c r="R633">
        <v>546</v>
      </c>
      <c r="S633">
        <v>6</v>
      </c>
      <c r="T633">
        <v>0</v>
      </c>
      <c r="U633">
        <v>87</v>
      </c>
      <c r="V633" s="1" t="s">
        <v>36</v>
      </c>
      <c r="W633" s="1" t="s">
        <v>172</v>
      </c>
    </row>
    <row r="634" spans="1:23" x14ac:dyDescent="0.35">
      <c r="A634">
        <v>2981</v>
      </c>
      <c r="B634" s="1" t="s">
        <v>2225</v>
      </c>
      <c r="C634" s="2">
        <v>42167</v>
      </c>
      <c r="D634" s="2">
        <v>42172</v>
      </c>
      <c r="E634" s="1" t="s">
        <v>42</v>
      </c>
      <c r="F634" s="1" t="s">
        <v>2226</v>
      </c>
      <c r="G634" s="1" t="s">
        <v>2227</v>
      </c>
      <c r="H634" s="1" t="s">
        <v>27</v>
      </c>
      <c r="I634" s="1" t="s">
        <v>28</v>
      </c>
      <c r="J634" s="1" t="s">
        <v>68</v>
      </c>
      <c r="K634" s="1" t="s">
        <v>69</v>
      </c>
      <c r="L634">
        <v>19134</v>
      </c>
      <c r="M634" s="1" t="s">
        <v>70</v>
      </c>
      <c r="N634" s="1" t="s">
        <v>1712</v>
      </c>
      <c r="O634" s="1" t="s">
        <v>33</v>
      </c>
      <c r="P634" s="1" t="s">
        <v>59</v>
      </c>
      <c r="Q634" s="1" t="s">
        <v>1713</v>
      </c>
      <c r="R634">
        <v>43</v>
      </c>
      <c r="S634">
        <v>2</v>
      </c>
      <c r="T634">
        <v>0.2</v>
      </c>
      <c r="U634">
        <v>4</v>
      </c>
      <c r="V634" s="1" t="s">
        <v>61</v>
      </c>
      <c r="W634" s="1" t="s">
        <v>62</v>
      </c>
    </row>
    <row r="635" spans="1:23" x14ac:dyDescent="0.35">
      <c r="A635">
        <v>2982</v>
      </c>
      <c r="B635" s="1" t="s">
        <v>2228</v>
      </c>
      <c r="C635" s="2">
        <v>41832</v>
      </c>
      <c r="D635" s="2">
        <v>41838</v>
      </c>
      <c r="E635" s="1" t="s">
        <v>42</v>
      </c>
      <c r="F635" s="1" t="s">
        <v>2229</v>
      </c>
      <c r="G635" s="1" t="s">
        <v>2230</v>
      </c>
      <c r="H635" s="1" t="s">
        <v>27</v>
      </c>
      <c r="I635" s="1" t="s">
        <v>28</v>
      </c>
      <c r="J635" s="1" t="s">
        <v>194</v>
      </c>
      <c r="K635" s="1" t="s">
        <v>195</v>
      </c>
      <c r="L635">
        <v>98115</v>
      </c>
      <c r="M635" s="1" t="s">
        <v>57</v>
      </c>
      <c r="N635" s="1" t="s">
        <v>2221</v>
      </c>
      <c r="O635" s="1" t="s">
        <v>33</v>
      </c>
      <c r="P635" s="1" t="s">
        <v>39</v>
      </c>
      <c r="Q635" s="1" t="s">
        <v>2222</v>
      </c>
      <c r="R635">
        <v>123</v>
      </c>
      <c r="S635">
        <v>4</v>
      </c>
      <c r="T635">
        <v>0.2</v>
      </c>
      <c r="U635">
        <v>14</v>
      </c>
      <c r="V635" s="1" t="s">
        <v>132</v>
      </c>
      <c r="W635" s="1" t="s">
        <v>74</v>
      </c>
    </row>
    <row r="636" spans="1:23" x14ac:dyDescent="0.35">
      <c r="A636">
        <v>2985</v>
      </c>
      <c r="B636" s="1" t="s">
        <v>2231</v>
      </c>
      <c r="C636" s="2">
        <v>41979</v>
      </c>
      <c r="D636" s="2">
        <v>41984</v>
      </c>
      <c r="E636" s="1" t="s">
        <v>24</v>
      </c>
      <c r="F636" s="1" t="s">
        <v>607</v>
      </c>
      <c r="G636" s="1" t="s">
        <v>608</v>
      </c>
      <c r="H636" s="1" t="s">
        <v>27</v>
      </c>
      <c r="I636" s="1" t="s">
        <v>28</v>
      </c>
      <c r="J636" s="1" t="s">
        <v>881</v>
      </c>
      <c r="K636" s="1" t="s">
        <v>1520</v>
      </c>
      <c r="L636">
        <v>97477</v>
      </c>
      <c r="M636" s="1" t="s">
        <v>57</v>
      </c>
      <c r="N636" s="1" t="s">
        <v>1726</v>
      </c>
      <c r="O636" s="1" t="s">
        <v>33</v>
      </c>
      <c r="P636" s="1" t="s">
        <v>48</v>
      </c>
      <c r="Q636" s="1" t="s">
        <v>1727</v>
      </c>
      <c r="R636">
        <v>275</v>
      </c>
      <c r="S636">
        <v>1</v>
      </c>
      <c r="T636">
        <v>0.5</v>
      </c>
      <c r="U636">
        <v>-171</v>
      </c>
      <c r="V636" s="1" t="s">
        <v>61</v>
      </c>
      <c r="W636" s="1" t="s">
        <v>99</v>
      </c>
    </row>
    <row r="637" spans="1:23" x14ac:dyDescent="0.35">
      <c r="A637">
        <v>2986</v>
      </c>
      <c r="B637" s="1" t="s">
        <v>2232</v>
      </c>
      <c r="C637" s="2">
        <v>42515</v>
      </c>
      <c r="D637" s="2">
        <v>42520</v>
      </c>
      <c r="E637" s="1" t="s">
        <v>42</v>
      </c>
      <c r="F637" s="1" t="s">
        <v>2233</v>
      </c>
      <c r="G637" s="1" t="s">
        <v>2234</v>
      </c>
      <c r="H637" s="1" t="s">
        <v>103</v>
      </c>
      <c r="I637" s="1" t="s">
        <v>28</v>
      </c>
      <c r="J637" s="1" t="s">
        <v>350</v>
      </c>
      <c r="K637" s="1" t="s">
        <v>670</v>
      </c>
      <c r="L637">
        <v>31907</v>
      </c>
      <c r="M637" s="1" t="s">
        <v>31</v>
      </c>
      <c r="N637" s="1" t="s">
        <v>2235</v>
      </c>
      <c r="O637" s="1" t="s">
        <v>33</v>
      </c>
      <c r="P637" s="1" t="s">
        <v>59</v>
      </c>
      <c r="Q637" s="1" t="s">
        <v>2236</v>
      </c>
      <c r="R637">
        <v>25</v>
      </c>
      <c r="S637">
        <v>4</v>
      </c>
      <c r="T637">
        <v>0</v>
      </c>
      <c r="U637">
        <v>6</v>
      </c>
      <c r="V637" s="1" t="s">
        <v>61</v>
      </c>
      <c r="W637" s="1" t="s">
        <v>164</v>
      </c>
    </row>
    <row r="638" spans="1:23" x14ac:dyDescent="0.35">
      <c r="A638">
        <v>2998</v>
      </c>
      <c r="B638" s="1" t="s">
        <v>2237</v>
      </c>
      <c r="C638" s="2">
        <v>41811</v>
      </c>
      <c r="D638" s="2">
        <v>41815</v>
      </c>
      <c r="E638" s="1" t="s">
        <v>42</v>
      </c>
      <c r="F638" s="1" t="s">
        <v>2238</v>
      </c>
      <c r="G638" s="1" t="s">
        <v>2239</v>
      </c>
      <c r="H638" s="1" t="s">
        <v>27</v>
      </c>
      <c r="I638" s="1" t="s">
        <v>28</v>
      </c>
      <c r="J638" s="1" t="s">
        <v>68</v>
      </c>
      <c r="K638" s="1" t="s">
        <v>69</v>
      </c>
      <c r="L638">
        <v>19120</v>
      </c>
      <c r="M638" s="1" t="s">
        <v>70</v>
      </c>
      <c r="N638" s="1" t="s">
        <v>2240</v>
      </c>
      <c r="O638" s="1" t="s">
        <v>33</v>
      </c>
      <c r="P638" s="1" t="s">
        <v>59</v>
      </c>
      <c r="Q638" s="1" t="s">
        <v>2241</v>
      </c>
      <c r="R638">
        <v>4</v>
      </c>
      <c r="S638">
        <v>1</v>
      </c>
      <c r="T638">
        <v>0.2</v>
      </c>
      <c r="U638">
        <v>1</v>
      </c>
      <c r="V638" s="1" t="s">
        <v>86</v>
      </c>
      <c r="W638" s="1" t="s">
        <v>62</v>
      </c>
    </row>
    <row r="639" spans="1:23" x14ac:dyDescent="0.35">
      <c r="A639">
        <v>3009</v>
      </c>
      <c r="B639" s="1" t="s">
        <v>2242</v>
      </c>
      <c r="C639" s="2">
        <v>42709</v>
      </c>
      <c r="D639" s="2">
        <v>42710</v>
      </c>
      <c r="E639" s="1" t="s">
        <v>90</v>
      </c>
      <c r="F639" s="1" t="s">
        <v>1574</v>
      </c>
      <c r="G639" s="1" t="s">
        <v>1575</v>
      </c>
      <c r="H639" s="1" t="s">
        <v>27</v>
      </c>
      <c r="I639" s="1" t="s">
        <v>28</v>
      </c>
      <c r="J639" s="1" t="s">
        <v>2243</v>
      </c>
      <c r="K639" s="1" t="s">
        <v>30</v>
      </c>
      <c r="L639">
        <v>42071</v>
      </c>
      <c r="M639" s="1" t="s">
        <v>31</v>
      </c>
      <c r="N639" s="1" t="s">
        <v>1758</v>
      </c>
      <c r="O639" s="1" t="s">
        <v>33</v>
      </c>
      <c r="P639" s="1" t="s">
        <v>59</v>
      </c>
      <c r="Q639" s="1" t="s">
        <v>1759</v>
      </c>
      <c r="R639">
        <v>192</v>
      </c>
      <c r="S639">
        <v>3</v>
      </c>
      <c r="T639">
        <v>0</v>
      </c>
      <c r="U639">
        <v>75</v>
      </c>
      <c r="V639" s="1" t="s">
        <v>126</v>
      </c>
      <c r="W639" s="1" t="s">
        <v>99</v>
      </c>
    </row>
    <row r="640" spans="1:23" x14ac:dyDescent="0.35">
      <c r="A640">
        <v>3016</v>
      </c>
      <c r="B640" s="1" t="s">
        <v>2244</v>
      </c>
      <c r="C640" s="2">
        <v>42264</v>
      </c>
      <c r="D640" s="2">
        <v>42268</v>
      </c>
      <c r="E640" s="1" t="s">
        <v>42</v>
      </c>
      <c r="F640" s="1" t="s">
        <v>218</v>
      </c>
      <c r="G640" s="1" t="s">
        <v>219</v>
      </c>
      <c r="H640" s="1" t="s">
        <v>103</v>
      </c>
      <c r="I640" s="1" t="s">
        <v>28</v>
      </c>
      <c r="J640" s="1" t="s">
        <v>176</v>
      </c>
      <c r="K640" s="1" t="s">
        <v>123</v>
      </c>
      <c r="L640">
        <v>10035</v>
      </c>
      <c r="M640" s="1" t="s">
        <v>70</v>
      </c>
      <c r="N640" s="1" t="s">
        <v>925</v>
      </c>
      <c r="O640" s="1" t="s">
        <v>33</v>
      </c>
      <c r="P640" s="1" t="s">
        <v>48</v>
      </c>
      <c r="Q640" s="1" t="s">
        <v>926</v>
      </c>
      <c r="R640">
        <v>344</v>
      </c>
      <c r="S640">
        <v>2</v>
      </c>
      <c r="T640">
        <v>0.4</v>
      </c>
      <c r="U640">
        <v>-103</v>
      </c>
      <c r="V640" s="1" t="s">
        <v>86</v>
      </c>
      <c r="W640" s="1" t="s">
        <v>80</v>
      </c>
    </row>
    <row r="641" spans="1:23" x14ac:dyDescent="0.35">
      <c r="A641">
        <v>3018</v>
      </c>
      <c r="B641" s="1" t="s">
        <v>2245</v>
      </c>
      <c r="C641" s="2">
        <v>42605</v>
      </c>
      <c r="D641" s="2">
        <v>42612</v>
      </c>
      <c r="E641" s="1" t="s">
        <v>42</v>
      </c>
      <c r="F641" s="1" t="s">
        <v>1147</v>
      </c>
      <c r="G641" s="1" t="s">
        <v>1148</v>
      </c>
      <c r="H641" s="1" t="s">
        <v>103</v>
      </c>
      <c r="I641" s="1" t="s">
        <v>28</v>
      </c>
      <c r="J641" s="1" t="s">
        <v>2246</v>
      </c>
      <c r="K641" s="1" t="s">
        <v>95</v>
      </c>
      <c r="L641">
        <v>78577</v>
      </c>
      <c r="M641" s="1" t="s">
        <v>96</v>
      </c>
      <c r="N641" s="1" t="s">
        <v>1545</v>
      </c>
      <c r="O641" s="1" t="s">
        <v>33</v>
      </c>
      <c r="P641" s="1" t="s">
        <v>59</v>
      </c>
      <c r="Q641" s="1" t="s">
        <v>1546</v>
      </c>
      <c r="R641">
        <v>23</v>
      </c>
      <c r="S641">
        <v>3</v>
      </c>
      <c r="T641">
        <v>0.6</v>
      </c>
      <c r="U641">
        <v>-10</v>
      </c>
      <c r="V641" s="1" t="s">
        <v>50</v>
      </c>
      <c r="W641" s="1" t="s">
        <v>256</v>
      </c>
    </row>
    <row r="642" spans="1:23" x14ac:dyDescent="0.35">
      <c r="A642">
        <v>3022</v>
      </c>
      <c r="B642" s="1" t="s">
        <v>2247</v>
      </c>
      <c r="C642" s="2">
        <v>42316</v>
      </c>
      <c r="D642" s="2">
        <v>42322</v>
      </c>
      <c r="E642" s="1" t="s">
        <v>42</v>
      </c>
      <c r="F642" s="1" t="s">
        <v>510</v>
      </c>
      <c r="G642" s="1" t="s">
        <v>511</v>
      </c>
      <c r="H642" s="1" t="s">
        <v>27</v>
      </c>
      <c r="I642" s="1" t="s">
        <v>28</v>
      </c>
      <c r="J642" s="1" t="s">
        <v>2248</v>
      </c>
      <c r="K642" s="1" t="s">
        <v>79</v>
      </c>
      <c r="L642">
        <v>84084</v>
      </c>
      <c r="M642" s="1" t="s">
        <v>57</v>
      </c>
      <c r="N642" s="1" t="s">
        <v>833</v>
      </c>
      <c r="O642" s="1" t="s">
        <v>33</v>
      </c>
      <c r="P642" s="1" t="s">
        <v>59</v>
      </c>
      <c r="Q642" s="1" t="s">
        <v>834</v>
      </c>
      <c r="R642">
        <v>67</v>
      </c>
      <c r="S642">
        <v>3</v>
      </c>
      <c r="T642">
        <v>0</v>
      </c>
      <c r="U642">
        <v>22</v>
      </c>
      <c r="V642" s="1" t="s">
        <v>132</v>
      </c>
      <c r="W642" s="1" t="s">
        <v>37</v>
      </c>
    </row>
    <row r="643" spans="1:23" x14ac:dyDescent="0.35">
      <c r="A643">
        <v>3024</v>
      </c>
      <c r="B643" s="1" t="s">
        <v>2249</v>
      </c>
      <c r="C643" s="2">
        <v>43056</v>
      </c>
      <c r="D643" s="2">
        <v>43062</v>
      </c>
      <c r="E643" s="1" t="s">
        <v>42</v>
      </c>
      <c r="F643" s="1" t="s">
        <v>2250</v>
      </c>
      <c r="G643" s="1" t="s">
        <v>2251</v>
      </c>
      <c r="H643" s="1" t="s">
        <v>27</v>
      </c>
      <c r="I643" s="1" t="s">
        <v>28</v>
      </c>
      <c r="J643" s="1" t="s">
        <v>2252</v>
      </c>
      <c r="K643" s="1" t="s">
        <v>95</v>
      </c>
      <c r="L643">
        <v>78521</v>
      </c>
      <c r="M643" s="1" t="s">
        <v>96</v>
      </c>
      <c r="N643" s="1" t="s">
        <v>1778</v>
      </c>
      <c r="O643" s="1" t="s">
        <v>33</v>
      </c>
      <c r="P643" s="1" t="s">
        <v>34</v>
      </c>
      <c r="Q643" s="1" t="s">
        <v>1779</v>
      </c>
      <c r="R643">
        <v>328</v>
      </c>
      <c r="S643">
        <v>2</v>
      </c>
      <c r="T643">
        <v>0.32</v>
      </c>
      <c r="U643">
        <v>-14</v>
      </c>
      <c r="V643" s="1" t="s">
        <v>132</v>
      </c>
      <c r="W643" s="1" t="s">
        <v>37</v>
      </c>
    </row>
    <row r="644" spans="1:23" x14ac:dyDescent="0.35">
      <c r="A644">
        <v>3027</v>
      </c>
      <c r="B644" s="1" t="s">
        <v>2253</v>
      </c>
      <c r="C644" s="2">
        <v>42847</v>
      </c>
      <c r="D644" s="2">
        <v>42851</v>
      </c>
      <c r="E644" s="1" t="s">
        <v>42</v>
      </c>
      <c r="F644" s="1" t="s">
        <v>662</v>
      </c>
      <c r="G644" s="1" t="s">
        <v>663</v>
      </c>
      <c r="H644" s="1" t="s">
        <v>103</v>
      </c>
      <c r="I644" s="1" t="s">
        <v>28</v>
      </c>
      <c r="J644" s="1" t="s">
        <v>68</v>
      </c>
      <c r="K644" s="1" t="s">
        <v>69</v>
      </c>
      <c r="L644">
        <v>19140</v>
      </c>
      <c r="M644" s="1" t="s">
        <v>70</v>
      </c>
      <c r="N644" s="1" t="s">
        <v>1394</v>
      </c>
      <c r="O644" s="1" t="s">
        <v>33</v>
      </c>
      <c r="P644" s="1" t="s">
        <v>59</v>
      </c>
      <c r="Q644" s="1" t="s">
        <v>1395</v>
      </c>
      <c r="R644">
        <v>254</v>
      </c>
      <c r="S644">
        <v>3</v>
      </c>
      <c r="T644">
        <v>0.2</v>
      </c>
      <c r="U644">
        <v>0</v>
      </c>
      <c r="V644" s="1" t="s">
        <v>86</v>
      </c>
      <c r="W644" s="1" t="s">
        <v>116</v>
      </c>
    </row>
    <row r="645" spans="1:23" x14ac:dyDescent="0.35">
      <c r="A645">
        <v>3029</v>
      </c>
      <c r="B645" s="1" t="s">
        <v>2254</v>
      </c>
      <c r="C645" s="2">
        <v>43086</v>
      </c>
      <c r="D645" s="2">
        <v>43090</v>
      </c>
      <c r="E645" s="1" t="s">
        <v>42</v>
      </c>
      <c r="F645" s="1" t="s">
        <v>1337</v>
      </c>
      <c r="G645" s="1" t="s">
        <v>1338</v>
      </c>
      <c r="H645" s="1" t="s">
        <v>27</v>
      </c>
      <c r="I645" s="1" t="s">
        <v>28</v>
      </c>
      <c r="J645" s="1" t="s">
        <v>2123</v>
      </c>
      <c r="K645" s="1" t="s">
        <v>719</v>
      </c>
      <c r="L645">
        <v>23320</v>
      </c>
      <c r="M645" s="1" t="s">
        <v>31</v>
      </c>
      <c r="N645" s="1" t="s">
        <v>1189</v>
      </c>
      <c r="O645" s="1" t="s">
        <v>33</v>
      </c>
      <c r="P645" s="1" t="s">
        <v>39</v>
      </c>
      <c r="Q645" s="1" t="s">
        <v>1190</v>
      </c>
      <c r="R645">
        <v>505</v>
      </c>
      <c r="S645">
        <v>5</v>
      </c>
      <c r="T645">
        <v>0</v>
      </c>
      <c r="U645">
        <v>81</v>
      </c>
      <c r="V645" s="1" t="s">
        <v>86</v>
      </c>
      <c r="W645" s="1" t="s">
        <v>99</v>
      </c>
    </row>
    <row r="646" spans="1:23" x14ac:dyDescent="0.35">
      <c r="A646">
        <v>3031</v>
      </c>
      <c r="B646" s="1" t="s">
        <v>2255</v>
      </c>
      <c r="C646" s="2">
        <v>42268</v>
      </c>
      <c r="D646" s="2">
        <v>42274</v>
      </c>
      <c r="E646" s="1" t="s">
        <v>42</v>
      </c>
      <c r="F646" s="1" t="s">
        <v>2256</v>
      </c>
      <c r="G646" s="1" t="s">
        <v>2257</v>
      </c>
      <c r="H646" s="1" t="s">
        <v>93</v>
      </c>
      <c r="I646" s="1" t="s">
        <v>28</v>
      </c>
      <c r="J646" s="1" t="s">
        <v>2258</v>
      </c>
      <c r="K646" s="1" t="s">
        <v>292</v>
      </c>
      <c r="L646">
        <v>48146</v>
      </c>
      <c r="M646" s="1" t="s">
        <v>96</v>
      </c>
      <c r="N646" s="1" t="s">
        <v>1606</v>
      </c>
      <c r="O646" s="1" t="s">
        <v>33</v>
      </c>
      <c r="P646" s="1" t="s">
        <v>34</v>
      </c>
      <c r="Q646" s="1" t="s">
        <v>1607</v>
      </c>
      <c r="R646">
        <v>194</v>
      </c>
      <c r="S646">
        <v>4</v>
      </c>
      <c r="T646">
        <v>0</v>
      </c>
      <c r="U646">
        <v>31</v>
      </c>
      <c r="V646" s="1" t="s">
        <v>132</v>
      </c>
      <c r="W646" s="1" t="s">
        <v>80</v>
      </c>
    </row>
    <row r="647" spans="1:23" x14ac:dyDescent="0.35">
      <c r="A647">
        <v>3033</v>
      </c>
      <c r="B647" s="1" t="s">
        <v>2259</v>
      </c>
      <c r="C647" s="2">
        <v>42695</v>
      </c>
      <c r="D647" s="2">
        <v>42700</v>
      </c>
      <c r="E647" s="1" t="s">
        <v>42</v>
      </c>
      <c r="F647" s="1" t="s">
        <v>2260</v>
      </c>
      <c r="G647" s="1" t="s">
        <v>2261</v>
      </c>
      <c r="H647" s="1" t="s">
        <v>27</v>
      </c>
      <c r="I647" s="1" t="s">
        <v>28</v>
      </c>
      <c r="J647" s="1" t="s">
        <v>2262</v>
      </c>
      <c r="K647" s="1" t="s">
        <v>1520</v>
      </c>
      <c r="L647">
        <v>97030</v>
      </c>
      <c r="M647" s="1" t="s">
        <v>57</v>
      </c>
      <c r="N647" s="1" t="s">
        <v>1659</v>
      </c>
      <c r="O647" s="1" t="s">
        <v>33</v>
      </c>
      <c r="P647" s="1" t="s">
        <v>39</v>
      </c>
      <c r="Q647" s="1" t="s">
        <v>1660</v>
      </c>
      <c r="R647">
        <v>195</v>
      </c>
      <c r="S647">
        <v>4</v>
      </c>
      <c r="T647">
        <v>0.2</v>
      </c>
      <c r="U647">
        <v>-12</v>
      </c>
      <c r="V647" s="1" t="s">
        <v>61</v>
      </c>
      <c r="W647" s="1" t="s">
        <v>37</v>
      </c>
    </row>
    <row r="648" spans="1:23" x14ac:dyDescent="0.35">
      <c r="A648">
        <v>3039</v>
      </c>
      <c r="B648" s="1" t="s">
        <v>2263</v>
      </c>
      <c r="C648" s="2">
        <v>42166</v>
      </c>
      <c r="D648" s="2">
        <v>42171</v>
      </c>
      <c r="E648" s="1" t="s">
        <v>42</v>
      </c>
      <c r="F648" s="1" t="s">
        <v>1063</v>
      </c>
      <c r="G648" s="1" t="s">
        <v>1064</v>
      </c>
      <c r="H648" s="1" t="s">
        <v>27</v>
      </c>
      <c r="I648" s="1" t="s">
        <v>28</v>
      </c>
      <c r="J648" s="1" t="s">
        <v>1038</v>
      </c>
      <c r="K648" s="1" t="s">
        <v>1409</v>
      </c>
      <c r="L648">
        <v>71203</v>
      </c>
      <c r="M648" s="1" t="s">
        <v>31</v>
      </c>
      <c r="N648" s="1" t="s">
        <v>2264</v>
      </c>
      <c r="O648" s="1" t="s">
        <v>33</v>
      </c>
      <c r="P648" s="1" t="s">
        <v>59</v>
      </c>
      <c r="Q648" s="1" t="s">
        <v>2265</v>
      </c>
      <c r="R648">
        <v>29</v>
      </c>
      <c r="S648">
        <v>2</v>
      </c>
      <c r="T648">
        <v>0</v>
      </c>
      <c r="U648">
        <v>11</v>
      </c>
      <c r="V648" s="1" t="s">
        <v>61</v>
      </c>
      <c r="W648" s="1" t="s">
        <v>62</v>
      </c>
    </row>
    <row r="649" spans="1:23" x14ac:dyDescent="0.35">
      <c r="A649">
        <v>3040</v>
      </c>
      <c r="B649" s="1" t="s">
        <v>2266</v>
      </c>
      <c r="C649" s="2">
        <v>43011</v>
      </c>
      <c r="D649" s="2">
        <v>43016</v>
      </c>
      <c r="E649" s="1" t="s">
        <v>42</v>
      </c>
      <c r="F649" s="1" t="s">
        <v>2267</v>
      </c>
      <c r="G649" s="1" t="s">
        <v>2268</v>
      </c>
      <c r="H649" s="1" t="s">
        <v>93</v>
      </c>
      <c r="I649" s="1" t="s">
        <v>28</v>
      </c>
      <c r="J649" s="1" t="s">
        <v>1188</v>
      </c>
      <c r="K649" s="1" t="s">
        <v>56</v>
      </c>
      <c r="L649">
        <v>91104</v>
      </c>
      <c r="M649" s="1" t="s">
        <v>57</v>
      </c>
      <c r="N649" s="1" t="s">
        <v>910</v>
      </c>
      <c r="O649" s="1" t="s">
        <v>33</v>
      </c>
      <c r="P649" s="1" t="s">
        <v>48</v>
      </c>
      <c r="Q649" s="1" t="s">
        <v>911</v>
      </c>
      <c r="R649">
        <v>171</v>
      </c>
      <c r="S649">
        <v>3</v>
      </c>
      <c r="T649">
        <v>0.2</v>
      </c>
      <c r="U649">
        <v>-6</v>
      </c>
      <c r="V649" s="1" t="s">
        <v>61</v>
      </c>
      <c r="W649" s="1" t="s">
        <v>51</v>
      </c>
    </row>
    <row r="650" spans="1:23" x14ac:dyDescent="0.35">
      <c r="A650">
        <v>3041</v>
      </c>
      <c r="B650" s="1" t="s">
        <v>2269</v>
      </c>
      <c r="C650" s="2">
        <v>42495</v>
      </c>
      <c r="D650" s="2">
        <v>42499</v>
      </c>
      <c r="E650" s="1" t="s">
        <v>42</v>
      </c>
      <c r="F650" s="1" t="s">
        <v>2270</v>
      </c>
      <c r="G650" s="1" t="s">
        <v>2271</v>
      </c>
      <c r="H650" s="1" t="s">
        <v>27</v>
      </c>
      <c r="I650" s="1" t="s">
        <v>28</v>
      </c>
      <c r="J650" s="1" t="s">
        <v>2272</v>
      </c>
      <c r="K650" s="1" t="s">
        <v>144</v>
      </c>
      <c r="L650">
        <v>37421</v>
      </c>
      <c r="M650" s="1" t="s">
        <v>31</v>
      </c>
      <c r="N650" s="1" t="s">
        <v>1314</v>
      </c>
      <c r="O650" s="1" t="s">
        <v>33</v>
      </c>
      <c r="P650" s="1" t="s">
        <v>59</v>
      </c>
      <c r="Q650" s="1" t="s">
        <v>1315</v>
      </c>
      <c r="R650">
        <v>17</v>
      </c>
      <c r="S650">
        <v>5</v>
      </c>
      <c r="T650">
        <v>0.2</v>
      </c>
      <c r="U650">
        <v>3</v>
      </c>
      <c r="V650" s="1" t="s">
        <v>86</v>
      </c>
      <c r="W650" s="1" t="s">
        <v>164</v>
      </c>
    </row>
    <row r="651" spans="1:23" x14ac:dyDescent="0.35">
      <c r="A651">
        <v>3044</v>
      </c>
      <c r="B651" s="1" t="s">
        <v>2273</v>
      </c>
      <c r="C651" s="2">
        <v>42989</v>
      </c>
      <c r="D651" s="2">
        <v>42990</v>
      </c>
      <c r="E651" s="1" t="s">
        <v>428</v>
      </c>
      <c r="F651" s="1" t="s">
        <v>2274</v>
      </c>
      <c r="G651" s="1" t="s">
        <v>2275</v>
      </c>
      <c r="H651" s="1" t="s">
        <v>103</v>
      </c>
      <c r="I651" s="1" t="s">
        <v>28</v>
      </c>
      <c r="J651" s="1" t="s">
        <v>733</v>
      </c>
      <c r="K651" s="1" t="s">
        <v>56</v>
      </c>
      <c r="L651">
        <v>90805</v>
      </c>
      <c r="M651" s="1" t="s">
        <v>57</v>
      </c>
      <c r="N651" s="1" t="s">
        <v>2276</v>
      </c>
      <c r="O651" s="1" t="s">
        <v>33</v>
      </c>
      <c r="P651" s="1" t="s">
        <v>39</v>
      </c>
      <c r="Q651" s="1" t="s">
        <v>2277</v>
      </c>
      <c r="R651">
        <v>2054</v>
      </c>
      <c r="S651">
        <v>8</v>
      </c>
      <c r="T651">
        <v>0.2</v>
      </c>
      <c r="U651">
        <v>257</v>
      </c>
      <c r="V651" s="1" t="s">
        <v>126</v>
      </c>
      <c r="W651" s="1" t="s">
        <v>80</v>
      </c>
    </row>
    <row r="652" spans="1:23" x14ac:dyDescent="0.35">
      <c r="A652">
        <v>3049</v>
      </c>
      <c r="B652" s="1" t="s">
        <v>2278</v>
      </c>
      <c r="C652" s="2">
        <v>42827</v>
      </c>
      <c r="D652" s="2">
        <v>42829</v>
      </c>
      <c r="E652" s="1" t="s">
        <v>90</v>
      </c>
      <c r="F652" s="1" t="s">
        <v>2279</v>
      </c>
      <c r="G652" s="1" t="s">
        <v>2280</v>
      </c>
      <c r="H652" s="1" t="s">
        <v>103</v>
      </c>
      <c r="I652" s="1" t="s">
        <v>28</v>
      </c>
      <c r="J652" s="1" t="s">
        <v>350</v>
      </c>
      <c r="K652" s="1" t="s">
        <v>670</v>
      </c>
      <c r="L652">
        <v>31907</v>
      </c>
      <c r="M652" s="1" t="s">
        <v>31</v>
      </c>
      <c r="N652" s="1" t="s">
        <v>215</v>
      </c>
      <c r="O652" s="1" t="s">
        <v>33</v>
      </c>
      <c r="P652" s="1" t="s">
        <v>48</v>
      </c>
      <c r="Q652" s="1" t="s">
        <v>216</v>
      </c>
      <c r="R652">
        <v>412</v>
      </c>
      <c r="S652">
        <v>2</v>
      </c>
      <c r="T652">
        <v>0</v>
      </c>
      <c r="U652">
        <v>70</v>
      </c>
      <c r="V652" s="1" t="s">
        <v>73</v>
      </c>
      <c r="W652" s="1" t="s">
        <v>116</v>
      </c>
    </row>
    <row r="653" spans="1:23" x14ac:dyDescent="0.35">
      <c r="A653">
        <v>3051</v>
      </c>
      <c r="B653" s="1" t="s">
        <v>2281</v>
      </c>
      <c r="C653" s="2">
        <v>43014</v>
      </c>
      <c r="D653" s="2">
        <v>43019</v>
      </c>
      <c r="E653" s="1" t="s">
        <v>42</v>
      </c>
      <c r="F653" s="1" t="s">
        <v>348</v>
      </c>
      <c r="G653" s="1" t="s">
        <v>349</v>
      </c>
      <c r="H653" s="1" t="s">
        <v>103</v>
      </c>
      <c r="I653" s="1" t="s">
        <v>28</v>
      </c>
      <c r="J653" s="1" t="s">
        <v>2282</v>
      </c>
      <c r="K653" s="1" t="s">
        <v>2283</v>
      </c>
      <c r="L653">
        <v>83642</v>
      </c>
      <c r="M653" s="1" t="s">
        <v>57</v>
      </c>
      <c r="N653" s="1" t="s">
        <v>2284</v>
      </c>
      <c r="O653" s="1" t="s">
        <v>33</v>
      </c>
      <c r="P653" s="1" t="s">
        <v>59</v>
      </c>
      <c r="Q653" s="1" t="s">
        <v>2285</v>
      </c>
      <c r="R653">
        <v>42</v>
      </c>
      <c r="S653">
        <v>2</v>
      </c>
      <c r="T653">
        <v>0</v>
      </c>
      <c r="U653">
        <v>3</v>
      </c>
      <c r="V653" s="1" t="s">
        <v>61</v>
      </c>
      <c r="W653" s="1" t="s">
        <v>51</v>
      </c>
    </row>
    <row r="654" spans="1:23" x14ac:dyDescent="0.35">
      <c r="A654">
        <v>3059</v>
      </c>
      <c r="B654" s="1" t="s">
        <v>2286</v>
      </c>
      <c r="C654" s="2">
        <v>43027</v>
      </c>
      <c r="D654" s="2">
        <v>43032</v>
      </c>
      <c r="E654" s="1" t="s">
        <v>24</v>
      </c>
      <c r="F654" s="1" t="s">
        <v>2287</v>
      </c>
      <c r="G654" s="1" t="s">
        <v>2288</v>
      </c>
      <c r="H654" s="1" t="s">
        <v>93</v>
      </c>
      <c r="I654" s="1" t="s">
        <v>28</v>
      </c>
      <c r="J654" s="1" t="s">
        <v>331</v>
      </c>
      <c r="K654" s="1" t="s">
        <v>56</v>
      </c>
      <c r="L654">
        <v>94110</v>
      </c>
      <c r="M654" s="1" t="s">
        <v>57</v>
      </c>
      <c r="N654" s="1" t="s">
        <v>873</v>
      </c>
      <c r="O654" s="1" t="s">
        <v>33</v>
      </c>
      <c r="P654" s="1" t="s">
        <v>59</v>
      </c>
      <c r="Q654" s="1" t="s">
        <v>874</v>
      </c>
      <c r="R654">
        <v>31</v>
      </c>
      <c r="S654">
        <v>2</v>
      </c>
      <c r="T654">
        <v>0</v>
      </c>
      <c r="U654">
        <v>10</v>
      </c>
      <c r="V654" s="1" t="s">
        <v>61</v>
      </c>
      <c r="W654" s="1" t="s">
        <v>51</v>
      </c>
    </row>
    <row r="655" spans="1:23" x14ac:dyDescent="0.35">
      <c r="A655">
        <v>3060</v>
      </c>
      <c r="B655" s="1" t="s">
        <v>2286</v>
      </c>
      <c r="C655" s="2">
        <v>43027</v>
      </c>
      <c r="D655" s="2">
        <v>43032</v>
      </c>
      <c r="E655" s="1" t="s">
        <v>24</v>
      </c>
      <c r="F655" s="1" t="s">
        <v>2287</v>
      </c>
      <c r="G655" s="1" t="s">
        <v>2288</v>
      </c>
      <c r="H655" s="1" t="s">
        <v>93</v>
      </c>
      <c r="I655" s="1" t="s">
        <v>28</v>
      </c>
      <c r="J655" s="1" t="s">
        <v>331</v>
      </c>
      <c r="K655" s="1" t="s">
        <v>56</v>
      </c>
      <c r="L655">
        <v>94110</v>
      </c>
      <c r="M655" s="1" t="s">
        <v>57</v>
      </c>
      <c r="N655" s="1" t="s">
        <v>2289</v>
      </c>
      <c r="O655" s="1" t="s">
        <v>33</v>
      </c>
      <c r="P655" s="1" t="s">
        <v>48</v>
      </c>
      <c r="Q655" s="1" t="s">
        <v>2290</v>
      </c>
      <c r="R655">
        <v>24</v>
      </c>
      <c r="S655">
        <v>2</v>
      </c>
      <c r="T655">
        <v>0.2</v>
      </c>
      <c r="U655">
        <v>-3</v>
      </c>
      <c r="V655" s="1" t="s">
        <v>61</v>
      </c>
      <c r="W655" s="1" t="s">
        <v>51</v>
      </c>
    </row>
    <row r="656" spans="1:23" x14ac:dyDescent="0.35">
      <c r="A656">
        <v>3072</v>
      </c>
      <c r="B656" s="1" t="s">
        <v>2291</v>
      </c>
      <c r="C656" s="2">
        <v>41960</v>
      </c>
      <c r="D656" s="2">
        <v>41965</v>
      </c>
      <c r="E656" s="1" t="s">
        <v>42</v>
      </c>
      <c r="F656" s="1" t="s">
        <v>2292</v>
      </c>
      <c r="G656" s="1" t="s">
        <v>2293</v>
      </c>
      <c r="H656" s="1" t="s">
        <v>93</v>
      </c>
      <c r="I656" s="1" t="s">
        <v>28</v>
      </c>
      <c r="J656" s="1" t="s">
        <v>233</v>
      </c>
      <c r="K656" s="1" t="s">
        <v>203</v>
      </c>
      <c r="L656">
        <v>19711</v>
      </c>
      <c r="M656" s="1" t="s">
        <v>70</v>
      </c>
      <c r="N656" s="1" t="s">
        <v>2294</v>
      </c>
      <c r="O656" s="1" t="s">
        <v>33</v>
      </c>
      <c r="P656" s="1" t="s">
        <v>59</v>
      </c>
      <c r="Q656" s="1" t="s">
        <v>2295</v>
      </c>
      <c r="R656">
        <v>124</v>
      </c>
      <c r="S656">
        <v>3</v>
      </c>
      <c r="T656">
        <v>0</v>
      </c>
      <c r="U656">
        <v>15</v>
      </c>
      <c r="V656" s="1" t="s">
        <v>61</v>
      </c>
      <c r="W656" s="1" t="s">
        <v>37</v>
      </c>
    </row>
    <row r="657" spans="1:23" x14ac:dyDescent="0.35">
      <c r="A657">
        <v>3075</v>
      </c>
      <c r="B657" s="1" t="s">
        <v>2296</v>
      </c>
      <c r="C657" s="2">
        <v>42280</v>
      </c>
      <c r="D657" s="2">
        <v>42285</v>
      </c>
      <c r="E657" s="1" t="s">
        <v>42</v>
      </c>
      <c r="F657" s="1" t="s">
        <v>266</v>
      </c>
      <c r="G657" s="1" t="s">
        <v>267</v>
      </c>
      <c r="H657" s="1" t="s">
        <v>27</v>
      </c>
      <c r="I657" s="1" t="s">
        <v>28</v>
      </c>
      <c r="J657" s="1" t="s">
        <v>55</v>
      </c>
      <c r="K657" s="1" t="s">
        <v>56</v>
      </c>
      <c r="L657">
        <v>90032</v>
      </c>
      <c r="M657" s="1" t="s">
        <v>57</v>
      </c>
      <c r="N657" s="1" t="s">
        <v>813</v>
      </c>
      <c r="O657" s="1" t="s">
        <v>33</v>
      </c>
      <c r="P657" s="1" t="s">
        <v>34</v>
      </c>
      <c r="Q657" s="1" t="s">
        <v>814</v>
      </c>
      <c r="R657">
        <v>121</v>
      </c>
      <c r="S657">
        <v>2</v>
      </c>
      <c r="T657">
        <v>0.15</v>
      </c>
      <c r="U657">
        <v>18</v>
      </c>
      <c r="V657" s="1" t="s">
        <v>61</v>
      </c>
      <c r="W657" s="1" t="s">
        <v>51</v>
      </c>
    </row>
    <row r="658" spans="1:23" x14ac:dyDescent="0.35">
      <c r="A658">
        <v>3077</v>
      </c>
      <c r="B658" s="1" t="s">
        <v>2297</v>
      </c>
      <c r="C658" s="2">
        <v>41840</v>
      </c>
      <c r="D658" s="2">
        <v>41844</v>
      </c>
      <c r="E658" s="1" t="s">
        <v>42</v>
      </c>
      <c r="F658" s="1" t="s">
        <v>2298</v>
      </c>
      <c r="G658" s="1" t="s">
        <v>2299</v>
      </c>
      <c r="H658" s="1" t="s">
        <v>103</v>
      </c>
      <c r="I658" s="1" t="s">
        <v>28</v>
      </c>
      <c r="J658" s="1" t="s">
        <v>1742</v>
      </c>
      <c r="K658" s="1" t="s">
        <v>95</v>
      </c>
      <c r="L658">
        <v>75217</v>
      </c>
      <c r="M658" s="1" t="s">
        <v>96</v>
      </c>
      <c r="N658" s="1" t="s">
        <v>1150</v>
      </c>
      <c r="O658" s="1" t="s">
        <v>33</v>
      </c>
      <c r="P658" s="1" t="s">
        <v>59</v>
      </c>
      <c r="Q658" s="1" t="s">
        <v>1151</v>
      </c>
      <c r="R658">
        <v>17</v>
      </c>
      <c r="S658">
        <v>5</v>
      </c>
      <c r="T658">
        <v>0.6</v>
      </c>
      <c r="U658">
        <v>-14</v>
      </c>
      <c r="V658" s="1" t="s">
        <v>86</v>
      </c>
      <c r="W658" s="1" t="s">
        <v>74</v>
      </c>
    </row>
    <row r="659" spans="1:23" x14ac:dyDescent="0.35">
      <c r="A659">
        <v>3078</v>
      </c>
      <c r="B659" s="1" t="s">
        <v>2297</v>
      </c>
      <c r="C659" s="2">
        <v>41840</v>
      </c>
      <c r="D659" s="2">
        <v>41844</v>
      </c>
      <c r="E659" s="1" t="s">
        <v>42</v>
      </c>
      <c r="F659" s="1" t="s">
        <v>2298</v>
      </c>
      <c r="G659" s="1" t="s">
        <v>2299</v>
      </c>
      <c r="H659" s="1" t="s">
        <v>103</v>
      </c>
      <c r="I659" s="1" t="s">
        <v>28</v>
      </c>
      <c r="J659" s="1" t="s">
        <v>1742</v>
      </c>
      <c r="K659" s="1" t="s">
        <v>95</v>
      </c>
      <c r="L659">
        <v>75217</v>
      </c>
      <c r="M659" s="1" t="s">
        <v>96</v>
      </c>
      <c r="N659" s="1" t="s">
        <v>604</v>
      </c>
      <c r="O659" s="1" t="s">
        <v>33</v>
      </c>
      <c r="P659" s="1" t="s">
        <v>39</v>
      </c>
      <c r="Q659" s="1" t="s">
        <v>605</v>
      </c>
      <c r="R659">
        <v>981</v>
      </c>
      <c r="S659">
        <v>2</v>
      </c>
      <c r="T659">
        <v>0.3</v>
      </c>
      <c r="U659">
        <v>-140</v>
      </c>
      <c r="V659" s="1" t="s">
        <v>86</v>
      </c>
      <c r="W659" s="1" t="s">
        <v>74</v>
      </c>
    </row>
    <row r="660" spans="1:23" x14ac:dyDescent="0.35">
      <c r="A660">
        <v>3087</v>
      </c>
      <c r="B660" s="1" t="s">
        <v>2300</v>
      </c>
      <c r="C660" s="2">
        <v>42775</v>
      </c>
      <c r="D660" s="2">
        <v>42780</v>
      </c>
      <c r="E660" s="1" t="s">
        <v>42</v>
      </c>
      <c r="F660" s="1" t="s">
        <v>2301</v>
      </c>
      <c r="G660" s="1" t="s">
        <v>2302</v>
      </c>
      <c r="H660" s="1" t="s">
        <v>27</v>
      </c>
      <c r="I660" s="1" t="s">
        <v>28</v>
      </c>
      <c r="J660" s="1" t="s">
        <v>104</v>
      </c>
      <c r="K660" s="1" t="s">
        <v>95</v>
      </c>
      <c r="L660">
        <v>77070</v>
      </c>
      <c r="M660" s="1" t="s">
        <v>96</v>
      </c>
      <c r="N660" s="1" t="s">
        <v>2240</v>
      </c>
      <c r="O660" s="1" t="s">
        <v>33</v>
      </c>
      <c r="P660" s="1" t="s">
        <v>59</v>
      </c>
      <c r="Q660" s="1" t="s">
        <v>2241</v>
      </c>
      <c r="R660">
        <v>4</v>
      </c>
      <c r="S660">
        <v>2</v>
      </c>
      <c r="T660">
        <v>0.6</v>
      </c>
      <c r="U660">
        <v>-3</v>
      </c>
      <c r="V660" s="1" t="s">
        <v>61</v>
      </c>
      <c r="W660" s="1" t="s">
        <v>300</v>
      </c>
    </row>
    <row r="661" spans="1:23" x14ac:dyDescent="0.35">
      <c r="A661">
        <v>3089</v>
      </c>
      <c r="B661" s="1" t="s">
        <v>2303</v>
      </c>
      <c r="C661" s="2">
        <v>42825</v>
      </c>
      <c r="D661" s="2">
        <v>42827</v>
      </c>
      <c r="E661" s="1" t="s">
        <v>24</v>
      </c>
      <c r="F661" s="1" t="s">
        <v>2304</v>
      </c>
      <c r="G661" s="1" t="s">
        <v>2305</v>
      </c>
      <c r="H661" s="1" t="s">
        <v>103</v>
      </c>
      <c r="I661" s="1" t="s">
        <v>28</v>
      </c>
      <c r="J661" s="1" t="s">
        <v>29</v>
      </c>
      <c r="K661" s="1" t="s">
        <v>30</v>
      </c>
      <c r="L661">
        <v>42420</v>
      </c>
      <c r="M661" s="1" t="s">
        <v>31</v>
      </c>
      <c r="N661" s="1" t="s">
        <v>1485</v>
      </c>
      <c r="O661" s="1" t="s">
        <v>33</v>
      </c>
      <c r="P661" s="1" t="s">
        <v>59</v>
      </c>
      <c r="Q661" s="1" t="s">
        <v>1486</v>
      </c>
      <c r="R661">
        <v>61</v>
      </c>
      <c r="S661">
        <v>5</v>
      </c>
      <c r="T661">
        <v>0</v>
      </c>
      <c r="U661">
        <v>26</v>
      </c>
      <c r="V661" s="1" t="s">
        <v>73</v>
      </c>
      <c r="W661" s="1" t="s">
        <v>198</v>
      </c>
    </row>
    <row r="662" spans="1:23" x14ac:dyDescent="0.35">
      <c r="A662">
        <v>3099</v>
      </c>
      <c r="B662" s="1" t="s">
        <v>2306</v>
      </c>
      <c r="C662" s="2">
        <v>42852</v>
      </c>
      <c r="D662" s="2">
        <v>42856</v>
      </c>
      <c r="E662" s="1" t="s">
        <v>42</v>
      </c>
      <c r="F662" s="1" t="s">
        <v>187</v>
      </c>
      <c r="G662" s="1" t="s">
        <v>188</v>
      </c>
      <c r="H662" s="1" t="s">
        <v>93</v>
      </c>
      <c r="I662" s="1" t="s">
        <v>28</v>
      </c>
      <c r="J662" s="1" t="s">
        <v>598</v>
      </c>
      <c r="K662" s="1" t="s">
        <v>95</v>
      </c>
      <c r="L662">
        <v>76106</v>
      </c>
      <c r="M662" s="1" t="s">
        <v>96</v>
      </c>
      <c r="N662" s="1" t="s">
        <v>418</v>
      </c>
      <c r="O662" s="1" t="s">
        <v>33</v>
      </c>
      <c r="P662" s="1" t="s">
        <v>34</v>
      </c>
      <c r="Q662" s="1" t="s">
        <v>419</v>
      </c>
      <c r="R662">
        <v>220</v>
      </c>
      <c r="S662">
        <v>4</v>
      </c>
      <c r="T662">
        <v>0.32</v>
      </c>
      <c r="U662">
        <v>-42</v>
      </c>
      <c r="V662" s="1" t="s">
        <v>86</v>
      </c>
      <c r="W662" s="1" t="s">
        <v>116</v>
      </c>
    </row>
    <row r="663" spans="1:23" x14ac:dyDescent="0.35">
      <c r="A663">
        <v>3101</v>
      </c>
      <c r="B663" s="1" t="s">
        <v>2307</v>
      </c>
      <c r="C663" s="2">
        <v>42839</v>
      </c>
      <c r="D663" s="2">
        <v>42844</v>
      </c>
      <c r="E663" s="1" t="s">
        <v>42</v>
      </c>
      <c r="F663" s="1" t="s">
        <v>2308</v>
      </c>
      <c r="G663" s="1" t="s">
        <v>2309</v>
      </c>
      <c r="H663" s="1" t="s">
        <v>27</v>
      </c>
      <c r="I663" s="1" t="s">
        <v>28</v>
      </c>
      <c r="J663" s="1" t="s">
        <v>176</v>
      </c>
      <c r="K663" s="1" t="s">
        <v>123</v>
      </c>
      <c r="L663">
        <v>10024</v>
      </c>
      <c r="M663" s="1" t="s">
        <v>70</v>
      </c>
      <c r="N663" s="1" t="s">
        <v>901</v>
      </c>
      <c r="O663" s="1" t="s">
        <v>33</v>
      </c>
      <c r="P663" s="1" t="s">
        <v>34</v>
      </c>
      <c r="Q663" s="1" t="s">
        <v>902</v>
      </c>
      <c r="R663">
        <v>242</v>
      </c>
      <c r="S663">
        <v>3</v>
      </c>
      <c r="T663">
        <v>0.2</v>
      </c>
      <c r="U663">
        <v>9</v>
      </c>
      <c r="V663" s="1" t="s">
        <v>61</v>
      </c>
      <c r="W663" s="1" t="s">
        <v>116</v>
      </c>
    </row>
    <row r="664" spans="1:23" x14ac:dyDescent="0.35">
      <c r="A664">
        <v>3103</v>
      </c>
      <c r="B664" s="1" t="s">
        <v>2310</v>
      </c>
      <c r="C664" s="2">
        <v>43091</v>
      </c>
      <c r="D664" s="2">
        <v>43096</v>
      </c>
      <c r="E664" s="1" t="s">
        <v>24</v>
      </c>
      <c r="F664" s="1" t="s">
        <v>2311</v>
      </c>
      <c r="G664" s="1" t="s">
        <v>2312</v>
      </c>
      <c r="H664" s="1" t="s">
        <v>93</v>
      </c>
      <c r="I664" s="1" t="s">
        <v>28</v>
      </c>
      <c r="J664" s="1" t="s">
        <v>1647</v>
      </c>
      <c r="K664" s="1" t="s">
        <v>1648</v>
      </c>
      <c r="L664">
        <v>2908</v>
      </c>
      <c r="M664" s="1" t="s">
        <v>70</v>
      </c>
      <c r="N664" s="1" t="s">
        <v>2313</v>
      </c>
      <c r="O664" s="1" t="s">
        <v>33</v>
      </c>
      <c r="P664" s="1" t="s">
        <v>34</v>
      </c>
      <c r="Q664" s="1" t="s">
        <v>2314</v>
      </c>
      <c r="R664">
        <v>221</v>
      </c>
      <c r="S664">
        <v>1</v>
      </c>
      <c r="T664">
        <v>0</v>
      </c>
      <c r="U664">
        <v>51</v>
      </c>
      <c r="V664" s="1" t="s">
        <v>61</v>
      </c>
      <c r="W664" s="1" t="s">
        <v>99</v>
      </c>
    </row>
    <row r="665" spans="1:23" x14ac:dyDescent="0.35">
      <c r="A665">
        <v>3116</v>
      </c>
      <c r="B665" s="1" t="s">
        <v>2315</v>
      </c>
      <c r="C665" s="2">
        <v>42605</v>
      </c>
      <c r="D665" s="2">
        <v>42612</v>
      </c>
      <c r="E665" s="1" t="s">
        <v>42</v>
      </c>
      <c r="F665" s="1" t="s">
        <v>2316</v>
      </c>
      <c r="G665" s="1" t="s">
        <v>2317</v>
      </c>
      <c r="H665" s="1" t="s">
        <v>27</v>
      </c>
      <c r="I665" s="1" t="s">
        <v>28</v>
      </c>
      <c r="J665" s="1" t="s">
        <v>194</v>
      </c>
      <c r="K665" s="1" t="s">
        <v>195</v>
      </c>
      <c r="L665">
        <v>98105</v>
      </c>
      <c r="M665" s="1" t="s">
        <v>57</v>
      </c>
      <c r="N665" s="1" t="s">
        <v>1167</v>
      </c>
      <c r="O665" s="1" t="s">
        <v>33</v>
      </c>
      <c r="P665" s="1" t="s">
        <v>39</v>
      </c>
      <c r="Q665" s="1" t="s">
        <v>1168</v>
      </c>
      <c r="R665">
        <v>533</v>
      </c>
      <c r="S665">
        <v>6</v>
      </c>
      <c r="T665">
        <v>0.2</v>
      </c>
      <c r="U665">
        <v>-40</v>
      </c>
      <c r="V665" s="1" t="s">
        <v>50</v>
      </c>
      <c r="W665" s="1" t="s">
        <v>256</v>
      </c>
    </row>
    <row r="666" spans="1:23" x14ac:dyDescent="0.35">
      <c r="A666">
        <v>3119</v>
      </c>
      <c r="B666" s="1" t="s">
        <v>2318</v>
      </c>
      <c r="C666" s="2">
        <v>42166</v>
      </c>
      <c r="D666" s="2">
        <v>42167</v>
      </c>
      <c r="E666" s="1" t="s">
        <v>90</v>
      </c>
      <c r="F666" s="1" t="s">
        <v>2319</v>
      </c>
      <c r="G666" s="1" t="s">
        <v>2320</v>
      </c>
      <c r="H666" s="1" t="s">
        <v>93</v>
      </c>
      <c r="I666" s="1" t="s">
        <v>28</v>
      </c>
      <c r="J666" s="1" t="s">
        <v>577</v>
      </c>
      <c r="K666" s="1" t="s">
        <v>46</v>
      </c>
      <c r="L666">
        <v>33801</v>
      </c>
      <c r="M666" s="1" t="s">
        <v>31</v>
      </c>
      <c r="N666" s="1" t="s">
        <v>408</v>
      </c>
      <c r="O666" s="1" t="s">
        <v>33</v>
      </c>
      <c r="P666" s="1" t="s">
        <v>39</v>
      </c>
      <c r="Q666" s="1" t="s">
        <v>409</v>
      </c>
      <c r="R666">
        <v>1124</v>
      </c>
      <c r="S666">
        <v>5</v>
      </c>
      <c r="T666">
        <v>0.2</v>
      </c>
      <c r="U666">
        <v>-183</v>
      </c>
      <c r="V666" s="1" t="s">
        <v>126</v>
      </c>
      <c r="W666" s="1" t="s">
        <v>62</v>
      </c>
    </row>
    <row r="667" spans="1:23" x14ac:dyDescent="0.35">
      <c r="A667">
        <v>3121</v>
      </c>
      <c r="B667" s="1" t="s">
        <v>2318</v>
      </c>
      <c r="C667" s="2">
        <v>42166</v>
      </c>
      <c r="D667" s="2">
        <v>42167</v>
      </c>
      <c r="E667" s="1" t="s">
        <v>90</v>
      </c>
      <c r="F667" s="1" t="s">
        <v>2319</v>
      </c>
      <c r="G667" s="1" t="s">
        <v>2320</v>
      </c>
      <c r="H667" s="1" t="s">
        <v>93</v>
      </c>
      <c r="I667" s="1" t="s">
        <v>28</v>
      </c>
      <c r="J667" s="1" t="s">
        <v>577</v>
      </c>
      <c r="K667" s="1" t="s">
        <v>46</v>
      </c>
      <c r="L667">
        <v>33801</v>
      </c>
      <c r="M667" s="1" t="s">
        <v>31</v>
      </c>
      <c r="N667" s="1" t="s">
        <v>2321</v>
      </c>
      <c r="O667" s="1" t="s">
        <v>33</v>
      </c>
      <c r="P667" s="1" t="s">
        <v>59</v>
      </c>
      <c r="Q667" s="1" t="s">
        <v>2322</v>
      </c>
      <c r="R667">
        <v>49</v>
      </c>
      <c r="S667">
        <v>3</v>
      </c>
      <c r="T667">
        <v>0.2</v>
      </c>
      <c r="U667">
        <v>7</v>
      </c>
      <c r="V667" s="1" t="s">
        <v>126</v>
      </c>
      <c r="W667" s="1" t="s">
        <v>62</v>
      </c>
    </row>
    <row r="668" spans="1:23" x14ac:dyDescent="0.35">
      <c r="A668">
        <v>3129</v>
      </c>
      <c r="B668" s="1" t="s">
        <v>2323</v>
      </c>
      <c r="C668" s="2">
        <v>41989</v>
      </c>
      <c r="D668" s="2">
        <v>41990</v>
      </c>
      <c r="E668" s="1" t="s">
        <v>90</v>
      </c>
      <c r="F668" s="1" t="s">
        <v>2324</v>
      </c>
      <c r="G668" s="1" t="s">
        <v>2325</v>
      </c>
      <c r="H668" s="1" t="s">
        <v>103</v>
      </c>
      <c r="I668" s="1" t="s">
        <v>28</v>
      </c>
      <c r="J668" s="1" t="s">
        <v>55</v>
      </c>
      <c r="K668" s="1" t="s">
        <v>56</v>
      </c>
      <c r="L668">
        <v>90049</v>
      </c>
      <c r="M668" s="1" t="s">
        <v>57</v>
      </c>
      <c r="N668" s="1" t="s">
        <v>833</v>
      </c>
      <c r="O668" s="1" t="s">
        <v>33</v>
      </c>
      <c r="P668" s="1" t="s">
        <v>59</v>
      </c>
      <c r="Q668" s="1" t="s">
        <v>834</v>
      </c>
      <c r="R668">
        <v>44</v>
      </c>
      <c r="S668">
        <v>2</v>
      </c>
      <c r="T668">
        <v>0</v>
      </c>
      <c r="U668">
        <v>15</v>
      </c>
      <c r="V668" s="1" t="s">
        <v>126</v>
      </c>
      <c r="W668" s="1" t="s">
        <v>99</v>
      </c>
    </row>
    <row r="669" spans="1:23" x14ac:dyDescent="0.35">
      <c r="A669">
        <v>3130</v>
      </c>
      <c r="B669" s="1" t="s">
        <v>2323</v>
      </c>
      <c r="C669" s="2">
        <v>41989</v>
      </c>
      <c r="D669" s="2">
        <v>41990</v>
      </c>
      <c r="E669" s="1" t="s">
        <v>90</v>
      </c>
      <c r="F669" s="1" t="s">
        <v>2324</v>
      </c>
      <c r="G669" s="1" t="s">
        <v>2325</v>
      </c>
      <c r="H669" s="1" t="s">
        <v>103</v>
      </c>
      <c r="I669" s="1" t="s">
        <v>28</v>
      </c>
      <c r="J669" s="1" t="s">
        <v>55</v>
      </c>
      <c r="K669" s="1" t="s">
        <v>56</v>
      </c>
      <c r="L669">
        <v>90049</v>
      </c>
      <c r="M669" s="1" t="s">
        <v>57</v>
      </c>
      <c r="N669" s="1" t="s">
        <v>397</v>
      </c>
      <c r="O669" s="1" t="s">
        <v>33</v>
      </c>
      <c r="P669" s="1" t="s">
        <v>39</v>
      </c>
      <c r="Q669" s="1" t="s">
        <v>398</v>
      </c>
      <c r="R669">
        <v>242</v>
      </c>
      <c r="S669">
        <v>2</v>
      </c>
      <c r="T669">
        <v>0.2</v>
      </c>
      <c r="U669">
        <v>18</v>
      </c>
      <c r="V669" s="1" t="s">
        <v>126</v>
      </c>
      <c r="W669" s="1" t="s">
        <v>99</v>
      </c>
    </row>
    <row r="670" spans="1:23" x14ac:dyDescent="0.35">
      <c r="A670">
        <v>3133</v>
      </c>
      <c r="B670" s="1" t="s">
        <v>2326</v>
      </c>
      <c r="C670" s="2">
        <v>41875</v>
      </c>
      <c r="D670" s="2">
        <v>41877</v>
      </c>
      <c r="E670" s="1" t="s">
        <v>90</v>
      </c>
      <c r="F670" s="1" t="s">
        <v>2327</v>
      </c>
      <c r="G670" s="1" t="s">
        <v>2328</v>
      </c>
      <c r="H670" s="1" t="s">
        <v>93</v>
      </c>
      <c r="I670" s="1" t="s">
        <v>28</v>
      </c>
      <c r="J670" s="1" t="s">
        <v>764</v>
      </c>
      <c r="K670" s="1" t="s">
        <v>123</v>
      </c>
      <c r="L670">
        <v>11572</v>
      </c>
      <c r="M670" s="1" t="s">
        <v>70</v>
      </c>
      <c r="N670" s="1" t="s">
        <v>2329</v>
      </c>
      <c r="O670" s="1" t="s">
        <v>33</v>
      </c>
      <c r="P670" s="1" t="s">
        <v>59</v>
      </c>
      <c r="Q670" s="1" t="s">
        <v>2330</v>
      </c>
      <c r="R670">
        <v>13</v>
      </c>
      <c r="S670">
        <v>2</v>
      </c>
      <c r="T670">
        <v>0</v>
      </c>
      <c r="U670">
        <v>6</v>
      </c>
      <c r="V670" s="1" t="s">
        <v>73</v>
      </c>
      <c r="W670" s="1" t="s">
        <v>256</v>
      </c>
    </row>
    <row r="671" spans="1:23" x14ac:dyDescent="0.35">
      <c r="A671">
        <v>3140</v>
      </c>
      <c r="B671" s="1" t="s">
        <v>2331</v>
      </c>
      <c r="C671" s="2">
        <v>43051</v>
      </c>
      <c r="D671" s="2">
        <v>43057</v>
      </c>
      <c r="E671" s="1" t="s">
        <v>42</v>
      </c>
      <c r="F671" s="1" t="s">
        <v>218</v>
      </c>
      <c r="G671" s="1" t="s">
        <v>219</v>
      </c>
      <c r="H671" s="1" t="s">
        <v>103</v>
      </c>
      <c r="I671" s="1" t="s">
        <v>28</v>
      </c>
      <c r="J671" s="1" t="s">
        <v>1742</v>
      </c>
      <c r="K671" s="1" t="s">
        <v>95</v>
      </c>
      <c r="L671">
        <v>75081</v>
      </c>
      <c r="M671" s="1" t="s">
        <v>96</v>
      </c>
      <c r="N671" s="1" t="s">
        <v>386</v>
      </c>
      <c r="O671" s="1" t="s">
        <v>33</v>
      </c>
      <c r="P671" s="1" t="s">
        <v>59</v>
      </c>
      <c r="Q671" s="1" t="s">
        <v>387</v>
      </c>
      <c r="R671">
        <v>23</v>
      </c>
      <c r="S671">
        <v>3</v>
      </c>
      <c r="T671">
        <v>0.6</v>
      </c>
      <c r="U671">
        <v>-18</v>
      </c>
      <c r="V671" s="1" t="s">
        <v>132</v>
      </c>
      <c r="W671" s="1" t="s">
        <v>37</v>
      </c>
    </row>
    <row r="672" spans="1:23" x14ac:dyDescent="0.35">
      <c r="A672">
        <v>3145</v>
      </c>
      <c r="B672" s="1" t="s">
        <v>2332</v>
      </c>
      <c r="C672" s="2">
        <v>42618</v>
      </c>
      <c r="D672" s="2">
        <v>42624</v>
      </c>
      <c r="E672" s="1" t="s">
        <v>42</v>
      </c>
      <c r="F672" s="1" t="s">
        <v>683</v>
      </c>
      <c r="G672" s="1" t="s">
        <v>684</v>
      </c>
      <c r="H672" s="1" t="s">
        <v>93</v>
      </c>
      <c r="I672" s="1" t="s">
        <v>28</v>
      </c>
      <c r="J672" s="1" t="s">
        <v>2333</v>
      </c>
      <c r="K672" s="1" t="s">
        <v>95</v>
      </c>
      <c r="L672">
        <v>78745</v>
      </c>
      <c r="M672" s="1" t="s">
        <v>96</v>
      </c>
      <c r="N672" s="1" t="s">
        <v>593</v>
      </c>
      <c r="O672" s="1" t="s">
        <v>33</v>
      </c>
      <c r="P672" s="1" t="s">
        <v>39</v>
      </c>
      <c r="Q672" s="1" t="s">
        <v>594</v>
      </c>
      <c r="R672">
        <v>348</v>
      </c>
      <c r="S672">
        <v>7</v>
      </c>
      <c r="T672">
        <v>0.3</v>
      </c>
      <c r="U672">
        <v>-25</v>
      </c>
      <c r="V672" s="1" t="s">
        <v>132</v>
      </c>
      <c r="W672" s="1" t="s">
        <v>80</v>
      </c>
    </row>
    <row r="673" spans="1:23" x14ac:dyDescent="0.35">
      <c r="A673">
        <v>3146</v>
      </c>
      <c r="B673" s="1" t="s">
        <v>2334</v>
      </c>
      <c r="C673" s="2">
        <v>42777</v>
      </c>
      <c r="D673" s="2">
        <v>42779</v>
      </c>
      <c r="E673" s="1" t="s">
        <v>24</v>
      </c>
      <c r="F673" s="1" t="s">
        <v>2335</v>
      </c>
      <c r="G673" s="1" t="s">
        <v>2336</v>
      </c>
      <c r="H673" s="1" t="s">
        <v>93</v>
      </c>
      <c r="I673" s="1" t="s">
        <v>28</v>
      </c>
      <c r="J673" s="1" t="s">
        <v>194</v>
      </c>
      <c r="K673" s="1" t="s">
        <v>195</v>
      </c>
      <c r="L673">
        <v>98105</v>
      </c>
      <c r="M673" s="1" t="s">
        <v>57</v>
      </c>
      <c r="N673" s="1" t="s">
        <v>2337</v>
      </c>
      <c r="O673" s="1" t="s">
        <v>33</v>
      </c>
      <c r="P673" s="1" t="s">
        <v>39</v>
      </c>
      <c r="Q673" s="1" t="s">
        <v>2338</v>
      </c>
      <c r="R673">
        <v>963</v>
      </c>
      <c r="S673">
        <v>4</v>
      </c>
      <c r="T673">
        <v>0.2</v>
      </c>
      <c r="U673">
        <v>108</v>
      </c>
      <c r="V673" s="1" t="s">
        <v>73</v>
      </c>
      <c r="W673" s="1" t="s">
        <v>300</v>
      </c>
    </row>
    <row r="674" spans="1:23" x14ac:dyDescent="0.35">
      <c r="A674">
        <v>3154</v>
      </c>
      <c r="B674" s="1" t="s">
        <v>2339</v>
      </c>
      <c r="C674" s="2">
        <v>42353</v>
      </c>
      <c r="D674" s="2">
        <v>42356</v>
      </c>
      <c r="E674" s="1" t="s">
        <v>90</v>
      </c>
      <c r="F674" s="1" t="s">
        <v>478</v>
      </c>
      <c r="G674" s="1" t="s">
        <v>479</v>
      </c>
      <c r="H674" s="1" t="s">
        <v>27</v>
      </c>
      <c r="I674" s="1" t="s">
        <v>28</v>
      </c>
      <c r="J674" s="1" t="s">
        <v>233</v>
      </c>
      <c r="K674" s="1" t="s">
        <v>234</v>
      </c>
      <c r="L674">
        <v>43055</v>
      </c>
      <c r="M674" s="1" t="s">
        <v>70</v>
      </c>
      <c r="N674" s="1" t="s">
        <v>357</v>
      </c>
      <c r="O674" s="1" t="s">
        <v>33</v>
      </c>
      <c r="P674" s="1" t="s">
        <v>59</v>
      </c>
      <c r="Q674" s="1" t="s">
        <v>358</v>
      </c>
      <c r="R674">
        <v>263</v>
      </c>
      <c r="S674">
        <v>7</v>
      </c>
      <c r="T674">
        <v>0.2</v>
      </c>
      <c r="U674">
        <v>69</v>
      </c>
      <c r="V674" s="1" t="s">
        <v>36</v>
      </c>
      <c r="W674" s="1" t="s">
        <v>99</v>
      </c>
    </row>
    <row r="675" spans="1:23" x14ac:dyDescent="0.35">
      <c r="A675">
        <v>3157</v>
      </c>
      <c r="B675" s="1" t="s">
        <v>2340</v>
      </c>
      <c r="C675" s="2">
        <v>42240</v>
      </c>
      <c r="D675" s="2">
        <v>42244</v>
      </c>
      <c r="E675" s="1" t="s">
        <v>42</v>
      </c>
      <c r="F675" s="1" t="s">
        <v>1946</v>
      </c>
      <c r="G675" s="1" t="s">
        <v>1947</v>
      </c>
      <c r="H675" s="1" t="s">
        <v>93</v>
      </c>
      <c r="I675" s="1" t="s">
        <v>28</v>
      </c>
      <c r="J675" s="1" t="s">
        <v>176</v>
      </c>
      <c r="K675" s="1" t="s">
        <v>123</v>
      </c>
      <c r="L675">
        <v>10009</v>
      </c>
      <c r="M675" s="1" t="s">
        <v>70</v>
      </c>
      <c r="N675" s="1" t="s">
        <v>63</v>
      </c>
      <c r="O675" s="1" t="s">
        <v>33</v>
      </c>
      <c r="P675" s="1" t="s">
        <v>48</v>
      </c>
      <c r="Q675" s="1" t="s">
        <v>64</v>
      </c>
      <c r="R675">
        <v>284</v>
      </c>
      <c r="S675">
        <v>2</v>
      </c>
      <c r="T675">
        <v>0.4</v>
      </c>
      <c r="U675">
        <v>-76</v>
      </c>
      <c r="V675" s="1" t="s">
        <v>86</v>
      </c>
      <c r="W675" s="1" t="s">
        <v>256</v>
      </c>
    </row>
    <row r="676" spans="1:23" x14ac:dyDescent="0.35">
      <c r="A676">
        <v>3168</v>
      </c>
      <c r="B676" s="1" t="s">
        <v>2341</v>
      </c>
      <c r="C676" s="2">
        <v>42672</v>
      </c>
      <c r="D676" s="2">
        <v>42674</v>
      </c>
      <c r="E676" s="1" t="s">
        <v>90</v>
      </c>
      <c r="F676" s="1" t="s">
        <v>421</v>
      </c>
      <c r="G676" s="1" t="s">
        <v>422</v>
      </c>
      <c r="H676" s="1" t="s">
        <v>27</v>
      </c>
      <c r="I676" s="1" t="s">
        <v>28</v>
      </c>
      <c r="J676" s="1" t="s">
        <v>1710</v>
      </c>
      <c r="K676" s="1" t="s">
        <v>292</v>
      </c>
      <c r="L676">
        <v>48911</v>
      </c>
      <c r="M676" s="1" t="s">
        <v>96</v>
      </c>
      <c r="N676" s="1" t="s">
        <v>376</v>
      </c>
      <c r="O676" s="1" t="s">
        <v>33</v>
      </c>
      <c r="P676" s="1" t="s">
        <v>59</v>
      </c>
      <c r="Q676" s="1" t="s">
        <v>377</v>
      </c>
      <c r="R676">
        <v>67</v>
      </c>
      <c r="S676">
        <v>5</v>
      </c>
      <c r="T676">
        <v>0</v>
      </c>
      <c r="U676">
        <v>32</v>
      </c>
      <c r="V676" s="1" t="s">
        <v>73</v>
      </c>
      <c r="W676" s="1" t="s">
        <v>51</v>
      </c>
    </row>
    <row r="677" spans="1:23" x14ac:dyDescent="0.35">
      <c r="A677">
        <v>3169</v>
      </c>
      <c r="B677" s="1" t="s">
        <v>2342</v>
      </c>
      <c r="C677" s="2">
        <v>42518</v>
      </c>
      <c r="D677" s="2">
        <v>42524</v>
      </c>
      <c r="E677" s="1" t="s">
        <v>42</v>
      </c>
      <c r="F677" s="1" t="s">
        <v>464</v>
      </c>
      <c r="G677" s="1" t="s">
        <v>465</v>
      </c>
      <c r="H677" s="1" t="s">
        <v>93</v>
      </c>
      <c r="I677" s="1" t="s">
        <v>28</v>
      </c>
      <c r="J677" s="1" t="s">
        <v>2343</v>
      </c>
      <c r="K677" s="1" t="s">
        <v>46</v>
      </c>
      <c r="L677">
        <v>32303</v>
      </c>
      <c r="M677" s="1" t="s">
        <v>31</v>
      </c>
      <c r="N677" s="1" t="s">
        <v>1659</v>
      </c>
      <c r="O677" s="1" t="s">
        <v>33</v>
      </c>
      <c r="P677" s="1" t="s">
        <v>39</v>
      </c>
      <c r="Q677" s="1" t="s">
        <v>1660</v>
      </c>
      <c r="R677">
        <v>390</v>
      </c>
      <c r="S677">
        <v>8</v>
      </c>
      <c r="T677">
        <v>0.2</v>
      </c>
      <c r="U677">
        <v>-24</v>
      </c>
      <c r="V677" s="1" t="s">
        <v>132</v>
      </c>
      <c r="W677" s="1" t="s">
        <v>164</v>
      </c>
    </row>
    <row r="678" spans="1:23" x14ac:dyDescent="0.35">
      <c r="A678">
        <v>3173</v>
      </c>
      <c r="B678" s="1" t="s">
        <v>2344</v>
      </c>
      <c r="C678" s="2">
        <v>42450</v>
      </c>
      <c r="D678" s="2">
        <v>42457</v>
      </c>
      <c r="E678" s="1" t="s">
        <v>42</v>
      </c>
      <c r="F678" s="1" t="s">
        <v>1218</v>
      </c>
      <c r="G678" s="1" t="s">
        <v>1219</v>
      </c>
      <c r="H678" s="1" t="s">
        <v>27</v>
      </c>
      <c r="I678" s="1" t="s">
        <v>28</v>
      </c>
      <c r="J678" s="1" t="s">
        <v>136</v>
      </c>
      <c r="K678" s="1" t="s">
        <v>137</v>
      </c>
      <c r="L678">
        <v>60623</v>
      </c>
      <c r="M678" s="1" t="s">
        <v>96</v>
      </c>
      <c r="N678" s="1" t="s">
        <v>858</v>
      </c>
      <c r="O678" s="1" t="s">
        <v>33</v>
      </c>
      <c r="P678" s="1" t="s">
        <v>39</v>
      </c>
      <c r="Q678" s="1" t="s">
        <v>859</v>
      </c>
      <c r="R678">
        <v>528</v>
      </c>
      <c r="S678">
        <v>5</v>
      </c>
      <c r="T678">
        <v>0.3</v>
      </c>
      <c r="U678">
        <v>0</v>
      </c>
      <c r="V678" s="1" t="s">
        <v>50</v>
      </c>
      <c r="W678" s="1" t="s">
        <v>198</v>
      </c>
    </row>
    <row r="679" spans="1:23" x14ac:dyDescent="0.35">
      <c r="A679">
        <v>3176</v>
      </c>
      <c r="B679" s="1" t="s">
        <v>2345</v>
      </c>
      <c r="C679" s="2">
        <v>43001</v>
      </c>
      <c r="D679" s="2">
        <v>43007</v>
      </c>
      <c r="E679" s="1" t="s">
        <v>42</v>
      </c>
      <c r="F679" s="1" t="s">
        <v>1068</v>
      </c>
      <c r="G679" s="1" t="s">
        <v>1069</v>
      </c>
      <c r="H679" s="1" t="s">
        <v>27</v>
      </c>
      <c r="I679" s="1" t="s">
        <v>28</v>
      </c>
      <c r="J679" s="1" t="s">
        <v>2346</v>
      </c>
      <c r="K679" s="1" t="s">
        <v>183</v>
      </c>
      <c r="L679">
        <v>80525</v>
      </c>
      <c r="M679" s="1" t="s">
        <v>57</v>
      </c>
      <c r="N679" s="1" t="s">
        <v>1002</v>
      </c>
      <c r="O679" s="1" t="s">
        <v>33</v>
      </c>
      <c r="P679" s="1" t="s">
        <v>34</v>
      </c>
      <c r="Q679" s="1" t="s">
        <v>1003</v>
      </c>
      <c r="R679">
        <v>181</v>
      </c>
      <c r="S679">
        <v>2</v>
      </c>
      <c r="T679">
        <v>0.7</v>
      </c>
      <c r="U679">
        <v>-241</v>
      </c>
      <c r="V679" s="1" t="s">
        <v>132</v>
      </c>
      <c r="W679" s="1" t="s">
        <v>80</v>
      </c>
    </row>
    <row r="680" spans="1:23" x14ac:dyDescent="0.35">
      <c r="A680">
        <v>3179</v>
      </c>
      <c r="B680" s="1" t="s">
        <v>2347</v>
      </c>
      <c r="C680" s="2">
        <v>43074</v>
      </c>
      <c r="D680" s="2">
        <v>43080</v>
      </c>
      <c r="E680" s="1" t="s">
        <v>42</v>
      </c>
      <c r="F680" s="1" t="s">
        <v>2348</v>
      </c>
      <c r="G680" s="1" t="s">
        <v>2349</v>
      </c>
      <c r="H680" s="1" t="s">
        <v>93</v>
      </c>
      <c r="I680" s="1" t="s">
        <v>28</v>
      </c>
      <c r="J680" s="1" t="s">
        <v>176</v>
      </c>
      <c r="K680" s="1" t="s">
        <v>123</v>
      </c>
      <c r="L680">
        <v>10011</v>
      </c>
      <c r="M680" s="1" t="s">
        <v>70</v>
      </c>
      <c r="N680" s="1" t="s">
        <v>58</v>
      </c>
      <c r="O680" s="1" t="s">
        <v>33</v>
      </c>
      <c r="P680" s="1" t="s">
        <v>59</v>
      </c>
      <c r="Q680" s="1" t="s">
        <v>60</v>
      </c>
      <c r="R680">
        <v>21</v>
      </c>
      <c r="S680">
        <v>3</v>
      </c>
      <c r="T680">
        <v>0</v>
      </c>
      <c r="U680">
        <v>6</v>
      </c>
      <c r="V680" s="1" t="s">
        <v>132</v>
      </c>
      <c r="W680" s="1" t="s">
        <v>99</v>
      </c>
    </row>
    <row r="681" spans="1:23" x14ac:dyDescent="0.35">
      <c r="A681">
        <v>3180</v>
      </c>
      <c r="B681" s="1" t="s">
        <v>2347</v>
      </c>
      <c r="C681" s="2">
        <v>43074</v>
      </c>
      <c r="D681" s="2">
        <v>43080</v>
      </c>
      <c r="E681" s="1" t="s">
        <v>42</v>
      </c>
      <c r="F681" s="1" t="s">
        <v>2348</v>
      </c>
      <c r="G681" s="1" t="s">
        <v>2349</v>
      </c>
      <c r="H681" s="1" t="s">
        <v>93</v>
      </c>
      <c r="I681" s="1" t="s">
        <v>28</v>
      </c>
      <c r="J681" s="1" t="s">
        <v>176</v>
      </c>
      <c r="K681" s="1" t="s">
        <v>123</v>
      </c>
      <c r="L681">
        <v>10011</v>
      </c>
      <c r="M681" s="1" t="s">
        <v>70</v>
      </c>
      <c r="N681" s="1" t="s">
        <v>235</v>
      </c>
      <c r="O681" s="1" t="s">
        <v>33</v>
      </c>
      <c r="P681" s="1" t="s">
        <v>59</v>
      </c>
      <c r="Q681" s="1" t="s">
        <v>236</v>
      </c>
      <c r="R681">
        <v>59</v>
      </c>
      <c r="S681">
        <v>2</v>
      </c>
      <c r="T681">
        <v>0</v>
      </c>
      <c r="U681">
        <v>18</v>
      </c>
      <c r="V681" s="1" t="s">
        <v>132</v>
      </c>
      <c r="W681" s="1" t="s">
        <v>99</v>
      </c>
    </row>
    <row r="682" spans="1:23" x14ac:dyDescent="0.35">
      <c r="A682">
        <v>3201</v>
      </c>
      <c r="B682" s="1" t="s">
        <v>2350</v>
      </c>
      <c r="C682" s="2">
        <v>41777</v>
      </c>
      <c r="D682" s="2">
        <v>41779</v>
      </c>
      <c r="E682" s="1" t="s">
        <v>24</v>
      </c>
      <c r="F682" s="1" t="s">
        <v>2351</v>
      </c>
      <c r="G682" s="1" t="s">
        <v>2352</v>
      </c>
      <c r="H682" s="1" t="s">
        <v>27</v>
      </c>
      <c r="I682" s="1" t="s">
        <v>28</v>
      </c>
      <c r="J682" s="1" t="s">
        <v>508</v>
      </c>
      <c r="K682" s="1" t="s">
        <v>234</v>
      </c>
      <c r="L682">
        <v>44312</v>
      </c>
      <c r="M682" s="1" t="s">
        <v>70</v>
      </c>
      <c r="N682" s="1" t="s">
        <v>1799</v>
      </c>
      <c r="O682" s="1" t="s">
        <v>33</v>
      </c>
      <c r="P682" s="1" t="s">
        <v>59</v>
      </c>
      <c r="Q682" s="1" t="s">
        <v>1800</v>
      </c>
      <c r="R682">
        <v>149</v>
      </c>
      <c r="S682">
        <v>3</v>
      </c>
      <c r="T682">
        <v>0.2</v>
      </c>
      <c r="U682">
        <v>4</v>
      </c>
      <c r="V682" s="1" t="s">
        <v>73</v>
      </c>
      <c r="W682" s="1" t="s">
        <v>164</v>
      </c>
    </row>
    <row r="683" spans="1:23" x14ac:dyDescent="0.35">
      <c r="A683">
        <v>3205</v>
      </c>
      <c r="B683" s="1" t="s">
        <v>2353</v>
      </c>
      <c r="C683" s="2">
        <v>41953</v>
      </c>
      <c r="D683" s="2">
        <v>41959</v>
      </c>
      <c r="E683" s="1" t="s">
        <v>42</v>
      </c>
      <c r="F683" s="1" t="s">
        <v>2354</v>
      </c>
      <c r="G683" s="1" t="s">
        <v>2355</v>
      </c>
      <c r="H683" s="1" t="s">
        <v>27</v>
      </c>
      <c r="I683" s="1" t="s">
        <v>28</v>
      </c>
      <c r="J683" s="1" t="s">
        <v>642</v>
      </c>
      <c r="K683" s="1" t="s">
        <v>56</v>
      </c>
      <c r="L683">
        <v>92037</v>
      </c>
      <c r="M683" s="1" t="s">
        <v>57</v>
      </c>
      <c r="N683" s="1" t="s">
        <v>130</v>
      </c>
      <c r="O683" s="1" t="s">
        <v>33</v>
      </c>
      <c r="P683" s="1" t="s">
        <v>59</v>
      </c>
      <c r="Q683" s="1" t="s">
        <v>131</v>
      </c>
      <c r="R683">
        <v>40</v>
      </c>
      <c r="S683">
        <v>2</v>
      </c>
      <c r="T683">
        <v>0</v>
      </c>
      <c r="U683">
        <v>11</v>
      </c>
      <c r="V683" s="1" t="s">
        <v>132</v>
      </c>
      <c r="W683" s="1" t="s">
        <v>37</v>
      </c>
    </row>
    <row r="684" spans="1:23" x14ac:dyDescent="0.35">
      <c r="A684">
        <v>3207</v>
      </c>
      <c r="B684" s="1" t="s">
        <v>2353</v>
      </c>
      <c r="C684" s="2">
        <v>41953</v>
      </c>
      <c r="D684" s="2">
        <v>41959</v>
      </c>
      <c r="E684" s="1" t="s">
        <v>42</v>
      </c>
      <c r="F684" s="1" t="s">
        <v>2354</v>
      </c>
      <c r="G684" s="1" t="s">
        <v>2355</v>
      </c>
      <c r="H684" s="1" t="s">
        <v>27</v>
      </c>
      <c r="I684" s="1" t="s">
        <v>28</v>
      </c>
      <c r="J684" s="1" t="s">
        <v>642</v>
      </c>
      <c r="K684" s="1" t="s">
        <v>56</v>
      </c>
      <c r="L684">
        <v>92037</v>
      </c>
      <c r="M684" s="1" t="s">
        <v>57</v>
      </c>
      <c r="N684" s="1" t="s">
        <v>1116</v>
      </c>
      <c r="O684" s="1" t="s">
        <v>33</v>
      </c>
      <c r="P684" s="1" t="s">
        <v>59</v>
      </c>
      <c r="Q684" s="1" t="s">
        <v>1117</v>
      </c>
      <c r="R684">
        <v>53</v>
      </c>
      <c r="S684">
        <v>5</v>
      </c>
      <c r="T684">
        <v>0</v>
      </c>
      <c r="U684">
        <v>15</v>
      </c>
      <c r="V684" s="1" t="s">
        <v>132</v>
      </c>
      <c r="W684" s="1" t="s">
        <v>37</v>
      </c>
    </row>
    <row r="685" spans="1:23" x14ac:dyDescent="0.35">
      <c r="A685">
        <v>3231</v>
      </c>
      <c r="B685" s="1" t="s">
        <v>2356</v>
      </c>
      <c r="C685" s="2">
        <v>42979</v>
      </c>
      <c r="D685" s="2">
        <v>42983</v>
      </c>
      <c r="E685" s="1" t="s">
        <v>24</v>
      </c>
      <c r="F685" s="1" t="s">
        <v>1452</v>
      </c>
      <c r="G685" s="1" t="s">
        <v>1453</v>
      </c>
      <c r="H685" s="1" t="s">
        <v>27</v>
      </c>
      <c r="I685" s="1" t="s">
        <v>28</v>
      </c>
      <c r="J685" s="1" t="s">
        <v>176</v>
      </c>
      <c r="K685" s="1" t="s">
        <v>123</v>
      </c>
      <c r="L685">
        <v>10009</v>
      </c>
      <c r="M685" s="1" t="s">
        <v>70</v>
      </c>
      <c r="N685" s="1" t="s">
        <v>1195</v>
      </c>
      <c r="O685" s="1" t="s">
        <v>33</v>
      </c>
      <c r="P685" s="1" t="s">
        <v>59</v>
      </c>
      <c r="Q685" s="1" t="s">
        <v>1196</v>
      </c>
      <c r="R685">
        <v>115</v>
      </c>
      <c r="S685">
        <v>5</v>
      </c>
      <c r="T685">
        <v>0</v>
      </c>
      <c r="U685">
        <v>39</v>
      </c>
      <c r="V685" s="1" t="s">
        <v>86</v>
      </c>
      <c r="W685" s="1" t="s">
        <v>80</v>
      </c>
    </row>
    <row r="686" spans="1:23" x14ac:dyDescent="0.35">
      <c r="A686">
        <v>3236</v>
      </c>
      <c r="B686" s="1" t="s">
        <v>2357</v>
      </c>
      <c r="C686" s="2">
        <v>42384</v>
      </c>
      <c r="D686" s="2">
        <v>42384</v>
      </c>
      <c r="E686" s="1" t="s">
        <v>428</v>
      </c>
      <c r="F686" s="1" t="s">
        <v>1186</v>
      </c>
      <c r="G686" s="1" t="s">
        <v>1187</v>
      </c>
      <c r="H686" s="1" t="s">
        <v>27</v>
      </c>
      <c r="I686" s="1" t="s">
        <v>28</v>
      </c>
      <c r="J686" s="1" t="s">
        <v>1583</v>
      </c>
      <c r="K686" s="1" t="s">
        <v>432</v>
      </c>
      <c r="L686">
        <v>6824</v>
      </c>
      <c r="M686" s="1" t="s">
        <v>70</v>
      </c>
      <c r="N686" s="1" t="s">
        <v>345</v>
      </c>
      <c r="O686" s="1" t="s">
        <v>33</v>
      </c>
      <c r="P686" s="1" t="s">
        <v>48</v>
      </c>
      <c r="Q686" s="1" t="s">
        <v>346</v>
      </c>
      <c r="R686">
        <v>182</v>
      </c>
      <c r="S686">
        <v>1</v>
      </c>
      <c r="T686">
        <v>0.3</v>
      </c>
      <c r="U686">
        <v>-16</v>
      </c>
      <c r="V686" s="1" t="s">
        <v>433</v>
      </c>
      <c r="W686" s="1" t="s">
        <v>172</v>
      </c>
    </row>
    <row r="687" spans="1:23" x14ac:dyDescent="0.35">
      <c r="A687">
        <v>3239</v>
      </c>
      <c r="B687" s="1" t="s">
        <v>2358</v>
      </c>
      <c r="C687" s="2">
        <v>42694</v>
      </c>
      <c r="D687" s="2">
        <v>42701</v>
      </c>
      <c r="E687" s="1" t="s">
        <v>42</v>
      </c>
      <c r="F687" s="1" t="s">
        <v>2359</v>
      </c>
      <c r="G687" s="1" t="s">
        <v>2360</v>
      </c>
      <c r="H687" s="1" t="s">
        <v>93</v>
      </c>
      <c r="I687" s="1" t="s">
        <v>28</v>
      </c>
      <c r="J687" s="1" t="s">
        <v>104</v>
      </c>
      <c r="K687" s="1" t="s">
        <v>95</v>
      </c>
      <c r="L687">
        <v>77095</v>
      </c>
      <c r="M687" s="1" t="s">
        <v>96</v>
      </c>
      <c r="N687" s="1" t="s">
        <v>1620</v>
      </c>
      <c r="O687" s="1" t="s">
        <v>33</v>
      </c>
      <c r="P687" s="1" t="s">
        <v>39</v>
      </c>
      <c r="Q687" s="1" t="s">
        <v>1621</v>
      </c>
      <c r="R687">
        <v>318</v>
      </c>
      <c r="S687">
        <v>5</v>
      </c>
      <c r="T687">
        <v>0.3</v>
      </c>
      <c r="U687">
        <v>-77</v>
      </c>
      <c r="V687" s="1" t="s">
        <v>50</v>
      </c>
      <c r="W687" s="1" t="s">
        <v>37</v>
      </c>
    </row>
    <row r="688" spans="1:23" x14ac:dyDescent="0.35">
      <c r="A688">
        <v>3241</v>
      </c>
      <c r="B688" s="1" t="s">
        <v>2358</v>
      </c>
      <c r="C688" s="2">
        <v>42694</v>
      </c>
      <c r="D688" s="2">
        <v>42701</v>
      </c>
      <c r="E688" s="1" t="s">
        <v>42</v>
      </c>
      <c r="F688" s="1" t="s">
        <v>2359</v>
      </c>
      <c r="G688" s="1" t="s">
        <v>2360</v>
      </c>
      <c r="H688" s="1" t="s">
        <v>93</v>
      </c>
      <c r="I688" s="1" t="s">
        <v>28</v>
      </c>
      <c r="J688" s="1" t="s">
        <v>104</v>
      </c>
      <c r="K688" s="1" t="s">
        <v>95</v>
      </c>
      <c r="L688">
        <v>77095</v>
      </c>
      <c r="M688" s="1" t="s">
        <v>96</v>
      </c>
      <c r="N688" s="1" t="s">
        <v>425</v>
      </c>
      <c r="O688" s="1" t="s">
        <v>33</v>
      </c>
      <c r="P688" s="1" t="s">
        <v>59</v>
      </c>
      <c r="Q688" s="1" t="s">
        <v>426</v>
      </c>
      <c r="R688">
        <v>7</v>
      </c>
      <c r="S688">
        <v>3</v>
      </c>
      <c r="T688">
        <v>0.6</v>
      </c>
      <c r="U688">
        <v>-3</v>
      </c>
      <c r="V688" s="1" t="s">
        <v>50</v>
      </c>
      <c r="W688" s="1" t="s">
        <v>37</v>
      </c>
    </row>
    <row r="689" spans="1:23" x14ac:dyDescent="0.35">
      <c r="A689">
        <v>3245</v>
      </c>
      <c r="B689" s="1" t="s">
        <v>2361</v>
      </c>
      <c r="C689" s="2">
        <v>43070</v>
      </c>
      <c r="D689" s="2">
        <v>43074</v>
      </c>
      <c r="E689" s="1" t="s">
        <v>42</v>
      </c>
      <c r="F689" s="1" t="s">
        <v>2362</v>
      </c>
      <c r="G689" s="1" t="s">
        <v>2363</v>
      </c>
      <c r="H689" s="1" t="s">
        <v>27</v>
      </c>
      <c r="I689" s="1" t="s">
        <v>28</v>
      </c>
      <c r="J689" s="1" t="s">
        <v>1720</v>
      </c>
      <c r="K689" s="1" t="s">
        <v>95</v>
      </c>
      <c r="L689">
        <v>75051</v>
      </c>
      <c r="M689" s="1" t="s">
        <v>96</v>
      </c>
      <c r="N689" s="1" t="s">
        <v>397</v>
      </c>
      <c r="O689" s="1" t="s">
        <v>33</v>
      </c>
      <c r="P689" s="1" t="s">
        <v>39</v>
      </c>
      <c r="Q689" s="1" t="s">
        <v>398</v>
      </c>
      <c r="R689">
        <v>317</v>
      </c>
      <c r="S689">
        <v>3</v>
      </c>
      <c r="T689">
        <v>0.3</v>
      </c>
      <c r="U689">
        <v>-18</v>
      </c>
      <c r="V689" s="1" t="s">
        <v>86</v>
      </c>
      <c r="W689" s="1" t="s">
        <v>99</v>
      </c>
    </row>
    <row r="690" spans="1:23" x14ac:dyDescent="0.35">
      <c r="A690">
        <v>3249</v>
      </c>
      <c r="B690" s="1" t="s">
        <v>2364</v>
      </c>
      <c r="C690" s="2">
        <v>42630</v>
      </c>
      <c r="D690" s="2">
        <v>42634</v>
      </c>
      <c r="E690" s="1" t="s">
        <v>42</v>
      </c>
      <c r="F690" s="1" t="s">
        <v>1785</v>
      </c>
      <c r="G690" s="1" t="s">
        <v>1786</v>
      </c>
      <c r="H690" s="1" t="s">
        <v>103</v>
      </c>
      <c r="I690" s="1" t="s">
        <v>28</v>
      </c>
      <c r="J690" s="1" t="s">
        <v>194</v>
      </c>
      <c r="K690" s="1" t="s">
        <v>195</v>
      </c>
      <c r="L690">
        <v>98103</v>
      </c>
      <c r="M690" s="1" t="s">
        <v>57</v>
      </c>
      <c r="N690" s="1" t="s">
        <v>2197</v>
      </c>
      <c r="O690" s="1" t="s">
        <v>33</v>
      </c>
      <c r="P690" s="1" t="s">
        <v>39</v>
      </c>
      <c r="Q690" s="1" t="s">
        <v>2198</v>
      </c>
      <c r="R690">
        <v>114</v>
      </c>
      <c r="S690">
        <v>2</v>
      </c>
      <c r="T690">
        <v>0.2</v>
      </c>
      <c r="U690">
        <v>10</v>
      </c>
      <c r="V690" s="1" t="s">
        <v>86</v>
      </c>
      <c r="W690" s="1" t="s">
        <v>80</v>
      </c>
    </row>
    <row r="691" spans="1:23" x14ac:dyDescent="0.35">
      <c r="A691">
        <v>3252</v>
      </c>
      <c r="B691" s="1" t="s">
        <v>2365</v>
      </c>
      <c r="C691" s="2">
        <v>42842</v>
      </c>
      <c r="D691" s="2">
        <v>42844</v>
      </c>
      <c r="E691" s="1" t="s">
        <v>90</v>
      </c>
      <c r="F691" s="1" t="s">
        <v>2366</v>
      </c>
      <c r="G691" s="1" t="s">
        <v>2367</v>
      </c>
      <c r="H691" s="1" t="s">
        <v>27</v>
      </c>
      <c r="I691" s="1" t="s">
        <v>28</v>
      </c>
      <c r="J691" s="1" t="s">
        <v>68</v>
      </c>
      <c r="K691" s="1" t="s">
        <v>69</v>
      </c>
      <c r="L691">
        <v>19120</v>
      </c>
      <c r="M691" s="1" t="s">
        <v>70</v>
      </c>
      <c r="N691" s="1" t="s">
        <v>1293</v>
      </c>
      <c r="O691" s="1" t="s">
        <v>33</v>
      </c>
      <c r="P691" s="1" t="s">
        <v>59</v>
      </c>
      <c r="Q691" s="1" t="s">
        <v>1761</v>
      </c>
      <c r="R691">
        <v>60</v>
      </c>
      <c r="S691">
        <v>3</v>
      </c>
      <c r="T691">
        <v>0.2</v>
      </c>
      <c r="U691">
        <v>5</v>
      </c>
      <c r="V691" s="1" t="s">
        <v>73</v>
      </c>
      <c r="W691" s="1" t="s">
        <v>116</v>
      </c>
    </row>
    <row r="692" spans="1:23" x14ac:dyDescent="0.35">
      <c r="A692">
        <v>3258</v>
      </c>
      <c r="B692" s="1" t="s">
        <v>2368</v>
      </c>
      <c r="C692" s="2">
        <v>42713</v>
      </c>
      <c r="D692" s="2">
        <v>42718</v>
      </c>
      <c r="E692" s="1" t="s">
        <v>24</v>
      </c>
      <c r="F692" s="1" t="s">
        <v>1307</v>
      </c>
      <c r="G692" s="1" t="s">
        <v>1308</v>
      </c>
      <c r="H692" s="1" t="s">
        <v>93</v>
      </c>
      <c r="I692" s="1" t="s">
        <v>28</v>
      </c>
      <c r="J692" s="1" t="s">
        <v>240</v>
      </c>
      <c r="K692" s="1" t="s">
        <v>144</v>
      </c>
      <c r="L692">
        <v>37064</v>
      </c>
      <c r="M692" s="1" t="s">
        <v>31</v>
      </c>
      <c r="N692" s="1" t="s">
        <v>1252</v>
      </c>
      <c r="O692" s="1" t="s">
        <v>33</v>
      </c>
      <c r="P692" s="1" t="s">
        <v>48</v>
      </c>
      <c r="Q692" s="1" t="s">
        <v>1253</v>
      </c>
      <c r="R692">
        <v>80</v>
      </c>
      <c r="S692">
        <v>3</v>
      </c>
      <c r="T692">
        <v>0.4</v>
      </c>
      <c r="U692">
        <v>-29</v>
      </c>
      <c r="V692" s="1" t="s">
        <v>61</v>
      </c>
      <c r="W692" s="1" t="s">
        <v>99</v>
      </c>
    </row>
    <row r="693" spans="1:23" x14ac:dyDescent="0.35">
      <c r="A693">
        <v>3273</v>
      </c>
      <c r="B693" s="1" t="s">
        <v>2369</v>
      </c>
      <c r="C693" s="2">
        <v>42044</v>
      </c>
      <c r="D693" s="2">
        <v>42051</v>
      </c>
      <c r="E693" s="1" t="s">
        <v>42</v>
      </c>
      <c r="F693" s="1" t="s">
        <v>2362</v>
      </c>
      <c r="G693" s="1" t="s">
        <v>2363</v>
      </c>
      <c r="H693" s="1" t="s">
        <v>27</v>
      </c>
      <c r="I693" s="1" t="s">
        <v>28</v>
      </c>
      <c r="J693" s="1" t="s">
        <v>55</v>
      </c>
      <c r="K693" s="1" t="s">
        <v>56</v>
      </c>
      <c r="L693">
        <v>90049</v>
      </c>
      <c r="M693" s="1" t="s">
        <v>57</v>
      </c>
      <c r="N693" s="1" t="s">
        <v>71</v>
      </c>
      <c r="O693" s="1" t="s">
        <v>33</v>
      </c>
      <c r="P693" s="1" t="s">
        <v>39</v>
      </c>
      <c r="Q693" s="1" t="s">
        <v>72</v>
      </c>
      <c r="R693">
        <v>204</v>
      </c>
      <c r="S693">
        <v>5</v>
      </c>
      <c r="T693">
        <v>0.2</v>
      </c>
      <c r="U693">
        <v>23</v>
      </c>
      <c r="V693" s="1" t="s">
        <v>50</v>
      </c>
      <c r="W693" s="1" t="s">
        <v>300</v>
      </c>
    </row>
    <row r="694" spans="1:23" x14ac:dyDescent="0.35">
      <c r="A694">
        <v>3284</v>
      </c>
      <c r="B694" s="1" t="s">
        <v>2370</v>
      </c>
      <c r="C694" s="2">
        <v>41912</v>
      </c>
      <c r="D694" s="2">
        <v>41918</v>
      </c>
      <c r="E694" s="1" t="s">
        <v>42</v>
      </c>
      <c r="F694" s="1" t="s">
        <v>773</v>
      </c>
      <c r="G694" s="1" t="s">
        <v>774</v>
      </c>
      <c r="H694" s="1" t="s">
        <v>93</v>
      </c>
      <c r="I694" s="1" t="s">
        <v>28</v>
      </c>
      <c r="J694" s="1" t="s">
        <v>176</v>
      </c>
      <c r="K694" s="1" t="s">
        <v>123</v>
      </c>
      <c r="L694">
        <v>10035</v>
      </c>
      <c r="M694" s="1" t="s">
        <v>70</v>
      </c>
      <c r="N694" s="1" t="s">
        <v>664</v>
      </c>
      <c r="O694" s="1" t="s">
        <v>33</v>
      </c>
      <c r="P694" s="1" t="s">
        <v>59</v>
      </c>
      <c r="Q694" s="1" t="s">
        <v>665</v>
      </c>
      <c r="R694">
        <v>15</v>
      </c>
      <c r="S694">
        <v>3</v>
      </c>
      <c r="T694">
        <v>0</v>
      </c>
      <c r="U694">
        <v>5</v>
      </c>
      <c r="V694" s="1" t="s">
        <v>132</v>
      </c>
      <c r="W694" s="1" t="s">
        <v>80</v>
      </c>
    </row>
    <row r="695" spans="1:23" x14ac:dyDescent="0.35">
      <c r="A695">
        <v>3294</v>
      </c>
      <c r="B695" s="1" t="s">
        <v>2371</v>
      </c>
      <c r="C695" s="2">
        <v>41999</v>
      </c>
      <c r="D695" s="2">
        <v>42003</v>
      </c>
      <c r="E695" s="1" t="s">
        <v>42</v>
      </c>
      <c r="F695" s="1" t="s">
        <v>1657</v>
      </c>
      <c r="G695" s="1" t="s">
        <v>1658</v>
      </c>
      <c r="H695" s="1" t="s">
        <v>27</v>
      </c>
      <c r="I695" s="1" t="s">
        <v>28</v>
      </c>
      <c r="J695" s="1" t="s">
        <v>642</v>
      </c>
      <c r="K695" s="1" t="s">
        <v>56</v>
      </c>
      <c r="L695">
        <v>92024</v>
      </c>
      <c r="M695" s="1" t="s">
        <v>57</v>
      </c>
      <c r="N695" s="1" t="s">
        <v>1074</v>
      </c>
      <c r="O695" s="1" t="s">
        <v>33</v>
      </c>
      <c r="P695" s="1" t="s">
        <v>59</v>
      </c>
      <c r="Q695" s="1" t="s">
        <v>1075</v>
      </c>
      <c r="R695">
        <v>3</v>
      </c>
      <c r="S695">
        <v>2</v>
      </c>
      <c r="T695">
        <v>0</v>
      </c>
      <c r="U695">
        <v>1</v>
      </c>
      <c r="V695" s="1" t="s">
        <v>86</v>
      </c>
      <c r="W695" s="1" t="s">
        <v>99</v>
      </c>
    </row>
    <row r="696" spans="1:23" x14ac:dyDescent="0.35">
      <c r="A696">
        <v>3303</v>
      </c>
      <c r="B696" s="1" t="s">
        <v>2372</v>
      </c>
      <c r="C696" s="2">
        <v>41961</v>
      </c>
      <c r="D696" s="2">
        <v>41965</v>
      </c>
      <c r="E696" s="1" t="s">
        <v>42</v>
      </c>
      <c r="F696" s="1" t="s">
        <v>631</v>
      </c>
      <c r="G696" s="1" t="s">
        <v>632</v>
      </c>
      <c r="H696" s="1" t="s">
        <v>27</v>
      </c>
      <c r="I696" s="1" t="s">
        <v>28</v>
      </c>
      <c r="J696" s="1" t="s">
        <v>68</v>
      </c>
      <c r="K696" s="1" t="s">
        <v>69</v>
      </c>
      <c r="L696">
        <v>19140</v>
      </c>
      <c r="M696" s="1" t="s">
        <v>70</v>
      </c>
      <c r="N696" s="1" t="s">
        <v>1293</v>
      </c>
      <c r="O696" s="1" t="s">
        <v>33</v>
      </c>
      <c r="P696" s="1" t="s">
        <v>59</v>
      </c>
      <c r="Q696" s="1" t="s">
        <v>1761</v>
      </c>
      <c r="R696">
        <v>60</v>
      </c>
      <c r="S696">
        <v>3</v>
      </c>
      <c r="T696">
        <v>0.2</v>
      </c>
      <c r="U696">
        <v>5</v>
      </c>
      <c r="V696" s="1" t="s">
        <v>86</v>
      </c>
      <c r="W696" s="1" t="s">
        <v>37</v>
      </c>
    </row>
    <row r="697" spans="1:23" x14ac:dyDescent="0.35">
      <c r="A697">
        <v>3312</v>
      </c>
      <c r="B697" s="1" t="s">
        <v>2373</v>
      </c>
      <c r="C697" s="2">
        <v>42449</v>
      </c>
      <c r="D697" s="2">
        <v>42454</v>
      </c>
      <c r="E697" s="1" t="s">
        <v>24</v>
      </c>
      <c r="F697" s="1" t="s">
        <v>2374</v>
      </c>
      <c r="G697" s="1" t="s">
        <v>2375</v>
      </c>
      <c r="H697" s="1" t="s">
        <v>93</v>
      </c>
      <c r="I697" s="1" t="s">
        <v>28</v>
      </c>
      <c r="J697" s="1" t="s">
        <v>2376</v>
      </c>
      <c r="K697" s="1" t="s">
        <v>481</v>
      </c>
      <c r="L697">
        <v>39503</v>
      </c>
      <c r="M697" s="1" t="s">
        <v>31</v>
      </c>
      <c r="N697" s="1" t="s">
        <v>1131</v>
      </c>
      <c r="O697" s="1" t="s">
        <v>33</v>
      </c>
      <c r="P697" s="1" t="s">
        <v>59</v>
      </c>
      <c r="Q697" s="1" t="s">
        <v>1132</v>
      </c>
      <c r="R697">
        <v>86</v>
      </c>
      <c r="S697">
        <v>7</v>
      </c>
      <c r="T697">
        <v>0</v>
      </c>
      <c r="U697">
        <v>38</v>
      </c>
      <c r="V697" s="1" t="s">
        <v>61</v>
      </c>
      <c r="W697" s="1" t="s">
        <v>198</v>
      </c>
    </row>
    <row r="698" spans="1:23" x14ac:dyDescent="0.35">
      <c r="A698">
        <v>3313</v>
      </c>
      <c r="B698" s="1" t="s">
        <v>2377</v>
      </c>
      <c r="C698" s="2">
        <v>41909</v>
      </c>
      <c r="D698" s="2">
        <v>41913</v>
      </c>
      <c r="E698" s="1" t="s">
        <v>42</v>
      </c>
      <c r="F698" s="1" t="s">
        <v>2378</v>
      </c>
      <c r="G698" s="1" t="s">
        <v>2379</v>
      </c>
      <c r="H698" s="1" t="s">
        <v>27</v>
      </c>
      <c r="I698" s="1" t="s">
        <v>28</v>
      </c>
      <c r="J698" s="1" t="s">
        <v>642</v>
      </c>
      <c r="K698" s="1" t="s">
        <v>56</v>
      </c>
      <c r="L698">
        <v>92037</v>
      </c>
      <c r="M698" s="1" t="s">
        <v>57</v>
      </c>
      <c r="N698" s="1" t="s">
        <v>397</v>
      </c>
      <c r="O698" s="1" t="s">
        <v>33</v>
      </c>
      <c r="P698" s="1" t="s">
        <v>39</v>
      </c>
      <c r="Q698" s="1" t="s">
        <v>398</v>
      </c>
      <c r="R698">
        <v>604</v>
      </c>
      <c r="S698">
        <v>5</v>
      </c>
      <c r="T698">
        <v>0.2</v>
      </c>
      <c r="U698">
        <v>45</v>
      </c>
      <c r="V698" s="1" t="s">
        <v>86</v>
      </c>
      <c r="W698" s="1" t="s">
        <v>80</v>
      </c>
    </row>
    <row r="699" spans="1:23" x14ac:dyDescent="0.35">
      <c r="A699">
        <v>3315</v>
      </c>
      <c r="B699" s="1" t="s">
        <v>2380</v>
      </c>
      <c r="C699" s="2">
        <v>43093</v>
      </c>
      <c r="D699" s="2">
        <v>43097</v>
      </c>
      <c r="E699" s="1" t="s">
        <v>42</v>
      </c>
      <c r="F699" s="1" t="s">
        <v>2381</v>
      </c>
      <c r="G699" s="1" t="s">
        <v>2382</v>
      </c>
      <c r="H699" s="1" t="s">
        <v>27</v>
      </c>
      <c r="I699" s="1" t="s">
        <v>28</v>
      </c>
      <c r="J699" s="1" t="s">
        <v>764</v>
      </c>
      <c r="K699" s="1" t="s">
        <v>123</v>
      </c>
      <c r="L699">
        <v>11572</v>
      </c>
      <c r="M699" s="1" t="s">
        <v>70</v>
      </c>
      <c r="N699" s="1" t="s">
        <v>397</v>
      </c>
      <c r="O699" s="1" t="s">
        <v>33</v>
      </c>
      <c r="P699" s="1" t="s">
        <v>39</v>
      </c>
      <c r="Q699" s="1" t="s">
        <v>398</v>
      </c>
      <c r="R699">
        <v>272</v>
      </c>
      <c r="S699">
        <v>2</v>
      </c>
      <c r="T699">
        <v>0.1</v>
      </c>
      <c r="U699">
        <v>48</v>
      </c>
      <c r="V699" s="1" t="s">
        <v>86</v>
      </c>
      <c r="W699" s="1" t="s">
        <v>99</v>
      </c>
    </row>
    <row r="700" spans="1:23" x14ac:dyDescent="0.35">
      <c r="A700">
        <v>3317</v>
      </c>
      <c r="B700" s="1" t="s">
        <v>2383</v>
      </c>
      <c r="C700" s="2">
        <v>43049</v>
      </c>
      <c r="D700" s="2">
        <v>43054</v>
      </c>
      <c r="E700" s="1" t="s">
        <v>24</v>
      </c>
      <c r="F700" s="1" t="s">
        <v>2384</v>
      </c>
      <c r="G700" s="1" t="s">
        <v>2385</v>
      </c>
      <c r="H700" s="1" t="s">
        <v>93</v>
      </c>
      <c r="I700" s="1" t="s">
        <v>28</v>
      </c>
      <c r="J700" s="1" t="s">
        <v>934</v>
      </c>
      <c r="K700" s="1" t="s">
        <v>95</v>
      </c>
      <c r="L700">
        <v>78664</v>
      </c>
      <c r="M700" s="1" t="s">
        <v>96</v>
      </c>
      <c r="N700" s="1" t="s">
        <v>1834</v>
      </c>
      <c r="O700" s="1" t="s">
        <v>33</v>
      </c>
      <c r="P700" s="1" t="s">
        <v>59</v>
      </c>
      <c r="Q700" s="1" t="s">
        <v>1835</v>
      </c>
      <c r="R700">
        <v>342</v>
      </c>
      <c r="S700">
        <v>5</v>
      </c>
      <c r="T700">
        <v>0.6</v>
      </c>
      <c r="U700">
        <v>-427</v>
      </c>
      <c r="V700" s="1" t="s">
        <v>61</v>
      </c>
      <c r="W700" s="1" t="s">
        <v>37</v>
      </c>
    </row>
    <row r="701" spans="1:23" x14ac:dyDescent="0.35">
      <c r="A701">
        <v>3321</v>
      </c>
      <c r="B701" s="1" t="s">
        <v>2386</v>
      </c>
      <c r="C701" s="2">
        <v>41993</v>
      </c>
      <c r="D701" s="2">
        <v>41998</v>
      </c>
      <c r="E701" s="1" t="s">
        <v>42</v>
      </c>
      <c r="F701" s="1" t="s">
        <v>2387</v>
      </c>
      <c r="G701" s="1" t="s">
        <v>2388</v>
      </c>
      <c r="H701" s="1" t="s">
        <v>27</v>
      </c>
      <c r="I701" s="1" t="s">
        <v>28</v>
      </c>
      <c r="J701" s="1" t="s">
        <v>160</v>
      </c>
      <c r="K701" s="1" t="s">
        <v>144</v>
      </c>
      <c r="L701">
        <v>38401</v>
      </c>
      <c r="M701" s="1" t="s">
        <v>31</v>
      </c>
      <c r="N701" s="1" t="s">
        <v>249</v>
      </c>
      <c r="O701" s="1" t="s">
        <v>33</v>
      </c>
      <c r="P701" s="1" t="s">
        <v>39</v>
      </c>
      <c r="Q701" s="1" t="s">
        <v>250</v>
      </c>
      <c r="R701">
        <v>663</v>
      </c>
      <c r="S701">
        <v>3</v>
      </c>
      <c r="T701">
        <v>0.2</v>
      </c>
      <c r="U701">
        <v>75</v>
      </c>
      <c r="V701" s="1" t="s">
        <v>61</v>
      </c>
      <c r="W701" s="1" t="s">
        <v>99</v>
      </c>
    </row>
    <row r="702" spans="1:23" x14ac:dyDescent="0.35">
      <c r="A702">
        <v>3324</v>
      </c>
      <c r="B702" s="1" t="s">
        <v>2389</v>
      </c>
      <c r="C702" s="2">
        <v>42208</v>
      </c>
      <c r="D702" s="2">
        <v>42212</v>
      </c>
      <c r="E702" s="1" t="s">
        <v>42</v>
      </c>
      <c r="F702" s="1" t="s">
        <v>2390</v>
      </c>
      <c r="G702" s="1" t="s">
        <v>2391</v>
      </c>
      <c r="H702" s="1" t="s">
        <v>103</v>
      </c>
      <c r="I702" s="1" t="s">
        <v>28</v>
      </c>
      <c r="J702" s="1" t="s">
        <v>176</v>
      </c>
      <c r="K702" s="1" t="s">
        <v>123</v>
      </c>
      <c r="L702">
        <v>10009</v>
      </c>
      <c r="M702" s="1" t="s">
        <v>70</v>
      </c>
      <c r="N702" s="1" t="s">
        <v>748</v>
      </c>
      <c r="O702" s="1" t="s">
        <v>33</v>
      </c>
      <c r="P702" s="1" t="s">
        <v>59</v>
      </c>
      <c r="Q702" s="1" t="s">
        <v>749</v>
      </c>
      <c r="R702">
        <v>129</v>
      </c>
      <c r="S702">
        <v>3</v>
      </c>
      <c r="T702">
        <v>0</v>
      </c>
      <c r="U702">
        <v>50</v>
      </c>
      <c r="V702" s="1" t="s">
        <v>86</v>
      </c>
      <c r="W702" s="1" t="s">
        <v>74</v>
      </c>
    </row>
    <row r="703" spans="1:23" x14ac:dyDescent="0.35">
      <c r="A703">
        <v>3334</v>
      </c>
      <c r="B703" s="1" t="s">
        <v>2392</v>
      </c>
      <c r="C703" s="2">
        <v>43083</v>
      </c>
      <c r="D703" s="2">
        <v>43089</v>
      </c>
      <c r="E703" s="1" t="s">
        <v>42</v>
      </c>
      <c r="F703" s="1" t="s">
        <v>1255</v>
      </c>
      <c r="G703" s="1" t="s">
        <v>1256</v>
      </c>
      <c r="H703" s="1" t="s">
        <v>103</v>
      </c>
      <c r="I703" s="1" t="s">
        <v>28</v>
      </c>
      <c r="J703" s="1" t="s">
        <v>136</v>
      </c>
      <c r="K703" s="1" t="s">
        <v>137</v>
      </c>
      <c r="L703">
        <v>60653</v>
      </c>
      <c r="M703" s="1" t="s">
        <v>96</v>
      </c>
      <c r="N703" s="1" t="s">
        <v>2393</v>
      </c>
      <c r="O703" s="1" t="s">
        <v>33</v>
      </c>
      <c r="P703" s="1" t="s">
        <v>59</v>
      </c>
      <c r="Q703" s="1" t="s">
        <v>2394</v>
      </c>
      <c r="R703">
        <v>2</v>
      </c>
      <c r="S703">
        <v>1</v>
      </c>
      <c r="T703">
        <v>0.6</v>
      </c>
      <c r="U703">
        <v>-1</v>
      </c>
      <c r="V703" s="1" t="s">
        <v>132</v>
      </c>
      <c r="W703" s="1" t="s">
        <v>99</v>
      </c>
    </row>
    <row r="704" spans="1:23" x14ac:dyDescent="0.35">
      <c r="A704">
        <v>3337</v>
      </c>
      <c r="B704" s="1" t="s">
        <v>2395</v>
      </c>
      <c r="C704" s="2">
        <v>42968</v>
      </c>
      <c r="D704" s="2">
        <v>42969</v>
      </c>
      <c r="E704" s="1" t="s">
        <v>90</v>
      </c>
      <c r="F704" s="1" t="s">
        <v>2396</v>
      </c>
      <c r="G704" s="1" t="s">
        <v>2397</v>
      </c>
      <c r="H704" s="1" t="s">
        <v>27</v>
      </c>
      <c r="I704" s="1" t="s">
        <v>28</v>
      </c>
      <c r="J704" s="1" t="s">
        <v>1473</v>
      </c>
      <c r="K704" s="1" t="s">
        <v>56</v>
      </c>
      <c r="L704">
        <v>94601</v>
      </c>
      <c r="M704" s="1" t="s">
        <v>57</v>
      </c>
      <c r="N704" s="1" t="s">
        <v>2398</v>
      </c>
      <c r="O704" s="1" t="s">
        <v>33</v>
      </c>
      <c r="P704" s="1" t="s">
        <v>59</v>
      </c>
      <c r="Q704" s="1" t="s">
        <v>2399</v>
      </c>
      <c r="R704">
        <v>130</v>
      </c>
      <c r="S704">
        <v>4</v>
      </c>
      <c r="T704">
        <v>0</v>
      </c>
      <c r="U704">
        <v>10</v>
      </c>
      <c r="V704" s="1" t="s">
        <v>126</v>
      </c>
      <c r="W704" s="1" t="s">
        <v>256</v>
      </c>
    </row>
    <row r="705" spans="1:23" x14ac:dyDescent="0.35">
      <c r="A705">
        <v>3338</v>
      </c>
      <c r="B705" s="1" t="s">
        <v>2395</v>
      </c>
      <c r="C705" s="2">
        <v>42968</v>
      </c>
      <c r="D705" s="2">
        <v>42969</v>
      </c>
      <c r="E705" s="1" t="s">
        <v>90</v>
      </c>
      <c r="F705" s="1" t="s">
        <v>2396</v>
      </c>
      <c r="G705" s="1" t="s">
        <v>2397</v>
      </c>
      <c r="H705" s="1" t="s">
        <v>27</v>
      </c>
      <c r="I705" s="1" t="s">
        <v>28</v>
      </c>
      <c r="J705" s="1" t="s">
        <v>1473</v>
      </c>
      <c r="K705" s="1" t="s">
        <v>56</v>
      </c>
      <c r="L705">
        <v>94601</v>
      </c>
      <c r="M705" s="1" t="s">
        <v>57</v>
      </c>
      <c r="N705" s="1" t="s">
        <v>63</v>
      </c>
      <c r="O705" s="1" t="s">
        <v>33</v>
      </c>
      <c r="P705" s="1" t="s">
        <v>48</v>
      </c>
      <c r="Q705" s="1" t="s">
        <v>64</v>
      </c>
      <c r="R705">
        <v>569</v>
      </c>
      <c r="S705">
        <v>3</v>
      </c>
      <c r="T705">
        <v>0.2</v>
      </c>
      <c r="U705">
        <v>28</v>
      </c>
      <c r="V705" s="1" t="s">
        <v>126</v>
      </c>
      <c r="W705" s="1" t="s">
        <v>256</v>
      </c>
    </row>
    <row r="706" spans="1:23" x14ac:dyDescent="0.35">
      <c r="A706">
        <v>3343</v>
      </c>
      <c r="B706" s="1" t="s">
        <v>2400</v>
      </c>
      <c r="C706" s="2">
        <v>42609</v>
      </c>
      <c r="D706" s="2">
        <v>42614</v>
      </c>
      <c r="E706" s="1" t="s">
        <v>24</v>
      </c>
      <c r="F706" s="1" t="s">
        <v>120</v>
      </c>
      <c r="G706" s="1" t="s">
        <v>121</v>
      </c>
      <c r="H706" s="1" t="s">
        <v>27</v>
      </c>
      <c r="I706" s="1" t="s">
        <v>28</v>
      </c>
      <c r="J706" s="1" t="s">
        <v>2401</v>
      </c>
      <c r="K706" s="1" t="s">
        <v>437</v>
      </c>
      <c r="L706">
        <v>2169</v>
      </c>
      <c r="M706" s="1" t="s">
        <v>70</v>
      </c>
      <c r="N706" s="1" t="s">
        <v>1464</v>
      </c>
      <c r="O706" s="1" t="s">
        <v>33</v>
      </c>
      <c r="P706" s="1" t="s">
        <v>48</v>
      </c>
      <c r="Q706" s="1" t="s">
        <v>1465</v>
      </c>
      <c r="R706">
        <v>245</v>
      </c>
      <c r="S706">
        <v>1</v>
      </c>
      <c r="T706">
        <v>0.3</v>
      </c>
      <c r="U706">
        <v>21</v>
      </c>
      <c r="V706" s="1" t="s">
        <v>61</v>
      </c>
      <c r="W706" s="1" t="s">
        <v>256</v>
      </c>
    </row>
    <row r="707" spans="1:23" x14ac:dyDescent="0.35">
      <c r="A707">
        <v>3352</v>
      </c>
      <c r="B707" s="1" t="s">
        <v>2402</v>
      </c>
      <c r="C707" s="2">
        <v>41905</v>
      </c>
      <c r="D707" s="2">
        <v>41910</v>
      </c>
      <c r="E707" s="1" t="s">
        <v>42</v>
      </c>
      <c r="F707" s="1" t="s">
        <v>861</v>
      </c>
      <c r="G707" s="1" t="s">
        <v>862</v>
      </c>
      <c r="H707" s="1" t="s">
        <v>93</v>
      </c>
      <c r="I707" s="1" t="s">
        <v>28</v>
      </c>
      <c r="J707" s="1" t="s">
        <v>642</v>
      </c>
      <c r="K707" s="1" t="s">
        <v>56</v>
      </c>
      <c r="L707">
        <v>92037</v>
      </c>
      <c r="M707" s="1" t="s">
        <v>57</v>
      </c>
      <c r="N707" s="1" t="s">
        <v>2403</v>
      </c>
      <c r="O707" s="1" t="s">
        <v>33</v>
      </c>
      <c r="P707" s="1" t="s">
        <v>34</v>
      </c>
      <c r="Q707" s="1" t="s">
        <v>2404</v>
      </c>
      <c r="R707">
        <v>436</v>
      </c>
      <c r="S707">
        <v>3</v>
      </c>
      <c r="T707">
        <v>0.15</v>
      </c>
      <c r="U707">
        <v>21</v>
      </c>
      <c r="V707" s="1" t="s">
        <v>61</v>
      </c>
      <c r="W707" s="1" t="s">
        <v>80</v>
      </c>
    </row>
    <row r="708" spans="1:23" x14ac:dyDescent="0.35">
      <c r="A708">
        <v>3355</v>
      </c>
      <c r="B708" s="1" t="s">
        <v>2405</v>
      </c>
      <c r="C708" s="2">
        <v>41839</v>
      </c>
      <c r="D708" s="2">
        <v>41844</v>
      </c>
      <c r="E708" s="1" t="s">
        <v>42</v>
      </c>
      <c r="F708" s="1" t="s">
        <v>2406</v>
      </c>
      <c r="G708" s="1" t="s">
        <v>2407</v>
      </c>
      <c r="H708" s="1" t="s">
        <v>93</v>
      </c>
      <c r="I708" s="1" t="s">
        <v>28</v>
      </c>
      <c r="J708" s="1" t="s">
        <v>2408</v>
      </c>
      <c r="K708" s="1" t="s">
        <v>432</v>
      </c>
      <c r="L708">
        <v>6010</v>
      </c>
      <c r="M708" s="1" t="s">
        <v>70</v>
      </c>
      <c r="N708" s="1" t="s">
        <v>2409</v>
      </c>
      <c r="O708" s="1" t="s">
        <v>33</v>
      </c>
      <c r="P708" s="1" t="s">
        <v>48</v>
      </c>
      <c r="Q708" s="1" t="s">
        <v>2410</v>
      </c>
      <c r="R708">
        <v>71</v>
      </c>
      <c r="S708">
        <v>1</v>
      </c>
      <c r="T708">
        <v>0.3</v>
      </c>
      <c r="U708">
        <v>-4</v>
      </c>
      <c r="V708" s="1" t="s">
        <v>61</v>
      </c>
      <c r="W708" s="1" t="s">
        <v>74</v>
      </c>
    </row>
    <row r="709" spans="1:23" x14ac:dyDescent="0.35">
      <c r="A709">
        <v>3362</v>
      </c>
      <c r="B709" s="1" t="s">
        <v>2411</v>
      </c>
      <c r="C709" s="2">
        <v>42159</v>
      </c>
      <c r="D709" s="2">
        <v>42163</v>
      </c>
      <c r="E709" s="1" t="s">
        <v>24</v>
      </c>
      <c r="F709" s="1" t="s">
        <v>1176</v>
      </c>
      <c r="G709" s="1" t="s">
        <v>1177</v>
      </c>
      <c r="H709" s="1" t="s">
        <v>103</v>
      </c>
      <c r="I709" s="1" t="s">
        <v>28</v>
      </c>
      <c r="J709" s="1" t="s">
        <v>176</v>
      </c>
      <c r="K709" s="1" t="s">
        <v>123</v>
      </c>
      <c r="L709">
        <v>10024</v>
      </c>
      <c r="M709" s="1" t="s">
        <v>70</v>
      </c>
      <c r="N709" s="1" t="s">
        <v>2412</v>
      </c>
      <c r="O709" s="1" t="s">
        <v>33</v>
      </c>
      <c r="P709" s="1" t="s">
        <v>59</v>
      </c>
      <c r="Q709" s="1" t="s">
        <v>2413</v>
      </c>
      <c r="R709">
        <v>35</v>
      </c>
      <c r="S709">
        <v>3</v>
      </c>
      <c r="T709">
        <v>0</v>
      </c>
      <c r="U709">
        <v>12</v>
      </c>
      <c r="V709" s="1" t="s">
        <v>86</v>
      </c>
      <c r="W709" s="1" t="s">
        <v>62</v>
      </c>
    </row>
    <row r="710" spans="1:23" x14ac:dyDescent="0.35">
      <c r="A710">
        <v>3365</v>
      </c>
      <c r="B710" s="1" t="s">
        <v>2414</v>
      </c>
      <c r="C710" s="2">
        <v>42567</v>
      </c>
      <c r="D710" s="2">
        <v>42569</v>
      </c>
      <c r="E710" s="1" t="s">
        <v>24</v>
      </c>
      <c r="F710" s="1" t="s">
        <v>2415</v>
      </c>
      <c r="G710" s="1" t="s">
        <v>2416</v>
      </c>
      <c r="H710" s="1" t="s">
        <v>93</v>
      </c>
      <c r="I710" s="1" t="s">
        <v>28</v>
      </c>
      <c r="J710" s="1" t="s">
        <v>104</v>
      </c>
      <c r="K710" s="1" t="s">
        <v>95</v>
      </c>
      <c r="L710">
        <v>77036</v>
      </c>
      <c r="M710" s="1" t="s">
        <v>96</v>
      </c>
      <c r="N710" s="1" t="s">
        <v>930</v>
      </c>
      <c r="O710" s="1" t="s">
        <v>33</v>
      </c>
      <c r="P710" s="1" t="s">
        <v>59</v>
      </c>
      <c r="Q710" s="1" t="s">
        <v>319</v>
      </c>
      <c r="R710">
        <v>10</v>
      </c>
      <c r="S710">
        <v>3</v>
      </c>
      <c r="T710">
        <v>0.6</v>
      </c>
      <c r="U710">
        <v>-4</v>
      </c>
      <c r="V710" s="1" t="s">
        <v>73</v>
      </c>
      <c r="W710" s="1" t="s">
        <v>74</v>
      </c>
    </row>
    <row r="711" spans="1:23" x14ac:dyDescent="0.35">
      <c r="A711">
        <v>3366</v>
      </c>
      <c r="B711" s="1" t="s">
        <v>2417</v>
      </c>
      <c r="C711" s="2">
        <v>41670</v>
      </c>
      <c r="D711" s="2">
        <v>41672</v>
      </c>
      <c r="E711" s="1" t="s">
        <v>90</v>
      </c>
      <c r="F711" s="1" t="s">
        <v>2418</v>
      </c>
      <c r="G711" s="1" t="s">
        <v>2419</v>
      </c>
      <c r="H711" s="1" t="s">
        <v>27</v>
      </c>
      <c r="I711" s="1" t="s">
        <v>28</v>
      </c>
      <c r="J711" s="1" t="s">
        <v>2420</v>
      </c>
      <c r="K711" s="1" t="s">
        <v>56</v>
      </c>
      <c r="L711">
        <v>92691</v>
      </c>
      <c r="M711" s="1" t="s">
        <v>57</v>
      </c>
      <c r="N711" s="1" t="s">
        <v>1459</v>
      </c>
      <c r="O711" s="1" t="s">
        <v>33</v>
      </c>
      <c r="P711" s="1" t="s">
        <v>34</v>
      </c>
      <c r="Q711" s="1" t="s">
        <v>1460</v>
      </c>
      <c r="R711">
        <v>291</v>
      </c>
      <c r="S711">
        <v>2</v>
      </c>
      <c r="T711">
        <v>0.15</v>
      </c>
      <c r="U711">
        <v>3</v>
      </c>
      <c r="V711" s="1" t="s">
        <v>73</v>
      </c>
      <c r="W711" s="1" t="s">
        <v>172</v>
      </c>
    </row>
    <row r="712" spans="1:23" x14ac:dyDescent="0.35">
      <c r="A712">
        <v>3369</v>
      </c>
      <c r="B712" s="1" t="s">
        <v>2421</v>
      </c>
      <c r="C712" s="2">
        <v>42329</v>
      </c>
      <c r="D712" s="2">
        <v>42333</v>
      </c>
      <c r="E712" s="1" t="s">
        <v>42</v>
      </c>
      <c r="F712" s="1" t="s">
        <v>2238</v>
      </c>
      <c r="G712" s="1" t="s">
        <v>2239</v>
      </c>
      <c r="H712" s="1" t="s">
        <v>27</v>
      </c>
      <c r="I712" s="1" t="s">
        <v>28</v>
      </c>
      <c r="J712" s="1" t="s">
        <v>2422</v>
      </c>
      <c r="K712" s="1" t="s">
        <v>1343</v>
      </c>
      <c r="L712">
        <v>89115</v>
      </c>
      <c r="M712" s="1" t="s">
        <v>57</v>
      </c>
      <c r="N712" s="1" t="s">
        <v>2423</v>
      </c>
      <c r="O712" s="1" t="s">
        <v>33</v>
      </c>
      <c r="P712" s="1" t="s">
        <v>34</v>
      </c>
      <c r="Q712" s="1" t="s">
        <v>2424</v>
      </c>
      <c r="R712">
        <v>142</v>
      </c>
      <c r="S712">
        <v>2</v>
      </c>
      <c r="T712">
        <v>0</v>
      </c>
      <c r="U712">
        <v>41</v>
      </c>
      <c r="V712" s="1" t="s">
        <v>86</v>
      </c>
      <c r="W712" s="1" t="s">
        <v>37</v>
      </c>
    </row>
    <row r="713" spans="1:23" x14ac:dyDescent="0.35">
      <c r="A713">
        <v>3374</v>
      </c>
      <c r="B713" s="1" t="s">
        <v>2425</v>
      </c>
      <c r="C713" s="2">
        <v>42342</v>
      </c>
      <c r="D713" s="2">
        <v>42348</v>
      </c>
      <c r="E713" s="1" t="s">
        <v>42</v>
      </c>
      <c r="F713" s="1" t="s">
        <v>43</v>
      </c>
      <c r="G713" s="1" t="s">
        <v>44</v>
      </c>
      <c r="H713" s="1" t="s">
        <v>27</v>
      </c>
      <c r="I713" s="1" t="s">
        <v>28</v>
      </c>
      <c r="J713" s="1" t="s">
        <v>2426</v>
      </c>
      <c r="K713" s="1" t="s">
        <v>123</v>
      </c>
      <c r="L713">
        <v>11550</v>
      </c>
      <c r="M713" s="1" t="s">
        <v>70</v>
      </c>
      <c r="N713" s="1" t="s">
        <v>2207</v>
      </c>
      <c r="O713" s="1" t="s">
        <v>33</v>
      </c>
      <c r="P713" s="1" t="s">
        <v>59</v>
      </c>
      <c r="Q713" s="1" t="s">
        <v>2208</v>
      </c>
      <c r="R713">
        <v>28</v>
      </c>
      <c r="S713">
        <v>3</v>
      </c>
      <c r="T713">
        <v>0</v>
      </c>
      <c r="U713">
        <v>11</v>
      </c>
      <c r="V713" s="1" t="s">
        <v>132</v>
      </c>
      <c r="W713" s="1" t="s">
        <v>99</v>
      </c>
    </row>
    <row r="714" spans="1:23" x14ac:dyDescent="0.35">
      <c r="A714">
        <v>3375</v>
      </c>
      <c r="B714" s="1" t="s">
        <v>2425</v>
      </c>
      <c r="C714" s="2">
        <v>42342</v>
      </c>
      <c r="D714" s="2">
        <v>42348</v>
      </c>
      <c r="E714" s="1" t="s">
        <v>42</v>
      </c>
      <c r="F714" s="1" t="s">
        <v>43</v>
      </c>
      <c r="G714" s="1" t="s">
        <v>44</v>
      </c>
      <c r="H714" s="1" t="s">
        <v>27</v>
      </c>
      <c r="I714" s="1" t="s">
        <v>28</v>
      </c>
      <c r="J714" s="1" t="s">
        <v>2426</v>
      </c>
      <c r="K714" s="1" t="s">
        <v>123</v>
      </c>
      <c r="L714">
        <v>11550</v>
      </c>
      <c r="M714" s="1" t="s">
        <v>70</v>
      </c>
      <c r="N714" s="1" t="s">
        <v>498</v>
      </c>
      <c r="O714" s="1" t="s">
        <v>33</v>
      </c>
      <c r="P714" s="1" t="s">
        <v>39</v>
      </c>
      <c r="Q714" s="1" t="s">
        <v>499</v>
      </c>
      <c r="R714">
        <v>364</v>
      </c>
      <c r="S714">
        <v>5</v>
      </c>
      <c r="T714">
        <v>0.1</v>
      </c>
      <c r="U714">
        <v>8</v>
      </c>
      <c r="V714" s="1" t="s">
        <v>132</v>
      </c>
      <c r="W714" s="1" t="s">
        <v>99</v>
      </c>
    </row>
    <row r="715" spans="1:23" x14ac:dyDescent="0.35">
      <c r="A715">
        <v>3377</v>
      </c>
      <c r="B715" s="1" t="s">
        <v>2425</v>
      </c>
      <c r="C715" s="2">
        <v>42342</v>
      </c>
      <c r="D715" s="2">
        <v>42348</v>
      </c>
      <c r="E715" s="1" t="s">
        <v>42</v>
      </c>
      <c r="F715" s="1" t="s">
        <v>43</v>
      </c>
      <c r="G715" s="1" t="s">
        <v>44</v>
      </c>
      <c r="H715" s="1" t="s">
        <v>27</v>
      </c>
      <c r="I715" s="1" t="s">
        <v>28</v>
      </c>
      <c r="J715" s="1" t="s">
        <v>2426</v>
      </c>
      <c r="K715" s="1" t="s">
        <v>123</v>
      </c>
      <c r="L715">
        <v>11550</v>
      </c>
      <c r="M715" s="1" t="s">
        <v>70</v>
      </c>
      <c r="N715" s="1" t="s">
        <v>332</v>
      </c>
      <c r="O715" s="1" t="s">
        <v>33</v>
      </c>
      <c r="P715" s="1" t="s">
        <v>39</v>
      </c>
      <c r="Q715" s="1" t="s">
        <v>333</v>
      </c>
      <c r="R715">
        <v>362</v>
      </c>
      <c r="S715">
        <v>2</v>
      </c>
      <c r="T715">
        <v>0.1</v>
      </c>
      <c r="U715">
        <v>68</v>
      </c>
      <c r="V715" s="1" t="s">
        <v>132</v>
      </c>
      <c r="W715" s="1" t="s">
        <v>99</v>
      </c>
    </row>
    <row r="716" spans="1:23" x14ac:dyDescent="0.35">
      <c r="A716">
        <v>3381</v>
      </c>
      <c r="B716" s="1" t="s">
        <v>2427</v>
      </c>
      <c r="C716" s="2">
        <v>43062</v>
      </c>
      <c r="D716" s="2">
        <v>43063</v>
      </c>
      <c r="E716" s="1" t="s">
        <v>90</v>
      </c>
      <c r="F716" s="1" t="s">
        <v>2149</v>
      </c>
      <c r="G716" s="1" t="s">
        <v>2150</v>
      </c>
      <c r="H716" s="1" t="s">
        <v>27</v>
      </c>
      <c r="I716" s="1" t="s">
        <v>28</v>
      </c>
      <c r="J716" s="1" t="s">
        <v>68</v>
      </c>
      <c r="K716" s="1" t="s">
        <v>69</v>
      </c>
      <c r="L716">
        <v>19120</v>
      </c>
      <c r="M716" s="1" t="s">
        <v>70</v>
      </c>
      <c r="N716" s="1" t="s">
        <v>2428</v>
      </c>
      <c r="O716" s="1" t="s">
        <v>33</v>
      </c>
      <c r="P716" s="1" t="s">
        <v>59</v>
      </c>
      <c r="Q716" s="1" t="s">
        <v>2429</v>
      </c>
      <c r="R716">
        <v>24</v>
      </c>
      <c r="S716">
        <v>9</v>
      </c>
      <c r="T716">
        <v>0.2</v>
      </c>
      <c r="U716">
        <v>7</v>
      </c>
      <c r="V716" s="1" t="s">
        <v>126</v>
      </c>
      <c r="W716" s="1" t="s">
        <v>37</v>
      </c>
    </row>
    <row r="717" spans="1:23" x14ac:dyDescent="0.35">
      <c r="A717">
        <v>3384</v>
      </c>
      <c r="B717" s="1" t="s">
        <v>2430</v>
      </c>
      <c r="C717" s="2">
        <v>42342</v>
      </c>
      <c r="D717" s="2">
        <v>42347</v>
      </c>
      <c r="E717" s="1" t="s">
        <v>24</v>
      </c>
      <c r="F717" s="1" t="s">
        <v>1684</v>
      </c>
      <c r="G717" s="1" t="s">
        <v>1685</v>
      </c>
      <c r="H717" s="1" t="s">
        <v>27</v>
      </c>
      <c r="I717" s="1" t="s">
        <v>28</v>
      </c>
      <c r="J717" s="1" t="s">
        <v>176</v>
      </c>
      <c r="K717" s="1" t="s">
        <v>123</v>
      </c>
      <c r="L717">
        <v>10035</v>
      </c>
      <c r="M717" s="1" t="s">
        <v>70</v>
      </c>
      <c r="N717" s="1" t="s">
        <v>2431</v>
      </c>
      <c r="O717" s="1" t="s">
        <v>33</v>
      </c>
      <c r="P717" s="1" t="s">
        <v>39</v>
      </c>
      <c r="Q717" s="1" t="s">
        <v>2432</v>
      </c>
      <c r="R717">
        <v>384</v>
      </c>
      <c r="S717">
        <v>7</v>
      </c>
      <c r="T717">
        <v>0.1</v>
      </c>
      <c r="U717">
        <v>30</v>
      </c>
      <c r="V717" s="1" t="s">
        <v>61</v>
      </c>
      <c r="W717" s="1" t="s">
        <v>99</v>
      </c>
    </row>
    <row r="718" spans="1:23" x14ac:dyDescent="0.35">
      <c r="A718">
        <v>3390</v>
      </c>
      <c r="B718" s="1" t="s">
        <v>2433</v>
      </c>
      <c r="C718" s="2">
        <v>43015</v>
      </c>
      <c r="D718" s="2">
        <v>43019</v>
      </c>
      <c r="E718" s="1" t="s">
        <v>42</v>
      </c>
      <c r="F718" s="1" t="s">
        <v>2434</v>
      </c>
      <c r="G718" s="1" t="s">
        <v>2435</v>
      </c>
      <c r="H718" s="1" t="s">
        <v>103</v>
      </c>
      <c r="I718" s="1" t="s">
        <v>28</v>
      </c>
      <c r="J718" s="1" t="s">
        <v>1530</v>
      </c>
      <c r="K718" s="1" t="s">
        <v>1039</v>
      </c>
      <c r="L718">
        <v>28205</v>
      </c>
      <c r="M718" s="1" t="s">
        <v>31</v>
      </c>
      <c r="N718" s="1" t="s">
        <v>1262</v>
      </c>
      <c r="O718" s="1" t="s">
        <v>33</v>
      </c>
      <c r="P718" s="1" t="s">
        <v>48</v>
      </c>
      <c r="Q718" s="1" t="s">
        <v>1066</v>
      </c>
      <c r="R718">
        <v>155</v>
      </c>
      <c r="S718">
        <v>3</v>
      </c>
      <c r="T718">
        <v>0.4</v>
      </c>
      <c r="U718">
        <v>-36</v>
      </c>
      <c r="V718" s="1" t="s">
        <v>86</v>
      </c>
      <c r="W718" s="1" t="s">
        <v>51</v>
      </c>
    </row>
    <row r="719" spans="1:23" x14ac:dyDescent="0.35">
      <c r="A719">
        <v>3403</v>
      </c>
      <c r="B719" s="1" t="s">
        <v>2436</v>
      </c>
      <c r="C719" s="2">
        <v>42128</v>
      </c>
      <c r="D719" s="2">
        <v>42129</v>
      </c>
      <c r="E719" s="1" t="s">
        <v>90</v>
      </c>
      <c r="F719" s="1" t="s">
        <v>987</v>
      </c>
      <c r="G719" s="1" t="s">
        <v>988</v>
      </c>
      <c r="H719" s="1" t="s">
        <v>93</v>
      </c>
      <c r="I719" s="1" t="s">
        <v>28</v>
      </c>
      <c r="J719" s="1" t="s">
        <v>2437</v>
      </c>
      <c r="K719" s="1" t="s">
        <v>137</v>
      </c>
      <c r="L719">
        <v>60477</v>
      </c>
      <c r="M719" s="1" t="s">
        <v>96</v>
      </c>
      <c r="N719" s="1" t="s">
        <v>930</v>
      </c>
      <c r="O719" s="1" t="s">
        <v>33</v>
      </c>
      <c r="P719" s="1" t="s">
        <v>59</v>
      </c>
      <c r="Q719" s="1" t="s">
        <v>319</v>
      </c>
      <c r="R719">
        <v>22</v>
      </c>
      <c r="S719">
        <v>7</v>
      </c>
      <c r="T719">
        <v>0.6</v>
      </c>
      <c r="U719">
        <v>-9</v>
      </c>
      <c r="V719" s="1" t="s">
        <v>126</v>
      </c>
      <c r="W719" s="1" t="s">
        <v>164</v>
      </c>
    </row>
    <row r="720" spans="1:23" x14ac:dyDescent="0.35">
      <c r="A720">
        <v>3404</v>
      </c>
      <c r="B720" s="1" t="s">
        <v>2438</v>
      </c>
      <c r="C720" s="2">
        <v>42884</v>
      </c>
      <c r="D720" s="2">
        <v>42891</v>
      </c>
      <c r="E720" s="1" t="s">
        <v>42</v>
      </c>
      <c r="F720" s="1" t="s">
        <v>1434</v>
      </c>
      <c r="G720" s="1" t="s">
        <v>1435</v>
      </c>
      <c r="H720" s="1" t="s">
        <v>27</v>
      </c>
      <c r="I720" s="1" t="s">
        <v>28</v>
      </c>
      <c r="J720" s="1" t="s">
        <v>104</v>
      </c>
      <c r="K720" s="1" t="s">
        <v>95</v>
      </c>
      <c r="L720">
        <v>77095</v>
      </c>
      <c r="M720" s="1" t="s">
        <v>96</v>
      </c>
      <c r="N720" s="1" t="s">
        <v>2439</v>
      </c>
      <c r="O720" s="1" t="s">
        <v>33</v>
      </c>
      <c r="P720" s="1" t="s">
        <v>59</v>
      </c>
      <c r="Q720" s="1" t="s">
        <v>2440</v>
      </c>
      <c r="R720">
        <v>65</v>
      </c>
      <c r="S720">
        <v>4</v>
      </c>
      <c r="T720">
        <v>0.6</v>
      </c>
      <c r="U720">
        <v>-52</v>
      </c>
      <c r="V720" s="1" t="s">
        <v>50</v>
      </c>
      <c r="W720" s="1" t="s">
        <v>164</v>
      </c>
    </row>
    <row r="721" spans="1:23" x14ac:dyDescent="0.35">
      <c r="A721">
        <v>3406</v>
      </c>
      <c r="B721" s="1" t="s">
        <v>2441</v>
      </c>
      <c r="C721" s="2">
        <v>41752</v>
      </c>
      <c r="D721" s="2">
        <v>41756</v>
      </c>
      <c r="E721" s="1" t="s">
        <v>42</v>
      </c>
      <c r="F721" s="1" t="s">
        <v>2442</v>
      </c>
      <c r="G721" s="1" t="s">
        <v>2443</v>
      </c>
      <c r="H721" s="1" t="s">
        <v>103</v>
      </c>
      <c r="I721" s="1" t="s">
        <v>28</v>
      </c>
      <c r="J721" s="1" t="s">
        <v>350</v>
      </c>
      <c r="K721" s="1" t="s">
        <v>234</v>
      </c>
      <c r="L721">
        <v>43229</v>
      </c>
      <c r="M721" s="1" t="s">
        <v>70</v>
      </c>
      <c r="N721" s="1" t="s">
        <v>332</v>
      </c>
      <c r="O721" s="1" t="s">
        <v>33</v>
      </c>
      <c r="P721" s="1" t="s">
        <v>39</v>
      </c>
      <c r="Q721" s="1" t="s">
        <v>333</v>
      </c>
      <c r="R721">
        <v>281</v>
      </c>
      <c r="S721">
        <v>2</v>
      </c>
      <c r="T721">
        <v>0.3</v>
      </c>
      <c r="U721">
        <v>-12</v>
      </c>
      <c r="V721" s="1" t="s">
        <v>86</v>
      </c>
      <c r="W721" s="1" t="s">
        <v>116</v>
      </c>
    </row>
    <row r="722" spans="1:23" x14ac:dyDescent="0.35">
      <c r="A722">
        <v>3407</v>
      </c>
      <c r="B722" s="1" t="s">
        <v>2441</v>
      </c>
      <c r="C722" s="2">
        <v>41752</v>
      </c>
      <c r="D722" s="2">
        <v>41756</v>
      </c>
      <c r="E722" s="1" t="s">
        <v>42</v>
      </c>
      <c r="F722" s="1" t="s">
        <v>2442</v>
      </c>
      <c r="G722" s="1" t="s">
        <v>2443</v>
      </c>
      <c r="H722" s="1" t="s">
        <v>103</v>
      </c>
      <c r="I722" s="1" t="s">
        <v>28</v>
      </c>
      <c r="J722" s="1" t="s">
        <v>350</v>
      </c>
      <c r="K722" s="1" t="s">
        <v>234</v>
      </c>
      <c r="L722">
        <v>43229</v>
      </c>
      <c r="M722" s="1" t="s">
        <v>70</v>
      </c>
      <c r="N722" s="1" t="s">
        <v>332</v>
      </c>
      <c r="O722" s="1" t="s">
        <v>33</v>
      </c>
      <c r="P722" s="1" t="s">
        <v>39</v>
      </c>
      <c r="Q722" s="1" t="s">
        <v>333</v>
      </c>
      <c r="R722">
        <v>281</v>
      </c>
      <c r="S722">
        <v>2</v>
      </c>
      <c r="T722">
        <v>0.3</v>
      </c>
      <c r="U722">
        <v>-12</v>
      </c>
      <c r="V722" s="1" t="s">
        <v>86</v>
      </c>
      <c r="W722" s="1" t="s">
        <v>116</v>
      </c>
    </row>
    <row r="723" spans="1:23" x14ac:dyDescent="0.35">
      <c r="A723">
        <v>3409</v>
      </c>
      <c r="B723" s="1" t="s">
        <v>2441</v>
      </c>
      <c r="C723" s="2">
        <v>41752</v>
      </c>
      <c r="D723" s="2">
        <v>41756</v>
      </c>
      <c r="E723" s="1" t="s">
        <v>42</v>
      </c>
      <c r="F723" s="1" t="s">
        <v>2442</v>
      </c>
      <c r="G723" s="1" t="s">
        <v>2443</v>
      </c>
      <c r="H723" s="1" t="s">
        <v>103</v>
      </c>
      <c r="I723" s="1" t="s">
        <v>28</v>
      </c>
      <c r="J723" s="1" t="s">
        <v>350</v>
      </c>
      <c r="K723" s="1" t="s">
        <v>234</v>
      </c>
      <c r="L723">
        <v>43229</v>
      </c>
      <c r="M723" s="1" t="s">
        <v>70</v>
      </c>
      <c r="N723" s="1" t="s">
        <v>980</v>
      </c>
      <c r="O723" s="1" t="s">
        <v>33</v>
      </c>
      <c r="P723" s="1" t="s">
        <v>59</v>
      </c>
      <c r="Q723" s="1" t="s">
        <v>981</v>
      </c>
      <c r="R723">
        <v>22</v>
      </c>
      <c r="S723">
        <v>4</v>
      </c>
      <c r="T723">
        <v>0.2</v>
      </c>
      <c r="U723">
        <v>8</v>
      </c>
      <c r="V723" s="1" t="s">
        <v>86</v>
      </c>
      <c r="W723" s="1" t="s">
        <v>116</v>
      </c>
    </row>
    <row r="724" spans="1:23" x14ac:dyDescent="0.35">
      <c r="A724">
        <v>3420</v>
      </c>
      <c r="B724" s="1" t="s">
        <v>2444</v>
      </c>
      <c r="C724" s="2">
        <v>42253</v>
      </c>
      <c r="D724" s="2">
        <v>42260</v>
      </c>
      <c r="E724" s="1" t="s">
        <v>42</v>
      </c>
      <c r="F724" s="1" t="s">
        <v>885</v>
      </c>
      <c r="G724" s="1" t="s">
        <v>886</v>
      </c>
      <c r="H724" s="1" t="s">
        <v>103</v>
      </c>
      <c r="I724" s="1" t="s">
        <v>28</v>
      </c>
      <c r="J724" s="1" t="s">
        <v>176</v>
      </c>
      <c r="K724" s="1" t="s">
        <v>123</v>
      </c>
      <c r="L724">
        <v>10024</v>
      </c>
      <c r="M724" s="1" t="s">
        <v>70</v>
      </c>
      <c r="N724" s="1" t="s">
        <v>858</v>
      </c>
      <c r="O724" s="1" t="s">
        <v>33</v>
      </c>
      <c r="P724" s="1" t="s">
        <v>39</v>
      </c>
      <c r="Q724" s="1" t="s">
        <v>859</v>
      </c>
      <c r="R724">
        <v>272</v>
      </c>
      <c r="S724">
        <v>2</v>
      </c>
      <c r="T724">
        <v>0.1</v>
      </c>
      <c r="U724">
        <v>60</v>
      </c>
      <c r="V724" s="1" t="s">
        <v>50</v>
      </c>
      <c r="W724" s="1" t="s">
        <v>80</v>
      </c>
    </row>
    <row r="725" spans="1:23" x14ac:dyDescent="0.35">
      <c r="A725">
        <v>3427</v>
      </c>
      <c r="B725" s="1" t="s">
        <v>2445</v>
      </c>
      <c r="C725" s="2">
        <v>42271</v>
      </c>
      <c r="D725" s="2">
        <v>42275</v>
      </c>
      <c r="E725" s="1" t="s">
        <v>42</v>
      </c>
      <c r="F725" s="1" t="s">
        <v>2446</v>
      </c>
      <c r="G725" s="1" t="s">
        <v>2447</v>
      </c>
      <c r="H725" s="1" t="s">
        <v>103</v>
      </c>
      <c r="I725" s="1" t="s">
        <v>28</v>
      </c>
      <c r="J725" s="1" t="s">
        <v>2448</v>
      </c>
      <c r="K725" s="1" t="s">
        <v>804</v>
      </c>
      <c r="L725">
        <v>52001</v>
      </c>
      <c r="M725" s="1" t="s">
        <v>96</v>
      </c>
      <c r="N725" s="1" t="s">
        <v>1535</v>
      </c>
      <c r="O725" s="1" t="s">
        <v>33</v>
      </c>
      <c r="P725" s="1" t="s">
        <v>39</v>
      </c>
      <c r="Q725" s="1" t="s">
        <v>1536</v>
      </c>
      <c r="R725">
        <v>1408</v>
      </c>
      <c r="S725">
        <v>10</v>
      </c>
      <c r="T725">
        <v>0</v>
      </c>
      <c r="U725">
        <v>394</v>
      </c>
      <c r="V725" s="1" t="s">
        <v>86</v>
      </c>
      <c r="W725" s="1" t="s">
        <v>80</v>
      </c>
    </row>
    <row r="726" spans="1:23" x14ac:dyDescent="0.35">
      <c r="A726">
        <v>3429</v>
      </c>
      <c r="B726" s="1" t="s">
        <v>2449</v>
      </c>
      <c r="C726" s="2">
        <v>42919</v>
      </c>
      <c r="D726" s="2">
        <v>42922</v>
      </c>
      <c r="E726" s="1" t="s">
        <v>24</v>
      </c>
      <c r="F726" s="1" t="s">
        <v>1227</v>
      </c>
      <c r="G726" s="1" t="s">
        <v>1228</v>
      </c>
      <c r="H726" s="1" t="s">
        <v>103</v>
      </c>
      <c r="I726" s="1" t="s">
        <v>28</v>
      </c>
      <c r="J726" s="1" t="s">
        <v>818</v>
      </c>
      <c r="K726" s="1" t="s">
        <v>234</v>
      </c>
      <c r="L726">
        <v>43130</v>
      </c>
      <c r="M726" s="1" t="s">
        <v>70</v>
      </c>
      <c r="N726" s="1" t="s">
        <v>457</v>
      </c>
      <c r="O726" s="1" t="s">
        <v>33</v>
      </c>
      <c r="P726" s="1" t="s">
        <v>48</v>
      </c>
      <c r="Q726" s="1" t="s">
        <v>458</v>
      </c>
      <c r="R726">
        <v>215</v>
      </c>
      <c r="S726">
        <v>2</v>
      </c>
      <c r="T726">
        <v>0.4</v>
      </c>
      <c r="U726">
        <v>-104</v>
      </c>
      <c r="V726" s="1" t="s">
        <v>36</v>
      </c>
      <c r="W726" s="1" t="s">
        <v>74</v>
      </c>
    </row>
    <row r="727" spans="1:23" x14ac:dyDescent="0.35">
      <c r="A727">
        <v>3432</v>
      </c>
      <c r="B727" s="1" t="s">
        <v>2450</v>
      </c>
      <c r="C727" s="2">
        <v>43077</v>
      </c>
      <c r="D727" s="2">
        <v>43078</v>
      </c>
      <c r="E727" s="1" t="s">
        <v>90</v>
      </c>
      <c r="F727" s="1" t="s">
        <v>1577</v>
      </c>
      <c r="G727" s="1" t="s">
        <v>1578</v>
      </c>
      <c r="H727" s="1" t="s">
        <v>27</v>
      </c>
      <c r="I727" s="1" t="s">
        <v>28</v>
      </c>
      <c r="J727" s="1" t="s">
        <v>2451</v>
      </c>
      <c r="K727" s="1" t="s">
        <v>56</v>
      </c>
      <c r="L727">
        <v>90301</v>
      </c>
      <c r="M727" s="1" t="s">
        <v>57</v>
      </c>
      <c r="N727" s="1" t="s">
        <v>2452</v>
      </c>
      <c r="O727" s="1" t="s">
        <v>33</v>
      </c>
      <c r="P727" s="1" t="s">
        <v>59</v>
      </c>
      <c r="Q727" s="1" t="s">
        <v>2453</v>
      </c>
      <c r="R727">
        <v>129</v>
      </c>
      <c r="S727">
        <v>2</v>
      </c>
      <c r="T727">
        <v>0</v>
      </c>
      <c r="U727">
        <v>15</v>
      </c>
      <c r="V727" s="1" t="s">
        <v>126</v>
      </c>
      <c r="W727" s="1" t="s">
        <v>99</v>
      </c>
    </row>
    <row r="728" spans="1:23" x14ac:dyDescent="0.35">
      <c r="A728">
        <v>3437</v>
      </c>
      <c r="B728" s="1" t="s">
        <v>2454</v>
      </c>
      <c r="C728" s="2">
        <v>42274</v>
      </c>
      <c r="D728" s="2">
        <v>42276</v>
      </c>
      <c r="E728" s="1" t="s">
        <v>90</v>
      </c>
      <c r="F728" s="1" t="s">
        <v>1312</v>
      </c>
      <c r="G728" s="1" t="s">
        <v>1313</v>
      </c>
      <c r="H728" s="1" t="s">
        <v>27</v>
      </c>
      <c r="I728" s="1" t="s">
        <v>28</v>
      </c>
      <c r="J728" s="1" t="s">
        <v>136</v>
      </c>
      <c r="K728" s="1" t="s">
        <v>137</v>
      </c>
      <c r="L728">
        <v>60610</v>
      </c>
      <c r="M728" s="1" t="s">
        <v>96</v>
      </c>
      <c r="N728" s="1" t="s">
        <v>651</v>
      </c>
      <c r="O728" s="1" t="s">
        <v>33</v>
      </c>
      <c r="P728" s="1" t="s">
        <v>59</v>
      </c>
      <c r="Q728" s="1" t="s">
        <v>652</v>
      </c>
      <c r="R728">
        <v>24</v>
      </c>
      <c r="S728">
        <v>3</v>
      </c>
      <c r="T728">
        <v>0.6</v>
      </c>
      <c r="U728">
        <v>-13</v>
      </c>
      <c r="V728" s="1" t="s">
        <v>73</v>
      </c>
      <c r="W728" s="1" t="s">
        <v>80</v>
      </c>
    </row>
    <row r="729" spans="1:23" x14ac:dyDescent="0.35">
      <c r="A729">
        <v>3438</v>
      </c>
      <c r="B729" s="1" t="s">
        <v>2455</v>
      </c>
      <c r="C729" s="2">
        <v>43038</v>
      </c>
      <c r="D729" s="2">
        <v>43038</v>
      </c>
      <c r="E729" s="1" t="s">
        <v>428</v>
      </c>
      <c r="F729" s="1" t="s">
        <v>1585</v>
      </c>
      <c r="G729" s="1" t="s">
        <v>1586</v>
      </c>
      <c r="H729" s="1" t="s">
        <v>27</v>
      </c>
      <c r="I729" s="1" t="s">
        <v>28</v>
      </c>
      <c r="J729" s="1" t="s">
        <v>1742</v>
      </c>
      <c r="K729" s="1" t="s">
        <v>95</v>
      </c>
      <c r="L729">
        <v>75217</v>
      </c>
      <c r="M729" s="1" t="s">
        <v>96</v>
      </c>
      <c r="N729" s="1" t="s">
        <v>651</v>
      </c>
      <c r="O729" s="1" t="s">
        <v>33</v>
      </c>
      <c r="P729" s="1" t="s">
        <v>59</v>
      </c>
      <c r="Q729" s="1" t="s">
        <v>652</v>
      </c>
      <c r="R729">
        <v>16</v>
      </c>
      <c r="S729">
        <v>2</v>
      </c>
      <c r="T729">
        <v>0.6</v>
      </c>
      <c r="U729">
        <v>-9</v>
      </c>
      <c r="V729" s="1" t="s">
        <v>433</v>
      </c>
      <c r="W729" s="1" t="s">
        <v>51</v>
      </c>
    </row>
    <row r="730" spans="1:23" x14ac:dyDescent="0.35">
      <c r="A730">
        <v>3439</v>
      </c>
      <c r="B730" s="1" t="s">
        <v>2455</v>
      </c>
      <c r="C730" s="2">
        <v>43038</v>
      </c>
      <c r="D730" s="2">
        <v>43038</v>
      </c>
      <c r="E730" s="1" t="s">
        <v>428</v>
      </c>
      <c r="F730" s="1" t="s">
        <v>1585</v>
      </c>
      <c r="G730" s="1" t="s">
        <v>1586</v>
      </c>
      <c r="H730" s="1" t="s">
        <v>27</v>
      </c>
      <c r="I730" s="1" t="s">
        <v>28</v>
      </c>
      <c r="J730" s="1" t="s">
        <v>1742</v>
      </c>
      <c r="K730" s="1" t="s">
        <v>95</v>
      </c>
      <c r="L730">
        <v>75217</v>
      </c>
      <c r="M730" s="1" t="s">
        <v>96</v>
      </c>
      <c r="N730" s="1" t="s">
        <v>457</v>
      </c>
      <c r="O730" s="1" t="s">
        <v>33</v>
      </c>
      <c r="P730" s="1" t="s">
        <v>48</v>
      </c>
      <c r="Q730" s="1" t="s">
        <v>458</v>
      </c>
      <c r="R730">
        <v>251</v>
      </c>
      <c r="S730">
        <v>2</v>
      </c>
      <c r="T730">
        <v>0.3</v>
      </c>
      <c r="U730">
        <v>-68</v>
      </c>
      <c r="V730" s="1" t="s">
        <v>433</v>
      </c>
      <c r="W730" s="1" t="s">
        <v>51</v>
      </c>
    </row>
    <row r="731" spans="1:23" x14ac:dyDescent="0.35">
      <c r="A731">
        <v>3458</v>
      </c>
      <c r="B731" s="1" t="s">
        <v>2456</v>
      </c>
      <c r="C731" s="2">
        <v>42994</v>
      </c>
      <c r="D731" s="2">
        <v>42996</v>
      </c>
      <c r="E731" s="1" t="s">
        <v>90</v>
      </c>
      <c r="F731" s="1" t="s">
        <v>1628</v>
      </c>
      <c r="G731" s="1" t="s">
        <v>1629</v>
      </c>
      <c r="H731" s="1" t="s">
        <v>27</v>
      </c>
      <c r="I731" s="1" t="s">
        <v>28</v>
      </c>
      <c r="J731" s="1" t="s">
        <v>68</v>
      </c>
      <c r="K731" s="1" t="s">
        <v>69</v>
      </c>
      <c r="L731">
        <v>19143</v>
      </c>
      <c r="M731" s="1" t="s">
        <v>70</v>
      </c>
      <c r="N731" s="1" t="s">
        <v>2129</v>
      </c>
      <c r="O731" s="1" t="s">
        <v>33</v>
      </c>
      <c r="P731" s="1" t="s">
        <v>59</v>
      </c>
      <c r="Q731" s="1" t="s">
        <v>2130</v>
      </c>
      <c r="R731">
        <v>23</v>
      </c>
      <c r="S731">
        <v>3</v>
      </c>
      <c r="T731">
        <v>0.2</v>
      </c>
      <c r="U731">
        <v>2</v>
      </c>
      <c r="V731" s="1" t="s">
        <v>73</v>
      </c>
      <c r="W731" s="1" t="s">
        <v>80</v>
      </c>
    </row>
    <row r="732" spans="1:23" x14ac:dyDescent="0.35">
      <c r="A732">
        <v>3467</v>
      </c>
      <c r="B732" s="1" t="s">
        <v>2457</v>
      </c>
      <c r="C732" s="2">
        <v>42257</v>
      </c>
      <c r="D732" s="2">
        <v>42261</v>
      </c>
      <c r="E732" s="1" t="s">
        <v>42</v>
      </c>
      <c r="F732" s="1" t="s">
        <v>1601</v>
      </c>
      <c r="G732" s="1" t="s">
        <v>1602</v>
      </c>
      <c r="H732" s="1" t="s">
        <v>93</v>
      </c>
      <c r="I732" s="1" t="s">
        <v>28</v>
      </c>
      <c r="J732" s="1" t="s">
        <v>2458</v>
      </c>
      <c r="K732" s="1" t="s">
        <v>437</v>
      </c>
      <c r="L732">
        <v>2151</v>
      </c>
      <c r="M732" s="1" t="s">
        <v>70</v>
      </c>
      <c r="N732" s="1" t="s">
        <v>280</v>
      </c>
      <c r="O732" s="1" t="s">
        <v>33</v>
      </c>
      <c r="P732" s="1" t="s">
        <v>34</v>
      </c>
      <c r="Q732" s="1" t="s">
        <v>281</v>
      </c>
      <c r="R732">
        <v>362</v>
      </c>
      <c r="S732">
        <v>2</v>
      </c>
      <c r="T732">
        <v>0</v>
      </c>
      <c r="U732">
        <v>83</v>
      </c>
      <c r="V732" s="1" t="s">
        <v>86</v>
      </c>
      <c r="W732" s="1" t="s">
        <v>80</v>
      </c>
    </row>
    <row r="733" spans="1:23" x14ac:dyDescent="0.35">
      <c r="A733">
        <v>3469</v>
      </c>
      <c r="B733" s="1" t="s">
        <v>2459</v>
      </c>
      <c r="C733" s="2">
        <v>42718</v>
      </c>
      <c r="D733" s="2">
        <v>42723</v>
      </c>
      <c r="E733" s="1" t="s">
        <v>42</v>
      </c>
      <c r="F733" s="1" t="s">
        <v>1340</v>
      </c>
      <c r="G733" s="1" t="s">
        <v>1341</v>
      </c>
      <c r="H733" s="1" t="s">
        <v>27</v>
      </c>
      <c r="I733" s="1" t="s">
        <v>28</v>
      </c>
      <c r="J733" s="1" t="s">
        <v>480</v>
      </c>
      <c r="K733" s="1" t="s">
        <v>481</v>
      </c>
      <c r="L733">
        <v>39212</v>
      </c>
      <c r="M733" s="1" t="s">
        <v>31</v>
      </c>
      <c r="N733" s="1" t="s">
        <v>1986</v>
      </c>
      <c r="O733" s="1" t="s">
        <v>33</v>
      </c>
      <c r="P733" s="1" t="s">
        <v>59</v>
      </c>
      <c r="Q733" s="1" t="s">
        <v>1987</v>
      </c>
      <c r="R733">
        <v>133</v>
      </c>
      <c r="S733">
        <v>6</v>
      </c>
      <c r="T733">
        <v>0</v>
      </c>
      <c r="U733">
        <v>59</v>
      </c>
      <c r="V733" s="1" t="s">
        <v>61</v>
      </c>
      <c r="W733" s="1" t="s">
        <v>99</v>
      </c>
    </row>
    <row r="734" spans="1:23" x14ac:dyDescent="0.35">
      <c r="A734">
        <v>3471</v>
      </c>
      <c r="B734" s="1" t="s">
        <v>2460</v>
      </c>
      <c r="C734" s="2">
        <v>42705</v>
      </c>
      <c r="D734" s="2">
        <v>42709</v>
      </c>
      <c r="E734" s="1" t="s">
        <v>42</v>
      </c>
      <c r="F734" s="1" t="s">
        <v>1358</v>
      </c>
      <c r="G734" s="1" t="s">
        <v>1359</v>
      </c>
      <c r="H734" s="1" t="s">
        <v>27</v>
      </c>
      <c r="I734" s="1" t="s">
        <v>28</v>
      </c>
      <c r="J734" s="1" t="s">
        <v>331</v>
      </c>
      <c r="K734" s="1" t="s">
        <v>56</v>
      </c>
      <c r="L734">
        <v>94122</v>
      </c>
      <c r="M734" s="1" t="s">
        <v>57</v>
      </c>
      <c r="N734" s="1" t="s">
        <v>1150</v>
      </c>
      <c r="O734" s="1" t="s">
        <v>33</v>
      </c>
      <c r="P734" s="1" t="s">
        <v>59</v>
      </c>
      <c r="Q734" s="1" t="s">
        <v>1151</v>
      </c>
      <c r="R734">
        <v>17</v>
      </c>
      <c r="S734">
        <v>2</v>
      </c>
      <c r="T734">
        <v>0</v>
      </c>
      <c r="U734">
        <v>4</v>
      </c>
      <c r="V734" s="1" t="s">
        <v>86</v>
      </c>
      <c r="W734" s="1" t="s">
        <v>99</v>
      </c>
    </row>
    <row r="735" spans="1:23" x14ac:dyDescent="0.35">
      <c r="A735">
        <v>3474</v>
      </c>
      <c r="B735" s="1" t="s">
        <v>2461</v>
      </c>
      <c r="C735" s="2">
        <v>42797</v>
      </c>
      <c r="D735" s="2">
        <v>42804</v>
      </c>
      <c r="E735" s="1" t="s">
        <v>42</v>
      </c>
      <c r="F735" s="1" t="s">
        <v>2066</v>
      </c>
      <c r="G735" s="1" t="s">
        <v>2067</v>
      </c>
      <c r="H735" s="1" t="s">
        <v>27</v>
      </c>
      <c r="I735" s="1" t="s">
        <v>28</v>
      </c>
      <c r="J735" s="1" t="s">
        <v>2462</v>
      </c>
      <c r="K735" s="1" t="s">
        <v>292</v>
      </c>
      <c r="L735">
        <v>48127</v>
      </c>
      <c r="M735" s="1" t="s">
        <v>96</v>
      </c>
      <c r="N735" s="1" t="s">
        <v>423</v>
      </c>
      <c r="O735" s="1" t="s">
        <v>33</v>
      </c>
      <c r="P735" s="1" t="s">
        <v>39</v>
      </c>
      <c r="Q735" s="1" t="s">
        <v>424</v>
      </c>
      <c r="R735">
        <v>181</v>
      </c>
      <c r="S735">
        <v>1</v>
      </c>
      <c r="T735">
        <v>0</v>
      </c>
      <c r="U735">
        <v>47</v>
      </c>
      <c r="V735" s="1" t="s">
        <v>50</v>
      </c>
      <c r="W735" s="1" t="s">
        <v>198</v>
      </c>
    </row>
    <row r="736" spans="1:23" x14ac:dyDescent="0.35">
      <c r="A736">
        <v>3481</v>
      </c>
      <c r="B736" s="1" t="s">
        <v>2463</v>
      </c>
      <c r="C736" s="2">
        <v>42712</v>
      </c>
      <c r="D736" s="2">
        <v>42718</v>
      </c>
      <c r="E736" s="1" t="s">
        <v>42</v>
      </c>
      <c r="F736" s="1" t="s">
        <v>1114</v>
      </c>
      <c r="G736" s="1" t="s">
        <v>1115</v>
      </c>
      <c r="H736" s="1" t="s">
        <v>93</v>
      </c>
      <c r="I736" s="1" t="s">
        <v>28</v>
      </c>
      <c r="J736" s="1" t="s">
        <v>331</v>
      </c>
      <c r="K736" s="1" t="s">
        <v>56</v>
      </c>
      <c r="L736">
        <v>94110</v>
      </c>
      <c r="M736" s="1" t="s">
        <v>57</v>
      </c>
      <c r="N736" s="1" t="s">
        <v>1674</v>
      </c>
      <c r="O736" s="1" t="s">
        <v>33</v>
      </c>
      <c r="P736" s="1" t="s">
        <v>48</v>
      </c>
      <c r="Q736" s="1" t="s">
        <v>1675</v>
      </c>
      <c r="R736">
        <v>1422</v>
      </c>
      <c r="S736">
        <v>6</v>
      </c>
      <c r="T736">
        <v>0.2</v>
      </c>
      <c r="U736">
        <v>-195</v>
      </c>
      <c r="V736" s="1" t="s">
        <v>132</v>
      </c>
      <c r="W736" s="1" t="s">
        <v>99</v>
      </c>
    </row>
    <row r="737" spans="1:23" x14ac:dyDescent="0.35">
      <c r="A737">
        <v>3482</v>
      </c>
      <c r="B737" s="1" t="s">
        <v>2464</v>
      </c>
      <c r="C737" s="2">
        <v>41736</v>
      </c>
      <c r="D737" s="2">
        <v>41739</v>
      </c>
      <c r="E737" s="1" t="s">
        <v>90</v>
      </c>
      <c r="F737" s="1" t="s">
        <v>850</v>
      </c>
      <c r="G737" s="1" t="s">
        <v>851</v>
      </c>
      <c r="H737" s="1" t="s">
        <v>27</v>
      </c>
      <c r="I737" s="1" t="s">
        <v>28</v>
      </c>
      <c r="J737" s="1" t="s">
        <v>2465</v>
      </c>
      <c r="K737" s="1" t="s">
        <v>1279</v>
      </c>
      <c r="L737">
        <v>36608</v>
      </c>
      <c r="M737" s="1" t="s">
        <v>31</v>
      </c>
      <c r="N737" s="1" t="s">
        <v>1411</v>
      </c>
      <c r="O737" s="1" t="s">
        <v>33</v>
      </c>
      <c r="P737" s="1" t="s">
        <v>59</v>
      </c>
      <c r="Q737" s="1" t="s">
        <v>1412</v>
      </c>
      <c r="R737">
        <v>9</v>
      </c>
      <c r="S737">
        <v>2</v>
      </c>
      <c r="T737">
        <v>0</v>
      </c>
      <c r="U737">
        <v>3</v>
      </c>
      <c r="V737" s="1" t="s">
        <v>36</v>
      </c>
      <c r="W737" s="1" t="s">
        <v>116</v>
      </c>
    </row>
    <row r="738" spans="1:23" x14ac:dyDescent="0.35">
      <c r="A738">
        <v>3484</v>
      </c>
      <c r="B738" s="1" t="s">
        <v>2466</v>
      </c>
      <c r="C738" s="2">
        <v>41878</v>
      </c>
      <c r="D738" s="2">
        <v>41880</v>
      </c>
      <c r="E738" s="1" t="s">
        <v>90</v>
      </c>
      <c r="F738" s="1" t="s">
        <v>2467</v>
      </c>
      <c r="G738" s="1" t="s">
        <v>2468</v>
      </c>
      <c r="H738" s="1" t="s">
        <v>93</v>
      </c>
      <c r="I738" s="1" t="s">
        <v>28</v>
      </c>
      <c r="J738" s="1" t="s">
        <v>881</v>
      </c>
      <c r="K738" s="1" t="s">
        <v>719</v>
      </c>
      <c r="L738">
        <v>22153</v>
      </c>
      <c r="M738" s="1" t="s">
        <v>31</v>
      </c>
      <c r="N738" s="1" t="s">
        <v>1351</v>
      </c>
      <c r="O738" s="1" t="s">
        <v>33</v>
      </c>
      <c r="P738" s="1" t="s">
        <v>59</v>
      </c>
      <c r="Q738" s="1" t="s">
        <v>1352</v>
      </c>
      <c r="R738">
        <v>29</v>
      </c>
      <c r="S738">
        <v>4</v>
      </c>
      <c r="T738">
        <v>0</v>
      </c>
      <c r="U738">
        <v>13</v>
      </c>
      <c r="V738" s="1" t="s">
        <v>73</v>
      </c>
      <c r="W738" s="1" t="s">
        <v>256</v>
      </c>
    </row>
    <row r="739" spans="1:23" x14ac:dyDescent="0.35">
      <c r="A739">
        <v>3485</v>
      </c>
      <c r="B739" s="1" t="s">
        <v>2466</v>
      </c>
      <c r="C739" s="2">
        <v>41878</v>
      </c>
      <c r="D739" s="2">
        <v>41880</v>
      </c>
      <c r="E739" s="1" t="s">
        <v>90</v>
      </c>
      <c r="F739" s="1" t="s">
        <v>2467</v>
      </c>
      <c r="G739" s="1" t="s">
        <v>2468</v>
      </c>
      <c r="H739" s="1" t="s">
        <v>93</v>
      </c>
      <c r="I739" s="1" t="s">
        <v>28</v>
      </c>
      <c r="J739" s="1" t="s">
        <v>881</v>
      </c>
      <c r="K739" s="1" t="s">
        <v>719</v>
      </c>
      <c r="L739">
        <v>22153</v>
      </c>
      <c r="M739" s="1" t="s">
        <v>31</v>
      </c>
      <c r="N739" s="1" t="s">
        <v>1994</v>
      </c>
      <c r="O739" s="1" t="s">
        <v>33</v>
      </c>
      <c r="P739" s="1" t="s">
        <v>48</v>
      </c>
      <c r="Q739" s="1" t="s">
        <v>1995</v>
      </c>
      <c r="R739">
        <v>1203</v>
      </c>
      <c r="S739">
        <v>3</v>
      </c>
      <c r="T739">
        <v>0</v>
      </c>
      <c r="U739">
        <v>301</v>
      </c>
      <c r="V739" s="1" t="s">
        <v>73</v>
      </c>
      <c r="W739" s="1" t="s">
        <v>256</v>
      </c>
    </row>
    <row r="740" spans="1:23" x14ac:dyDescent="0.35">
      <c r="A740">
        <v>3489</v>
      </c>
      <c r="B740" s="1" t="s">
        <v>2469</v>
      </c>
      <c r="C740" s="2">
        <v>42187</v>
      </c>
      <c r="D740" s="2">
        <v>42191</v>
      </c>
      <c r="E740" s="1" t="s">
        <v>42</v>
      </c>
      <c r="F740" s="1" t="s">
        <v>2470</v>
      </c>
      <c r="G740" s="1" t="s">
        <v>2471</v>
      </c>
      <c r="H740" s="1" t="s">
        <v>27</v>
      </c>
      <c r="I740" s="1" t="s">
        <v>28</v>
      </c>
      <c r="J740" s="1" t="s">
        <v>2472</v>
      </c>
      <c r="K740" s="1" t="s">
        <v>137</v>
      </c>
      <c r="L740">
        <v>60188</v>
      </c>
      <c r="M740" s="1" t="s">
        <v>96</v>
      </c>
      <c r="N740" s="1" t="s">
        <v>384</v>
      </c>
      <c r="O740" s="1" t="s">
        <v>33</v>
      </c>
      <c r="P740" s="1" t="s">
        <v>39</v>
      </c>
      <c r="Q740" s="1" t="s">
        <v>385</v>
      </c>
      <c r="R740">
        <v>408</v>
      </c>
      <c r="S740">
        <v>2</v>
      </c>
      <c r="T740">
        <v>0.3</v>
      </c>
      <c r="U740">
        <v>-6</v>
      </c>
      <c r="V740" s="1" t="s">
        <v>86</v>
      </c>
      <c r="W740" s="1" t="s">
        <v>74</v>
      </c>
    </row>
    <row r="741" spans="1:23" x14ac:dyDescent="0.35">
      <c r="A741">
        <v>3490</v>
      </c>
      <c r="B741" s="1" t="s">
        <v>2469</v>
      </c>
      <c r="C741" s="2">
        <v>42187</v>
      </c>
      <c r="D741" s="2">
        <v>42191</v>
      </c>
      <c r="E741" s="1" t="s">
        <v>42</v>
      </c>
      <c r="F741" s="1" t="s">
        <v>2470</v>
      </c>
      <c r="G741" s="1" t="s">
        <v>2471</v>
      </c>
      <c r="H741" s="1" t="s">
        <v>27</v>
      </c>
      <c r="I741" s="1" t="s">
        <v>28</v>
      </c>
      <c r="J741" s="1" t="s">
        <v>2472</v>
      </c>
      <c r="K741" s="1" t="s">
        <v>137</v>
      </c>
      <c r="L741">
        <v>60188</v>
      </c>
      <c r="M741" s="1" t="s">
        <v>96</v>
      </c>
      <c r="N741" s="1" t="s">
        <v>1620</v>
      </c>
      <c r="O741" s="1" t="s">
        <v>33</v>
      </c>
      <c r="P741" s="1" t="s">
        <v>39</v>
      </c>
      <c r="Q741" s="1" t="s">
        <v>1621</v>
      </c>
      <c r="R741">
        <v>382</v>
      </c>
      <c r="S741">
        <v>6</v>
      </c>
      <c r="T741">
        <v>0.3</v>
      </c>
      <c r="U741">
        <v>-93</v>
      </c>
      <c r="V741" s="1" t="s">
        <v>86</v>
      </c>
      <c r="W741" s="1" t="s">
        <v>74</v>
      </c>
    </row>
    <row r="742" spans="1:23" x14ac:dyDescent="0.35">
      <c r="A742">
        <v>3496</v>
      </c>
      <c r="B742" s="1" t="s">
        <v>2473</v>
      </c>
      <c r="C742" s="2">
        <v>43002</v>
      </c>
      <c r="D742" s="2">
        <v>43006</v>
      </c>
      <c r="E742" s="1" t="s">
        <v>42</v>
      </c>
      <c r="F742" s="1" t="s">
        <v>581</v>
      </c>
      <c r="G742" s="1" t="s">
        <v>582</v>
      </c>
      <c r="H742" s="1" t="s">
        <v>93</v>
      </c>
      <c r="I742" s="1" t="s">
        <v>28</v>
      </c>
      <c r="J742" s="1" t="s">
        <v>2474</v>
      </c>
      <c r="K742" s="1" t="s">
        <v>169</v>
      </c>
      <c r="L742">
        <v>56301</v>
      </c>
      <c r="M742" s="1" t="s">
        <v>96</v>
      </c>
      <c r="N742" s="1" t="s">
        <v>858</v>
      </c>
      <c r="O742" s="1" t="s">
        <v>33</v>
      </c>
      <c r="P742" s="1" t="s">
        <v>39</v>
      </c>
      <c r="Q742" s="1" t="s">
        <v>859</v>
      </c>
      <c r="R742">
        <v>604</v>
      </c>
      <c r="S742">
        <v>4</v>
      </c>
      <c r="T742">
        <v>0</v>
      </c>
      <c r="U742">
        <v>181</v>
      </c>
      <c r="V742" s="1" t="s">
        <v>86</v>
      </c>
      <c r="W742" s="1" t="s">
        <v>80</v>
      </c>
    </row>
    <row r="743" spans="1:23" x14ac:dyDescent="0.35">
      <c r="A743">
        <v>3497</v>
      </c>
      <c r="B743" s="1" t="s">
        <v>2475</v>
      </c>
      <c r="C743" s="2">
        <v>42590</v>
      </c>
      <c r="D743" s="2">
        <v>42597</v>
      </c>
      <c r="E743" s="1" t="s">
        <v>42</v>
      </c>
      <c r="F743" s="1" t="s">
        <v>2476</v>
      </c>
      <c r="G743" s="1" t="s">
        <v>2477</v>
      </c>
      <c r="H743" s="1" t="s">
        <v>103</v>
      </c>
      <c r="I743" s="1" t="s">
        <v>28</v>
      </c>
      <c r="J743" s="1" t="s">
        <v>55</v>
      </c>
      <c r="K743" s="1" t="s">
        <v>56</v>
      </c>
      <c r="L743">
        <v>90036</v>
      </c>
      <c r="M743" s="1" t="s">
        <v>57</v>
      </c>
      <c r="N743" s="1" t="s">
        <v>1080</v>
      </c>
      <c r="O743" s="1" t="s">
        <v>33</v>
      </c>
      <c r="P743" s="1" t="s">
        <v>48</v>
      </c>
      <c r="Q743" s="1" t="s">
        <v>1081</v>
      </c>
      <c r="R743">
        <v>513</v>
      </c>
      <c r="S743">
        <v>2</v>
      </c>
      <c r="T743">
        <v>0.2</v>
      </c>
      <c r="U743">
        <v>13</v>
      </c>
      <c r="V743" s="1" t="s">
        <v>50</v>
      </c>
      <c r="W743" s="1" t="s">
        <v>256</v>
      </c>
    </row>
    <row r="744" spans="1:23" x14ac:dyDescent="0.35">
      <c r="A744">
        <v>3508</v>
      </c>
      <c r="B744" s="1" t="s">
        <v>2478</v>
      </c>
      <c r="C744" s="2">
        <v>41810</v>
      </c>
      <c r="D744" s="2">
        <v>41814</v>
      </c>
      <c r="E744" s="1" t="s">
        <v>42</v>
      </c>
      <c r="F744" s="1" t="s">
        <v>2479</v>
      </c>
      <c r="G744" s="1" t="s">
        <v>2480</v>
      </c>
      <c r="H744" s="1" t="s">
        <v>27</v>
      </c>
      <c r="I744" s="1" t="s">
        <v>28</v>
      </c>
      <c r="J744" s="1" t="s">
        <v>2481</v>
      </c>
      <c r="K744" s="1" t="s">
        <v>95</v>
      </c>
      <c r="L744">
        <v>75023</v>
      </c>
      <c r="M744" s="1" t="s">
        <v>96</v>
      </c>
      <c r="N744" s="1" t="s">
        <v>2482</v>
      </c>
      <c r="O744" s="1" t="s">
        <v>33</v>
      </c>
      <c r="P744" s="1" t="s">
        <v>34</v>
      </c>
      <c r="Q744" s="1" t="s">
        <v>2483</v>
      </c>
      <c r="R744">
        <v>193</v>
      </c>
      <c r="S744">
        <v>4</v>
      </c>
      <c r="T744">
        <v>0.32</v>
      </c>
      <c r="U744">
        <v>-20</v>
      </c>
      <c r="V744" s="1" t="s">
        <v>86</v>
      </c>
      <c r="W744" s="1" t="s">
        <v>62</v>
      </c>
    </row>
    <row r="745" spans="1:23" x14ac:dyDescent="0.35">
      <c r="A745">
        <v>3513</v>
      </c>
      <c r="B745" s="1" t="s">
        <v>2484</v>
      </c>
      <c r="C745" s="2">
        <v>42982</v>
      </c>
      <c r="D745" s="2">
        <v>42984</v>
      </c>
      <c r="E745" s="1" t="s">
        <v>90</v>
      </c>
      <c r="F745" s="1" t="s">
        <v>831</v>
      </c>
      <c r="G745" s="1" t="s">
        <v>832</v>
      </c>
      <c r="H745" s="1" t="s">
        <v>93</v>
      </c>
      <c r="I745" s="1" t="s">
        <v>28</v>
      </c>
      <c r="J745" s="1" t="s">
        <v>136</v>
      </c>
      <c r="K745" s="1" t="s">
        <v>137</v>
      </c>
      <c r="L745">
        <v>60653</v>
      </c>
      <c r="M745" s="1" t="s">
        <v>96</v>
      </c>
      <c r="N745" s="1" t="s">
        <v>2485</v>
      </c>
      <c r="O745" s="1" t="s">
        <v>33</v>
      </c>
      <c r="P745" s="1" t="s">
        <v>34</v>
      </c>
      <c r="Q745" s="1" t="s">
        <v>2486</v>
      </c>
      <c r="R745">
        <v>825</v>
      </c>
      <c r="S745">
        <v>9</v>
      </c>
      <c r="T745">
        <v>0.3</v>
      </c>
      <c r="U745">
        <v>-118</v>
      </c>
      <c r="V745" s="1" t="s">
        <v>73</v>
      </c>
      <c r="W745" s="1" t="s">
        <v>80</v>
      </c>
    </row>
    <row r="746" spans="1:23" x14ac:dyDescent="0.35">
      <c r="A746">
        <v>3520</v>
      </c>
      <c r="B746" s="1" t="s">
        <v>2487</v>
      </c>
      <c r="C746" s="2">
        <v>42177</v>
      </c>
      <c r="D746" s="2">
        <v>42180</v>
      </c>
      <c r="E746" s="1" t="s">
        <v>90</v>
      </c>
      <c r="F746" s="1" t="s">
        <v>2488</v>
      </c>
      <c r="G746" s="1" t="s">
        <v>2489</v>
      </c>
      <c r="H746" s="1" t="s">
        <v>103</v>
      </c>
      <c r="I746" s="1" t="s">
        <v>28</v>
      </c>
      <c r="J746" s="1" t="s">
        <v>182</v>
      </c>
      <c r="K746" s="1" t="s">
        <v>137</v>
      </c>
      <c r="L746">
        <v>60505</v>
      </c>
      <c r="M746" s="1" t="s">
        <v>96</v>
      </c>
      <c r="N746" s="1" t="s">
        <v>1886</v>
      </c>
      <c r="O746" s="1" t="s">
        <v>33</v>
      </c>
      <c r="P746" s="1" t="s">
        <v>48</v>
      </c>
      <c r="Q746" s="1" t="s">
        <v>1887</v>
      </c>
      <c r="R746">
        <v>796</v>
      </c>
      <c r="S746">
        <v>7</v>
      </c>
      <c r="T746">
        <v>0.5</v>
      </c>
      <c r="U746">
        <v>-526</v>
      </c>
      <c r="V746" s="1" t="s">
        <v>36</v>
      </c>
      <c r="W746" s="1" t="s">
        <v>62</v>
      </c>
    </row>
    <row r="747" spans="1:23" x14ac:dyDescent="0.35">
      <c r="A747">
        <v>3542</v>
      </c>
      <c r="B747" s="1" t="s">
        <v>2490</v>
      </c>
      <c r="C747" s="2">
        <v>42631</v>
      </c>
      <c r="D747" s="2">
        <v>42633</v>
      </c>
      <c r="E747" s="1" t="s">
        <v>90</v>
      </c>
      <c r="F747" s="1" t="s">
        <v>742</v>
      </c>
      <c r="G747" s="1" t="s">
        <v>743</v>
      </c>
      <c r="H747" s="1" t="s">
        <v>27</v>
      </c>
      <c r="I747" s="1" t="s">
        <v>28</v>
      </c>
      <c r="J747" s="1" t="s">
        <v>350</v>
      </c>
      <c r="K747" s="1" t="s">
        <v>234</v>
      </c>
      <c r="L747">
        <v>43229</v>
      </c>
      <c r="M747" s="1" t="s">
        <v>70</v>
      </c>
      <c r="N747" s="1" t="s">
        <v>1915</v>
      </c>
      <c r="O747" s="1" t="s">
        <v>33</v>
      </c>
      <c r="P747" s="1" t="s">
        <v>59</v>
      </c>
      <c r="Q747" s="1" t="s">
        <v>1916</v>
      </c>
      <c r="R747">
        <v>5</v>
      </c>
      <c r="S747">
        <v>3</v>
      </c>
      <c r="T747">
        <v>0.2</v>
      </c>
      <c r="U747">
        <v>2</v>
      </c>
      <c r="V747" s="1" t="s">
        <v>73</v>
      </c>
      <c r="W747" s="1" t="s">
        <v>80</v>
      </c>
    </row>
    <row r="748" spans="1:23" x14ac:dyDescent="0.35">
      <c r="A748">
        <v>3543</v>
      </c>
      <c r="B748" s="1" t="s">
        <v>2490</v>
      </c>
      <c r="C748" s="2">
        <v>42631</v>
      </c>
      <c r="D748" s="2">
        <v>42633</v>
      </c>
      <c r="E748" s="1" t="s">
        <v>90</v>
      </c>
      <c r="F748" s="1" t="s">
        <v>742</v>
      </c>
      <c r="G748" s="1" t="s">
        <v>743</v>
      </c>
      <c r="H748" s="1" t="s">
        <v>27</v>
      </c>
      <c r="I748" s="1" t="s">
        <v>28</v>
      </c>
      <c r="J748" s="1" t="s">
        <v>350</v>
      </c>
      <c r="K748" s="1" t="s">
        <v>234</v>
      </c>
      <c r="L748">
        <v>43229</v>
      </c>
      <c r="M748" s="1" t="s">
        <v>70</v>
      </c>
      <c r="N748" s="1" t="s">
        <v>593</v>
      </c>
      <c r="O748" s="1" t="s">
        <v>33</v>
      </c>
      <c r="P748" s="1" t="s">
        <v>39</v>
      </c>
      <c r="Q748" s="1" t="s">
        <v>594</v>
      </c>
      <c r="R748">
        <v>99</v>
      </c>
      <c r="S748">
        <v>2</v>
      </c>
      <c r="T748">
        <v>0.3</v>
      </c>
      <c r="U748">
        <v>-7</v>
      </c>
      <c r="V748" s="1" t="s">
        <v>73</v>
      </c>
      <c r="W748" s="1" t="s">
        <v>80</v>
      </c>
    </row>
    <row r="749" spans="1:23" x14ac:dyDescent="0.35">
      <c r="A749">
        <v>3549</v>
      </c>
      <c r="B749" s="1" t="s">
        <v>2491</v>
      </c>
      <c r="C749" s="2">
        <v>43038</v>
      </c>
      <c r="D749" s="2">
        <v>43040</v>
      </c>
      <c r="E749" s="1" t="s">
        <v>90</v>
      </c>
      <c r="F749" s="1" t="s">
        <v>2492</v>
      </c>
      <c r="G749" s="1" t="s">
        <v>2493</v>
      </c>
      <c r="H749" s="1" t="s">
        <v>103</v>
      </c>
      <c r="I749" s="1" t="s">
        <v>28</v>
      </c>
      <c r="J749" s="1" t="s">
        <v>638</v>
      </c>
      <c r="K749" s="1" t="s">
        <v>30</v>
      </c>
      <c r="L749">
        <v>40475</v>
      </c>
      <c r="M749" s="1" t="s">
        <v>31</v>
      </c>
      <c r="N749" s="1" t="s">
        <v>1768</v>
      </c>
      <c r="O749" s="1" t="s">
        <v>33</v>
      </c>
      <c r="P749" s="1" t="s">
        <v>39</v>
      </c>
      <c r="Q749" s="1" t="s">
        <v>1769</v>
      </c>
      <c r="R749">
        <v>34</v>
      </c>
      <c r="S749">
        <v>1</v>
      </c>
      <c r="T749">
        <v>0</v>
      </c>
      <c r="U749">
        <v>9</v>
      </c>
      <c r="V749" s="1" t="s">
        <v>73</v>
      </c>
      <c r="W749" s="1" t="s">
        <v>51</v>
      </c>
    </row>
    <row r="750" spans="1:23" x14ac:dyDescent="0.35">
      <c r="A750">
        <v>3552</v>
      </c>
      <c r="B750" s="1" t="s">
        <v>2494</v>
      </c>
      <c r="C750" s="2">
        <v>42458</v>
      </c>
      <c r="D750" s="2">
        <v>42462</v>
      </c>
      <c r="E750" s="1" t="s">
        <v>24</v>
      </c>
      <c r="F750" s="1" t="s">
        <v>1285</v>
      </c>
      <c r="G750" s="1" t="s">
        <v>1286</v>
      </c>
      <c r="H750" s="1" t="s">
        <v>103</v>
      </c>
      <c r="I750" s="1" t="s">
        <v>28</v>
      </c>
      <c r="J750" s="1" t="s">
        <v>136</v>
      </c>
      <c r="K750" s="1" t="s">
        <v>137</v>
      </c>
      <c r="L750">
        <v>60653</v>
      </c>
      <c r="M750" s="1" t="s">
        <v>96</v>
      </c>
      <c r="N750" s="1" t="s">
        <v>332</v>
      </c>
      <c r="O750" s="1" t="s">
        <v>33</v>
      </c>
      <c r="P750" s="1" t="s">
        <v>39</v>
      </c>
      <c r="Q750" s="1" t="s">
        <v>333</v>
      </c>
      <c r="R750">
        <v>844</v>
      </c>
      <c r="S750">
        <v>6</v>
      </c>
      <c r="T750">
        <v>0.3</v>
      </c>
      <c r="U750">
        <v>-36</v>
      </c>
      <c r="V750" s="1" t="s">
        <v>86</v>
      </c>
      <c r="W750" s="1" t="s">
        <v>198</v>
      </c>
    </row>
    <row r="751" spans="1:23" x14ac:dyDescent="0.35">
      <c r="A751">
        <v>3568</v>
      </c>
      <c r="B751" s="1" t="s">
        <v>2495</v>
      </c>
      <c r="C751" s="2">
        <v>42622</v>
      </c>
      <c r="D751" s="2">
        <v>42627</v>
      </c>
      <c r="E751" s="1" t="s">
        <v>24</v>
      </c>
      <c r="F751" s="1" t="s">
        <v>2304</v>
      </c>
      <c r="G751" s="1" t="s">
        <v>2305</v>
      </c>
      <c r="H751" s="1" t="s">
        <v>103</v>
      </c>
      <c r="I751" s="1" t="s">
        <v>28</v>
      </c>
      <c r="J751" s="1" t="s">
        <v>1742</v>
      </c>
      <c r="K751" s="1" t="s">
        <v>95</v>
      </c>
      <c r="L751">
        <v>75220</v>
      </c>
      <c r="M751" s="1" t="s">
        <v>96</v>
      </c>
      <c r="N751" s="1" t="s">
        <v>2129</v>
      </c>
      <c r="O751" s="1" t="s">
        <v>33</v>
      </c>
      <c r="P751" s="1" t="s">
        <v>59</v>
      </c>
      <c r="Q751" s="1" t="s">
        <v>2130</v>
      </c>
      <c r="R751">
        <v>15</v>
      </c>
      <c r="S751">
        <v>4</v>
      </c>
      <c r="T751">
        <v>0.6</v>
      </c>
      <c r="U751">
        <v>-12</v>
      </c>
      <c r="V751" s="1" t="s">
        <v>61</v>
      </c>
      <c r="W751" s="1" t="s">
        <v>80</v>
      </c>
    </row>
    <row r="752" spans="1:23" x14ac:dyDescent="0.35">
      <c r="A752">
        <v>3581</v>
      </c>
      <c r="B752" s="1" t="s">
        <v>2496</v>
      </c>
      <c r="C752" s="2">
        <v>42576</v>
      </c>
      <c r="D752" s="2">
        <v>42580</v>
      </c>
      <c r="E752" s="1" t="s">
        <v>42</v>
      </c>
      <c r="F752" s="1" t="s">
        <v>2497</v>
      </c>
      <c r="G752" s="1" t="s">
        <v>2498</v>
      </c>
      <c r="H752" s="1" t="s">
        <v>27</v>
      </c>
      <c r="I752" s="1" t="s">
        <v>28</v>
      </c>
      <c r="J752" s="1" t="s">
        <v>480</v>
      </c>
      <c r="K752" s="1" t="s">
        <v>481</v>
      </c>
      <c r="L752">
        <v>39212</v>
      </c>
      <c r="M752" s="1" t="s">
        <v>31</v>
      </c>
      <c r="N752" s="1" t="s">
        <v>438</v>
      </c>
      <c r="O752" s="1" t="s">
        <v>33</v>
      </c>
      <c r="P752" s="1" t="s">
        <v>48</v>
      </c>
      <c r="Q752" s="1" t="s">
        <v>439</v>
      </c>
      <c r="R752">
        <v>2430</v>
      </c>
      <c r="S752">
        <v>8</v>
      </c>
      <c r="T752">
        <v>0</v>
      </c>
      <c r="U752">
        <v>389</v>
      </c>
      <c r="V752" s="1" t="s">
        <v>86</v>
      </c>
      <c r="W752" s="1" t="s">
        <v>74</v>
      </c>
    </row>
    <row r="753" spans="1:23" x14ac:dyDescent="0.35">
      <c r="A753">
        <v>3584</v>
      </c>
      <c r="B753" s="1" t="s">
        <v>2499</v>
      </c>
      <c r="C753" s="2">
        <v>42348</v>
      </c>
      <c r="D753" s="2">
        <v>42354</v>
      </c>
      <c r="E753" s="1" t="s">
        <v>42</v>
      </c>
      <c r="F753" s="1" t="s">
        <v>2500</v>
      </c>
      <c r="G753" s="1" t="s">
        <v>2501</v>
      </c>
      <c r="H753" s="1" t="s">
        <v>93</v>
      </c>
      <c r="I753" s="1" t="s">
        <v>28</v>
      </c>
      <c r="J753" s="1" t="s">
        <v>480</v>
      </c>
      <c r="K753" s="1" t="s">
        <v>292</v>
      </c>
      <c r="L753">
        <v>49201</v>
      </c>
      <c r="M753" s="1" t="s">
        <v>96</v>
      </c>
      <c r="N753" s="1" t="s">
        <v>1994</v>
      </c>
      <c r="O753" s="1" t="s">
        <v>33</v>
      </c>
      <c r="P753" s="1" t="s">
        <v>48</v>
      </c>
      <c r="Q753" s="1" t="s">
        <v>1995</v>
      </c>
      <c r="R753">
        <v>802</v>
      </c>
      <c r="S753">
        <v>2</v>
      </c>
      <c r="T753">
        <v>0</v>
      </c>
      <c r="U753">
        <v>200</v>
      </c>
      <c r="V753" s="1" t="s">
        <v>132</v>
      </c>
      <c r="W753" s="1" t="s">
        <v>99</v>
      </c>
    </row>
    <row r="754" spans="1:23" x14ac:dyDescent="0.35">
      <c r="A754">
        <v>3585</v>
      </c>
      <c r="B754" s="1" t="s">
        <v>2499</v>
      </c>
      <c r="C754" s="2">
        <v>42348</v>
      </c>
      <c r="D754" s="2">
        <v>42354</v>
      </c>
      <c r="E754" s="1" t="s">
        <v>42</v>
      </c>
      <c r="F754" s="1" t="s">
        <v>2500</v>
      </c>
      <c r="G754" s="1" t="s">
        <v>2501</v>
      </c>
      <c r="H754" s="1" t="s">
        <v>93</v>
      </c>
      <c r="I754" s="1" t="s">
        <v>28</v>
      </c>
      <c r="J754" s="1" t="s">
        <v>480</v>
      </c>
      <c r="K754" s="1" t="s">
        <v>292</v>
      </c>
      <c r="L754">
        <v>49201</v>
      </c>
      <c r="M754" s="1" t="s">
        <v>96</v>
      </c>
      <c r="N754" s="1" t="s">
        <v>1282</v>
      </c>
      <c r="O754" s="1" t="s">
        <v>33</v>
      </c>
      <c r="P754" s="1" t="s">
        <v>39</v>
      </c>
      <c r="Q754" s="1" t="s">
        <v>1283</v>
      </c>
      <c r="R754">
        <v>192</v>
      </c>
      <c r="S754">
        <v>2</v>
      </c>
      <c r="T754">
        <v>0</v>
      </c>
      <c r="U754">
        <v>33</v>
      </c>
      <c r="V754" s="1" t="s">
        <v>132</v>
      </c>
      <c r="W754" s="1" t="s">
        <v>99</v>
      </c>
    </row>
    <row r="755" spans="1:23" x14ac:dyDescent="0.35">
      <c r="A755">
        <v>3599</v>
      </c>
      <c r="B755" s="1" t="s">
        <v>2502</v>
      </c>
      <c r="C755" s="2">
        <v>41891</v>
      </c>
      <c r="D755" s="2">
        <v>41896</v>
      </c>
      <c r="E755" s="1" t="s">
        <v>24</v>
      </c>
      <c r="F755" s="1" t="s">
        <v>1173</v>
      </c>
      <c r="G755" s="1" t="s">
        <v>1174</v>
      </c>
      <c r="H755" s="1" t="s">
        <v>27</v>
      </c>
      <c r="I755" s="1" t="s">
        <v>28</v>
      </c>
      <c r="J755" s="1" t="s">
        <v>68</v>
      </c>
      <c r="K755" s="1" t="s">
        <v>69</v>
      </c>
      <c r="L755">
        <v>19140</v>
      </c>
      <c r="M755" s="1" t="s">
        <v>70</v>
      </c>
      <c r="N755" s="1" t="s">
        <v>1351</v>
      </c>
      <c r="O755" s="1" t="s">
        <v>33</v>
      </c>
      <c r="P755" s="1" t="s">
        <v>59</v>
      </c>
      <c r="Q755" s="1" t="s">
        <v>1352</v>
      </c>
      <c r="R755">
        <v>17</v>
      </c>
      <c r="S755">
        <v>3</v>
      </c>
      <c r="T755">
        <v>0.2</v>
      </c>
      <c r="U755">
        <v>5</v>
      </c>
      <c r="V755" s="1" t="s">
        <v>61</v>
      </c>
      <c r="W755" s="1" t="s">
        <v>80</v>
      </c>
    </row>
    <row r="756" spans="1:23" x14ac:dyDescent="0.35">
      <c r="A756">
        <v>3603</v>
      </c>
      <c r="B756" s="1" t="s">
        <v>2503</v>
      </c>
      <c r="C756" s="2">
        <v>41960</v>
      </c>
      <c r="D756" s="2">
        <v>41967</v>
      </c>
      <c r="E756" s="1" t="s">
        <v>42</v>
      </c>
      <c r="F756" s="1" t="s">
        <v>2504</v>
      </c>
      <c r="G756" s="1" t="s">
        <v>2505</v>
      </c>
      <c r="H756" s="1" t="s">
        <v>27</v>
      </c>
      <c r="I756" s="1" t="s">
        <v>28</v>
      </c>
      <c r="J756" s="1" t="s">
        <v>68</v>
      </c>
      <c r="K756" s="1" t="s">
        <v>69</v>
      </c>
      <c r="L756">
        <v>19143</v>
      </c>
      <c r="M756" s="1" t="s">
        <v>70</v>
      </c>
      <c r="N756" s="1" t="s">
        <v>628</v>
      </c>
      <c r="O756" s="1" t="s">
        <v>33</v>
      </c>
      <c r="P756" s="1" t="s">
        <v>39</v>
      </c>
      <c r="Q756" s="1" t="s">
        <v>629</v>
      </c>
      <c r="R756">
        <v>658</v>
      </c>
      <c r="S756">
        <v>5</v>
      </c>
      <c r="T756">
        <v>0.3</v>
      </c>
      <c r="U756">
        <v>-94</v>
      </c>
      <c r="V756" s="1" t="s">
        <v>50</v>
      </c>
      <c r="W756" s="1" t="s">
        <v>37</v>
      </c>
    </row>
    <row r="757" spans="1:23" x14ac:dyDescent="0.35">
      <c r="A757">
        <v>3605</v>
      </c>
      <c r="B757" s="1" t="s">
        <v>2506</v>
      </c>
      <c r="C757" s="2">
        <v>42968</v>
      </c>
      <c r="D757" s="2">
        <v>42974</v>
      </c>
      <c r="E757" s="1" t="s">
        <v>42</v>
      </c>
      <c r="F757" s="1" t="s">
        <v>2390</v>
      </c>
      <c r="G757" s="1" t="s">
        <v>2391</v>
      </c>
      <c r="H757" s="1" t="s">
        <v>103</v>
      </c>
      <c r="I757" s="1" t="s">
        <v>28</v>
      </c>
      <c r="J757" s="1" t="s">
        <v>160</v>
      </c>
      <c r="K757" s="1" t="s">
        <v>1092</v>
      </c>
      <c r="L757">
        <v>21044</v>
      </c>
      <c r="M757" s="1" t="s">
        <v>70</v>
      </c>
      <c r="N757" s="1" t="s">
        <v>1271</v>
      </c>
      <c r="O757" s="1" t="s">
        <v>33</v>
      </c>
      <c r="P757" s="1" t="s">
        <v>59</v>
      </c>
      <c r="Q757" s="1" t="s">
        <v>1272</v>
      </c>
      <c r="R757">
        <v>25</v>
      </c>
      <c r="S757">
        <v>2</v>
      </c>
      <c r="T757">
        <v>0</v>
      </c>
      <c r="U757">
        <v>9</v>
      </c>
      <c r="V757" s="1" t="s">
        <v>132</v>
      </c>
      <c r="W757" s="1" t="s">
        <v>256</v>
      </c>
    </row>
    <row r="758" spans="1:23" x14ac:dyDescent="0.35">
      <c r="A758">
        <v>3606</v>
      </c>
      <c r="B758" s="1" t="s">
        <v>2506</v>
      </c>
      <c r="C758" s="2">
        <v>42968</v>
      </c>
      <c r="D758" s="2">
        <v>42974</v>
      </c>
      <c r="E758" s="1" t="s">
        <v>42</v>
      </c>
      <c r="F758" s="1" t="s">
        <v>2390</v>
      </c>
      <c r="G758" s="1" t="s">
        <v>2391</v>
      </c>
      <c r="H758" s="1" t="s">
        <v>103</v>
      </c>
      <c r="I758" s="1" t="s">
        <v>28</v>
      </c>
      <c r="J758" s="1" t="s">
        <v>160</v>
      </c>
      <c r="K758" s="1" t="s">
        <v>1092</v>
      </c>
      <c r="L758">
        <v>21044</v>
      </c>
      <c r="M758" s="1" t="s">
        <v>70</v>
      </c>
      <c r="N758" s="1" t="s">
        <v>1195</v>
      </c>
      <c r="O758" s="1" t="s">
        <v>33</v>
      </c>
      <c r="P758" s="1" t="s">
        <v>59</v>
      </c>
      <c r="Q758" s="1" t="s">
        <v>1196</v>
      </c>
      <c r="R758">
        <v>92</v>
      </c>
      <c r="S758">
        <v>4</v>
      </c>
      <c r="T758">
        <v>0</v>
      </c>
      <c r="U758">
        <v>31</v>
      </c>
      <c r="V758" s="1" t="s">
        <v>132</v>
      </c>
      <c r="W758" s="1" t="s">
        <v>256</v>
      </c>
    </row>
    <row r="759" spans="1:23" x14ac:dyDescent="0.35">
      <c r="A759">
        <v>3615</v>
      </c>
      <c r="B759" s="1" t="s">
        <v>2507</v>
      </c>
      <c r="C759" s="2">
        <v>43058</v>
      </c>
      <c r="D759" s="2">
        <v>43060</v>
      </c>
      <c r="E759" s="1" t="s">
        <v>90</v>
      </c>
      <c r="F759" s="1" t="s">
        <v>2076</v>
      </c>
      <c r="G759" s="1" t="s">
        <v>2077</v>
      </c>
      <c r="H759" s="1" t="s">
        <v>93</v>
      </c>
      <c r="I759" s="1" t="s">
        <v>28</v>
      </c>
      <c r="J759" s="1" t="s">
        <v>248</v>
      </c>
      <c r="K759" s="1" t="s">
        <v>95</v>
      </c>
      <c r="L759">
        <v>78207</v>
      </c>
      <c r="M759" s="1" t="s">
        <v>96</v>
      </c>
      <c r="N759" s="1" t="s">
        <v>1257</v>
      </c>
      <c r="O759" s="1" t="s">
        <v>33</v>
      </c>
      <c r="P759" s="1" t="s">
        <v>48</v>
      </c>
      <c r="Q759" s="1" t="s">
        <v>1258</v>
      </c>
      <c r="R759">
        <v>718</v>
      </c>
      <c r="S759">
        <v>6</v>
      </c>
      <c r="T759">
        <v>0.3</v>
      </c>
      <c r="U759">
        <v>-72</v>
      </c>
      <c r="V759" s="1" t="s">
        <v>73</v>
      </c>
      <c r="W759" s="1" t="s">
        <v>37</v>
      </c>
    </row>
    <row r="760" spans="1:23" x14ac:dyDescent="0.35">
      <c r="A760">
        <v>3623</v>
      </c>
      <c r="B760" s="1" t="s">
        <v>2508</v>
      </c>
      <c r="C760" s="2">
        <v>41896</v>
      </c>
      <c r="D760" s="2">
        <v>41901</v>
      </c>
      <c r="E760" s="1" t="s">
        <v>42</v>
      </c>
      <c r="F760" s="1" t="s">
        <v>2509</v>
      </c>
      <c r="G760" s="1" t="s">
        <v>2510</v>
      </c>
      <c r="H760" s="1" t="s">
        <v>27</v>
      </c>
      <c r="I760" s="1" t="s">
        <v>28</v>
      </c>
      <c r="J760" s="1" t="s">
        <v>2511</v>
      </c>
      <c r="K760" s="1" t="s">
        <v>670</v>
      </c>
      <c r="L760">
        <v>31204</v>
      </c>
      <c r="M760" s="1" t="s">
        <v>31</v>
      </c>
      <c r="N760" s="1" t="s">
        <v>1521</v>
      </c>
      <c r="O760" s="1" t="s">
        <v>33</v>
      </c>
      <c r="P760" s="1" t="s">
        <v>59</v>
      </c>
      <c r="Q760" s="1" t="s">
        <v>1522</v>
      </c>
      <c r="R760">
        <v>142</v>
      </c>
      <c r="S760">
        <v>5</v>
      </c>
      <c r="T760">
        <v>0</v>
      </c>
      <c r="U760">
        <v>53</v>
      </c>
      <c r="V760" s="1" t="s">
        <v>61</v>
      </c>
      <c r="W760" s="1" t="s">
        <v>80</v>
      </c>
    </row>
    <row r="761" spans="1:23" x14ac:dyDescent="0.35">
      <c r="A761">
        <v>3625</v>
      </c>
      <c r="B761" s="1" t="s">
        <v>2512</v>
      </c>
      <c r="C761" s="2">
        <v>42874</v>
      </c>
      <c r="D761" s="2">
        <v>42876</v>
      </c>
      <c r="E761" s="1" t="s">
        <v>24</v>
      </c>
      <c r="F761" s="1" t="s">
        <v>1823</v>
      </c>
      <c r="G761" s="1" t="s">
        <v>1824</v>
      </c>
      <c r="H761" s="1" t="s">
        <v>103</v>
      </c>
      <c r="I761" s="1" t="s">
        <v>28</v>
      </c>
      <c r="J761" s="1" t="s">
        <v>331</v>
      </c>
      <c r="K761" s="1" t="s">
        <v>56</v>
      </c>
      <c r="L761">
        <v>94109</v>
      </c>
      <c r="M761" s="1" t="s">
        <v>57</v>
      </c>
      <c r="N761" s="1" t="s">
        <v>593</v>
      </c>
      <c r="O761" s="1" t="s">
        <v>33</v>
      </c>
      <c r="P761" s="1" t="s">
        <v>39</v>
      </c>
      <c r="Q761" s="1" t="s">
        <v>594</v>
      </c>
      <c r="R761">
        <v>681</v>
      </c>
      <c r="S761">
        <v>12</v>
      </c>
      <c r="T761">
        <v>0.2</v>
      </c>
      <c r="U761">
        <v>43</v>
      </c>
      <c r="V761" s="1" t="s">
        <v>73</v>
      </c>
      <c r="W761" s="1" t="s">
        <v>164</v>
      </c>
    </row>
    <row r="762" spans="1:23" x14ac:dyDescent="0.35">
      <c r="A762">
        <v>3639</v>
      </c>
      <c r="B762" s="1" t="s">
        <v>2513</v>
      </c>
      <c r="C762" s="2">
        <v>42684</v>
      </c>
      <c r="D762" s="2">
        <v>42688</v>
      </c>
      <c r="E762" s="1" t="s">
        <v>42</v>
      </c>
      <c r="F762" s="1" t="s">
        <v>1243</v>
      </c>
      <c r="G762" s="1" t="s">
        <v>1244</v>
      </c>
      <c r="H762" s="1" t="s">
        <v>103</v>
      </c>
      <c r="I762" s="1" t="s">
        <v>28</v>
      </c>
      <c r="J762" s="1" t="s">
        <v>881</v>
      </c>
      <c r="K762" s="1" t="s">
        <v>234</v>
      </c>
      <c r="L762">
        <v>45503</v>
      </c>
      <c r="M762" s="1" t="s">
        <v>70</v>
      </c>
      <c r="N762" s="1" t="s">
        <v>1424</v>
      </c>
      <c r="O762" s="1" t="s">
        <v>33</v>
      </c>
      <c r="P762" s="1" t="s">
        <v>59</v>
      </c>
      <c r="Q762" s="1" t="s">
        <v>1425</v>
      </c>
      <c r="R762">
        <v>148</v>
      </c>
      <c r="S762">
        <v>7</v>
      </c>
      <c r="T762">
        <v>0.2</v>
      </c>
      <c r="U762">
        <v>30</v>
      </c>
      <c r="V762" s="1" t="s">
        <v>86</v>
      </c>
      <c r="W762" s="1" t="s">
        <v>37</v>
      </c>
    </row>
    <row r="763" spans="1:23" x14ac:dyDescent="0.35">
      <c r="A763">
        <v>3659</v>
      </c>
      <c r="B763" s="1" t="s">
        <v>2514</v>
      </c>
      <c r="C763" s="2">
        <v>42075</v>
      </c>
      <c r="D763" s="2">
        <v>42080</v>
      </c>
      <c r="E763" s="1" t="s">
        <v>42</v>
      </c>
      <c r="F763" s="1" t="s">
        <v>2384</v>
      </c>
      <c r="G763" s="1" t="s">
        <v>2385</v>
      </c>
      <c r="H763" s="1" t="s">
        <v>93</v>
      </c>
      <c r="I763" s="1" t="s">
        <v>28</v>
      </c>
      <c r="J763" s="1" t="s">
        <v>2515</v>
      </c>
      <c r="K763" s="1" t="s">
        <v>46</v>
      </c>
      <c r="L763">
        <v>33317</v>
      </c>
      <c r="M763" s="1" t="s">
        <v>31</v>
      </c>
      <c r="N763" s="1" t="s">
        <v>155</v>
      </c>
      <c r="O763" s="1" t="s">
        <v>33</v>
      </c>
      <c r="P763" s="1" t="s">
        <v>59</v>
      </c>
      <c r="Q763" s="1" t="s">
        <v>156</v>
      </c>
      <c r="R763">
        <v>31</v>
      </c>
      <c r="S763">
        <v>4</v>
      </c>
      <c r="T763">
        <v>0.2</v>
      </c>
      <c r="U763">
        <v>4</v>
      </c>
      <c r="V763" s="1" t="s">
        <v>61</v>
      </c>
      <c r="W763" s="1" t="s">
        <v>198</v>
      </c>
    </row>
    <row r="764" spans="1:23" x14ac:dyDescent="0.35">
      <c r="A764">
        <v>3660</v>
      </c>
      <c r="B764" s="1" t="s">
        <v>2514</v>
      </c>
      <c r="C764" s="2">
        <v>42075</v>
      </c>
      <c r="D764" s="2">
        <v>42080</v>
      </c>
      <c r="E764" s="1" t="s">
        <v>42</v>
      </c>
      <c r="F764" s="1" t="s">
        <v>2384</v>
      </c>
      <c r="G764" s="1" t="s">
        <v>2385</v>
      </c>
      <c r="H764" s="1" t="s">
        <v>93</v>
      </c>
      <c r="I764" s="1" t="s">
        <v>28</v>
      </c>
      <c r="J764" s="1" t="s">
        <v>2515</v>
      </c>
      <c r="K764" s="1" t="s">
        <v>46</v>
      </c>
      <c r="L764">
        <v>33317</v>
      </c>
      <c r="M764" s="1" t="s">
        <v>31</v>
      </c>
      <c r="N764" s="1" t="s">
        <v>2516</v>
      </c>
      <c r="O764" s="1" t="s">
        <v>33</v>
      </c>
      <c r="P764" s="1" t="s">
        <v>59</v>
      </c>
      <c r="Q764" s="1" t="s">
        <v>2517</v>
      </c>
      <c r="R764">
        <v>6</v>
      </c>
      <c r="S764">
        <v>3</v>
      </c>
      <c r="T764">
        <v>0.2</v>
      </c>
      <c r="U764">
        <v>1</v>
      </c>
      <c r="V764" s="1" t="s">
        <v>61</v>
      </c>
      <c r="W764" s="1" t="s">
        <v>198</v>
      </c>
    </row>
    <row r="765" spans="1:23" x14ac:dyDescent="0.35">
      <c r="A765">
        <v>3675</v>
      </c>
      <c r="B765" s="1" t="s">
        <v>2518</v>
      </c>
      <c r="C765" s="2">
        <v>43045</v>
      </c>
      <c r="D765" s="2">
        <v>43050</v>
      </c>
      <c r="E765" s="1" t="s">
        <v>42</v>
      </c>
      <c r="F765" s="1" t="s">
        <v>2519</v>
      </c>
      <c r="G765" s="1" t="s">
        <v>2520</v>
      </c>
      <c r="H765" s="1" t="s">
        <v>27</v>
      </c>
      <c r="I765" s="1" t="s">
        <v>28</v>
      </c>
      <c r="J765" s="1" t="s">
        <v>68</v>
      </c>
      <c r="K765" s="1" t="s">
        <v>69</v>
      </c>
      <c r="L765">
        <v>19143</v>
      </c>
      <c r="M765" s="1" t="s">
        <v>70</v>
      </c>
      <c r="N765" s="1" t="s">
        <v>1620</v>
      </c>
      <c r="O765" s="1" t="s">
        <v>33</v>
      </c>
      <c r="P765" s="1" t="s">
        <v>39</v>
      </c>
      <c r="Q765" s="1" t="s">
        <v>1621</v>
      </c>
      <c r="R765">
        <v>127</v>
      </c>
      <c r="S765">
        <v>2</v>
      </c>
      <c r="T765">
        <v>0.3</v>
      </c>
      <c r="U765">
        <v>-31</v>
      </c>
      <c r="V765" s="1" t="s">
        <v>61</v>
      </c>
      <c r="W765" s="1" t="s">
        <v>37</v>
      </c>
    </row>
    <row r="766" spans="1:23" x14ac:dyDescent="0.35">
      <c r="A766">
        <v>3677</v>
      </c>
      <c r="B766" s="1" t="s">
        <v>2521</v>
      </c>
      <c r="C766" s="2">
        <v>42343</v>
      </c>
      <c r="D766" s="2">
        <v>42347</v>
      </c>
      <c r="E766" s="1" t="s">
        <v>42</v>
      </c>
      <c r="F766" s="1" t="s">
        <v>2522</v>
      </c>
      <c r="G766" s="1" t="s">
        <v>2523</v>
      </c>
      <c r="H766" s="1" t="s">
        <v>93</v>
      </c>
      <c r="I766" s="1" t="s">
        <v>28</v>
      </c>
      <c r="J766" s="1" t="s">
        <v>642</v>
      </c>
      <c r="K766" s="1" t="s">
        <v>56</v>
      </c>
      <c r="L766">
        <v>92105</v>
      </c>
      <c r="M766" s="1" t="s">
        <v>57</v>
      </c>
      <c r="N766" s="1" t="s">
        <v>833</v>
      </c>
      <c r="O766" s="1" t="s">
        <v>33</v>
      </c>
      <c r="P766" s="1" t="s">
        <v>59</v>
      </c>
      <c r="Q766" s="1" t="s">
        <v>834</v>
      </c>
      <c r="R766">
        <v>44</v>
      </c>
      <c r="S766">
        <v>2</v>
      </c>
      <c r="T766">
        <v>0</v>
      </c>
      <c r="U766">
        <v>15</v>
      </c>
      <c r="V766" s="1" t="s">
        <v>86</v>
      </c>
      <c r="W766" s="1" t="s">
        <v>99</v>
      </c>
    </row>
    <row r="767" spans="1:23" x14ac:dyDescent="0.35">
      <c r="A767">
        <v>3680</v>
      </c>
      <c r="B767" s="1" t="s">
        <v>2524</v>
      </c>
      <c r="C767" s="2">
        <v>42194</v>
      </c>
      <c r="D767" s="2">
        <v>42199</v>
      </c>
      <c r="E767" s="1" t="s">
        <v>42</v>
      </c>
      <c r="F767" s="1" t="s">
        <v>1505</v>
      </c>
      <c r="G767" s="1" t="s">
        <v>1506</v>
      </c>
      <c r="H767" s="1" t="s">
        <v>27</v>
      </c>
      <c r="I767" s="1" t="s">
        <v>28</v>
      </c>
      <c r="J767" s="1" t="s">
        <v>2525</v>
      </c>
      <c r="K767" s="1" t="s">
        <v>1092</v>
      </c>
      <c r="L767">
        <v>20735</v>
      </c>
      <c r="M767" s="1" t="s">
        <v>70</v>
      </c>
      <c r="N767" s="1" t="s">
        <v>361</v>
      </c>
      <c r="O767" s="1" t="s">
        <v>33</v>
      </c>
      <c r="P767" s="1" t="s">
        <v>59</v>
      </c>
      <c r="Q767" s="1" t="s">
        <v>362</v>
      </c>
      <c r="R767">
        <v>182</v>
      </c>
      <c r="S767">
        <v>2</v>
      </c>
      <c r="T767">
        <v>0</v>
      </c>
      <c r="U767">
        <v>20</v>
      </c>
      <c r="V767" s="1" t="s">
        <v>61</v>
      </c>
      <c r="W767" s="1" t="s">
        <v>74</v>
      </c>
    </row>
    <row r="768" spans="1:23" x14ac:dyDescent="0.35">
      <c r="A768">
        <v>3694</v>
      </c>
      <c r="B768" s="1" t="s">
        <v>2526</v>
      </c>
      <c r="C768" s="2">
        <v>42307</v>
      </c>
      <c r="D768" s="2">
        <v>42310</v>
      </c>
      <c r="E768" s="1" t="s">
        <v>24</v>
      </c>
      <c r="F768" s="1" t="s">
        <v>1538</v>
      </c>
      <c r="G768" s="1" t="s">
        <v>1539</v>
      </c>
      <c r="H768" s="1" t="s">
        <v>93</v>
      </c>
      <c r="I768" s="1" t="s">
        <v>28</v>
      </c>
      <c r="J768" s="1" t="s">
        <v>268</v>
      </c>
      <c r="K768" s="1" t="s">
        <v>183</v>
      </c>
      <c r="L768">
        <v>80219</v>
      </c>
      <c r="M768" s="1" t="s">
        <v>57</v>
      </c>
      <c r="N768" s="1" t="s">
        <v>2527</v>
      </c>
      <c r="O768" s="1" t="s">
        <v>33</v>
      </c>
      <c r="P768" s="1" t="s">
        <v>59</v>
      </c>
      <c r="Q768" s="1" t="s">
        <v>2528</v>
      </c>
      <c r="R768">
        <v>15</v>
      </c>
      <c r="S768">
        <v>4</v>
      </c>
      <c r="T768">
        <v>0.2</v>
      </c>
      <c r="U768">
        <v>4</v>
      </c>
      <c r="V768" s="1" t="s">
        <v>36</v>
      </c>
      <c r="W768" s="1" t="s">
        <v>51</v>
      </c>
    </row>
    <row r="769" spans="1:23" x14ac:dyDescent="0.35">
      <c r="A769">
        <v>3698</v>
      </c>
      <c r="B769" s="1" t="s">
        <v>2529</v>
      </c>
      <c r="C769" s="2">
        <v>42327</v>
      </c>
      <c r="D769" s="2">
        <v>42329</v>
      </c>
      <c r="E769" s="1" t="s">
        <v>24</v>
      </c>
      <c r="F769" s="1" t="s">
        <v>2279</v>
      </c>
      <c r="G769" s="1" t="s">
        <v>2280</v>
      </c>
      <c r="H769" s="1" t="s">
        <v>103</v>
      </c>
      <c r="I769" s="1" t="s">
        <v>28</v>
      </c>
      <c r="J769" s="1" t="s">
        <v>194</v>
      </c>
      <c r="K769" s="1" t="s">
        <v>195</v>
      </c>
      <c r="L769">
        <v>98115</v>
      </c>
      <c r="M769" s="1" t="s">
        <v>57</v>
      </c>
      <c r="N769" s="1" t="s">
        <v>2199</v>
      </c>
      <c r="O769" s="1" t="s">
        <v>33</v>
      </c>
      <c r="P769" s="1" t="s">
        <v>59</v>
      </c>
      <c r="Q769" s="1" t="s">
        <v>2200</v>
      </c>
      <c r="R769">
        <v>142</v>
      </c>
      <c r="S769">
        <v>2</v>
      </c>
      <c r="T769">
        <v>0</v>
      </c>
      <c r="U769">
        <v>23</v>
      </c>
      <c r="V769" s="1" t="s">
        <v>73</v>
      </c>
      <c r="W769" s="1" t="s">
        <v>37</v>
      </c>
    </row>
    <row r="770" spans="1:23" x14ac:dyDescent="0.35">
      <c r="A770">
        <v>3701</v>
      </c>
      <c r="B770" s="1" t="s">
        <v>2530</v>
      </c>
      <c r="C770" s="2">
        <v>43093</v>
      </c>
      <c r="D770" s="2">
        <v>43098</v>
      </c>
      <c r="E770" s="1" t="s">
        <v>42</v>
      </c>
      <c r="F770" s="1" t="s">
        <v>1616</v>
      </c>
      <c r="G770" s="1" t="s">
        <v>1617</v>
      </c>
      <c r="H770" s="1" t="s">
        <v>93</v>
      </c>
      <c r="I770" s="1" t="s">
        <v>28</v>
      </c>
      <c r="J770" s="1" t="s">
        <v>897</v>
      </c>
      <c r="K770" s="1" t="s">
        <v>123</v>
      </c>
      <c r="L770">
        <v>14609</v>
      </c>
      <c r="M770" s="1" t="s">
        <v>70</v>
      </c>
      <c r="N770" s="1" t="s">
        <v>970</v>
      </c>
      <c r="O770" s="1" t="s">
        <v>33</v>
      </c>
      <c r="P770" s="1" t="s">
        <v>59</v>
      </c>
      <c r="Q770" s="1" t="s">
        <v>971</v>
      </c>
      <c r="R770">
        <v>38</v>
      </c>
      <c r="S770">
        <v>1</v>
      </c>
      <c r="T770">
        <v>0</v>
      </c>
      <c r="U770">
        <v>7</v>
      </c>
      <c r="V770" s="1" t="s">
        <v>61</v>
      </c>
      <c r="W770" s="1" t="s">
        <v>99</v>
      </c>
    </row>
    <row r="771" spans="1:23" x14ac:dyDescent="0.35">
      <c r="A771">
        <v>3702</v>
      </c>
      <c r="B771" s="1" t="s">
        <v>2531</v>
      </c>
      <c r="C771" s="2">
        <v>42378</v>
      </c>
      <c r="D771" s="2">
        <v>42382</v>
      </c>
      <c r="E771" s="1" t="s">
        <v>24</v>
      </c>
      <c r="F771" s="1" t="s">
        <v>2532</v>
      </c>
      <c r="G771" s="1" t="s">
        <v>2533</v>
      </c>
      <c r="H771" s="1" t="s">
        <v>93</v>
      </c>
      <c r="I771" s="1" t="s">
        <v>28</v>
      </c>
      <c r="J771" s="1" t="s">
        <v>2534</v>
      </c>
      <c r="K771" s="1" t="s">
        <v>234</v>
      </c>
      <c r="L771">
        <v>43615</v>
      </c>
      <c r="M771" s="1" t="s">
        <v>70</v>
      </c>
      <c r="N771" s="1" t="s">
        <v>2207</v>
      </c>
      <c r="O771" s="1" t="s">
        <v>33</v>
      </c>
      <c r="P771" s="1" t="s">
        <v>59</v>
      </c>
      <c r="Q771" s="1" t="s">
        <v>2208</v>
      </c>
      <c r="R771">
        <v>15</v>
      </c>
      <c r="S771">
        <v>2</v>
      </c>
      <c r="T771">
        <v>0.2</v>
      </c>
      <c r="U771">
        <v>4</v>
      </c>
      <c r="V771" s="1" t="s">
        <v>86</v>
      </c>
      <c r="W771" s="1" t="s">
        <v>172</v>
      </c>
    </row>
    <row r="772" spans="1:23" x14ac:dyDescent="0.35">
      <c r="A772">
        <v>3708</v>
      </c>
      <c r="B772" s="1" t="s">
        <v>2535</v>
      </c>
      <c r="C772" s="2">
        <v>41966</v>
      </c>
      <c r="D772" s="2">
        <v>41970</v>
      </c>
      <c r="E772" s="1" t="s">
        <v>42</v>
      </c>
      <c r="F772" s="1" t="s">
        <v>2090</v>
      </c>
      <c r="G772" s="1" t="s">
        <v>2091</v>
      </c>
      <c r="H772" s="1" t="s">
        <v>93</v>
      </c>
      <c r="I772" s="1" t="s">
        <v>28</v>
      </c>
      <c r="J772" s="1" t="s">
        <v>2536</v>
      </c>
      <c r="K772" s="1" t="s">
        <v>95</v>
      </c>
      <c r="L772">
        <v>75150</v>
      </c>
      <c r="M772" s="1" t="s">
        <v>96</v>
      </c>
      <c r="N772" s="1" t="s">
        <v>930</v>
      </c>
      <c r="O772" s="1" t="s">
        <v>33</v>
      </c>
      <c r="P772" s="1" t="s">
        <v>59</v>
      </c>
      <c r="Q772" s="1" t="s">
        <v>319</v>
      </c>
      <c r="R772">
        <v>6</v>
      </c>
      <c r="S772">
        <v>2</v>
      </c>
      <c r="T772">
        <v>0.6</v>
      </c>
      <c r="U772">
        <v>-3</v>
      </c>
      <c r="V772" s="1" t="s">
        <v>86</v>
      </c>
      <c r="W772" s="1" t="s">
        <v>37</v>
      </c>
    </row>
    <row r="773" spans="1:23" x14ac:dyDescent="0.35">
      <c r="A773">
        <v>3711</v>
      </c>
      <c r="B773" s="1" t="s">
        <v>2537</v>
      </c>
      <c r="C773" s="2">
        <v>43023</v>
      </c>
      <c r="D773" s="2">
        <v>43025</v>
      </c>
      <c r="E773" s="1" t="s">
        <v>90</v>
      </c>
      <c r="F773" s="1" t="s">
        <v>2538</v>
      </c>
      <c r="G773" s="1" t="s">
        <v>2539</v>
      </c>
      <c r="H773" s="1" t="s">
        <v>93</v>
      </c>
      <c r="I773" s="1" t="s">
        <v>28</v>
      </c>
      <c r="J773" s="1" t="s">
        <v>55</v>
      </c>
      <c r="K773" s="1" t="s">
        <v>56</v>
      </c>
      <c r="L773">
        <v>90045</v>
      </c>
      <c r="M773" s="1" t="s">
        <v>57</v>
      </c>
      <c r="N773" s="1" t="s">
        <v>307</v>
      </c>
      <c r="O773" s="1" t="s">
        <v>33</v>
      </c>
      <c r="P773" s="1" t="s">
        <v>48</v>
      </c>
      <c r="Q773" s="1" t="s">
        <v>308</v>
      </c>
      <c r="R773">
        <v>510</v>
      </c>
      <c r="S773">
        <v>3</v>
      </c>
      <c r="T773">
        <v>0.2</v>
      </c>
      <c r="U773">
        <v>6</v>
      </c>
      <c r="V773" s="1" t="s">
        <v>73</v>
      </c>
      <c r="W773" s="1" t="s">
        <v>51</v>
      </c>
    </row>
    <row r="774" spans="1:23" x14ac:dyDescent="0.35">
      <c r="A774">
        <v>3714</v>
      </c>
      <c r="B774" s="1" t="s">
        <v>2540</v>
      </c>
      <c r="C774" s="2">
        <v>42846</v>
      </c>
      <c r="D774" s="2">
        <v>42849</v>
      </c>
      <c r="E774" s="1" t="s">
        <v>90</v>
      </c>
      <c r="F774" s="1" t="s">
        <v>1471</v>
      </c>
      <c r="G774" s="1" t="s">
        <v>1472</v>
      </c>
      <c r="H774" s="1" t="s">
        <v>27</v>
      </c>
      <c r="I774" s="1" t="s">
        <v>28</v>
      </c>
      <c r="J774" s="1" t="s">
        <v>194</v>
      </c>
      <c r="K774" s="1" t="s">
        <v>195</v>
      </c>
      <c r="L774">
        <v>98103</v>
      </c>
      <c r="M774" s="1" t="s">
        <v>57</v>
      </c>
      <c r="N774" s="1" t="s">
        <v>1020</v>
      </c>
      <c r="O774" s="1" t="s">
        <v>33</v>
      </c>
      <c r="P774" s="1" t="s">
        <v>59</v>
      </c>
      <c r="Q774" s="1" t="s">
        <v>1021</v>
      </c>
      <c r="R774">
        <v>163</v>
      </c>
      <c r="S774">
        <v>3</v>
      </c>
      <c r="T774">
        <v>0</v>
      </c>
      <c r="U774">
        <v>34</v>
      </c>
      <c r="V774" s="1" t="s">
        <v>36</v>
      </c>
      <c r="W774" s="1" t="s">
        <v>116</v>
      </c>
    </row>
    <row r="775" spans="1:23" x14ac:dyDescent="0.35">
      <c r="A775">
        <v>3716</v>
      </c>
      <c r="B775" s="1" t="s">
        <v>2541</v>
      </c>
      <c r="C775" s="2">
        <v>41981</v>
      </c>
      <c r="D775" s="2">
        <v>41983</v>
      </c>
      <c r="E775" s="1" t="s">
        <v>24</v>
      </c>
      <c r="F775" s="1" t="s">
        <v>1809</v>
      </c>
      <c r="G775" s="1" t="s">
        <v>1810</v>
      </c>
      <c r="H775" s="1" t="s">
        <v>27</v>
      </c>
      <c r="I775" s="1" t="s">
        <v>28</v>
      </c>
      <c r="J775" s="1" t="s">
        <v>973</v>
      </c>
      <c r="K775" s="1" t="s">
        <v>195</v>
      </c>
      <c r="L775">
        <v>98502</v>
      </c>
      <c r="M775" s="1" t="s">
        <v>57</v>
      </c>
      <c r="N775" s="1" t="s">
        <v>397</v>
      </c>
      <c r="O775" s="1" t="s">
        <v>33</v>
      </c>
      <c r="P775" s="1" t="s">
        <v>39</v>
      </c>
      <c r="Q775" s="1" t="s">
        <v>398</v>
      </c>
      <c r="R775">
        <v>604</v>
      </c>
      <c r="S775">
        <v>5</v>
      </c>
      <c r="T775">
        <v>0.2</v>
      </c>
      <c r="U775">
        <v>45</v>
      </c>
      <c r="V775" s="1" t="s">
        <v>73</v>
      </c>
      <c r="W775" s="1" t="s">
        <v>99</v>
      </c>
    </row>
    <row r="776" spans="1:23" x14ac:dyDescent="0.35">
      <c r="A776">
        <v>3721</v>
      </c>
      <c r="B776" s="1" t="s">
        <v>2542</v>
      </c>
      <c r="C776" s="2">
        <v>42724</v>
      </c>
      <c r="D776" s="2">
        <v>42728</v>
      </c>
      <c r="E776" s="1" t="s">
        <v>42</v>
      </c>
      <c r="F776" s="1" t="s">
        <v>2543</v>
      </c>
      <c r="G776" s="1" t="s">
        <v>2544</v>
      </c>
      <c r="H776" s="1" t="s">
        <v>103</v>
      </c>
      <c r="I776" s="1" t="s">
        <v>28</v>
      </c>
      <c r="J776" s="1" t="s">
        <v>480</v>
      </c>
      <c r="K776" s="1" t="s">
        <v>481</v>
      </c>
      <c r="L776">
        <v>39212</v>
      </c>
      <c r="M776" s="1" t="s">
        <v>31</v>
      </c>
      <c r="N776" s="1" t="s">
        <v>382</v>
      </c>
      <c r="O776" s="1" t="s">
        <v>33</v>
      </c>
      <c r="P776" s="1" t="s">
        <v>59</v>
      </c>
      <c r="Q776" s="1" t="s">
        <v>383</v>
      </c>
      <c r="R776">
        <v>19</v>
      </c>
      <c r="S776">
        <v>4</v>
      </c>
      <c r="T776">
        <v>0</v>
      </c>
      <c r="U776">
        <v>7</v>
      </c>
      <c r="V776" s="1" t="s">
        <v>86</v>
      </c>
      <c r="W776" s="1" t="s">
        <v>99</v>
      </c>
    </row>
    <row r="777" spans="1:23" x14ac:dyDescent="0.35">
      <c r="A777">
        <v>3736</v>
      </c>
      <c r="B777" s="1" t="s">
        <v>2545</v>
      </c>
      <c r="C777" s="2">
        <v>42800</v>
      </c>
      <c r="D777" s="2">
        <v>42805</v>
      </c>
      <c r="E777" s="1" t="s">
        <v>24</v>
      </c>
      <c r="F777" s="1" t="s">
        <v>2546</v>
      </c>
      <c r="G777" s="1" t="s">
        <v>2547</v>
      </c>
      <c r="H777" s="1" t="s">
        <v>27</v>
      </c>
      <c r="I777" s="1" t="s">
        <v>28</v>
      </c>
      <c r="J777" s="1" t="s">
        <v>176</v>
      </c>
      <c r="K777" s="1" t="s">
        <v>123</v>
      </c>
      <c r="L777">
        <v>10011</v>
      </c>
      <c r="M777" s="1" t="s">
        <v>70</v>
      </c>
      <c r="N777" s="1" t="s">
        <v>1183</v>
      </c>
      <c r="O777" s="1" t="s">
        <v>33</v>
      </c>
      <c r="P777" s="1" t="s">
        <v>59</v>
      </c>
      <c r="Q777" s="1" t="s">
        <v>1184</v>
      </c>
      <c r="R777">
        <v>72</v>
      </c>
      <c r="S777">
        <v>3</v>
      </c>
      <c r="T777">
        <v>0</v>
      </c>
      <c r="U777">
        <v>17</v>
      </c>
      <c r="V777" s="1" t="s">
        <v>61</v>
      </c>
      <c r="W777" s="1" t="s">
        <v>198</v>
      </c>
    </row>
    <row r="778" spans="1:23" x14ac:dyDescent="0.35">
      <c r="A778">
        <v>3747</v>
      </c>
      <c r="B778" s="1" t="s">
        <v>2548</v>
      </c>
      <c r="C778" s="2">
        <v>42636</v>
      </c>
      <c r="D778" s="2">
        <v>42641</v>
      </c>
      <c r="E778" s="1" t="s">
        <v>24</v>
      </c>
      <c r="F778" s="1" t="s">
        <v>1052</v>
      </c>
      <c r="G778" s="1" t="s">
        <v>1053</v>
      </c>
      <c r="H778" s="1" t="s">
        <v>27</v>
      </c>
      <c r="I778" s="1" t="s">
        <v>28</v>
      </c>
      <c r="J778" s="1" t="s">
        <v>350</v>
      </c>
      <c r="K778" s="1" t="s">
        <v>670</v>
      </c>
      <c r="L778">
        <v>31907</v>
      </c>
      <c r="M778" s="1" t="s">
        <v>31</v>
      </c>
      <c r="N778" s="1" t="s">
        <v>1750</v>
      </c>
      <c r="O778" s="1" t="s">
        <v>33</v>
      </c>
      <c r="P778" s="1" t="s">
        <v>39</v>
      </c>
      <c r="Q778" s="1" t="s">
        <v>1751</v>
      </c>
      <c r="R778">
        <v>369</v>
      </c>
      <c r="S778">
        <v>3</v>
      </c>
      <c r="T778">
        <v>0</v>
      </c>
      <c r="U778">
        <v>81</v>
      </c>
      <c r="V778" s="1" t="s">
        <v>61</v>
      </c>
      <c r="W778" s="1" t="s">
        <v>80</v>
      </c>
    </row>
    <row r="779" spans="1:23" x14ac:dyDescent="0.35">
      <c r="A779">
        <v>3748</v>
      </c>
      <c r="B779" s="1" t="s">
        <v>2549</v>
      </c>
      <c r="C779" s="2">
        <v>42974</v>
      </c>
      <c r="D779" s="2">
        <v>42976</v>
      </c>
      <c r="E779" s="1" t="s">
        <v>24</v>
      </c>
      <c r="F779" s="1" t="s">
        <v>335</v>
      </c>
      <c r="G779" s="1" t="s">
        <v>336</v>
      </c>
      <c r="H779" s="1" t="s">
        <v>93</v>
      </c>
      <c r="I779" s="1" t="s">
        <v>28</v>
      </c>
      <c r="J779" s="1" t="s">
        <v>2451</v>
      </c>
      <c r="K779" s="1" t="s">
        <v>56</v>
      </c>
      <c r="L779">
        <v>90301</v>
      </c>
      <c r="M779" s="1" t="s">
        <v>57</v>
      </c>
      <c r="N779" s="1" t="s">
        <v>1403</v>
      </c>
      <c r="O779" s="1" t="s">
        <v>33</v>
      </c>
      <c r="P779" s="1" t="s">
        <v>59</v>
      </c>
      <c r="Q779" s="1" t="s">
        <v>1404</v>
      </c>
      <c r="R779">
        <v>198</v>
      </c>
      <c r="S779">
        <v>2</v>
      </c>
      <c r="T779">
        <v>0</v>
      </c>
      <c r="U779">
        <v>99</v>
      </c>
      <c r="V779" s="1" t="s">
        <v>73</v>
      </c>
      <c r="W779" s="1" t="s">
        <v>256</v>
      </c>
    </row>
    <row r="780" spans="1:23" x14ac:dyDescent="0.35">
      <c r="A780">
        <v>3752</v>
      </c>
      <c r="B780" s="1" t="s">
        <v>2549</v>
      </c>
      <c r="C780" s="2">
        <v>42974</v>
      </c>
      <c r="D780" s="2">
        <v>42976</v>
      </c>
      <c r="E780" s="1" t="s">
        <v>24</v>
      </c>
      <c r="F780" s="1" t="s">
        <v>335</v>
      </c>
      <c r="G780" s="1" t="s">
        <v>336</v>
      </c>
      <c r="H780" s="1" t="s">
        <v>93</v>
      </c>
      <c r="I780" s="1" t="s">
        <v>28</v>
      </c>
      <c r="J780" s="1" t="s">
        <v>2451</v>
      </c>
      <c r="K780" s="1" t="s">
        <v>56</v>
      </c>
      <c r="L780">
        <v>90301</v>
      </c>
      <c r="M780" s="1" t="s">
        <v>57</v>
      </c>
      <c r="N780" s="1" t="s">
        <v>469</v>
      </c>
      <c r="O780" s="1" t="s">
        <v>33</v>
      </c>
      <c r="P780" s="1" t="s">
        <v>39</v>
      </c>
      <c r="Q780" s="1" t="s">
        <v>470</v>
      </c>
      <c r="R780">
        <v>230</v>
      </c>
      <c r="S780">
        <v>3</v>
      </c>
      <c r="T780">
        <v>0.2</v>
      </c>
      <c r="U780">
        <v>23</v>
      </c>
      <c r="V780" s="1" t="s">
        <v>73</v>
      </c>
      <c r="W780" s="1" t="s">
        <v>256</v>
      </c>
    </row>
    <row r="781" spans="1:23" x14ac:dyDescent="0.35">
      <c r="A781">
        <v>3757</v>
      </c>
      <c r="B781" s="1" t="s">
        <v>2550</v>
      </c>
      <c r="C781" s="2">
        <v>42432</v>
      </c>
      <c r="D781" s="2">
        <v>42435</v>
      </c>
      <c r="E781" s="1" t="s">
        <v>90</v>
      </c>
      <c r="F781" s="1" t="s">
        <v>2311</v>
      </c>
      <c r="G781" s="1" t="s">
        <v>2312</v>
      </c>
      <c r="H781" s="1" t="s">
        <v>93</v>
      </c>
      <c r="I781" s="1" t="s">
        <v>28</v>
      </c>
      <c r="J781" s="1" t="s">
        <v>2551</v>
      </c>
      <c r="K781" s="1" t="s">
        <v>95</v>
      </c>
      <c r="L781">
        <v>79762</v>
      </c>
      <c r="M781" s="1" t="s">
        <v>96</v>
      </c>
      <c r="N781" s="1" t="s">
        <v>2552</v>
      </c>
      <c r="O781" s="1" t="s">
        <v>33</v>
      </c>
      <c r="P781" s="1" t="s">
        <v>39</v>
      </c>
      <c r="Q781" s="1" t="s">
        <v>2553</v>
      </c>
      <c r="R781">
        <v>563</v>
      </c>
      <c r="S781">
        <v>5</v>
      </c>
      <c r="T781">
        <v>0.3</v>
      </c>
      <c r="U781">
        <v>-56</v>
      </c>
      <c r="V781" s="1" t="s">
        <v>36</v>
      </c>
      <c r="W781" s="1" t="s">
        <v>198</v>
      </c>
    </row>
    <row r="782" spans="1:23" x14ac:dyDescent="0.35">
      <c r="A782">
        <v>3761</v>
      </c>
      <c r="B782" s="1" t="s">
        <v>2554</v>
      </c>
      <c r="C782" s="2">
        <v>42265</v>
      </c>
      <c r="D782" s="2">
        <v>42270</v>
      </c>
      <c r="E782" s="1" t="s">
        <v>42</v>
      </c>
      <c r="F782" s="1" t="s">
        <v>1083</v>
      </c>
      <c r="G782" s="1" t="s">
        <v>1084</v>
      </c>
      <c r="H782" s="1" t="s">
        <v>93</v>
      </c>
      <c r="I782" s="1" t="s">
        <v>28</v>
      </c>
      <c r="J782" s="1" t="s">
        <v>55</v>
      </c>
      <c r="K782" s="1" t="s">
        <v>56</v>
      </c>
      <c r="L782">
        <v>90049</v>
      </c>
      <c r="M782" s="1" t="s">
        <v>57</v>
      </c>
      <c r="N782" s="1" t="s">
        <v>1485</v>
      </c>
      <c r="O782" s="1" t="s">
        <v>33</v>
      </c>
      <c r="P782" s="1" t="s">
        <v>59</v>
      </c>
      <c r="Q782" s="1" t="s">
        <v>1486</v>
      </c>
      <c r="R782">
        <v>24</v>
      </c>
      <c r="S782">
        <v>2</v>
      </c>
      <c r="T782">
        <v>0</v>
      </c>
      <c r="U782">
        <v>10</v>
      </c>
      <c r="V782" s="1" t="s">
        <v>61</v>
      </c>
      <c r="W782" s="1" t="s">
        <v>80</v>
      </c>
    </row>
    <row r="783" spans="1:23" x14ac:dyDescent="0.35">
      <c r="A783">
        <v>3763</v>
      </c>
      <c r="B783" s="1" t="s">
        <v>2555</v>
      </c>
      <c r="C783" s="2">
        <v>42595</v>
      </c>
      <c r="D783" s="2">
        <v>42600</v>
      </c>
      <c r="E783" s="1" t="s">
        <v>24</v>
      </c>
      <c r="F783" s="1" t="s">
        <v>1729</v>
      </c>
      <c r="G783" s="1" t="s">
        <v>1730</v>
      </c>
      <c r="H783" s="1" t="s">
        <v>93</v>
      </c>
      <c r="I783" s="1" t="s">
        <v>28</v>
      </c>
      <c r="J783" s="1" t="s">
        <v>2556</v>
      </c>
      <c r="K783" s="1" t="s">
        <v>241</v>
      </c>
      <c r="L783">
        <v>53214</v>
      </c>
      <c r="M783" s="1" t="s">
        <v>96</v>
      </c>
      <c r="N783" s="1" t="s">
        <v>545</v>
      </c>
      <c r="O783" s="1" t="s">
        <v>33</v>
      </c>
      <c r="P783" s="1" t="s">
        <v>34</v>
      </c>
      <c r="Q783" s="1" t="s">
        <v>546</v>
      </c>
      <c r="R783">
        <v>242</v>
      </c>
      <c r="S783">
        <v>2</v>
      </c>
      <c r="T783">
        <v>0</v>
      </c>
      <c r="U783">
        <v>24</v>
      </c>
      <c r="V783" s="1" t="s">
        <v>61</v>
      </c>
      <c r="W783" s="1" t="s">
        <v>256</v>
      </c>
    </row>
    <row r="784" spans="1:23" x14ac:dyDescent="0.35">
      <c r="A784">
        <v>3766</v>
      </c>
      <c r="B784" s="1" t="s">
        <v>2557</v>
      </c>
      <c r="C784" s="2">
        <v>42450</v>
      </c>
      <c r="D784" s="2">
        <v>42454</v>
      </c>
      <c r="E784" s="1" t="s">
        <v>42</v>
      </c>
      <c r="F784" s="1" t="s">
        <v>2256</v>
      </c>
      <c r="G784" s="1" t="s">
        <v>2257</v>
      </c>
      <c r="H784" s="1" t="s">
        <v>93</v>
      </c>
      <c r="I784" s="1" t="s">
        <v>28</v>
      </c>
      <c r="J784" s="1" t="s">
        <v>104</v>
      </c>
      <c r="K784" s="1" t="s">
        <v>95</v>
      </c>
      <c r="L784">
        <v>77036</v>
      </c>
      <c r="M784" s="1" t="s">
        <v>96</v>
      </c>
      <c r="N784" s="1" t="s">
        <v>1570</v>
      </c>
      <c r="O784" s="1" t="s">
        <v>33</v>
      </c>
      <c r="P784" s="1" t="s">
        <v>48</v>
      </c>
      <c r="Q784" s="1" t="s">
        <v>1571</v>
      </c>
      <c r="R784">
        <v>99</v>
      </c>
      <c r="S784">
        <v>2</v>
      </c>
      <c r="T784">
        <v>0.3</v>
      </c>
      <c r="U784">
        <v>-1</v>
      </c>
      <c r="V784" s="1" t="s">
        <v>86</v>
      </c>
      <c r="W784" s="1" t="s">
        <v>198</v>
      </c>
    </row>
    <row r="785" spans="1:23" x14ac:dyDescent="0.35">
      <c r="A785">
        <v>3769</v>
      </c>
      <c r="B785" s="1" t="s">
        <v>2558</v>
      </c>
      <c r="C785" s="2">
        <v>41989</v>
      </c>
      <c r="D785" s="2">
        <v>41993</v>
      </c>
      <c r="E785" s="1" t="s">
        <v>24</v>
      </c>
      <c r="F785" s="1" t="s">
        <v>2559</v>
      </c>
      <c r="G785" s="1" t="s">
        <v>2560</v>
      </c>
      <c r="H785" s="1" t="s">
        <v>93</v>
      </c>
      <c r="I785" s="1" t="s">
        <v>28</v>
      </c>
      <c r="J785" s="1" t="s">
        <v>2053</v>
      </c>
      <c r="K785" s="1" t="s">
        <v>46</v>
      </c>
      <c r="L785">
        <v>33012</v>
      </c>
      <c r="M785" s="1" t="s">
        <v>31</v>
      </c>
      <c r="N785" s="1" t="s">
        <v>1535</v>
      </c>
      <c r="O785" s="1" t="s">
        <v>33</v>
      </c>
      <c r="P785" s="1" t="s">
        <v>39</v>
      </c>
      <c r="Q785" s="1" t="s">
        <v>1536</v>
      </c>
      <c r="R785">
        <v>1014</v>
      </c>
      <c r="S785">
        <v>9</v>
      </c>
      <c r="T785">
        <v>0.2</v>
      </c>
      <c r="U785">
        <v>101</v>
      </c>
      <c r="V785" s="1" t="s">
        <v>86</v>
      </c>
      <c r="W785" s="1" t="s">
        <v>99</v>
      </c>
    </row>
    <row r="786" spans="1:23" x14ac:dyDescent="0.35">
      <c r="A786">
        <v>3771</v>
      </c>
      <c r="B786" s="1" t="s">
        <v>2561</v>
      </c>
      <c r="C786" s="2">
        <v>42721</v>
      </c>
      <c r="D786" s="2">
        <v>42725</v>
      </c>
      <c r="E786" s="1" t="s">
        <v>42</v>
      </c>
      <c r="F786" s="1" t="s">
        <v>2562</v>
      </c>
      <c r="G786" s="1" t="s">
        <v>2563</v>
      </c>
      <c r="H786" s="1" t="s">
        <v>27</v>
      </c>
      <c r="I786" s="1" t="s">
        <v>28</v>
      </c>
      <c r="J786" s="1" t="s">
        <v>331</v>
      </c>
      <c r="K786" s="1" t="s">
        <v>56</v>
      </c>
      <c r="L786">
        <v>94122</v>
      </c>
      <c r="M786" s="1" t="s">
        <v>57</v>
      </c>
      <c r="N786" s="1" t="s">
        <v>615</v>
      </c>
      <c r="O786" s="1" t="s">
        <v>33</v>
      </c>
      <c r="P786" s="1" t="s">
        <v>48</v>
      </c>
      <c r="Q786" s="1" t="s">
        <v>616</v>
      </c>
      <c r="R786">
        <v>2004</v>
      </c>
      <c r="S786">
        <v>6</v>
      </c>
      <c r="T786">
        <v>0.2</v>
      </c>
      <c r="U786">
        <v>-326</v>
      </c>
      <c r="V786" s="1" t="s">
        <v>86</v>
      </c>
      <c r="W786" s="1" t="s">
        <v>99</v>
      </c>
    </row>
    <row r="787" spans="1:23" x14ac:dyDescent="0.35">
      <c r="A787">
        <v>3778</v>
      </c>
      <c r="B787" s="1" t="s">
        <v>2564</v>
      </c>
      <c r="C787" s="2">
        <v>42127</v>
      </c>
      <c r="D787" s="2">
        <v>42132</v>
      </c>
      <c r="E787" s="1" t="s">
        <v>42</v>
      </c>
      <c r="F787" s="1" t="s">
        <v>2233</v>
      </c>
      <c r="G787" s="1" t="s">
        <v>2234</v>
      </c>
      <c r="H787" s="1" t="s">
        <v>103</v>
      </c>
      <c r="I787" s="1" t="s">
        <v>28</v>
      </c>
      <c r="J787" s="1" t="s">
        <v>2565</v>
      </c>
      <c r="K787" s="1" t="s">
        <v>56</v>
      </c>
      <c r="L787">
        <v>91911</v>
      </c>
      <c r="M787" s="1" t="s">
        <v>57</v>
      </c>
      <c r="N787" s="1" t="s">
        <v>1856</v>
      </c>
      <c r="O787" s="1" t="s">
        <v>33</v>
      </c>
      <c r="P787" s="1" t="s">
        <v>59</v>
      </c>
      <c r="Q787" s="1" t="s">
        <v>1857</v>
      </c>
      <c r="R787">
        <v>666</v>
      </c>
      <c r="S787">
        <v>6</v>
      </c>
      <c r="T787">
        <v>0</v>
      </c>
      <c r="U787">
        <v>107</v>
      </c>
      <c r="V787" s="1" t="s">
        <v>61</v>
      </c>
      <c r="W787" s="1" t="s">
        <v>164</v>
      </c>
    </row>
    <row r="788" spans="1:23" x14ac:dyDescent="0.35">
      <c r="A788">
        <v>3796</v>
      </c>
      <c r="B788" s="1" t="s">
        <v>2566</v>
      </c>
      <c r="C788" s="2">
        <v>41666</v>
      </c>
      <c r="D788" s="2">
        <v>41672</v>
      </c>
      <c r="E788" s="1" t="s">
        <v>42</v>
      </c>
      <c r="F788" s="1" t="s">
        <v>2567</v>
      </c>
      <c r="G788" s="1" t="s">
        <v>2568</v>
      </c>
      <c r="H788" s="1" t="s">
        <v>27</v>
      </c>
      <c r="I788" s="1" t="s">
        <v>28</v>
      </c>
      <c r="J788" s="1" t="s">
        <v>642</v>
      </c>
      <c r="K788" s="1" t="s">
        <v>56</v>
      </c>
      <c r="L788">
        <v>92037</v>
      </c>
      <c r="M788" s="1" t="s">
        <v>57</v>
      </c>
      <c r="N788" s="1" t="s">
        <v>2569</v>
      </c>
      <c r="O788" s="1" t="s">
        <v>33</v>
      </c>
      <c r="P788" s="1" t="s">
        <v>48</v>
      </c>
      <c r="Q788" s="1" t="s">
        <v>2570</v>
      </c>
      <c r="R788">
        <v>333</v>
      </c>
      <c r="S788">
        <v>3</v>
      </c>
      <c r="T788">
        <v>0.2</v>
      </c>
      <c r="U788">
        <v>-17</v>
      </c>
      <c r="V788" s="1" t="s">
        <v>132</v>
      </c>
      <c r="W788" s="1" t="s">
        <v>172</v>
      </c>
    </row>
    <row r="789" spans="1:23" x14ac:dyDescent="0.35">
      <c r="A789">
        <v>3799</v>
      </c>
      <c r="B789" s="1" t="s">
        <v>2571</v>
      </c>
      <c r="C789" s="2">
        <v>43043</v>
      </c>
      <c r="D789" s="2">
        <v>43044</v>
      </c>
      <c r="E789" s="1" t="s">
        <v>90</v>
      </c>
      <c r="F789" s="1" t="s">
        <v>354</v>
      </c>
      <c r="G789" s="1" t="s">
        <v>355</v>
      </c>
      <c r="H789" s="1" t="s">
        <v>93</v>
      </c>
      <c r="I789" s="1" t="s">
        <v>28</v>
      </c>
      <c r="J789" s="1" t="s">
        <v>2572</v>
      </c>
      <c r="K789" s="1" t="s">
        <v>1039</v>
      </c>
      <c r="L789">
        <v>27405</v>
      </c>
      <c r="M789" s="1" t="s">
        <v>31</v>
      </c>
      <c r="N789" s="1" t="s">
        <v>413</v>
      </c>
      <c r="O789" s="1" t="s">
        <v>33</v>
      </c>
      <c r="P789" s="1" t="s">
        <v>48</v>
      </c>
      <c r="Q789" s="1" t="s">
        <v>414</v>
      </c>
      <c r="R789">
        <v>524</v>
      </c>
      <c r="S789">
        <v>3</v>
      </c>
      <c r="T789">
        <v>0.4</v>
      </c>
      <c r="U789">
        <v>-192</v>
      </c>
      <c r="V789" s="1" t="s">
        <v>126</v>
      </c>
      <c r="W789" s="1" t="s">
        <v>37</v>
      </c>
    </row>
    <row r="790" spans="1:23" x14ac:dyDescent="0.35">
      <c r="A790">
        <v>3801</v>
      </c>
      <c r="B790" s="1" t="s">
        <v>2573</v>
      </c>
      <c r="C790" s="2">
        <v>42657</v>
      </c>
      <c r="D790" s="2">
        <v>42663</v>
      </c>
      <c r="E790" s="1" t="s">
        <v>42</v>
      </c>
      <c r="F790" s="1" t="s">
        <v>2574</v>
      </c>
      <c r="G790" s="1" t="s">
        <v>2575</v>
      </c>
      <c r="H790" s="1" t="s">
        <v>27</v>
      </c>
      <c r="I790" s="1" t="s">
        <v>28</v>
      </c>
      <c r="J790" s="1" t="s">
        <v>609</v>
      </c>
      <c r="K790" s="1" t="s">
        <v>1039</v>
      </c>
      <c r="L790">
        <v>28540</v>
      </c>
      <c r="M790" s="1" t="s">
        <v>31</v>
      </c>
      <c r="N790" s="1" t="s">
        <v>2576</v>
      </c>
      <c r="O790" s="1" t="s">
        <v>33</v>
      </c>
      <c r="P790" s="1" t="s">
        <v>39</v>
      </c>
      <c r="Q790" s="1" t="s">
        <v>2577</v>
      </c>
      <c r="R790">
        <v>103</v>
      </c>
      <c r="S790">
        <v>1</v>
      </c>
      <c r="T790">
        <v>0.2</v>
      </c>
      <c r="U790">
        <v>10</v>
      </c>
      <c r="V790" s="1" t="s">
        <v>132</v>
      </c>
      <c r="W790" s="1" t="s">
        <v>51</v>
      </c>
    </row>
    <row r="791" spans="1:23" x14ac:dyDescent="0.35">
      <c r="A791">
        <v>3810</v>
      </c>
      <c r="B791" s="1" t="s">
        <v>2578</v>
      </c>
      <c r="C791" s="2">
        <v>42320</v>
      </c>
      <c r="D791" s="2">
        <v>42327</v>
      </c>
      <c r="E791" s="1" t="s">
        <v>42</v>
      </c>
      <c r="F791" s="1" t="s">
        <v>2579</v>
      </c>
      <c r="G791" s="1" t="s">
        <v>2580</v>
      </c>
      <c r="H791" s="1" t="s">
        <v>93</v>
      </c>
      <c r="I791" s="1" t="s">
        <v>28</v>
      </c>
      <c r="J791" s="1" t="s">
        <v>2515</v>
      </c>
      <c r="K791" s="1" t="s">
        <v>46</v>
      </c>
      <c r="L791">
        <v>33317</v>
      </c>
      <c r="M791" s="1" t="s">
        <v>31</v>
      </c>
      <c r="N791" s="1" t="s">
        <v>2581</v>
      </c>
      <c r="O791" s="1" t="s">
        <v>33</v>
      </c>
      <c r="P791" s="1" t="s">
        <v>39</v>
      </c>
      <c r="Q791" s="1" t="s">
        <v>2582</v>
      </c>
      <c r="R791">
        <v>524</v>
      </c>
      <c r="S791">
        <v>5</v>
      </c>
      <c r="T791">
        <v>0.2</v>
      </c>
      <c r="U791">
        <v>-72</v>
      </c>
      <c r="V791" s="1" t="s">
        <v>50</v>
      </c>
      <c r="W791" s="1" t="s">
        <v>37</v>
      </c>
    </row>
    <row r="792" spans="1:23" x14ac:dyDescent="0.35">
      <c r="A792">
        <v>3812</v>
      </c>
      <c r="B792" s="1" t="s">
        <v>2578</v>
      </c>
      <c r="C792" s="2">
        <v>42320</v>
      </c>
      <c r="D792" s="2">
        <v>42327</v>
      </c>
      <c r="E792" s="1" t="s">
        <v>42</v>
      </c>
      <c r="F792" s="1" t="s">
        <v>2579</v>
      </c>
      <c r="G792" s="1" t="s">
        <v>2580</v>
      </c>
      <c r="H792" s="1" t="s">
        <v>93</v>
      </c>
      <c r="I792" s="1" t="s">
        <v>28</v>
      </c>
      <c r="J792" s="1" t="s">
        <v>2515</v>
      </c>
      <c r="K792" s="1" t="s">
        <v>46</v>
      </c>
      <c r="L792">
        <v>33317</v>
      </c>
      <c r="M792" s="1" t="s">
        <v>31</v>
      </c>
      <c r="N792" s="1" t="s">
        <v>301</v>
      </c>
      <c r="O792" s="1" t="s">
        <v>33</v>
      </c>
      <c r="P792" s="1" t="s">
        <v>39</v>
      </c>
      <c r="Q792" s="1" t="s">
        <v>302</v>
      </c>
      <c r="R792">
        <v>146</v>
      </c>
      <c r="S792">
        <v>3</v>
      </c>
      <c r="T792">
        <v>0.2</v>
      </c>
      <c r="U792">
        <v>16</v>
      </c>
      <c r="V792" s="1" t="s">
        <v>50</v>
      </c>
      <c r="W792" s="1" t="s">
        <v>37</v>
      </c>
    </row>
    <row r="793" spans="1:23" x14ac:dyDescent="0.35">
      <c r="A793">
        <v>3817</v>
      </c>
      <c r="B793" s="1" t="s">
        <v>2583</v>
      </c>
      <c r="C793" s="2">
        <v>42262</v>
      </c>
      <c r="D793" s="2">
        <v>42266</v>
      </c>
      <c r="E793" s="1" t="s">
        <v>42</v>
      </c>
      <c r="F793" s="1" t="s">
        <v>2238</v>
      </c>
      <c r="G793" s="1" t="s">
        <v>2239</v>
      </c>
      <c r="H793" s="1" t="s">
        <v>27</v>
      </c>
      <c r="I793" s="1" t="s">
        <v>28</v>
      </c>
      <c r="J793" s="1" t="s">
        <v>2465</v>
      </c>
      <c r="K793" s="1" t="s">
        <v>1279</v>
      </c>
      <c r="L793">
        <v>36608</v>
      </c>
      <c r="M793" s="1" t="s">
        <v>31</v>
      </c>
      <c r="N793" s="1" t="s">
        <v>1994</v>
      </c>
      <c r="O793" s="1" t="s">
        <v>33</v>
      </c>
      <c r="P793" s="1" t="s">
        <v>48</v>
      </c>
      <c r="Q793" s="1" t="s">
        <v>1995</v>
      </c>
      <c r="R793">
        <v>802</v>
      </c>
      <c r="S793">
        <v>2</v>
      </c>
      <c r="T793">
        <v>0</v>
      </c>
      <c r="U793">
        <v>200</v>
      </c>
      <c r="V793" s="1" t="s">
        <v>86</v>
      </c>
      <c r="W793" s="1" t="s">
        <v>80</v>
      </c>
    </row>
    <row r="794" spans="1:23" x14ac:dyDescent="0.35">
      <c r="A794">
        <v>3819</v>
      </c>
      <c r="B794" s="1" t="s">
        <v>2583</v>
      </c>
      <c r="C794" s="2">
        <v>42262</v>
      </c>
      <c r="D794" s="2">
        <v>42266</v>
      </c>
      <c r="E794" s="1" t="s">
        <v>42</v>
      </c>
      <c r="F794" s="1" t="s">
        <v>2238</v>
      </c>
      <c r="G794" s="1" t="s">
        <v>2239</v>
      </c>
      <c r="H794" s="1" t="s">
        <v>27</v>
      </c>
      <c r="I794" s="1" t="s">
        <v>28</v>
      </c>
      <c r="J794" s="1" t="s">
        <v>2465</v>
      </c>
      <c r="K794" s="1" t="s">
        <v>1279</v>
      </c>
      <c r="L794">
        <v>36608</v>
      </c>
      <c r="M794" s="1" t="s">
        <v>31</v>
      </c>
      <c r="N794" s="1" t="s">
        <v>659</v>
      </c>
      <c r="O794" s="1" t="s">
        <v>33</v>
      </c>
      <c r="P794" s="1" t="s">
        <v>39</v>
      </c>
      <c r="Q794" s="1" t="s">
        <v>660</v>
      </c>
      <c r="R794">
        <v>1057</v>
      </c>
      <c r="S794">
        <v>7</v>
      </c>
      <c r="T794">
        <v>0</v>
      </c>
      <c r="U794">
        <v>306</v>
      </c>
      <c r="V794" s="1" t="s">
        <v>86</v>
      </c>
      <c r="W794" s="1" t="s">
        <v>80</v>
      </c>
    </row>
    <row r="795" spans="1:23" x14ac:dyDescent="0.35">
      <c r="A795">
        <v>3821</v>
      </c>
      <c r="B795" s="1" t="s">
        <v>2584</v>
      </c>
      <c r="C795" s="2">
        <v>43017</v>
      </c>
      <c r="D795" s="2">
        <v>43022</v>
      </c>
      <c r="E795" s="1" t="s">
        <v>42</v>
      </c>
      <c r="F795" s="1" t="s">
        <v>2157</v>
      </c>
      <c r="G795" s="1" t="s">
        <v>2158</v>
      </c>
      <c r="H795" s="1" t="s">
        <v>27</v>
      </c>
      <c r="I795" s="1" t="s">
        <v>28</v>
      </c>
      <c r="J795" s="1" t="s">
        <v>176</v>
      </c>
      <c r="K795" s="1" t="s">
        <v>123</v>
      </c>
      <c r="L795">
        <v>10024</v>
      </c>
      <c r="M795" s="1" t="s">
        <v>70</v>
      </c>
      <c r="N795" s="1" t="s">
        <v>1639</v>
      </c>
      <c r="O795" s="1" t="s">
        <v>33</v>
      </c>
      <c r="P795" s="1" t="s">
        <v>34</v>
      </c>
      <c r="Q795" s="1" t="s">
        <v>1640</v>
      </c>
      <c r="R795">
        <v>314</v>
      </c>
      <c r="S795">
        <v>3</v>
      </c>
      <c r="T795">
        <v>0.2</v>
      </c>
      <c r="U795">
        <v>-16</v>
      </c>
      <c r="V795" s="1" t="s">
        <v>61</v>
      </c>
      <c r="W795" s="1" t="s">
        <v>51</v>
      </c>
    </row>
    <row r="796" spans="1:23" x14ac:dyDescent="0.35">
      <c r="A796">
        <v>3828</v>
      </c>
      <c r="B796" s="1" t="s">
        <v>2585</v>
      </c>
      <c r="C796" s="2">
        <v>42862</v>
      </c>
      <c r="D796" s="2">
        <v>42866</v>
      </c>
      <c r="E796" s="1" t="s">
        <v>42</v>
      </c>
      <c r="F796" s="1" t="s">
        <v>1591</v>
      </c>
      <c r="G796" s="1" t="s">
        <v>1592</v>
      </c>
      <c r="H796" s="1" t="s">
        <v>93</v>
      </c>
      <c r="I796" s="1" t="s">
        <v>28</v>
      </c>
      <c r="J796" s="1" t="s">
        <v>291</v>
      </c>
      <c r="K796" s="1" t="s">
        <v>292</v>
      </c>
      <c r="L796">
        <v>48234</v>
      </c>
      <c r="M796" s="1" t="s">
        <v>96</v>
      </c>
      <c r="N796" s="1" t="s">
        <v>384</v>
      </c>
      <c r="O796" s="1" t="s">
        <v>33</v>
      </c>
      <c r="P796" s="1" t="s">
        <v>39</v>
      </c>
      <c r="Q796" s="1" t="s">
        <v>385</v>
      </c>
      <c r="R796">
        <v>1459</v>
      </c>
      <c r="S796">
        <v>5</v>
      </c>
      <c r="T796">
        <v>0</v>
      </c>
      <c r="U796">
        <v>423</v>
      </c>
      <c r="V796" s="1" t="s">
        <v>86</v>
      </c>
      <c r="W796" s="1" t="s">
        <v>164</v>
      </c>
    </row>
    <row r="797" spans="1:23" x14ac:dyDescent="0.35">
      <c r="A797">
        <v>3829</v>
      </c>
      <c r="B797" s="1" t="s">
        <v>2585</v>
      </c>
      <c r="C797" s="2">
        <v>42862</v>
      </c>
      <c r="D797" s="2">
        <v>42866</v>
      </c>
      <c r="E797" s="1" t="s">
        <v>42</v>
      </c>
      <c r="F797" s="1" t="s">
        <v>1591</v>
      </c>
      <c r="G797" s="1" t="s">
        <v>1592</v>
      </c>
      <c r="H797" s="1" t="s">
        <v>93</v>
      </c>
      <c r="I797" s="1" t="s">
        <v>28</v>
      </c>
      <c r="J797" s="1" t="s">
        <v>291</v>
      </c>
      <c r="K797" s="1" t="s">
        <v>292</v>
      </c>
      <c r="L797">
        <v>48234</v>
      </c>
      <c r="M797" s="1" t="s">
        <v>96</v>
      </c>
      <c r="N797" s="1" t="s">
        <v>2011</v>
      </c>
      <c r="O797" s="1" t="s">
        <v>33</v>
      </c>
      <c r="P797" s="1" t="s">
        <v>39</v>
      </c>
      <c r="Q797" s="1" t="s">
        <v>2012</v>
      </c>
      <c r="R797">
        <v>27</v>
      </c>
      <c r="S797">
        <v>1</v>
      </c>
      <c r="T797">
        <v>0</v>
      </c>
      <c r="U797">
        <v>7</v>
      </c>
      <c r="V797" s="1" t="s">
        <v>86</v>
      </c>
      <c r="W797" s="1" t="s">
        <v>164</v>
      </c>
    </row>
    <row r="798" spans="1:23" x14ac:dyDescent="0.35">
      <c r="A798">
        <v>3830</v>
      </c>
      <c r="B798" s="1" t="s">
        <v>2585</v>
      </c>
      <c r="C798" s="2">
        <v>42862</v>
      </c>
      <c r="D798" s="2">
        <v>42866</v>
      </c>
      <c r="E798" s="1" t="s">
        <v>42</v>
      </c>
      <c r="F798" s="1" t="s">
        <v>1591</v>
      </c>
      <c r="G798" s="1" t="s">
        <v>1592</v>
      </c>
      <c r="H798" s="1" t="s">
        <v>93</v>
      </c>
      <c r="I798" s="1" t="s">
        <v>28</v>
      </c>
      <c r="J798" s="1" t="s">
        <v>291</v>
      </c>
      <c r="K798" s="1" t="s">
        <v>292</v>
      </c>
      <c r="L798">
        <v>48234</v>
      </c>
      <c r="M798" s="1" t="s">
        <v>96</v>
      </c>
      <c r="N798" s="1" t="s">
        <v>583</v>
      </c>
      <c r="O798" s="1" t="s">
        <v>33</v>
      </c>
      <c r="P798" s="1" t="s">
        <v>39</v>
      </c>
      <c r="Q798" s="1" t="s">
        <v>584</v>
      </c>
      <c r="R798">
        <v>477</v>
      </c>
      <c r="S798">
        <v>2</v>
      </c>
      <c r="T798">
        <v>0</v>
      </c>
      <c r="U798">
        <v>119</v>
      </c>
      <c r="V798" s="1" t="s">
        <v>86</v>
      </c>
      <c r="W798" s="1" t="s">
        <v>164</v>
      </c>
    </row>
    <row r="799" spans="1:23" x14ac:dyDescent="0.35">
      <c r="A799">
        <v>3832</v>
      </c>
      <c r="B799" s="1" t="s">
        <v>2586</v>
      </c>
      <c r="C799" s="2">
        <v>42322</v>
      </c>
      <c r="D799" s="2">
        <v>42327</v>
      </c>
      <c r="E799" s="1" t="s">
        <v>42</v>
      </c>
      <c r="F799" s="1" t="s">
        <v>2587</v>
      </c>
      <c r="G799" s="1" t="s">
        <v>2588</v>
      </c>
      <c r="H799" s="1" t="s">
        <v>27</v>
      </c>
      <c r="I799" s="1" t="s">
        <v>28</v>
      </c>
      <c r="J799" s="1" t="s">
        <v>744</v>
      </c>
      <c r="K799" s="1" t="s">
        <v>203</v>
      </c>
      <c r="L799">
        <v>19901</v>
      </c>
      <c r="M799" s="1" t="s">
        <v>70</v>
      </c>
      <c r="N799" s="1" t="s">
        <v>311</v>
      </c>
      <c r="O799" s="1" t="s">
        <v>33</v>
      </c>
      <c r="P799" s="1" t="s">
        <v>59</v>
      </c>
      <c r="Q799" s="1" t="s">
        <v>2589</v>
      </c>
      <c r="R799">
        <v>76</v>
      </c>
      <c r="S799">
        <v>3</v>
      </c>
      <c r="T799">
        <v>0</v>
      </c>
      <c r="U799">
        <v>27</v>
      </c>
      <c r="V799" s="1" t="s">
        <v>61</v>
      </c>
      <c r="W799" s="1" t="s">
        <v>37</v>
      </c>
    </row>
    <row r="800" spans="1:23" x14ac:dyDescent="0.35">
      <c r="A800">
        <v>3835</v>
      </c>
      <c r="B800" s="1" t="s">
        <v>2590</v>
      </c>
      <c r="C800" s="2">
        <v>41967</v>
      </c>
      <c r="D800" s="2">
        <v>41967</v>
      </c>
      <c r="E800" s="1" t="s">
        <v>428</v>
      </c>
      <c r="F800" s="1" t="s">
        <v>2591</v>
      </c>
      <c r="G800" s="1" t="s">
        <v>2592</v>
      </c>
      <c r="H800" s="1" t="s">
        <v>93</v>
      </c>
      <c r="I800" s="1" t="s">
        <v>28</v>
      </c>
      <c r="J800" s="1" t="s">
        <v>350</v>
      </c>
      <c r="K800" s="1" t="s">
        <v>234</v>
      </c>
      <c r="L800">
        <v>43229</v>
      </c>
      <c r="M800" s="1" t="s">
        <v>70</v>
      </c>
      <c r="N800" s="1" t="s">
        <v>1309</v>
      </c>
      <c r="O800" s="1" t="s">
        <v>33</v>
      </c>
      <c r="P800" s="1" t="s">
        <v>39</v>
      </c>
      <c r="Q800" s="1" t="s">
        <v>1310</v>
      </c>
      <c r="R800">
        <v>611</v>
      </c>
      <c r="S800">
        <v>3</v>
      </c>
      <c r="T800">
        <v>0.3</v>
      </c>
      <c r="U800">
        <v>-35</v>
      </c>
      <c r="V800" s="1" t="s">
        <v>433</v>
      </c>
      <c r="W800" s="1" t="s">
        <v>37</v>
      </c>
    </row>
    <row r="801" spans="1:23" x14ac:dyDescent="0.35">
      <c r="A801">
        <v>3839</v>
      </c>
      <c r="B801" s="1" t="s">
        <v>2593</v>
      </c>
      <c r="C801" s="2">
        <v>41846</v>
      </c>
      <c r="D801" s="2">
        <v>41853</v>
      </c>
      <c r="E801" s="1" t="s">
        <v>42</v>
      </c>
      <c r="F801" s="1" t="s">
        <v>128</v>
      </c>
      <c r="G801" s="1" t="s">
        <v>129</v>
      </c>
      <c r="H801" s="1" t="s">
        <v>27</v>
      </c>
      <c r="I801" s="1" t="s">
        <v>28</v>
      </c>
      <c r="J801" s="1" t="s">
        <v>1342</v>
      </c>
      <c r="K801" s="1" t="s">
        <v>1343</v>
      </c>
      <c r="L801">
        <v>89031</v>
      </c>
      <c r="M801" s="1" t="s">
        <v>57</v>
      </c>
      <c r="N801" s="1" t="s">
        <v>408</v>
      </c>
      <c r="O801" s="1" t="s">
        <v>33</v>
      </c>
      <c r="P801" s="1" t="s">
        <v>39</v>
      </c>
      <c r="Q801" s="1" t="s">
        <v>409</v>
      </c>
      <c r="R801">
        <v>674</v>
      </c>
      <c r="S801">
        <v>3</v>
      </c>
      <c r="T801">
        <v>0.2</v>
      </c>
      <c r="U801">
        <v>-110</v>
      </c>
      <c r="V801" s="1" t="s">
        <v>50</v>
      </c>
      <c r="W801" s="1" t="s">
        <v>74</v>
      </c>
    </row>
    <row r="802" spans="1:23" x14ac:dyDescent="0.35">
      <c r="A802">
        <v>3840</v>
      </c>
      <c r="B802" s="1" t="s">
        <v>2593</v>
      </c>
      <c r="C802" s="2">
        <v>41846</v>
      </c>
      <c r="D802" s="2">
        <v>41853</v>
      </c>
      <c r="E802" s="1" t="s">
        <v>42</v>
      </c>
      <c r="F802" s="1" t="s">
        <v>128</v>
      </c>
      <c r="G802" s="1" t="s">
        <v>129</v>
      </c>
      <c r="H802" s="1" t="s">
        <v>27</v>
      </c>
      <c r="I802" s="1" t="s">
        <v>28</v>
      </c>
      <c r="J802" s="1" t="s">
        <v>1342</v>
      </c>
      <c r="K802" s="1" t="s">
        <v>1343</v>
      </c>
      <c r="L802">
        <v>89031</v>
      </c>
      <c r="M802" s="1" t="s">
        <v>57</v>
      </c>
      <c r="N802" s="1" t="s">
        <v>1207</v>
      </c>
      <c r="O802" s="1" t="s">
        <v>33</v>
      </c>
      <c r="P802" s="1" t="s">
        <v>59</v>
      </c>
      <c r="Q802" s="1" t="s">
        <v>1208</v>
      </c>
      <c r="R802">
        <v>134</v>
      </c>
      <c r="S802">
        <v>9</v>
      </c>
      <c r="T802">
        <v>0</v>
      </c>
      <c r="U802">
        <v>36</v>
      </c>
      <c r="V802" s="1" t="s">
        <v>50</v>
      </c>
      <c r="W802" s="1" t="s">
        <v>74</v>
      </c>
    </row>
    <row r="803" spans="1:23" x14ac:dyDescent="0.35">
      <c r="A803">
        <v>3842</v>
      </c>
      <c r="B803" s="1" t="s">
        <v>2594</v>
      </c>
      <c r="C803" s="2">
        <v>41798</v>
      </c>
      <c r="D803" s="2">
        <v>41802</v>
      </c>
      <c r="E803" s="1" t="s">
        <v>42</v>
      </c>
      <c r="F803" s="1" t="s">
        <v>2595</v>
      </c>
      <c r="G803" s="1" t="s">
        <v>2596</v>
      </c>
      <c r="H803" s="1" t="s">
        <v>93</v>
      </c>
      <c r="I803" s="1" t="s">
        <v>28</v>
      </c>
      <c r="J803" s="1" t="s">
        <v>2408</v>
      </c>
      <c r="K803" s="1" t="s">
        <v>144</v>
      </c>
      <c r="L803">
        <v>37620</v>
      </c>
      <c r="M803" s="1" t="s">
        <v>31</v>
      </c>
      <c r="N803" s="1" t="s">
        <v>593</v>
      </c>
      <c r="O803" s="1" t="s">
        <v>33</v>
      </c>
      <c r="P803" s="1" t="s">
        <v>39</v>
      </c>
      <c r="Q803" s="1" t="s">
        <v>594</v>
      </c>
      <c r="R803">
        <v>170</v>
      </c>
      <c r="S803">
        <v>3</v>
      </c>
      <c r="T803">
        <v>0.2</v>
      </c>
      <c r="U803">
        <v>11</v>
      </c>
      <c r="V803" s="1" t="s">
        <v>86</v>
      </c>
      <c r="W803" s="1" t="s">
        <v>62</v>
      </c>
    </row>
    <row r="804" spans="1:23" x14ac:dyDescent="0.35">
      <c r="A804">
        <v>3846</v>
      </c>
      <c r="B804" s="1" t="s">
        <v>2597</v>
      </c>
      <c r="C804" s="2">
        <v>41940</v>
      </c>
      <c r="D804" s="2">
        <v>41943</v>
      </c>
      <c r="E804" s="1" t="s">
        <v>90</v>
      </c>
      <c r="F804" s="1" t="s">
        <v>1320</v>
      </c>
      <c r="G804" s="1" t="s">
        <v>1321</v>
      </c>
      <c r="H804" s="1" t="s">
        <v>93</v>
      </c>
      <c r="I804" s="1" t="s">
        <v>28</v>
      </c>
      <c r="J804" s="1" t="s">
        <v>55</v>
      </c>
      <c r="K804" s="1" t="s">
        <v>56</v>
      </c>
      <c r="L804">
        <v>90049</v>
      </c>
      <c r="M804" s="1" t="s">
        <v>57</v>
      </c>
      <c r="N804" s="1" t="s">
        <v>545</v>
      </c>
      <c r="O804" s="1" t="s">
        <v>33</v>
      </c>
      <c r="P804" s="1" t="s">
        <v>34</v>
      </c>
      <c r="Q804" s="1" t="s">
        <v>546</v>
      </c>
      <c r="R804">
        <v>617</v>
      </c>
      <c r="S804">
        <v>6</v>
      </c>
      <c r="T804">
        <v>0.15</v>
      </c>
      <c r="U804">
        <v>-36</v>
      </c>
      <c r="V804" s="1" t="s">
        <v>36</v>
      </c>
      <c r="W804" s="1" t="s">
        <v>51</v>
      </c>
    </row>
    <row r="805" spans="1:23" x14ac:dyDescent="0.35">
      <c r="A805">
        <v>3852</v>
      </c>
      <c r="B805" s="1" t="s">
        <v>2598</v>
      </c>
      <c r="C805" s="2">
        <v>42268</v>
      </c>
      <c r="D805" s="2">
        <v>42268</v>
      </c>
      <c r="E805" s="1" t="s">
        <v>428</v>
      </c>
      <c r="F805" s="1" t="s">
        <v>2599</v>
      </c>
      <c r="G805" s="1" t="s">
        <v>2600</v>
      </c>
      <c r="H805" s="1" t="s">
        <v>103</v>
      </c>
      <c r="I805" s="1" t="s">
        <v>28</v>
      </c>
      <c r="J805" s="1" t="s">
        <v>2401</v>
      </c>
      <c r="K805" s="1" t="s">
        <v>437</v>
      </c>
      <c r="L805">
        <v>2169</v>
      </c>
      <c r="M805" s="1" t="s">
        <v>70</v>
      </c>
      <c r="N805" s="1" t="s">
        <v>184</v>
      </c>
      <c r="O805" s="1" t="s">
        <v>33</v>
      </c>
      <c r="P805" s="1" t="s">
        <v>59</v>
      </c>
      <c r="Q805" s="1" t="s">
        <v>185</v>
      </c>
      <c r="R805">
        <v>85</v>
      </c>
      <c r="S805">
        <v>2</v>
      </c>
      <c r="T805">
        <v>0</v>
      </c>
      <c r="U805">
        <v>15</v>
      </c>
      <c r="V805" s="1" t="s">
        <v>433</v>
      </c>
      <c r="W805" s="1" t="s">
        <v>80</v>
      </c>
    </row>
    <row r="806" spans="1:23" x14ac:dyDescent="0.35">
      <c r="A806">
        <v>3854</v>
      </c>
      <c r="B806" s="1" t="s">
        <v>2601</v>
      </c>
      <c r="C806" s="2">
        <v>42892</v>
      </c>
      <c r="D806" s="2">
        <v>42896</v>
      </c>
      <c r="E806" s="1" t="s">
        <v>42</v>
      </c>
      <c r="F806" s="1" t="s">
        <v>2602</v>
      </c>
      <c r="G806" s="1" t="s">
        <v>2603</v>
      </c>
      <c r="H806" s="1" t="s">
        <v>103</v>
      </c>
      <c r="I806" s="1" t="s">
        <v>28</v>
      </c>
      <c r="J806" s="1" t="s">
        <v>331</v>
      </c>
      <c r="K806" s="1" t="s">
        <v>56</v>
      </c>
      <c r="L806">
        <v>94122</v>
      </c>
      <c r="M806" s="1" t="s">
        <v>57</v>
      </c>
      <c r="N806" s="1" t="s">
        <v>2604</v>
      </c>
      <c r="O806" s="1" t="s">
        <v>33</v>
      </c>
      <c r="P806" s="1" t="s">
        <v>59</v>
      </c>
      <c r="Q806" s="1" t="s">
        <v>2605</v>
      </c>
      <c r="R806">
        <v>5</v>
      </c>
      <c r="S806">
        <v>1</v>
      </c>
      <c r="T806">
        <v>0</v>
      </c>
      <c r="U806">
        <v>2</v>
      </c>
      <c r="V806" s="1" t="s">
        <v>86</v>
      </c>
      <c r="W806" s="1" t="s">
        <v>62</v>
      </c>
    </row>
    <row r="807" spans="1:23" x14ac:dyDescent="0.35">
      <c r="A807">
        <v>3860</v>
      </c>
      <c r="B807" s="1" t="s">
        <v>2606</v>
      </c>
      <c r="C807" s="2">
        <v>42783</v>
      </c>
      <c r="D807" s="2">
        <v>42788</v>
      </c>
      <c r="E807" s="1" t="s">
        <v>42</v>
      </c>
      <c r="F807" s="1" t="s">
        <v>1240</v>
      </c>
      <c r="G807" s="1" t="s">
        <v>1241</v>
      </c>
      <c r="H807" s="1" t="s">
        <v>103</v>
      </c>
      <c r="I807" s="1" t="s">
        <v>28</v>
      </c>
      <c r="J807" s="1" t="s">
        <v>136</v>
      </c>
      <c r="K807" s="1" t="s">
        <v>137</v>
      </c>
      <c r="L807">
        <v>60653</v>
      </c>
      <c r="M807" s="1" t="s">
        <v>96</v>
      </c>
      <c r="N807" s="1" t="s">
        <v>1080</v>
      </c>
      <c r="O807" s="1" t="s">
        <v>33</v>
      </c>
      <c r="P807" s="1" t="s">
        <v>48</v>
      </c>
      <c r="Q807" s="1" t="s">
        <v>1081</v>
      </c>
      <c r="R807">
        <v>481</v>
      </c>
      <c r="S807">
        <v>3</v>
      </c>
      <c r="T807">
        <v>0.5</v>
      </c>
      <c r="U807">
        <v>-269</v>
      </c>
      <c r="V807" s="1" t="s">
        <v>61</v>
      </c>
      <c r="W807" s="1" t="s">
        <v>300</v>
      </c>
    </row>
    <row r="808" spans="1:23" x14ac:dyDescent="0.35">
      <c r="A808">
        <v>3865</v>
      </c>
      <c r="B808" s="1" t="s">
        <v>2607</v>
      </c>
      <c r="C808" s="2">
        <v>42336</v>
      </c>
      <c r="D808" s="2">
        <v>42341</v>
      </c>
      <c r="E808" s="1" t="s">
        <v>42</v>
      </c>
      <c r="F808" s="1" t="s">
        <v>224</v>
      </c>
      <c r="G808" s="1" t="s">
        <v>225</v>
      </c>
      <c r="H808" s="1" t="s">
        <v>27</v>
      </c>
      <c r="I808" s="1" t="s">
        <v>28</v>
      </c>
      <c r="J808" s="1" t="s">
        <v>2608</v>
      </c>
      <c r="K808" s="1" t="s">
        <v>137</v>
      </c>
      <c r="L808">
        <v>61821</v>
      </c>
      <c r="M808" s="1" t="s">
        <v>96</v>
      </c>
      <c r="N808" s="1" t="s">
        <v>2609</v>
      </c>
      <c r="O808" s="1" t="s">
        <v>33</v>
      </c>
      <c r="P808" s="1" t="s">
        <v>59</v>
      </c>
      <c r="Q808" s="1" t="s">
        <v>2610</v>
      </c>
      <c r="R808">
        <v>152</v>
      </c>
      <c r="S808">
        <v>5</v>
      </c>
      <c r="T808">
        <v>0.6</v>
      </c>
      <c r="U808">
        <v>-182</v>
      </c>
      <c r="V808" s="1" t="s">
        <v>61</v>
      </c>
      <c r="W808" s="1" t="s">
        <v>37</v>
      </c>
    </row>
    <row r="809" spans="1:23" x14ac:dyDescent="0.35">
      <c r="A809">
        <v>3869</v>
      </c>
      <c r="B809" s="1" t="s">
        <v>2611</v>
      </c>
      <c r="C809" s="2">
        <v>42300</v>
      </c>
      <c r="D809" s="2">
        <v>42304</v>
      </c>
      <c r="E809" s="1" t="s">
        <v>24</v>
      </c>
      <c r="F809" s="1" t="s">
        <v>2612</v>
      </c>
      <c r="G809" s="1" t="s">
        <v>2613</v>
      </c>
      <c r="H809" s="1" t="s">
        <v>27</v>
      </c>
      <c r="I809" s="1" t="s">
        <v>28</v>
      </c>
      <c r="J809" s="1" t="s">
        <v>642</v>
      </c>
      <c r="K809" s="1" t="s">
        <v>56</v>
      </c>
      <c r="L809">
        <v>92105</v>
      </c>
      <c r="M809" s="1" t="s">
        <v>57</v>
      </c>
      <c r="N809" s="1" t="s">
        <v>2337</v>
      </c>
      <c r="O809" s="1" t="s">
        <v>33</v>
      </c>
      <c r="P809" s="1" t="s">
        <v>39</v>
      </c>
      <c r="Q809" s="1" t="s">
        <v>2338</v>
      </c>
      <c r="R809">
        <v>241</v>
      </c>
      <c r="S809">
        <v>1</v>
      </c>
      <c r="T809">
        <v>0.2</v>
      </c>
      <c r="U809">
        <v>27</v>
      </c>
      <c r="V809" s="1" t="s">
        <v>86</v>
      </c>
      <c r="W809" s="1" t="s">
        <v>51</v>
      </c>
    </row>
    <row r="810" spans="1:23" x14ac:dyDescent="0.35">
      <c r="A810">
        <v>3870</v>
      </c>
      <c r="B810" s="1" t="s">
        <v>2611</v>
      </c>
      <c r="C810" s="2">
        <v>42300</v>
      </c>
      <c r="D810" s="2">
        <v>42304</v>
      </c>
      <c r="E810" s="1" t="s">
        <v>24</v>
      </c>
      <c r="F810" s="1" t="s">
        <v>2612</v>
      </c>
      <c r="G810" s="1" t="s">
        <v>2613</v>
      </c>
      <c r="H810" s="1" t="s">
        <v>27</v>
      </c>
      <c r="I810" s="1" t="s">
        <v>28</v>
      </c>
      <c r="J810" s="1" t="s">
        <v>642</v>
      </c>
      <c r="K810" s="1" t="s">
        <v>56</v>
      </c>
      <c r="L810">
        <v>92105</v>
      </c>
      <c r="M810" s="1" t="s">
        <v>57</v>
      </c>
      <c r="N810" s="1" t="s">
        <v>1105</v>
      </c>
      <c r="O810" s="1" t="s">
        <v>33</v>
      </c>
      <c r="P810" s="1" t="s">
        <v>39</v>
      </c>
      <c r="Q810" s="1" t="s">
        <v>1106</v>
      </c>
      <c r="R810">
        <v>192</v>
      </c>
      <c r="S810">
        <v>7</v>
      </c>
      <c r="T810">
        <v>0.2</v>
      </c>
      <c r="U810">
        <v>17</v>
      </c>
      <c r="V810" s="1" t="s">
        <v>86</v>
      </c>
      <c r="W810" s="1" t="s">
        <v>51</v>
      </c>
    </row>
    <row r="811" spans="1:23" x14ac:dyDescent="0.35">
      <c r="A811">
        <v>3873</v>
      </c>
      <c r="B811" s="1" t="s">
        <v>2611</v>
      </c>
      <c r="C811" s="2">
        <v>42300</v>
      </c>
      <c r="D811" s="2">
        <v>42304</v>
      </c>
      <c r="E811" s="1" t="s">
        <v>24</v>
      </c>
      <c r="F811" s="1" t="s">
        <v>2612</v>
      </c>
      <c r="G811" s="1" t="s">
        <v>2613</v>
      </c>
      <c r="H811" s="1" t="s">
        <v>27</v>
      </c>
      <c r="I811" s="1" t="s">
        <v>28</v>
      </c>
      <c r="J811" s="1" t="s">
        <v>642</v>
      </c>
      <c r="K811" s="1" t="s">
        <v>56</v>
      </c>
      <c r="L811">
        <v>92105</v>
      </c>
      <c r="M811" s="1" t="s">
        <v>57</v>
      </c>
      <c r="N811" s="1" t="s">
        <v>1489</v>
      </c>
      <c r="O811" s="1" t="s">
        <v>33</v>
      </c>
      <c r="P811" s="1" t="s">
        <v>39</v>
      </c>
      <c r="Q811" s="1" t="s">
        <v>1490</v>
      </c>
      <c r="R811">
        <v>842</v>
      </c>
      <c r="S811">
        <v>3</v>
      </c>
      <c r="T811">
        <v>0.2</v>
      </c>
      <c r="U811">
        <v>42</v>
      </c>
      <c r="V811" s="1" t="s">
        <v>86</v>
      </c>
      <c r="W811" s="1" t="s">
        <v>51</v>
      </c>
    </row>
    <row r="812" spans="1:23" x14ac:dyDescent="0.35">
      <c r="A812">
        <v>3883</v>
      </c>
      <c r="B812" s="1" t="s">
        <v>2614</v>
      </c>
      <c r="C812" s="2">
        <v>42170</v>
      </c>
      <c r="D812" s="2">
        <v>42175</v>
      </c>
      <c r="E812" s="1" t="s">
        <v>42</v>
      </c>
      <c r="F812" s="1" t="s">
        <v>2615</v>
      </c>
      <c r="G812" s="1" t="s">
        <v>2616</v>
      </c>
      <c r="H812" s="1" t="s">
        <v>27</v>
      </c>
      <c r="I812" s="1" t="s">
        <v>28</v>
      </c>
      <c r="J812" s="1" t="s">
        <v>2036</v>
      </c>
      <c r="K812" s="1" t="s">
        <v>523</v>
      </c>
      <c r="L812">
        <v>85234</v>
      </c>
      <c r="M812" s="1" t="s">
        <v>57</v>
      </c>
      <c r="N812" s="1" t="s">
        <v>2609</v>
      </c>
      <c r="O812" s="1" t="s">
        <v>33</v>
      </c>
      <c r="P812" s="1" t="s">
        <v>59</v>
      </c>
      <c r="Q812" s="1" t="s">
        <v>2610</v>
      </c>
      <c r="R812">
        <v>365</v>
      </c>
      <c r="S812">
        <v>6</v>
      </c>
      <c r="T812">
        <v>0.2</v>
      </c>
      <c r="U812">
        <v>-36</v>
      </c>
      <c r="V812" s="1" t="s">
        <v>61</v>
      </c>
      <c r="W812" s="1" t="s">
        <v>62</v>
      </c>
    </row>
    <row r="813" spans="1:23" x14ac:dyDescent="0.35">
      <c r="A813">
        <v>3884</v>
      </c>
      <c r="B813" s="1" t="s">
        <v>2614</v>
      </c>
      <c r="C813" s="2">
        <v>42170</v>
      </c>
      <c r="D813" s="2">
        <v>42175</v>
      </c>
      <c r="E813" s="1" t="s">
        <v>42</v>
      </c>
      <c r="F813" s="1" t="s">
        <v>2615</v>
      </c>
      <c r="G813" s="1" t="s">
        <v>2616</v>
      </c>
      <c r="H813" s="1" t="s">
        <v>27</v>
      </c>
      <c r="I813" s="1" t="s">
        <v>28</v>
      </c>
      <c r="J813" s="1" t="s">
        <v>2036</v>
      </c>
      <c r="K813" s="1" t="s">
        <v>523</v>
      </c>
      <c r="L813">
        <v>85234</v>
      </c>
      <c r="M813" s="1" t="s">
        <v>57</v>
      </c>
      <c r="N813" s="1" t="s">
        <v>2617</v>
      </c>
      <c r="O813" s="1" t="s">
        <v>33</v>
      </c>
      <c r="P813" s="1" t="s">
        <v>59</v>
      </c>
      <c r="Q813" s="1" t="s">
        <v>2618</v>
      </c>
      <c r="R813">
        <v>40</v>
      </c>
      <c r="S813">
        <v>4</v>
      </c>
      <c r="T813">
        <v>0.2</v>
      </c>
      <c r="U813">
        <v>11</v>
      </c>
      <c r="V813" s="1" t="s">
        <v>61</v>
      </c>
      <c r="W813" s="1" t="s">
        <v>62</v>
      </c>
    </row>
    <row r="814" spans="1:23" x14ac:dyDescent="0.35">
      <c r="A814">
        <v>3892</v>
      </c>
      <c r="B814" s="1" t="s">
        <v>2619</v>
      </c>
      <c r="C814" s="2">
        <v>42698</v>
      </c>
      <c r="D814" s="2">
        <v>42704</v>
      </c>
      <c r="E814" s="1" t="s">
        <v>42</v>
      </c>
      <c r="F814" s="1" t="s">
        <v>2620</v>
      </c>
      <c r="G814" s="1" t="s">
        <v>2621</v>
      </c>
      <c r="H814" s="1" t="s">
        <v>93</v>
      </c>
      <c r="I814" s="1" t="s">
        <v>28</v>
      </c>
      <c r="J814" s="1" t="s">
        <v>55</v>
      </c>
      <c r="K814" s="1" t="s">
        <v>56</v>
      </c>
      <c r="L814">
        <v>90036</v>
      </c>
      <c r="M814" s="1" t="s">
        <v>57</v>
      </c>
      <c r="N814" s="1" t="s">
        <v>854</v>
      </c>
      <c r="O814" s="1" t="s">
        <v>33</v>
      </c>
      <c r="P814" s="1" t="s">
        <v>39</v>
      </c>
      <c r="Q814" s="1" t="s">
        <v>855</v>
      </c>
      <c r="R814">
        <v>1685</v>
      </c>
      <c r="S814">
        <v>6</v>
      </c>
      <c r="T814">
        <v>0.2</v>
      </c>
      <c r="U814">
        <v>211</v>
      </c>
      <c r="V814" s="1" t="s">
        <v>132</v>
      </c>
      <c r="W814" s="1" t="s">
        <v>37</v>
      </c>
    </row>
    <row r="815" spans="1:23" x14ac:dyDescent="0.35">
      <c r="A815">
        <v>3907</v>
      </c>
      <c r="B815" s="1" t="s">
        <v>2622</v>
      </c>
      <c r="C815" s="2">
        <v>42099</v>
      </c>
      <c r="D815" s="2">
        <v>42104</v>
      </c>
      <c r="E815" s="1" t="s">
        <v>42</v>
      </c>
      <c r="F815" s="1" t="s">
        <v>2623</v>
      </c>
      <c r="G815" s="1" t="s">
        <v>2624</v>
      </c>
      <c r="H815" s="1" t="s">
        <v>103</v>
      </c>
      <c r="I815" s="1" t="s">
        <v>28</v>
      </c>
      <c r="J815" s="1" t="s">
        <v>68</v>
      </c>
      <c r="K815" s="1" t="s">
        <v>69</v>
      </c>
      <c r="L815">
        <v>19143</v>
      </c>
      <c r="M815" s="1" t="s">
        <v>70</v>
      </c>
      <c r="N815" s="1" t="s">
        <v>1834</v>
      </c>
      <c r="O815" s="1" t="s">
        <v>33</v>
      </c>
      <c r="P815" s="1" t="s">
        <v>59</v>
      </c>
      <c r="Q815" s="1" t="s">
        <v>1835</v>
      </c>
      <c r="R815">
        <v>547</v>
      </c>
      <c r="S815">
        <v>4</v>
      </c>
      <c r="T815">
        <v>0.2</v>
      </c>
      <c r="U815">
        <v>-68</v>
      </c>
      <c r="V815" s="1" t="s">
        <v>61</v>
      </c>
      <c r="W815" s="1" t="s">
        <v>116</v>
      </c>
    </row>
    <row r="816" spans="1:23" x14ac:dyDescent="0.35">
      <c r="A816">
        <v>3910</v>
      </c>
      <c r="B816" s="1" t="s">
        <v>2622</v>
      </c>
      <c r="C816" s="2">
        <v>42099</v>
      </c>
      <c r="D816" s="2">
        <v>42104</v>
      </c>
      <c r="E816" s="1" t="s">
        <v>42</v>
      </c>
      <c r="F816" s="1" t="s">
        <v>2623</v>
      </c>
      <c r="G816" s="1" t="s">
        <v>2624</v>
      </c>
      <c r="H816" s="1" t="s">
        <v>103</v>
      </c>
      <c r="I816" s="1" t="s">
        <v>28</v>
      </c>
      <c r="J816" s="1" t="s">
        <v>68</v>
      </c>
      <c r="K816" s="1" t="s">
        <v>69</v>
      </c>
      <c r="L816">
        <v>19143</v>
      </c>
      <c r="M816" s="1" t="s">
        <v>70</v>
      </c>
      <c r="N816" s="1" t="s">
        <v>1598</v>
      </c>
      <c r="O816" s="1" t="s">
        <v>33</v>
      </c>
      <c r="P816" s="1" t="s">
        <v>59</v>
      </c>
      <c r="Q816" s="1" t="s">
        <v>1599</v>
      </c>
      <c r="R816">
        <v>8</v>
      </c>
      <c r="S816">
        <v>1</v>
      </c>
      <c r="T816">
        <v>0.2</v>
      </c>
      <c r="U816">
        <v>2</v>
      </c>
      <c r="V816" s="1" t="s">
        <v>61</v>
      </c>
      <c r="W816" s="1" t="s">
        <v>116</v>
      </c>
    </row>
    <row r="817" spans="1:23" x14ac:dyDescent="0.35">
      <c r="A817">
        <v>3911</v>
      </c>
      <c r="B817" s="1" t="s">
        <v>2622</v>
      </c>
      <c r="C817" s="2">
        <v>42099</v>
      </c>
      <c r="D817" s="2">
        <v>42104</v>
      </c>
      <c r="E817" s="1" t="s">
        <v>42</v>
      </c>
      <c r="F817" s="1" t="s">
        <v>2623</v>
      </c>
      <c r="G817" s="1" t="s">
        <v>2624</v>
      </c>
      <c r="H817" s="1" t="s">
        <v>103</v>
      </c>
      <c r="I817" s="1" t="s">
        <v>28</v>
      </c>
      <c r="J817" s="1" t="s">
        <v>68</v>
      </c>
      <c r="K817" s="1" t="s">
        <v>69</v>
      </c>
      <c r="L817">
        <v>19143</v>
      </c>
      <c r="M817" s="1" t="s">
        <v>70</v>
      </c>
      <c r="N817" s="1" t="s">
        <v>2625</v>
      </c>
      <c r="O817" s="1" t="s">
        <v>33</v>
      </c>
      <c r="P817" s="1" t="s">
        <v>34</v>
      </c>
      <c r="Q817" s="1" t="s">
        <v>2626</v>
      </c>
      <c r="R817">
        <v>352</v>
      </c>
      <c r="S817">
        <v>5</v>
      </c>
      <c r="T817">
        <v>0.5</v>
      </c>
      <c r="U817">
        <v>-211</v>
      </c>
      <c r="V817" s="1" t="s">
        <v>61</v>
      </c>
      <c r="W817" s="1" t="s">
        <v>116</v>
      </c>
    </row>
    <row r="818" spans="1:23" x14ac:dyDescent="0.35">
      <c r="A818">
        <v>3914</v>
      </c>
      <c r="B818" s="1" t="s">
        <v>2627</v>
      </c>
      <c r="C818" s="2">
        <v>42996</v>
      </c>
      <c r="D818" s="2">
        <v>43003</v>
      </c>
      <c r="E818" s="1" t="s">
        <v>42</v>
      </c>
      <c r="F818" s="1" t="s">
        <v>2628</v>
      </c>
      <c r="G818" s="1" t="s">
        <v>2629</v>
      </c>
      <c r="H818" s="1" t="s">
        <v>93</v>
      </c>
      <c r="I818" s="1" t="s">
        <v>28</v>
      </c>
      <c r="J818" s="1" t="s">
        <v>176</v>
      </c>
      <c r="K818" s="1" t="s">
        <v>123</v>
      </c>
      <c r="L818">
        <v>10035</v>
      </c>
      <c r="M818" s="1" t="s">
        <v>70</v>
      </c>
      <c r="N818" s="1" t="s">
        <v>1102</v>
      </c>
      <c r="O818" s="1" t="s">
        <v>33</v>
      </c>
      <c r="P818" s="1" t="s">
        <v>59</v>
      </c>
      <c r="Q818" s="1" t="s">
        <v>1103</v>
      </c>
      <c r="R818">
        <v>10</v>
      </c>
      <c r="S818">
        <v>2</v>
      </c>
      <c r="T818">
        <v>0</v>
      </c>
      <c r="U818">
        <v>3</v>
      </c>
      <c r="V818" s="1" t="s">
        <v>50</v>
      </c>
      <c r="W818" s="1" t="s">
        <v>80</v>
      </c>
    </row>
    <row r="819" spans="1:23" x14ac:dyDescent="0.35">
      <c r="A819">
        <v>3915</v>
      </c>
      <c r="B819" s="1" t="s">
        <v>2630</v>
      </c>
      <c r="C819" s="2">
        <v>42934</v>
      </c>
      <c r="D819" s="2">
        <v>42939</v>
      </c>
      <c r="E819" s="1" t="s">
        <v>42</v>
      </c>
      <c r="F819" s="1" t="s">
        <v>2519</v>
      </c>
      <c r="G819" s="1" t="s">
        <v>2520</v>
      </c>
      <c r="H819" s="1" t="s">
        <v>27</v>
      </c>
      <c r="I819" s="1" t="s">
        <v>28</v>
      </c>
      <c r="J819" s="1" t="s">
        <v>522</v>
      </c>
      <c r="K819" s="1" t="s">
        <v>523</v>
      </c>
      <c r="L819">
        <v>85023</v>
      </c>
      <c r="M819" s="1" t="s">
        <v>57</v>
      </c>
      <c r="N819" s="1" t="s">
        <v>1080</v>
      </c>
      <c r="O819" s="1" t="s">
        <v>33</v>
      </c>
      <c r="P819" s="1" t="s">
        <v>48</v>
      </c>
      <c r="Q819" s="1" t="s">
        <v>1081</v>
      </c>
      <c r="R819">
        <v>802</v>
      </c>
      <c r="S819">
        <v>5</v>
      </c>
      <c r="T819">
        <v>0.5</v>
      </c>
      <c r="U819">
        <v>-449</v>
      </c>
      <c r="V819" s="1" t="s">
        <v>61</v>
      </c>
      <c r="W819" s="1" t="s">
        <v>74</v>
      </c>
    </row>
    <row r="820" spans="1:23" x14ac:dyDescent="0.35">
      <c r="A820">
        <v>3916</v>
      </c>
      <c r="B820" s="1" t="s">
        <v>2630</v>
      </c>
      <c r="C820" s="2">
        <v>42934</v>
      </c>
      <c r="D820" s="2">
        <v>42939</v>
      </c>
      <c r="E820" s="1" t="s">
        <v>42</v>
      </c>
      <c r="F820" s="1" t="s">
        <v>2519</v>
      </c>
      <c r="G820" s="1" t="s">
        <v>2520</v>
      </c>
      <c r="H820" s="1" t="s">
        <v>27</v>
      </c>
      <c r="I820" s="1" t="s">
        <v>28</v>
      </c>
      <c r="J820" s="1" t="s">
        <v>522</v>
      </c>
      <c r="K820" s="1" t="s">
        <v>523</v>
      </c>
      <c r="L820">
        <v>85023</v>
      </c>
      <c r="M820" s="1" t="s">
        <v>57</v>
      </c>
      <c r="N820" s="1" t="s">
        <v>107</v>
      </c>
      <c r="O820" s="1" t="s">
        <v>33</v>
      </c>
      <c r="P820" s="1" t="s">
        <v>39</v>
      </c>
      <c r="Q820" s="1" t="s">
        <v>108</v>
      </c>
      <c r="R820">
        <v>162</v>
      </c>
      <c r="S820">
        <v>2</v>
      </c>
      <c r="T820">
        <v>0.2</v>
      </c>
      <c r="U820">
        <v>10</v>
      </c>
      <c r="V820" s="1" t="s">
        <v>61</v>
      </c>
      <c r="W820" s="1" t="s">
        <v>74</v>
      </c>
    </row>
    <row r="821" spans="1:23" x14ac:dyDescent="0.35">
      <c r="A821">
        <v>3919</v>
      </c>
      <c r="B821" s="1" t="s">
        <v>2630</v>
      </c>
      <c r="C821" s="2">
        <v>42934</v>
      </c>
      <c r="D821" s="2">
        <v>42939</v>
      </c>
      <c r="E821" s="1" t="s">
        <v>42</v>
      </c>
      <c r="F821" s="1" t="s">
        <v>2519</v>
      </c>
      <c r="G821" s="1" t="s">
        <v>2520</v>
      </c>
      <c r="H821" s="1" t="s">
        <v>27</v>
      </c>
      <c r="I821" s="1" t="s">
        <v>28</v>
      </c>
      <c r="J821" s="1" t="s">
        <v>522</v>
      </c>
      <c r="K821" s="1" t="s">
        <v>523</v>
      </c>
      <c r="L821">
        <v>85023</v>
      </c>
      <c r="M821" s="1" t="s">
        <v>57</v>
      </c>
      <c r="N821" s="1" t="s">
        <v>145</v>
      </c>
      <c r="O821" s="1" t="s">
        <v>33</v>
      </c>
      <c r="P821" s="1" t="s">
        <v>39</v>
      </c>
      <c r="Q821" s="1" t="s">
        <v>146</v>
      </c>
      <c r="R821">
        <v>312</v>
      </c>
      <c r="S821">
        <v>3</v>
      </c>
      <c r="T821">
        <v>0.2</v>
      </c>
      <c r="U821">
        <v>-43</v>
      </c>
      <c r="V821" s="1" t="s">
        <v>61</v>
      </c>
      <c r="W821" s="1" t="s">
        <v>74</v>
      </c>
    </row>
    <row r="822" spans="1:23" x14ac:dyDescent="0.35">
      <c r="A822">
        <v>3927</v>
      </c>
      <c r="B822" s="1" t="s">
        <v>2631</v>
      </c>
      <c r="C822" s="2">
        <v>41899</v>
      </c>
      <c r="D822" s="2">
        <v>41903</v>
      </c>
      <c r="E822" s="1" t="s">
        <v>42</v>
      </c>
      <c r="F822" s="1" t="s">
        <v>1452</v>
      </c>
      <c r="G822" s="1" t="s">
        <v>1453</v>
      </c>
      <c r="H822" s="1" t="s">
        <v>27</v>
      </c>
      <c r="I822" s="1" t="s">
        <v>28</v>
      </c>
      <c r="J822" s="1" t="s">
        <v>194</v>
      </c>
      <c r="K822" s="1" t="s">
        <v>195</v>
      </c>
      <c r="L822">
        <v>98103</v>
      </c>
      <c r="M822" s="1" t="s">
        <v>57</v>
      </c>
      <c r="N822" s="1" t="s">
        <v>1992</v>
      </c>
      <c r="O822" s="1" t="s">
        <v>33</v>
      </c>
      <c r="P822" s="1" t="s">
        <v>59</v>
      </c>
      <c r="Q822" s="1" t="s">
        <v>1993</v>
      </c>
      <c r="R822">
        <v>35</v>
      </c>
      <c r="S822">
        <v>2</v>
      </c>
      <c r="T822">
        <v>0</v>
      </c>
      <c r="U822">
        <v>13</v>
      </c>
      <c r="V822" s="1" t="s">
        <v>86</v>
      </c>
      <c r="W822" s="1" t="s">
        <v>80</v>
      </c>
    </row>
    <row r="823" spans="1:23" x14ac:dyDescent="0.35">
      <c r="A823">
        <v>3929</v>
      </c>
      <c r="B823" s="1" t="s">
        <v>2632</v>
      </c>
      <c r="C823" s="2">
        <v>42443</v>
      </c>
      <c r="D823" s="2">
        <v>42446</v>
      </c>
      <c r="E823" s="1" t="s">
        <v>90</v>
      </c>
      <c r="F823" s="1" t="s">
        <v>975</v>
      </c>
      <c r="G823" s="1" t="s">
        <v>976</v>
      </c>
      <c r="H823" s="1" t="s">
        <v>27</v>
      </c>
      <c r="I823" s="1" t="s">
        <v>28</v>
      </c>
      <c r="J823" s="1" t="s">
        <v>2633</v>
      </c>
      <c r="K823" s="1" t="s">
        <v>95</v>
      </c>
      <c r="L823">
        <v>78550</v>
      </c>
      <c r="M823" s="1" t="s">
        <v>96</v>
      </c>
      <c r="N823" s="1" t="s">
        <v>813</v>
      </c>
      <c r="O823" s="1" t="s">
        <v>33</v>
      </c>
      <c r="P823" s="1" t="s">
        <v>34</v>
      </c>
      <c r="Q823" s="1" t="s">
        <v>814</v>
      </c>
      <c r="R823">
        <v>241</v>
      </c>
      <c r="S823">
        <v>5</v>
      </c>
      <c r="T823">
        <v>0.32</v>
      </c>
      <c r="U823">
        <v>-14</v>
      </c>
      <c r="V823" s="1" t="s">
        <v>36</v>
      </c>
      <c r="W823" s="1" t="s">
        <v>198</v>
      </c>
    </row>
    <row r="824" spans="1:23" x14ac:dyDescent="0.35">
      <c r="A824">
        <v>3939</v>
      </c>
      <c r="B824" s="1" t="s">
        <v>2634</v>
      </c>
      <c r="C824" s="2">
        <v>42171</v>
      </c>
      <c r="D824" s="2">
        <v>42175</v>
      </c>
      <c r="E824" s="1" t="s">
        <v>42</v>
      </c>
      <c r="F824" s="1" t="s">
        <v>2587</v>
      </c>
      <c r="G824" s="1" t="s">
        <v>2588</v>
      </c>
      <c r="H824" s="1" t="s">
        <v>27</v>
      </c>
      <c r="I824" s="1" t="s">
        <v>28</v>
      </c>
      <c r="J824" s="1" t="s">
        <v>1720</v>
      </c>
      <c r="K824" s="1" t="s">
        <v>95</v>
      </c>
      <c r="L824">
        <v>75051</v>
      </c>
      <c r="M824" s="1" t="s">
        <v>96</v>
      </c>
      <c r="N824" s="1" t="s">
        <v>1144</v>
      </c>
      <c r="O824" s="1" t="s">
        <v>33</v>
      </c>
      <c r="P824" s="1" t="s">
        <v>39</v>
      </c>
      <c r="Q824" s="1" t="s">
        <v>1145</v>
      </c>
      <c r="R824">
        <v>197</v>
      </c>
      <c r="S824">
        <v>2</v>
      </c>
      <c r="T824">
        <v>0.3</v>
      </c>
      <c r="U824">
        <v>-25</v>
      </c>
      <c r="V824" s="1" t="s">
        <v>86</v>
      </c>
      <c r="W824" s="1" t="s">
        <v>62</v>
      </c>
    </row>
    <row r="825" spans="1:23" x14ac:dyDescent="0.35">
      <c r="A825">
        <v>3940</v>
      </c>
      <c r="B825" s="1" t="s">
        <v>2635</v>
      </c>
      <c r="C825" s="2">
        <v>42714</v>
      </c>
      <c r="D825" s="2">
        <v>42714</v>
      </c>
      <c r="E825" s="1" t="s">
        <v>428</v>
      </c>
      <c r="F825" s="1" t="s">
        <v>2636</v>
      </c>
      <c r="G825" s="1" t="s">
        <v>2637</v>
      </c>
      <c r="H825" s="1" t="s">
        <v>27</v>
      </c>
      <c r="I825" s="1" t="s">
        <v>28</v>
      </c>
      <c r="J825" s="1" t="s">
        <v>2638</v>
      </c>
      <c r="K825" s="1" t="s">
        <v>113</v>
      </c>
      <c r="L825">
        <v>46142</v>
      </c>
      <c r="M825" s="1" t="s">
        <v>96</v>
      </c>
      <c r="N825" s="1" t="s">
        <v>578</v>
      </c>
      <c r="O825" s="1" t="s">
        <v>33</v>
      </c>
      <c r="P825" s="1" t="s">
        <v>39</v>
      </c>
      <c r="Q825" s="1" t="s">
        <v>579</v>
      </c>
      <c r="R825">
        <v>1425</v>
      </c>
      <c r="S825">
        <v>5</v>
      </c>
      <c r="T825">
        <v>0</v>
      </c>
      <c r="U825">
        <v>356</v>
      </c>
      <c r="V825" s="1" t="s">
        <v>433</v>
      </c>
      <c r="W825" s="1" t="s">
        <v>99</v>
      </c>
    </row>
    <row r="826" spans="1:23" x14ac:dyDescent="0.35">
      <c r="A826">
        <v>3941</v>
      </c>
      <c r="B826" s="1" t="s">
        <v>2639</v>
      </c>
      <c r="C826" s="2">
        <v>42873</v>
      </c>
      <c r="D826" s="2">
        <v>42878</v>
      </c>
      <c r="E826" s="1" t="s">
        <v>42</v>
      </c>
      <c r="F826" s="1" t="s">
        <v>2640</v>
      </c>
      <c r="G826" s="1" t="s">
        <v>2641</v>
      </c>
      <c r="H826" s="1" t="s">
        <v>27</v>
      </c>
      <c r="I826" s="1" t="s">
        <v>28</v>
      </c>
      <c r="J826" s="1" t="s">
        <v>176</v>
      </c>
      <c r="K826" s="1" t="s">
        <v>123</v>
      </c>
      <c r="L826">
        <v>10024</v>
      </c>
      <c r="M826" s="1" t="s">
        <v>70</v>
      </c>
      <c r="N826" s="1" t="s">
        <v>1351</v>
      </c>
      <c r="O826" s="1" t="s">
        <v>33</v>
      </c>
      <c r="P826" s="1" t="s">
        <v>59</v>
      </c>
      <c r="Q826" s="1" t="s">
        <v>1352</v>
      </c>
      <c r="R826">
        <v>15</v>
      </c>
      <c r="S826">
        <v>2</v>
      </c>
      <c r="T826">
        <v>0</v>
      </c>
      <c r="U826">
        <v>6</v>
      </c>
      <c r="V826" s="1" t="s">
        <v>61</v>
      </c>
      <c r="W826" s="1" t="s">
        <v>164</v>
      </c>
    </row>
    <row r="827" spans="1:23" x14ac:dyDescent="0.35">
      <c r="A827">
        <v>3951</v>
      </c>
      <c r="B827" s="1" t="s">
        <v>2642</v>
      </c>
      <c r="C827" s="2">
        <v>42692</v>
      </c>
      <c r="D827" s="2">
        <v>42696</v>
      </c>
      <c r="E827" s="1" t="s">
        <v>42</v>
      </c>
      <c r="F827" s="1" t="s">
        <v>101</v>
      </c>
      <c r="G827" s="1" t="s">
        <v>102</v>
      </c>
      <c r="H827" s="1" t="s">
        <v>103</v>
      </c>
      <c r="I827" s="1" t="s">
        <v>28</v>
      </c>
      <c r="J827" s="1" t="s">
        <v>1188</v>
      </c>
      <c r="K827" s="1" t="s">
        <v>95</v>
      </c>
      <c r="L827">
        <v>77506</v>
      </c>
      <c r="M827" s="1" t="s">
        <v>96</v>
      </c>
      <c r="N827" s="1" t="s">
        <v>254</v>
      </c>
      <c r="O827" s="1" t="s">
        <v>33</v>
      </c>
      <c r="P827" s="1" t="s">
        <v>39</v>
      </c>
      <c r="Q827" s="1" t="s">
        <v>255</v>
      </c>
      <c r="R827">
        <v>255</v>
      </c>
      <c r="S827">
        <v>6</v>
      </c>
      <c r="T827">
        <v>0.3</v>
      </c>
      <c r="U827">
        <v>-18</v>
      </c>
      <c r="V827" s="1" t="s">
        <v>86</v>
      </c>
      <c r="W827" s="1" t="s">
        <v>37</v>
      </c>
    </row>
    <row r="828" spans="1:23" x14ac:dyDescent="0.35">
      <c r="A828">
        <v>3955</v>
      </c>
      <c r="B828" s="1" t="s">
        <v>2643</v>
      </c>
      <c r="C828" s="2">
        <v>41733</v>
      </c>
      <c r="D828" s="2">
        <v>41738</v>
      </c>
      <c r="E828" s="1" t="s">
        <v>42</v>
      </c>
      <c r="F828" s="1" t="s">
        <v>1165</v>
      </c>
      <c r="G828" s="1" t="s">
        <v>1166</v>
      </c>
      <c r="H828" s="1" t="s">
        <v>27</v>
      </c>
      <c r="I828" s="1" t="s">
        <v>28</v>
      </c>
      <c r="J828" s="1" t="s">
        <v>291</v>
      </c>
      <c r="K828" s="1" t="s">
        <v>292</v>
      </c>
      <c r="L828">
        <v>48205</v>
      </c>
      <c r="M828" s="1" t="s">
        <v>96</v>
      </c>
      <c r="N828" s="1" t="s">
        <v>623</v>
      </c>
      <c r="O828" s="1" t="s">
        <v>33</v>
      </c>
      <c r="P828" s="1" t="s">
        <v>59</v>
      </c>
      <c r="Q828" s="1" t="s">
        <v>624</v>
      </c>
      <c r="R828">
        <v>5</v>
      </c>
      <c r="S828">
        <v>1</v>
      </c>
      <c r="T828">
        <v>0</v>
      </c>
      <c r="U828">
        <v>2</v>
      </c>
      <c r="V828" s="1" t="s">
        <v>61</v>
      </c>
      <c r="W828" s="1" t="s">
        <v>116</v>
      </c>
    </row>
    <row r="829" spans="1:23" x14ac:dyDescent="0.35">
      <c r="A829">
        <v>3957</v>
      </c>
      <c r="B829" s="1" t="s">
        <v>2644</v>
      </c>
      <c r="C829" s="2">
        <v>42547</v>
      </c>
      <c r="D829" s="2">
        <v>42554</v>
      </c>
      <c r="E829" s="1" t="s">
        <v>42</v>
      </c>
      <c r="F829" s="1" t="s">
        <v>2645</v>
      </c>
      <c r="G829" s="1" t="s">
        <v>2646</v>
      </c>
      <c r="H829" s="1" t="s">
        <v>27</v>
      </c>
      <c r="I829" s="1" t="s">
        <v>28</v>
      </c>
      <c r="J829" s="1" t="s">
        <v>331</v>
      </c>
      <c r="K829" s="1" t="s">
        <v>56</v>
      </c>
      <c r="L829">
        <v>94109</v>
      </c>
      <c r="M829" s="1" t="s">
        <v>57</v>
      </c>
      <c r="N829" s="1" t="s">
        <v>1721</v>
      </c>
      <c r="O829" s="1" t="s">
        <v>33</v>
      </c>
      <c r="P829" s="1" t="s">
        <v>59</v>
      </c>
      <c r="Q829" s="1" t="s">
        <v>1722</v>
      </c>
      <c r="R829">
        <v>22</v>
      </c>
      <c r="S829">
        <v>3</v>
      </c>
      <c r="T829">
        <v>0</v>
      </c>
      <c r="U829">
        <v>6</v>
      </c>
      <c r="V829" s="1" t="s">
        <v>50</v>
      </c>
      <c r="W829" s="1" t="s">
        <v>62</v>
      </c>
    </row>
    <row r="830" spans="1:23" x14ac:dyDescent="0.35">
      <c r="A830">
        <v>3960</v>
      </c>
      <c r="B830" s="1" t="s">
        <v>2647</v>
      </c>
      <c r="C830" s="2">
        <v>42519</v>
      </c>
      <c r="D830" s="2">
        <v>42523</v>
      </c>
      <c r="E830" s="1" t="s">
        <v>42</v>
      </c>
      <c r="F830" s="1" t="s">
        <v>2648</v>
      </c>
      <c r="G830" s="1" t="s">
        <v>2649</v>
      </c>
      <c r="H830" s="1" t="s">
        <v>27</v>
      </c>
      <c r="I830" s="1" t="s">
        <v>28</v>
      </c>
      <c r="J830" s="1" t="s">
        <v>2650</v>
      </c>
      <c r="K830" s="1" t="s">
        <v>144</v>
      </c>
      <c r="L830">
        <v>37211</v>
      </c>
      <c r="M830" s="1" t="s">
        <v>31</v>
      </c>
      <c r="N830" s="1" t="s">
        <v>2651</v>
      </c>
      <c r="O830" s="1" t="s">
        <v>33</v>
      </c>
      <c r="P830" s="1" t="s">
        <v>59</v>
      </c>
      <c r="Q830" s="1" t="s">
        <v>2652</v>
      </c>
      <c r="R830">
        <v>45</v>
      </c>
      <c r="S830">
        <v>3</v>
      </c>
      <c r="T830">
        <v>0.2</v>
      </c>
      <c r="U830">
        <v>15</v>
      </c>
      <c r="V830" s="1" t="s">
        <v>86</v>
      </c>
      <c r="W830" s="1" t="s">
        <v>164</v>
      </c>
    </row>
    <row r="831" spans="1:23" x14ac:dyDescent="0.35">
      <c r="A831">
        <v>3964</v>
      </c>
      <c r="B831" s="1" t="s">
        <v>2653</v>
      </c>
      <c r="C831" s="2">
        <v>42785</v>
      </c>
      <c r="D831" s="2">
        <v>42786</v>
      </c>
      <c r="E831" s="1" t="s">
        <v>90</v>
      </c>
      <c r="F831" s="1" t="s">
        <v>2654</v>
      </c>
      <c r="G831" s="1" t="s">
        <v>2655</v>
      </c>
      <c r="H831" s="1" t="s">
        <v>103</v>
      </c>
      <c r="I831" s="1" t="s">
        <v>28</v>
      </c>
      <c r="J831" s="1" t="s">
        <v>55</v>
      </c>
      <c r="K831" s="1" t="s">
        <v>56</v>
      </c>
      <c r="L831">
        <v>90045</v>
      </c>
      <c r="M831" s="1" t="s">
        <v>57</v>
      </c>
      <c r="N831" s="1" t="s">
        <v>1207</v>
      </c>
      <c r="O831" s="1" t="s">
        <v>33</v>
      </c>
      <c r="P831" s="1" t="s">
        <v>59</v>
      </c>
      <c r="Q831" s="1" t="s">
        <v>1208</v>
      </c>
      <c r="R831">
        <v>45</v>
      </c>
      <c r="S831">
        <v>3</v>
      </c>
      <c r="T831">
        <v>0</v>
      </c>
      <c r="U831">
        <v>12</v>
      </c>
      <c r="V831" s="1" t="s">
        <v>126</v>
      </c>
      <c r="W831" s="1" t="s">
        <v>300</v>
      </c>
    </row>
    <row r="832" spans="1:23" x14ac:dyDescent="0.35">
      <c r="A832">
        <v>3975</v>
      </c>
      <c r="B832" s="1" t="s">
        <v>2656</v>
      </c>
      <c r="C832" s="2">
        <v>42458</v>
      </c>
      <c r="D832" s="2">
        <v>42462</v>
      </c>
      <c r="E832" s="1" t="s">
        <v>42</v>
      </c>
      <c r="F832" s="1" t="s">
        <v>2657</v>
      </c>
      <c r="G832" s="1" t="s">
        <v>2658</v>
      </c>
      <c r="H832" s="1" t="s">
        <v>27</v>
      </c>
      <c r="I832" s="1" t="s">
        <v>28</v>
      </c>
      <c r="J832" s="1" t="s">
        <v>176</v>
      </c>
      <c r="K832" s="1" t="s">
        <v>123</v>
      </c>
      <c r="L832">
        <v>10009</v>
      </c>
      <c r="M832" s="1" t="s">
        <v>70</v>
      </c>
      <c r="N832" s="1" t="s">
        <v>87</v>
      </c>
      <c r="O832" s="1" t="s">
        <v>33</v>
      </c>
      <c r="P832" s="1" t="s">
        <v>59</v>
      </c>
      <c r="Q832" s="1" t="s">
        <v>88</v>
      </c>
      <c r="R832">
        <v>414</v>
      </c>
      <c r="S832">
        <v>8</v>
      </c>
      <c r="T832">
        <v>0</v>
      </c>
      <c r="U832">
        <v>124</v>
      </c>
      <c r="V832" s="1" t="s">
        <v>86</v>
      </c>
      <c r="W832" s="1" t="s">
        <v>198</v>
      </c>
    </row>
    <row r="833" spans="1:23" x14ac:dyDescent="0.35">
      <c r="A833">
        <v>3977</v>
      </c>
      <c r="B833" s="1" t="s">
        <v>2659</v>
      </c>
      <c r="C833" s="2">
        <v>42665</v>
      </c>
      <c r="D833" s="2">
        <v>42667</v>
      </c>
      <c r="E833" s="1" t="s">
        <v>90</v>
      </c>
      <c r="F833" s="1" t="s">
        <v>2660</v>
      </c>
      <c r="G833" s="1" t="s">
        <v>2661</v>
      </c>
      <c r="H833" s="1" t="s">
        <v>27</v>
      </c>
      <c r="I833" s="1" t="s">
        <v>28</v>
      </c>
      <c r="J833" s="1" t="s">
        <v>638</v>
      </c>
      <c r="K833" s="1" t="s">
        <v>719</v>
      </c>
      <c r="L833">
        <v>23223</v>
      </c>
      <c r="M833" s="1" t="s">
        <v>31</v>
      </c>
      <c r="N833" s="1" t="s">
        <v>2662</v>
      </c>
      <c r="O833" s="1" t="s">
        <v>33</v>
      </c>
      <c r="P833" s="1" t="s">
        <v>59</v>
      </c>
      <c r="Q833" s="1" t="s">
        <v>2663</v>
      </c>
      <c r="R833">
        <v>40</v>
      </c>
      <c r="S833">
        <v>4</v>
      </c>
      <c r="T833">
        <v>0</v>
      </c>
      <c r="U833">
        <v>11</v>
      </c>
      <c r="V833" s="1" t="s">
        <v>73</v>
      </c>
      <c r="W833" s="1" t="s">
        <v>51</v>
      </c>
    </row>
    <row r="834" spans="1:23" x14ac:dyDescent="0.35">
      <c r="A834">
        <v>3980</v>
      </c>
      <c r="B834" s="1" t="s">
        <v>2664</v>
      </c>
      <c r="C834" s="2">
        <v>41996</v>
      </c>
      <c r="D834" s="2">
        <v>42000</v>
      </c>
      <c r="E834" s="1" t="s">
        <v>42</v>
      </c>
      <c r="F834" s="1" t="s">
        <v>2665</v>
      </c>
      <c r="G834" s="1" t="s">
        <v>2666</v>
      </c>
      <c r="H834" s="1" t="s">
        <v>93</v>
      </c>
      <c r="I834" s="1" t="s">
        <v>28</v>
      </c>
      <c r="J834" s="1" t="s">
        <v>176</v>
      </c>
      <c r="K834" s="1" t="s">
        <v>123</v>
      </c>
      <c r="L834">
        <v>10024</v>
      </c>
      <c r="M834" s="1" t="s">
        <v>70</v>
      </c>
      <c r="N834" s="1" t="s">
        <v>1252</v>
      </c>
      <c r="O834" s="1" t="s">
        <v>33</v>
      </c>
      <c r="P834" s="1" t="s">
        <v>48</v>
      </c>
      <c r="Q834" s="1" t="s">
        <v>1253</v>
      </c>
      <c r="R834">
        <v>53</v>
      </c>
      <c r="S834">
        <v>2</v>
      </c>
      <c r="T834">
        <v>0.4</v>
      </c>
      <c r="U834">
        <v>-20</v>
      </c>
      <c r="V834" s="1" t="s">
        <v>86</v>
      </c>
      <c r="W834" s="1" t="s">
        <v>99</v>
      </c>
    </row>
    <row r="835" spans="1:23" x14ac:dyDescent="0.35">
      <c r="A835">
        <v>3982</v>
      </c>
      <c r="B835" s="1" t="s">
        <v>2667</v>
      </c>
      <c r="C835" s="2">
        <v>43084</v>
      </c>
      <c r="D835" s="2">
        <v>43089</v>
      </c>
      <c r="E835" s="1" t="s">
        <v>42</v>
      </c>
      <c r="F835" s="1" t="s">
        <v>2668</v>
      </c>
      <c r="G835" s="1" t="s">
        <v>2669</v>
      </c>
      <c r="H835" s="1" t="s">
        <v>103</v>
      </c>
      <c r="I835" s="1" t="s">
        <v>28</v>
      </c>
      <c r="J835" s="1" t="s">
        <v>194</v>
      </c>
      <c r="K835" s="1" t="s">
        <v>195</v>
      </c>
      <c r="L835">
        <v>98115</v>
      </c>
      <c r="M835" s="1" t="s">
        <v>57</v>
      </c>
      <c r="N835" s="1" t="s">
        <v>697</v>
      </c>
      <c r="O835" s="1" t="s">
        <v>33</v>
      </c>
      <c r="P835" s="1" t="s">
        <v>59</v>
      </c>
      <c r="Q835" s="1" t="s">
        <v>698</v>
      </c>
      <c r="R835">
        <v>23</v>
      </c>
      <c r="S835">
        <v>3</v>
      </c>
      <c r="T835">
        <v>0</v>
      </c>
      <c r="U835">
        <v>10</v>
      </c>
      <c r="V835" s="1" t="s">
        <v>61</v>
      </c>
      <c r="W835" s="1" t="s">
        <v>99</v>
      </c>
    </row>
    <row r="836" spans="1:23" x14ac:dyDescent="0.35">
      <c r="A836">
        <v>3983</v>
      </c>
      <c r="B836" s="1" t="s">
        <v>2670</v>
      </c>
      <c r="C836" s="2">
        <v>42558</v>
      </c>
      <c r="D836" s="2">
        <v>42560</v>
      </c>
      <c r="E836" s="1" t="s">
        <v>24</v>
      </c>
      <c r="F836" s="1" t="s">
        <v>2136</v>
      </c>
      <c r="G836" s="1" t="s">
        <v>2137</v>
      </c>
      <c r="H836" s="1" t="s">
        <v>27</v>
      </c>
      <c r="I836" s="1" t="s">
        <v>28</v>
      </c>
      <c r="J836" s="1" t="s">
        <v>55</v>
      </c>
      <c r="K836" s="1" t="s">
        <v>56</v>
      </c>
      <c r="L836">
        <v>90045</v>
      </c>
      <c r="M836" s="1" t="s">
        <v>57</v>
      </c>
      <c r="N836" s="1" t="s">
        <v>117</v>
      </c>
      <c r="O836" s="1" t="s">
        <v>33</v>
      </c>
      <c r="P836" s="1" t="s">
        <v>39</v>
      </c>
      <c r="Q836" s="1" t="s">
        <v>118</v>
      </c>
      <c r="R836">
        <v>288</v>
      </c>
      <c r="S836">
        <v>4</v>
      </c>
      <c r="T836">
        <v>0.2</v>
      </c>
      <c r="U836">
        <v>-4</v>
      </c>
      <c r="V836" s="1" t="s">
        <v>73</v>
      </c>
      <c r="W836" s="1" t="s">
        <v>74</v>
      </c>
    </row>
    <row r="837" spans="1:23" x14ac:dyDescent="0.35">
      <c r="A837">
        <v>3986</v>
      </c>
      <c r="B837" s="1" t="s">
        <v>2671</v>
      </c>
      <c r="C837" s="2">
        <v>42477</v>
      </c>
      <c r="D837" s="2">
        <v>42481</v>
      </c>
      <c r="E837" s="1" t="s">
        <v>42</v>
      </c>
      <c r="F837" s="1" t="s">
        <v>1334</v>
      </c>
      <c r="G837" s="1" t="s">
        <v>1335</v>
      </c>
      <c r="H837" s="1" t="s">
        <v>27</v>
      </c>
      <c r="I837" s="1" t="s">
        <v>28</v>
      </c>
      <c r="J837" s="1" t="s">
        <v>2063</v>
      </c>
      <c r="K837" s="1" t="s">
        <v>56</v>
      </c>
      <c r="L837">
        <v>90712</v>
      </c>
      <c r="M837" s="1" t="s">
        <v>57</v>
      </c>
      <c r="N837" s="1" t="s">
        <v>901</v>
      </c>
      <c r="O837" s="1" t="s">
        <v>33</v>
      </c>
      <c r="P837" s="1" t="s">
        <v>34</v>
      </c>
      <c r="Q837" s="1" t="s">
        <v>902</v>
      </c>
      <c r="R837">
        <v>257</v>
      </c>
      <c r="S837">
        <v>3</v>
      </c>
      <c r="T837">
        <v>0.15</v>
      </c>
      <c r="U837">
        <v>24</v>
      </c>
      <c r="V837" s="1" t="s">
        <v>86</v>
      </c>
      <c r="W837" s="1" t="s">
        <v>116</v>
      </c>
    </row>
    <row r="838" spans="1:23" x14ac:dyDescent="0.35">
      <c r="A838">
        <v>3989</v>
      </c>
      <c r="B838" s="1" t="s">
        <v>2672</v>
      </c>
      <c r="C838" s="2">
        <v>42477</v>
      </c>
      <c r="D838" s="2">
        <v>42482</v>
      </c>
      <c r="E838" s="1" t="s">
        <v>42</v>
      </c>
      <c r="F838" s="1" t="s">
        <v>2673</v>
      </c>
      <c r="G838" s="1" t="s">
        <v>2674</v>
      </c>
      <c r="H838" s="1" t="s">
        <v>93</v>
      </c>
      <c r="I838" s="1" t="s">
        <v>28</v>
      </c>
      <c r="J838" s="1" t="s">
        <v>160</v>
      </c>
      <c r="K838" s="1" t="s">
        <v>144</v>
      </c>
      <c r="L838">
        <v>38401</v>
      </c>
      <c r="M838" s="1" t="s">
        <v>31</v>
      </c>
      <c r="N838" s="1" t="s">
        <v>2675</v>
      </c>
      <c r="O838" s="1" t="s">
        <v>33</v>
      </c>
      <c r="P838" s="1" t="s">
        <v>59</v>
      </c>
      <c r="Q838" s="1" t="s">
        <v>2676</v>
      </c>
      <c r="R838">
        <v>79</v>
      </c>
      <c r="S838">
        <v>5</v>
      </c>
      <c r="T838">
        <v>0.2</v>
      </c>
      <c r="U838">
        <v>14</v>
      </c>
      <c r="V838" s="1" t="s">
        <v>61</v>
      </c>
      <c r="W838" s="1" t="s">
        <v>116</v>
      </c>
    </row>
    <row r="839" spans="1:23" x14ac:dyDescent="0.35">
      <c r="A839">
        <v>3990</v>
      </c>
      <c r="B839" s="1" t="s">
        <v>2677</v>
      </c>
      <c r="C839" s="2">
        <v>41968</v>
      </c>
      <c r="D839" s="2">
        <v>41970</v>
      </c>
      <c r="E839" s="1" t="s">
        <v>24</v>
      </c>
      <c r="F839" s="1" t="s">
        <v>2678</v>
      </c>
      <c r="G839" s="1" t="s">
        <v>2679</v>
      </c>
      <c r="H839" s="1" t="s">
        <v>27</v>
      </c>
      <c r="I839" s="1" t="s">
        <v>28</v>
      </c>
      <c r="J839" s="1" t="s">
        <v>2680</v>
      </c>
      <c r="K839" s="1" t="s">
        <v>1648</v>
      </c>
      <c r="L839">
        <v>2895</v>
      </c>
      <c r="M839" s="1" t="s">
        <v>70</v>
      </c>
      <c r="N839" s="1" t="s">
        <v>946</v>
      </c>
      <c r="O839" s="1" t="s">
        <v>33</v>
      </c>
      <c r="P839" s="1" t="s">
        <v>59</v>
      </c>
      <c r="Q839" s="1" t="s">
        <v>947</v>
      </c>
      <c r="R839">
        <v>53</v>
      </c>
      <c r="S839">
        <v>2</v>
      </c>
      <c r="T839">
        <v>0</v>
      </c>
      <c r="U839">
        <v>20</v>
      </c>
      <c r="V839" s="1" t="s">
        <v>73</v>
      </c>
      <c r="W839" s="1" t="s">
        <v>37</v>
      </c>
    </row>
    <row r="840" spans="1:23" x14ac:dyDescent="0.35">
      <c r="A840">
        <v>3992</v>
      </c>
      <c r="B840" s="1" t="s">
        <v>2681</v>
      </c>
      <c r="C840" s="2">
        <v>42125</v>
      </c>
      <c r="D840" s="2">
        <v>42129</v>
      </c>
      <c r="E840" s="1" t="s">
        <v>42</v>
      </c>
      <c r="F840" s="1" t="s">
        <v>2682</v>
      </c>
      <c r="G840" s="1" t="s">
        <v>2683</v>
      </c>
      <c r="H840" s="1" t="s">
        <v>93</v>
      </c>
      <c r="I840" s="1" t="s">
        <v>28</v>
      </c>
      <c r="J840" s="1" t="s">
        <v>306</v>
      </c>
      <c r="K840" s="1" t="s">
        <v>46</v>
      </c>
      <c r="L840">
        <v>33614</v>
      </c>
      <c r="M840" s="1" t="s">
        <v>31</v>
      </c>
      <c r="N840" s="1" t="s">
        <v>946</v>
      </c>
      <c r="O840" s="1" t="s">
        <v>33</v>
      </c>
      <c r="P840" s="1" t="s">
        <v>59</v>
      </c>
      <c r="Q840" s="1" t="s">
        <v>947</v>
      </c>
      <c r="R840">
        <v>64</v>
      </c>
      <c r="S840">
        <v>3</v>
      </c>
      <c r="T840">
        <v>0.2</v>
      </c>
      <c r="U840">
        <v>14</v>
      </c>
      <c r="V840" s="1" t="s">
        <v>86</v>
      </c>
      <c r="W840" s="1" t="s">
        <v>164</v>
      </c>
    </row>
    <row r="841" spans="1:23" x14ac:dyDescent="0.35">
      <c r="A841">
        <v>3995</v>
      </c>
      <c r="B841" s="1" t="s">
        <v>2684</v>
      </c>
      <c r="C841" s="2">
        <v>42071</v>
      </c>
      <c r="D841" s="2">
        <v>42075</v>
      </c>
      <c r="E841" s="1" t="s">
        <v>42</v>
      </c>
      <c r="F841" s="1" t="s">
        <v>2685</v>
      </c>
      <c r="G841" s="1" t="s">
        <v>2686</v>
      </c>
      <c r="H841" s="1" t="s">
        <v>27</v>
      </c>
      <c r="I841" s="1" t="s">
        <v>28</v>
      </c>
      <c r="J841" s="1" t="s">
        <v>2687</v>
      </c>
      <c r="K841" s="1" t="s">
        <v>241</v>
      </c>
      <c r="L841">
        <v>53142</v>
      </c>
      <c r="M841" s="1" t="s">
        <v>96</v>
      </c>
      <c r="N841" s="1" t="s">
        <v>2403</v>
      </c>
      <c r="O841" s="1" t="s">
        <v>33</v>
      </c>
      <c r="P841" s="1" t="s">
        <v>34</v>
      </c>
      <c r="Q841" s="1" t="s">
        <v>2404</v>
      </c>
      <c r="R841">
        <v>513</v>
      </c>
      <c r="S841">
        <v>3</v>
      </c>
      <c r="T841">
        <v>0</v>
      </c>
      <c r="U841">
        <v>97</v>
      </c>
      <c r="V841" s="1" t="s">
        <v>86</v>
      </c>
      <c r="W841" s="1" t="s">
        <v>198</v>
      </c>
    </row>
    <row r="842" spans="1:23" x14ac:dyDescent="0.35">
      <c r="A842">
        <v>3996</v>
      </c>
      <c r="B842" s="1" t="s">
        <v>2684</v>
      </c>
      <c r="C842" s="2">
        <v>42071</v>
      </c>
      <c r="D842" s="2">
        <v>42075</v>
      </c>
      <c r="E842" s="1" t="s">
        <v>42</v>
      </c>
      <c r="F842" s="1" t="s">
        <v>2685</v>
      </c>
      <c r="G842" s="1" t="s">
        <v>2686</v>
      </c>
      <c r="H842" s="1" t="s">
        <v>27</v>
      </c>
      <c r="I842" s="1" t="s">
        <v>28</v>
      </c>
      <c r="J842" s="1" t="s">
        <v>2687</v>
      </c>
      <c r="K842" s="1" t="s">
        <v>241</v>
      </c>
      <c r="L842">
        <v>53142</v>
      </c>
      <c r="M842" s="1" t="s">
        <v>96</v>
      </c>
      <c r="N842" s="1" t="s">
        <v>1750</v>
      </c>
      <c r="O842" s="1" t="s">
        <v>33</v>
      </c>
      <c r="P842" s="1" t="s">
        <v>39</v>
      </c>
      <c r="Q842" s="1" t="s">
        <v>1751</v>
      </c>
      <c r="R842">
        <v>861</v>
      </c>
      <c r="S842">
        <v>7</v>
      </c>
      <c r="T842">
        <v>0</v>
      </c>
      <c r="U842">
        <v>189</v>
      </c>
      <c r="V842" s="1" t="s">
        <v>86</v>
      </c>
      <c r="W842" s="1" t="s">
        <v>198</v>
      </c>
    </row>
    <row r="843" spans="1:23" x14ac:dyDescent="0.35">
      <c r="A843">
        <v>3999</v>
      </c>
      <c r="B843" s="1" t="s">
        <v>2684</v>
      </c>
      <c r="C843" s="2">
        <v>42071</v>
      </c>
      <c r="D843" s="2">
        <v>42075</v>
      </c>
      <c r="E843" s="1" t="s">
        <v>42</v>
      </c>
      <c r="F843" s="1" t="s">
        <v>2685</v>
      </c>
      <c r="G843" s="1" t="s">
        <v>2686</v>
      </c>
      <c r="H843" s="1" t="s">
        <v>27</v>
      </c>
      <c r="I843" s="1" t="s">
        <v>28</v>
      </c>
      <c r="J843" s="1" t="s">
        <v>2687</v>
      </c>
      <c r="K843" s="1" t="s">
        <v>241</v>
      </c>
      <c r="L843">
        <v>53142</v>
      </c>
      <c r="M843" s="1" t="s">
        <v>96</v>
      </c>
      <c r="N843" s="1" t="s">
        <v>1799</v>
      </c>
      <c r="O843" s="1" t="s">
        <v>33</v>
      </c>
      <c r="P843" s="1" t="s">
        <v>59</v>
      </c>
      <c r="Q843" s="1" t="s">
        <v>1800</v>
      </c>
      <c r="R843">
        <v>373</v>
      </c>
      <c r="S843">
        <v>6</v>
      </c>
      <c r="T843">
        <v>0</v>
      </c>
      <c r="U843">
        <v>82</v>
      </c>
      <c r="V843" s="1" t="s">
        <v>86</v>
      </c>
      <c r="W843" s="1" t="s">
        <v>198</v>
      </c>
    </row>
    <row r="844" spans="1:23" x14ac:dyDescent="0.35">
      <c r="A844">
        <v>4000</v>
      </c>
      <c r="B844" s="1" t="s">
        <v>2688</v>
      </c>
      <c r="C844" s="2">
        <v>42202</v>
      </c>
      <c r="D844" s="2">
        <v>42205</v>
      </c>
      <c r="E844" s="1" t="s">
        <v>24</v>
      </c>
      <c r="F844" s="1" t="s">
        <v>472</v>
      </c>
      <c r="G844" s="1" t="s">
        <v>473</v>
      </c>
      <c r="H844" s="1" t="s">
        <v>93</v>
      </c>
      <c r="I844" s="1" t="s">
        <v>28</v>
      </c>
      <c r="J844" s="1" t="s">
        <v>2689</v>
      </c>
      <c r="K844" s="1" t="s">
        <v>46</v>
      </c>
      <c r="L844">
        <v>34952</v>
      </c>
      <c r="M844" s="1" t="s">
        <v>31</v>
      </c>
      <c r="N844" s="1" t="s">
        <v>351</v>
      </c>
      <c r="O844" s="1" t="s">
        <v>33</v>
      </c>
      <c r="P844" s="1" t="s">
        <v>34</v>
      </c>
      <c r="Q844" s="1" t="s">
        <v>352</v>
      </c>
      <c r="R844">
        <v>232</v>
      </c>
      <c r="S844">
        <v>5</v>
      </c>
      <c r="T844">
        <v>0.2</v>
      </c>
      <c r="U844">
        <v>6</v>
      </c>
      <c r="V844" s="1" t="s">
        <v>36</v>
      </c>
      <c r="W844" s="1" t="s">
        <v>74</v>
      </c>
    </row>
    <row r="845" spans="1:23" x14ac:dyDescent="0.35">
      <c r="A845">
        <v>4001</v>
      </c>
      <c r="B845" s="1" t="s">
        <v>2690</v>
      </c>
      <c r="C845" s="2">
        <v>41923</v>
      </c>
      <c r="D845" s="2">
        <v>41928</v>
      </c>
      <c r="E845" s="1" t="s">
        <v>42</v>
      </c>
      <c r="F845" s="1" t="s">
        <v>2434</v>
      </c>
      <c r="G845" s="1" t="s">
        <v>2435</v>
      </c>
      <c r="H845" s="1" t="s">
        <v>103</v>
      </c>
      <c r="I845" s="1" t="s">
        <v>28</v>
      </c>
      <c r="J845" s="1" t="s">
        <v>194</v>
      </c>
      <c r="K845" s="1" t="s">
        <v>195</v>
      </c>
      <c r="L845">
        <v>98115</v>
      </c>
      <c r="M845" s="1" t="s">
        <v>57</v>
      </c>
      <c r="N845" s="1" t="s">
        <v>1499</v>
      </c>
      <c r="O845" s="1" t="s">
        <v>33</v>
      </c>
      <c r="P845" s="1" t="s">
        <v>59</v>
      </c>
      <c r="Q845" s="1" t="s">
        <v>1500</v>
      </c>
      <c r="R845">
        <v>63</v>
      </c>
      <c r="S845">
        <v>11</v>
      </c>
      <c r="T845">
        <v>0</v>
      </c>
      <c r="U845">
        <v>19</v>
      </c>
      <c r="V845" s="1" t="s">
        <v>61</v>
      </c>
      <c r="W845" s="1" t="s">
        <v>51</v>
      </c>
    </row>
    <row r="846" spans="1:23" x14ac:dyDescent="0.35">
      <c r="A846">
        <v>4003</v>
      </c>
      <c r="B846" s="1" t="s">
        <v>2691</v>
      </c>
      <c r="C846" s="2">
        <v>42432</v>
      </c>
      <c r="D846" s="2">
        <v>42437</v>
      </c>
      <c r="E846" s="1" t="s">
        <v>42</v>
      </c>
      <c r="F846" s="1" t="s">
        <v>1155</v>
      </c>
      <c r="G846" s="1" t="s">
        <v>1156</v>
      </c>
      <c r="H846" s="1" t="s">
        <v>27</v>
      </c>
      <c r="I846" s="1" t="s">
        <v>28</v>
      </c>
      <c r="J846" s="1" t="s">
        <v>248</v>
      </c>
      <c r="K846" s="1" t="s">
        <v>95</v>
      </c>
      <c r="L846">
        <v>78207</v>
      </c>
      <c r="M846" s="1" t="s">
        <v>96</v>
      </c>
      <c r="N846" s="1" t="s">
        <v>438</v>
      </c>
      <c r="O846" s="1" t="s">
        <v>33</v>
      </c>
      <c r="P846" s="1" t="s">
        <v>48</v>
      </c>
      <c r="Q846" s="1" t="s">
        <v>439</v>
      </c>
      <c r="R846">
        <v>638</v>
      </c>
      <c r="S846">
        <v>3</v>
      </c>
      <c r="T846">
        <v>0.3</v>
      </c>
      <c r="U846">
        <v>-128</v>
      </c>
      <c r="V846" s="1" t="s">
        <v>61</v>
      </c>
      <c r="W846" s="1" t="s">
        <v>198</v>
      </c>
    </row>
    <row r="847" spans="1:23" x14ac:dyDescent="0.35">
      <c r="A847">
        <v>4010</v>
      </c>
      <c r="B847" s="1" t="s">
        <v>2692</v>
      </c>
      <c r="C847" s="2">
        <v>42736</v>
      </c>
      <c r="D847" s="2">
        <v>42740</v>
      </c>
      <c r="E847" s="1" t="s">
        <v>42</v>
      </c>
      <c r="F847" s="1" t="s">
        <v>200</v>
      </c>
      <c r="G847" s="1" t="s">
        <v>201</v>
      </c>
      <c r="H847" s="1" t="s">
        <v>27</v>
      </c>
      <c r="I847" s="1" t="s">
        <v>28</v>
      </c>
      <c r="J847" s="1" t="s">
        <v>55</v>
      </c>
      <c r="K847" s="1" t="s">
        <v>56</v>
      </c>
      <c r="L847">
        <v>90036</v>
      </c>
      <c r="M847" s="1" t="s">
        <v>57</v>
      </c>
      <c r="N847" s="1" t="s">
        <v>2693</v>
      </c>
      <c r="O847" s="1" t="s">
        <v>33</v>
      </c>
      <c r="P847" s="1" t="s">
        <v>59</v>
      </c>
      <c r="Q847" s="1" t="s">
        <v>2694</v>
      </c>
      <c r="R847">
        <v>474</v>
      </c>
      <c r="S847">
        <v>11</v>
      </c>
      <c r="T847">
        <v>0</v>
      </c>
      <c r="U847">
        <v>199</v>
      </c>
      <c r="V847" s="1" t="s">
        <v>86</v>
      </c>
      <c r="W847" s="1" t="s">
        <v>172</v>
      </c>
    </row>
    <row r="848" spans="1:23" x14ac:dyDescent="0.35">
      <c r="A848">
        <v>4021</v>
      </c>
      <c r="B848" s="1" t="s">
        <v>2695</v>
      </c>
      <c r="C848" s="2">
        <v>41812</v>
      </c>
      <c r="D848" s="2">
        <v>41817</v>
      </c>
      <c r="E848" s="1" t="s">
        <v>42</v>
      </c>
      <c r="F848" s="1" t="s">
        <v>2696</v>
      </c>
      <c r="G848" s="1" t="s">
        <v>2697</v>
      </c>
      <c r="H848" s="1" t="s">
        <v>27</v>
      </c>
      <c r="I848" s="1" t="s">
        <v>28</v>
      </c>
      <c r="J848" s="1" t="s">
        <v>1149</v>
      </c>
      <c r="K848" s="1" t="s">
        <v>69</v>
      </c>
      <c r="L848">
        <v>19013</v>
      </c>
      <c r="M848" s="1" t="s">
        <v>70</v>
      </c>
      <c r="N848" s="1" t="s">
        <v>258</v>
      </c>
      <c r="O848" s="1" t="s">
        <v>33</v>
      </c>
      <c r="P848" s="1" t="s">
        <v>39</v>
      </c>
      <c r="Q848" s="1" t="s">
        <v>259</v>
      </c>
      <c r="R848">
        <v>170</v>
      </c>
      <c r="S848">
        <v>3</v>
      </c>
      <c r="T848">
        <v>0.3</v>
      </c>
      <c r="U848">
        <v>-5</v>
      </c>
      <c r="V848" s="1" t="s">
        <v>61</v>
      </c>
      <c r="W848" s="1" t="s">
        <v>62</v>
      </c>
    </row>
    <row r="849" spans="1:23" x14ac:dyDescent="0.35">
      <c r="A849">
        <v>4023</v>
      </c>
      <c r="B849" s="1" t="s">
        <v>2695</v>
      </c>
      <c r="C849" s="2">
        <v>41812</v>
      </c>
      <c r="D849" s="2">
        <v>41817</v>
      </c>
      <c r="E849" s="1" t="s">
        <v>42</v>
      </c>
      <c r="F849" s="1" t="s">
        <v>2696</v>
      </c>
      <c r="G849" s="1" t="s">
        <v>2697</v>
      </c>
      <c r="H849" s="1" t="s">
        <v>27</v>
      </c>
      <c r="I849" s="1" t="s">
        <v>28</v>
      </c>
      <c r="J849" s="1" t="s">
        <v>1149</v>
      </c>
      <c r="K849" s="1" t="s">
        <v>69</v>
      </c>
      <c r="L849">
        <v>19013</v>
      </c>
      <c r="M849" s="1" t="s">
        <v>70</v>
      </c>
      <c r="N849" s="1" t="s">
        <v>38</v>
      </c>
      <c r="O849" s="1" t="s">
        <v>33</v>
      </c>
      <c r="P849" s="1" t="s">
        <v>39</v>
      </c>
      <c r="Q849" s="1" t="s">
        <v>40</v>
      </c>
      <c r="R849">
        <v>854</v>
      </c>
      <c r="S849">
        <v>5</v>
      </c>
      <c r="T849">
        <v>0.3</v>
      </c>
      <c r="U849">
        <v>0</v>
      </c>
      <c r="V849" s="1" t="s">
        <v>61</v>
      </c>
      <c r="W849" s="1" t="s">
        <v>62</v>
      </c>
    </row>
    <row r="850" spans="1:23" x14ac:dyDescent="0.35">
      <c r="A850">
        <v>4024</v>
      </c>
      <c r="B850" s="1" t="s">
        <v>2698</v>
      </c>
      <c r="C850" s="2">
        <v>43035</v>
      </c>
      <c r="D850" s="2">
        <v>43036</v>
      </c>
      <c r="E850" s="1" t="s">
        <v>90</v>
      </c>
      <c r="F850" s="1" t="s">
        <v>2699</v>
      </c>
      <c r="G850" s="1" t="s">
        <v>2700</v>
      </c>
      <c r="H850" s="1" t="s">
        <v>93</v>
      </c>
      <c r="I850" s="1" t="s">
        <v>28</v>
      </c>
      <c r="J850" s="1" t="s">
        <v>331</v>
      </c>
      <c r="K850" s="1" t="s">
        <v>56</v>
      </c>
      <c r="L850">
        <v>94110</v>
      </c>
      <c r="M850" s="1" t="s">
        <v>57</v>
      </c>
      <c r="N850" s="1" t="s">
        <v>1639</v>
      </c>
      <c r="O850" s="1" t="s">
        <v>33</v>
      </c>
      <c r="P850" s="1" t="s">
        <v>34</v>
      </c>
      <c r="Q850" s="1" t="s">
        <v>1640</v>
      </c>
      <c r="R850">
        <v>557</v>
      </c>
      <c r="S850">
        <v>5</v>
      </c>
      <c r="T850">
        <v>0.15</v>
      </c>
      <c r="U850">
        <v>7</v>
      </c>
      <c r="V850" s="1" t="s">
        <v>126</v>
      </c>
      <c r="W850" s="1" t="s">
        <v>51</v>
      </c>
    </row>
    <row r="851" spans="1:23" x14ac:dyDescent="0.35">
      <c r="A851">
        <v>4031</v>
      </c>
      <c r="B851" s="1" t="s">
        <v>2701</v>
      </c>
      <c r="C851" s="2">
        <v>43093</v>
      </c>
      <c r="D851" s="2">
        <v>43097</v>
      </c>
      <c r="E851" s="1" t="s">
        <v>42</v>
      </c>
      <c r="F851" s="1" t="s">
        <v>2308</v>
      </c>
      <c r="G851" s="1" t="s">
        <v>2309</v>
      </c>
      <c r="H851" s="1" t="s">
        <v>27</v>
      </c>
      <c r="I851" s="1" t="s">
        <v>28</v>
      </c>
      <c r="J851" s="1" t="s">
        <v>1408</v>
      </c>
      <c r="K851" s="1" t="s">
        <v>1409</v>
      </c>
      <c r="L851">
        <v>70506</v>
      </c>
      <c r="M851" s="1" t="s">
        <v>31</v>
      </c>
      <c r="N851" s="1" t="s">
        <v>1895</v>
      </c>
      <c r="O851" s="1" t="s">
        <v>33</v>
      </c>
      <c r="P851" s="1" t="s">
        <v>39</v>
      </c>
      <c r="Q851" s="1" t="s">
        <v>1896</v>
      </c>
      <c r="R851">
        <v>233</v>
      </c>
      <c r="S851">
        <v>4</v>
      </c>
      <c r="T851">
        <v>0</v>
      </c>
      <c r="U851">
        <v>61</v>
      </c>
      <c r="V851" s="1" t="s">
        <v>86</v>
      </c>
      <c r="W851" s="1" t="s">
        <v>99</v>
      </c>
    </row>
    <row r="852" spans="1:23" x14ac:dyDescent="0.35">
      <c r="A852">
        <v>4038</v>
      </c>
      <c r="B852" s="1" t="s">
        <v>2702</v>
      </c>
      <c r="C852" s="2">
        <v>42002</v>
      </c>
      <c r="D852" s="2">
        <v>42006</v>
      </c>
      <c r="E852" s="1" t="s">
        <v>42</v>
      </c>
      <c r="F852" s="1" t="s">
        <v>790</v>
      </c>
      <c r="G852" s="1" t="s">
        <v>791</v>
      </c>
      <c r="H852" s="1" t="s">
        <v>93</v>
      </c>
      <c r="I852" s="1" t="s">
        <v>28</v>
      </c>
      <c r="J852" s="1" t="s">
        <v>331</v>
      </c>
      <c r="K852" s="1" t="s">
        <v>56</v>
      </c>
      <c r="L852">
        <v>94110</v>
      </c>
      <c r="M852" s="1" t="s">
        <v>57</v>
      </c>
      <c r="N852" s="1" t="s">
        <v>2240</v>
      </c>
      <c r="O852" s="1" t="s">
        <v>33</v>
      </c>
      <c r="P852" s="1" t="s">
        <v>59</v>
      </c>
      <c r="Q852" s="1" t="s">
        <v>2241</v>
      </c>
      <c r="R852">
        <v>25</v>
      </c>
      <c r="S852">
        <v>5</v>
      </c>
      <c r="T852">
        <v>0</v>
      </c>
      <c r="U852">
        <v>8</v>
      </c>
      <c r="V852" s="1" t="s">
        <v>86</v>
      </c>
      <c r="W852" s="1" t="s">
        <v>99</v>
      </c>
    </row>
    <row r="853" spans="1:23" x14ac:dyDescent="0.35">
      <c r="A853">
        <v>4044</v>
      </c>
      <c r="B853" s="1" t="s">
        <v>2702</v>
      </c>
      <c r="C853" s="2">
        <v>42002</v>
      </c>
      <c r="D853" s="2">
        <v>42006</v>
      </c>
      <c r="E853" s="1" t="s">
        <v>42</v>
      </c>
      <c r="F853" s="1" t="s">
        <v>790</v>
      </c>
      <c r="G853" s="1" t="s">
        <v>791</v>
      </c>
      <c r="H853" s="1" t="s">
        <v>93</v>
      </c>
      <c r="I853" s="1" t="s">
        <v>28</v>
      </c>
      <c r="J853" s="1" t="s">
        <v>331</v>
      </c>
      <c r="K853" s="1" t="s">
        <v>56</v>
      </c>
      <c r="L853">
        <v>94110</v>
      </c>
      <c r="M853" s="1" t="s">
        <v>57</v>
      </c>
      <c r="N853" s="1" t="s">
        <v>2412</v>
      </c>
      <c r="O853" s="1" t="s">
        <v>33</v>
      </c>
      <c r="P853" s="1" t="s">
        <v>59</v>
      </c>
      <c r="Q853" s="1" t="s">
        <v>2413</v>
      </c>
      <c r="R853">
        <v>71</v>
      </c>
      <c r="S853">
        <v>6</v>
      </c>
      <c r="T853">
        <v>0</v>
      </c>
      <c r="U853">
        <v>24</v>
      </c>
      <c r="V853" s="1" t="s">
        <v>86</v>
      </c>
      <c r="W853" s="1" t="s">
        <v>99</v>
      </c>
    </row>
    <row r="854" spans="1:23" x14ac:dyDescent="0.35">
      <c r="A854">
        <v>4045</v>
      </c>
      <c r="B854" s="1" t="s">
        <v>2703</v>
      </c>
      <c r="C854" s="2">
        <v>42180</v>
      </c>
      <c r="D854" s="2">
        <v>42185</v>
      </c>
      <c r="E854" s="1" t="s">
        <v>42</v>
      </c>
      <c r="F854" s="1" t="s">
        <v>2214</v>
      </c>
      <c r="G854" s="1" t="s">
        <v>2215</v>
      </c>
      <c r="H854" s="1" t="s">
        <v>27</v>
      </c>
      <c r="I854" s="1" t="s">
        <v>28</v>
      </c>
      <c r="J854" s="1" t="s">
        <v>331</v>
      </c>
      <c r="K854" s="1" t="s">
        <v>56</v>
      </c>
      <c r="L854">
        <v>94110</v>
      </c>
      <c r="M854" s="1" t="s">
        <v>57</v>
      </c>
      <c r="N854" s="1" t="s">
        <v>643</v>
      </c>
      <c r="O854" s="1" t="s">
        <v>33</v>
      </c>
      <c r="P854" s="1" t="s">
        <v>59</v>
      </c>
      <c r="Q854" s="1" t="s">
        <v>644</v>
      </c>
      <c r="R854">
        <v>205</v>
      </c>
      <c r="S854">
        <v>5</v>
      </c>
      <c r="T854">
        <v>0</v>
      </c>
      <c r="U854">
        <v>57</v>
      </c>
      <c r="V854" s="1" t="s">
        <v>61</v>
      </c>
      <c r="W854" s="1" t="s">
        <v>62</v>
      </c>
    </row>
    <row r="855" spans="1:23" x14ac:dyDescent="0.35">
      <c r="A855">
        <v>4050</v>
      </c>
      <c r="B855" s="1" t="s">
        <v>2704</v>
      </c>
      <c r="C855" s="2">
        <v>42910</v>
      </c>
      <c r="D855" s="2">
        <v>42912</v>
      </c>
      <c r="E855" s="1" t="s">
        <v>24</v>
      </c>
      <c r="F855" s="1" t="s">
        <v>2705</v>
      </c>
      <c r="G855" s="1" t="s">
        <v>2706</v>
      </c>
      <c r="H855" s="1" t="s">
        <v>27</v>
      </c>
      <c r="I855" s="1" t="s">
        <v>28</v>
      </c>
      <c r="J855" s="1" t="s">
        <v>176</v>
      </c>
      <c r="K855" s="1" t="s">
        <v>123</v>
      </c>
      <c r="L855">
        <v>10011</v>
      </c>
      <c r="M855" s="1" t="s">
        <v>70</v>
      </c>
      <c r="N855" s="1" t="s">
        <v>923</v>
      </c>
      <c r="O855" s="1" t="s">
        <v>33</v>
      </c>
      <c r="P855" s="1" t="s">
        <v>59</v>
      </c>
      <c r="Q855" s="1" t="s">
        <v>924</v>
      </c>
      <c r="R855">
        <v>277</v>
      </c>
      <c r="S855">
        <v>3</v>
      </c>
      <c r="T855">
        <v>0</v>
      </c>
      <c r="U855">
        <v>50</v>
      </c>
      <c r="V855" s="1" t="s">
        <v>73</v>
      </c>
      <c r="W855" s="1" t="s">
        <v>62</v>
      </c>
    </row>
    <row r="856" spans="1:23" x14ac:dyDescent="0.35">
      <c r="A856">
        <v>4051</v>
      </c>
      <c r="B856" s="1" t="s">
        <v>2704</v>
      </c>
      <c r="C856" s="2">
        <v>42910</v>
      </c>
      <c r="D856" s="2">
        <v>42912</v>
      </c>
      <c r="E856" s="1" t="s">
        <v>24</v>
      </c>
      <c r="F856" s="1" t="s">
        <v>2705</v>
      </c>
      <c r="G856" s="1" t="s">
        <v>2706</v>
      </c>
      <c r="H856" s="1" t="s">
        <v>27</v>
      </c>
      <c r="I856" s="1" t="s">
        <v>28</v>
      </c>
      <c r="J856" s="1" t="s">
        <v>176</v>
      </c>
      <c r="K856" s="1" t="s">
        <v>123</v>
      </c>
      <c r="L856">
        <v>10011</v>
      </c>
      <c r="M856" s="1" t="s">
        <v>70</v>
      </c>
      <c r="N856" s="1" t="s">
        <v>359</v>
      </c>
      <c r="O856" s="1" t="s">
        <v>33</v>
      </c>
      <c r="P856" s="1" t="s">
        <v>39</v>
      </c>
      <c r="Q856" s="1" t="s">
        <v>360</v>
      </c>
      <c r="R856">
        <v>173</v>
      </c>
      <c r="S856">
        <v>2</v>
      </c>
      <c r="T856">
        <v>0.1</v>
      </c>
      <c r="U856">
        <v>33</v>
      </c>
      <c r="V856" s="1" t="s">
        <v>73</v>
      </c>
      <c r="W856" s="1" t="s">
        <v>62</v>
      </c>
    </row>
    <row r="857" spans="1:23" x14ac:dyDescent="0.35">
      <c r="A857">
        <v>4053</v>
      </c>
      <c r="B857" s="1" t="s">
        <v>2707</v>
      </c>
      <c r="C857" s="2">
        <v>41911</v>
      </c>
      <c r="D857" s="2">
        <v>41915</v>
      </c>
      <c r="E857" s="1" t="s">
        <v>42</v>
      </c>
      <c r="F857" s="1" t="s">
        <v>2348</v>
      </c>
      <c r="G857" s="1" t="s">
        <v>2349</v>
      </c>
      <c r="H857" s="1" t="s">
        <v>93</v>
      </c>
      <c r="I857" s="1" t="s">
        <v>28</v>
      </c>
      <c r="J857" s="1" t="s">
        <v>68</v>
      </c>
      <c r="K857" s="1" t="s">
        <v>69</v>
      </c>
      <c r="L857">
        <v>19134</v>
      </c>
      <c r="M857" s="1" t="s">
        <v>70</v>
      </c>
      <c r="N857" s="1" t="s">
        <v>1564</v>
      </c>
      <c r="O857" s="1" t="s">
        <v>33</v>
      </c>
      <c r="P857" s="1" t="s">
        <v>48</v>
      </c>
      <c r="Q857" s="1" t="s">
        <v>1565</v>
      </c>
      <c r="R857">
        <v>409</v>
      </c>
      <c r="S857">
        <v>2</v>
      </c>
      <c r="T857">
        <v>0.4</v>
      </c>
      <c r="U857">
        <v>-82</v>
      </c>
      <c r="V857" s="1" t="s">
        <v>86</v>
      </c>
      <c r="W857" s="1" t="s">
        <v>80</v>
      </c>
    </row>
    <row r="858" spans="1:23" x14ac:dyDescent="0.35">
      <c r="A858">
        <v>4057</v>
      </c>
      <c r="B858" s="1" t="s">
        <v>2707</v>
      </c>
      <c r="C858" s="2">
        <v>41911</v>
      </c>
      <c r="D858" s="2">
        <v>41915</v>
      </c>
      <c r="E858" s="1" t="s">
        <v>42</v>
      </c>
      <c r="F858" s="1" t="s">
        <v>2348</v>
      </c>
      <c r="G858" s="1" t="s">
        <v>2349</v>
      </c>
      <c r="H858" s="1" t="s">
        <v>93</v>
      </c>
      <c r="I858" s="1" t="s">
        <v>28</v>
      </c>
      <c r="J858" s="1" t="s">
        <v>68</v>
      </c>
      <c r="K858" s="1" t="s">
        <v>69</v>
      </c>
      <c r="L858">
        <v>19134</v>
      </c>
      <c r="M858" s="1" t="s">
        <v>70</v>
      </c>
      <c r="N858" s="1" t="s">
        <v>1043</v>
      </c>
      <c r="O858" s="1" t="s">
        <v>33</v>
      </c>
      <c r="P858" s="1" t="s">
        <v>48</v>
      </c>
      <c r="Q858" s="1" t="s">
        <v>1044</v>
      </c>
      <c r="R858">
        <v>67</v>
      </c>
      <c r="S858">
        <v>1</v>
      </c>
      <c r="T858">
        <v>0.4</v>
      </c>
      <c r="U858">
        <v>-20</v>
      </c>
      <c r="V858" s="1" t="s">
        <v>86</v>
      </c>
      <c r="W858" s="1" t="s">
        <v>80</v>
      </c>
    </row>
    <row r="859" spans="1:23" x14ac:dyDescent="0.35">
      <c r="A859">
        <v>4060</v>
      </c>
      <c r="B859" s="1" t="s">
        <v>2708</v>
      </c>
      <c r="C859" s="2">
        <v>42328</v>
      </c>
      <c r="D859" s="2">
        <v>42332</v>
      </c>
      <c r="E859" s="1" t="s">
        <v>42</v>
      </c>
      <c r="F859" s="1" t="s">
        <v>224</v>
      </c>
      <c r="G859" s="1" t="s">
        <v>225</v>
      </c>
      <c r="H859" s="1" t="s">
        <v>27</v>
      </c>
      <c r="I859" s="1" t="s">
        <v>28</v>
      </c>
      <c r="J859" s="1" t="s">
        <v>1473</v>
      </c>
      <c r="K859" s="1" t="s">
        <v>56</v>
      </c>
      <c r="L859">
        <v>94601</v>
      </c>
      <c r="M859" s="1" t="s">
        <v>57</v>
      </c>
      <c r="N859" s="1" t="s">
        <v>583</v>
      </c>
      <c r="O859" s="1" t="s">
        <v>33</v>
      </c>
      <c r="P859" s="1" t="s">
        <v>39</v>
      </c>
      <c r="Q859" s="1" t="s">
        <v>584</v>
      </c>
      <c r="R859">
        <v>572</v>
      </c>
      <c r="S859">
        <v>3</v>
      </c>
      <c r="T859">
        <v>0.2</v>
      </c>
      <c r="U859">
        <v>36</v>
      </c>
      <c r="V859" s="1" t="s">
        <v>86</v>
      </c>
      <c r="W859" s="1" t="s">
        <v>37</v>
      </c>
    </row>
    <row r="860" spans="1:23" x14ac:dyDescent="0.35">
      <c r="A860">
        <v>4072</v>
      </c>
      <c r="B860" s="1" t="s">
        <v>2709</v>
      </c>
      <c r="C860" s="2">
        <v>42610</v>
      </c>
      <c r="D860" s="2">
        <v>42613</v>
      </c>
      <c r="E860" s="1" t="s">
        <v>90</v>
      </c>
      <c r="F860" s="1" t="s">
        <v>2301</v>
      </c>
      <c r="G860" s="1" t="s">
        <v>2302</v>
      </c>
      <c r="H860" s="1" t="s">
        <v>27</v>
      </c>
      <c r="I860" s="1" t="s">
        <v>28</v>
      </c>
      <c r="J860" s="1" t="s">
        <v>1742</v>
      </c>
      <c r="K860" s="1" t="s">
        <v>95</v>
      </c>
      <c r="L860">
        <v>75081</v>
      </c>
      <c r="M860" s="1" t="s">
        <v>96</v>
      </c>
      <c r="N860" s="1" t="s">
        <v>1479</v>
      </c>
      <c r="O860" s="1" t="s">
        <v>33</v>
      </c>
      <c r="P860" s="1" t="s">
        <v>34</v>
      </c>
      <c r="Q860" s="1" t="s">
        <v>1480</v>
      </c>
      <c r="R860">
        <v>156</v>
      </c>
      <c r="S860">
        <v>2</v>
      </c>
      <c r="T860">
        <v>0.32</v>
      </c>
      <c r="U860">
        <v>-53</v>
      </c>
      <c r="V860" s="1" t="s">
        <v>36</v>
      </c>
      <c r="W860" s="1" t="s">
        <v>256</v>
      </c>
    </row>
    <row r="861" spans="1:23" x14ac:dyDescent="0.35">
      <c r="A861">
        <v>4075</v>
      </c>
      <c r="B861" s="1" t="s">
        <v>2710</v>
      </c>
      <c r="C861" s="2">
        <v>43054</v>
      </c>
      <c r="D861" s="2">
        <v>43059</v>
      </c>
      <c r="E861" s="1" t="s">
        <v>42</v>
      </c>
      <c r="F861" s="1" t="s">
        <v>2685</v>
      </c>
      <c r="G861" s="1" t="s">
        <v>2686</v>
      </c>
      <c r="H861" s="1" t="s">
        <v>27</v>
      </c>
      <c r="I861" s="1" t="s">
        <v>28</v>
      </c>
      <c r="J861" s="1" t="s">
        <v>2711</v>
      </c>
      <c r="K861" s="1" t="s">
        <v>46</v>
      </c>
      <c r="L861">
        <v>33023</v>
      </c>
      <c r="M861" s="1" t="s">
        <v>31</v>
      </c>
      <c r="N861" s="1" t="s">
        <v>708</v>
      </c>
      <c r="O861" s="1" t="s">
        <v>33</v>
      </c>
      <c r="P861" s="1" t="s">
        <v>59</v>
      </c>
      <c r="Q861" s="1" t="s">
        <v>709</v>
      </c>
      <c r="R861">
        <v>220</v>
      </c>
      <c r="S861">
        <v>4</v>
      </c>
      <c r="T861">
        <v>0.2</v>
      </c>
      <c r="U861">
        <v>55</v>
      </c>
      <c r="V861" s="1" t="s">
        <v>61</v>
      </c>
      <c r="W861" s="1" t="s">
        <v>37</v>
      </c>
    </row>
    <row r="862" spans="1:23" x14ac:dyDescent="0.35">
      <c r="A862">
        <v>4076</v>
      </c>
      <c r="B862" s="1" t="s">
        <v>2710</v>
      </c>
      <c r="C862" s="2">
        <v>43054</v>
      </c>
      <c r="D862" s="2">
        <v>43059</v>
      </c>
      <c r="E862" s="1" t="s">
        <v>42</v>
      </c>
      <c r="F862" s="1" t="s">
        <v>2685</v>
      </c>
      <c r="G862" s="1" t="s">
        <v>2686</v>
      </c>
      <c r="H862" s="1" t="s">
        <v>27</v>
      </c>
      <c r="I862" s="1" t="s">
        <v>28</v>
      </c>
      <c r="J862" s="1" t="s">
        <v>2711</v>
      </c>
      <c r="K862" s="1" t="s">
        <v>46</v>
      </c>
      <c r="L862">
        <v>33023</v>
      </c>
      <c r="M862" s="1" t="s">
        <v>31</v>
      </c>
      <c r="N862" s="1" t="s">
        <v>1394</v>
      </c>
      <c r="O862" s="1" t="s">
        <v>33</v>
      </c>
      <c r="P862" s="1" t="s">
        <v>59</v>
      </c>
      <c r="Q862" s="1" t="s">
        <v>1395</v>
      </c>
      <c r="R862">
        <v>339</v>
      </c>
      <c r="S862">
        <v>4</v>
      </c>
      <c r="T862">
        <v>0.2</v>
      </c>
      <c r="U862">
        <v>0</v>
      </c>
      <c r="V862" s="1" t="s">
        <v>61</v>
      </c>
      <c r="W862" s="1" t="s">
        <v>37</v>
      </c>
    </row>
    <row r="863" spans="1:23" x14ac:dyDescent="0.35">
      <c r="A863">
        <v>4089</v>
      </c>
      <c r="B863" s="1" t="s">
        <v>2712</v>
      </c>
      <c r="C863" s="2">
        <v>41870</v>
      </c>
      <c r="D863" s="2">
        <v>41877</v>
      </c>
      <c r="E863" s="1" t="s">
        <v>42</v>
      </c>
      <c r="F863" s="1" t="s">
        <v>2713</v>
      </c>
      <c r="G863" s="1" t="s">
        <v>2714</v>
      </c>
      <c r="H863" s="1" t="s">
        <v>27</v>
      </c>
      <c r="I863" s="1" t="s">
        <v>28</v>
      </c>
      <c r="J863" s="1" t="s">
        <v>1060</v>
      </c>
      <c r="K863" s="1" t="s">
        <v>1061</v>
      </c>
      <c r="L863">
        <v>72401</v>
      </c>
      <c r="M863" s="1" t="s">
        <v>31</v>
      </c>
      <c r="N863" s="1" t="s">
        <v>2715</v>
      </c>
      <c r="O863" s="1" t="s">
        <v>33</v>
      </c>
      <c r="P863" s="1" t="s">
        <v>34</v>
      </c>
      <c r="Q863" s="1" t="s">
        <v>2716</v>
      </c>
      <c r="R863">
        <v>639</v>
      </c>
      <c r="S863">
        <v>9</v>
      </c>
      <c r="T863">
        <v>0</v>
      </c>
      <c r="U863">
        <v>172</v>
      </c>
      <c r="V863" s="1" t="s">
        <v>50</v>
      </c>
      <c r="W863" s="1" t="s">
        <v>256</v>
      </c>
    </row>
    <row r="864" spans="1:23" x14ac:dyDescent="0.35">
      <c r="A864">
        <v>4104</v>
      </c>
      <c r="B864" s="1" t="s">
        <v>2717</v>
      </c>
      <c r="C864" s="2">
        <v>43090</v>
      </c>
      <c r="D864" s="2">
        <v>43090</v>
      </c>
      <c r="E864" s="1" t="s">
        <v>428</v>
      </c>
      <c r="F864" s="1" t="s">
        <v>674</v>
      </c>
      <c r="G864" s="1" t="s">
        <v>675</v>
      </c>
      <c r="H864" s="1" t="s">
        <v>103</v>
      </c>
      <c r="I864" s="1" t="s">
        <v>28</v>
      </c>
      <c r="J864" s="1" t="s">
        <v>2718</v>
      </c>
      <c r="K864" s="1" t="s">
        <v>844</v>
      </c>
      <c r="L864">
        <v>68025</v>
      </c>
      <c r="M864" s="1" t="s">
        <v>96</v>
      </c>
      <c r="N864" s="1" t="s">
        <v>930</v>
      </c>
      <c r="O864" s="1" t="s">
        <v>33</v>
      </c>
      <c r="P864" s="1" t="s">
        <v>59</v>
      </c>
      <c r="Q864" s="1" t="s">
        <v>319</v>
      </c>
      <c r="R864">
        <v>16</v>
      </c>
      <c r="S864">
        <v>2</v>
      </c>
      <c r="T864">
        <v>0</v>
      </c>
      <c r="U864">
        <v>7</v>
      </c>
      <c r="V864" s="1" t="s">
        <v>433</v>
      </c>
      <c r="W864" s="1" t="s">
        <v>99</v>
      </c>
    </row>
    <row r="865" spans="1:23" x14ac:dyDescent="0.35">
      <c r="A865">
        <v>4109</v>
      </c>
      <c r="B865" s="1" t="s">
        <v>2719</v>
      </c>
      <c r="C865" s="2">
        <v>42254</v>
      </c>
      <c r="D865" s="2">
        <v>42254</v>
      </c>
      <c r="E865" s="1" t="s">
        <v>428</v>
      </c>
      <c r="F865" s="1" t="s">
        <v>1406</v>
      </c>
      <c r="G865" s="1" t="s">
        <v>1407</v>
      </c>
      <c r="H865" s="1" t="s">
        <v>27</v>
      </c>
      <c r="I865" s="1" t="s">
        <v>28</v>
      </c>
      <c r="J865" s="1" t="s">
        <v>176</v>
      </c>
      <c r="K865" s="1" t="s">
        <v>123</v>
      </c>
      <c r="L865">
        <v>10011</v>
      </c>
      <c r="M865" s="1" t="s">
        <v>70</v>
      </c>
      <c r="N865" s="1" t="s">
        <v>2289</v>
      </c>
      <c r="O865" s="1" t="s">
        <v>33</v>
      </c>
      <c r="P865" s="1" t="s">
        <v>48</v>
      </c>
      <c r="Q865" s="1" t="s">
        <v>2290</v>
      </c>
      <c r="R865">
        <v>27</v>
      </c>
      <c r="S865">
        <v>3</v>
      </c>
      <c r="T865">
        <v>0.4</v>
      </c>
      <c r="U865">
        <v>-14</v>
      </c>
      <c r="V865" s="1" t="s">
        <v>433</v>
      </c>
      <c r="W865" s="1" t="s">
        <v>80</v>
      </c>
    </row>
    <row r="866" spans="1:23" x14ac:dyDescent="0.35">
      <c r="A866">
        <v>4111</v>
      </c>
      <c r="B866" s="1" t="s">
        <v>2720</v>
      </c>
      <c r="C866" s="2">
        <v>42363</v>
      </c>
      <c r="D866" s="2">
        <v>42370</v>
      </c>
      <c r="E866" s="1" t="s">
        <v>42</v>
      </c>
      <c r="F866" s="1" t="s">
        <v>2721</v>
      </c>
      <c r="G866" s="1" t="s">
        <v>2722</v>
      </c>
      <c r="H866" s="1" t="s">
        <v>93</v>
      </c>
      <c r="I866" s="1" t="s">
        <v>28</v>
      </c>
      <c r="J866" s="1" t="s">
        <v>291</v>
      </c>
      <c r="K866" s="1" t="s">
        <v>292</v>
      </c>
      <c r="L866">
        <v>48227</v>
      </c>
      <c r="M866" s="1" t="s">
        <v>96</v>
      </c>
      <c r="N866" s="1" t="s">
        <v>2723</v>
      </c>
      <c r="O866" s="1" t="s">
        <v>33</v>
      </c>
      <c r="P866" s="1" t="s">
        <v>34</v>
      </c>
      <c r="Q866" s="1" t="s">
        <v>2724</v>
      </c>
      <c r="R866">
        <v>161</v>
      </c>
      <c r="S866">
        <v>1</v>
      </c>
      <c r="T866">
        <v>0</v>
      </c>
      <c r="U866">
        <v>21</v>
      </c>
      <c r="V866" s="1" t="s">
        <v>50</v>
      </c>
      <c r="W866" s="1" t="s">
        <v>99</v>
      </c>
    </row>
    <row r="867" spans="1:23" x14ac:dyDescent="0.35">
      <c r="A867">
        <v>4126</v>
      </c>
      <c r="B867" s="1" t="s">
        <v>2725</v>
      </c>
      <c r="C867" s="2">
        <v>42943</v>
      </c>
      <c r="D867" s="2">
        <v>42947</v>
      </c>
      <c r="E867" s="1" t="s">
        <v>24</v>
      </c>
      <c r="F867" s="1" t="s">
        <v>2726</v>
      </c>
      <c r="G867" s="1" t="s">
        <v>2727</v>
      </c>
      <c r="H867" s="1" t="s">
        <v>27</v>
      </c>
      <c r="I867" s="1" t="s">
        <v>28</v>
      </c>
      <c r="J867" s="1" t="s">
        <v>609</v>
      </c>
      <c r="K867" s="1" t="s">
        <v>46</v>
      </c>
      <c r="L867">
        <v>32216</v>
      </c>
      <c r="M867" s="1" t="s">
        <v>31</v>
      </c>
      <c r="N867" s="1" t="s">
        <v>970</v>
      </c>
      <c r="O867" s="1" t="s">
        <v>33</v>
      </c>
      <c r="P867" s="1" t="s">
        <v>59</v>
      </c>
      <c r="Q867" s="1" t="s">
        <v>971</v>
      </c>
      <c r="R867">
        <v>91</v>
      </c>
      <c r="S867">
        <v>3</v>
      </c>
      <c r="T867">
        <v>0.2</v>
      </c>
      <c r="U867">
        <v>-2</v>
      </c>
      <c r="V867" s="1" t="s">
        <v>86</v>
      </c>
      <c r="W867" s="1" t="s">
        <v>74</v>
      </c>
    </row>
    <row r="868" spans="1:23" x14ac:dyDescent="0.35">
      <c r="A868">
        <v>4141</v>
      </c>
      <c r="B868" s="1" t="s">
        <v>2728</v>
      </c>
      <c r="C868" s="2">
        <v>43070</v>
      </c>
      <c r="D868" s="2">
        <v>43073</v>
      </c>
      <c r="E868" s="1" t="s">
        <v>90</v>
      </c>
      <c r="F868" s="1" t="s">
        <v>711</v>
      </c>
      <c r="G868" s="1" t="s">
        <v>712</v>
      </c>
      <c r="H868" s="1" t="s">
        <v>27</v>
      </c>
      <c r="I868" s="1" t="s">
        <v>28</v>
      </c>
      <c r="J868" s="1" t="s">
        <v>68</v>
      </c>
      <c r="K868" s="1" t="s">
        <v>69</v>
      </c>
      <c r="L868">
        <v>19120</v>
      </c>
      <c r="M868" s="1" t="s">
        <v>70</v>
      </c>
      <c r="N868" s="1" t="s">
        <v>2675</v>
      </c>
      <c r="O868" s="1" t="s">
        <v>33</v>
      </c>
      <c r="P868" s="1" t="s">
        <v>59</v>
      </c>
      <c r="Q868" s="1" t="s">
        <v>2676</v>
      </c>
      <c r="R868">
        <v>79</v>
      </c>
      <c r="S868">
        <v>5</v>
      </c>
      <c r="T868">
        <v>0.2</v>
      </c>
      <c r="U868">
        <v>14</v>
      </c>
      <c r="V868" s="1" t="s">
        <v>36</v>
      </c>
      <c r="W868" s="1" t="s">
        <v>99</v>
      </c>
    </row>
    <row r="869" spans="1:23" x14ac:dyDescent="0.35">
      <c r="A869">
        <v>4146</v>
      </c>
      <c r="B869" s="1" t="s">
        <v>2729</v>
      </c>
      <c r="C869" s="2">
        <v>42765</v>
      </c>
      <c r="D869" s="2">
        <v>42772</v>
      </c>
      <c r="E869" s="1" t="s">
        <v>42</v>
      </c>
      <c r="F869" s="1" t="s">
        <v>687</v>
      </c>
      <c r="G869" s="1" t="s">
        <v>688</v>
      </c>
      <c r="H869" s="1" t="s">
        <v>103</v>
      </c>
      <c r="I869" s="1" t="s">
        <v>28</v>
      </c>
      <c r="J869" s="1" t="s">
        <v>331</v>
      </c>
      <c r="K869" s="1" t="s">
        <v>56</v>
      </c>
      <c r="L869">
        <v>94110</v>
      </c>
      <c r="M869" s="1" t="s">
        <v>57</v>
      </c>
      <c r="N869" s="1" t="s">
        <v>162</v>
      </c>
      <c r="O869" s="1" t="s">
        <v>33</v>
      </c>
      <c r="P869" s="1" t="s">
        <v>39</v>
      </c>
      <c r="Q869" s="1" t="s">
        <v>163</v>
      </c>
      <c r="R869">
        <v>121</v>
      </c>
      <c r="S869">
        <v>1</v>
      </c>
      <c r="T869">
        <v>0.2</v>
      </c>
      <c r="U869">
        <v>-14</v>
      </c>
      <c r="V869" s="1" t="s">
        <v>50</v>
      </c>
      <c r="W869" s="1" t="s">
        <v>172</v>
      </c>
    </row>
    <row r="870" spans="1:23" x14ac:dyDescent="0.35">
      <c r="A870">
        <v>4147</v>
      </c>
      <c r="B870" s="1" t="s">
        <v>2730</v>
      </c>
      <c r="C870" s="2">
        <v>42336</v>
      </c>
      <c r="D870" s="2">
        <v>42342</v>
      </c>
      <c r="E870" s="1" t="s">
        <v>42</v>
      </c>
      <c r="F870" s="1" t="s">
        <v>2301</v>
      </c>
      <c r="G870" s="1" t="s">
        <v>2302</v>
      </c>
      <c r="H870" s="1" t="s">
        <v>27</v>
      </c>
      <c r="I870" s="1" t="s">
        <v>28</v>
      </c>
      <c r="J870" s="1" t="s">
        <v>2731</v>
      </c>
      <c r="K870" s="1" t="s">
        <v>123</v>
      </c>
      <c r="L870">
        <v>11520</v>
      </c>
      <c r="M870" s="1" t="s">
        <v>70</v>
      </c>
      <c r="N870" s="1" t="s">
        <v>311</v>
      </c>
      <c r="O870" s="1" t="s">
        <v>33</v>
      </c>
      <c r="P870" s="1" t="s">
        <v>59</v>
      </c>
      <c r="Q870" s="1" t="s">
        <v>312</v>
      </c>
      <c r="R870">
        <v>323</v>
      </c>
      <c r="S870">
        <v>3</v>
      </c>
      <c r="T870">
        <v>0</v>
      </c>
      <c r="U870">
        <v>65</v>
      </c>
      <c r="V870" s="1" t="s">
        <v>132</v>
      </c>
      <c r="W870" s="1" t="s">
        <v>37</v>
      </c>
    </row>
    <row r="871" spans="1:23" x14ac:dyDescent="0.35">
      <c r="A871">
        <v>4169</v>
      </c>
      <c r="B871" s="1" t="s">
        <v>2732</v>
      </c>
      <c r="C871" s="2">
        <v>41923</v>
      </c>
      <c r="D871" s="2">
        <v>41925</v>
      </c>
      <c r="E871" s="1" t="s">
        <v>90</v>
      </c>
      <c r="F871" s="1" t="s">
        <v>338</v>
      </c>
      <c r="G871" s="1" t="s">
        <v>339</v>
      </c>
      <c r="H871" s="1" t="s">
        <v>27</v>
      </c>
      <c r="I871" s="1" t="s">
        <v>28</v>
      </c>
      <c r="J871" s="1" t="s">
        <v>1188</v>
      </c>
      <c r="K871" s="1" t="s">
        <v>56</v>
      </c>
      <c r="L871">
        <v>91104</v>
      </c>
      <c r="M871" s="1" t="s">
        <v>57</v>
      </c>
      <c r="N871" s="1" t="s">
        <v>2733</v>
      </c>
      <c r="O871" s="1" t="s">
        <v>33</v>
      </c>
      <c r="P871" s="1" t="s">
        <v>39</v>
      </c>
      <c r="Q871" s="1" t="s">
        <v>2734</v>
      </c>
      <c r="R871">
        <v>434</v>
      </c>
      <c r="S871">
        <v>2</v>
      </c>
      <c r="T871">
        <v>0.2</v>
      </c>
      <c r="U871">
        <v>-65</v>
      </c>
      <c r="V871" s="1" t="s">
        <v>73</v>
      </c>
      <c r="W871" s="1" t="s">
        <v>51</v>
      </c>
    </row>
    <row r="872" spans="1:23" x14ac:dyDescent="0.35">
      <c r="A872">
        <v>4185</v>
      </c>
      <c r="B872" s="1" t="s">
        <v>2735</v>
      </c>
      <c r="C872" s="2">
        <v>42709</v>
      </c>
      <c r="D872" s="2">
        <v>42711</v>
      </c>
      <c r="E872" s="1" t="s">
        <v>90</v>
      </c>
      <c r="F872" s="1" t="s">
        <v>2006</v>
      </c>
      <c r="G872" s="1" t="s">
        <v>2007</v>
      </c>
      <c r="H872" s="1" t="s">
        <v>93</v>
      </c>
      <c r="I872" s="1" t="s">
        <v>28</v>
      </c>
      <c r="J872" s="1" t="s">
        <v>240</v>
      </c>
      <c r="K872" s="1" t="s">
        <v>437</v>
      </c>
      <c r="L872">
        <v>2038</v>
      </c>
      <c r="M872" s="1" t="s">
        <v>70</v>
      </c>
      <c r="N872" s="1" t="s">
        <v>2736</v>
      </c>
      <c r="O872" s="1" t="s">
        <v>33</v>
      </c>
      <c r="P872" s="1" t="s">
        <v>34</v>
      </c>
      <c r="Q872" s="1" t="s">
        <v>2737</v>
      </c>
      <c r="R872">
        <v>82</v>
      </c>
      <c r="S872">
        <v>1</v>
      </c>
      <c r="T872">
        <v>0</v>
      </c>
      <c r="U872">
        <v>20</v>
      </c>
      <c r="V872" s="1" t="s">
        <v>73</v>
      </c>
      <c r="W872" s="1" t="s">
        <v>99</v>
      </c>
    </row>
    <row r="873" spans="1:23" x14ac:dyDescent="0.35">
      <c r="A873">
        <v>4193</v>
      </c>
      <c r="B873" s="1" t="s">
        <v>2738</v>
      </c>
      <c r="C873" s="2">
        <v>42324</v>
      </c>
      <c r="D873" s="2">
        <v>42328</v>
      </c>
      <c r="E873" s="1" t="s">
        <v>42</v>
      </c>
      <c r="F873" s="1" t="s">
        <v>272</v>
      </c>
      <c r="G873" s="1" t="s">
        <v>273</v>
      </c>
      <c r="H873" s="1" t="s">
        <v>93</v>
      </c>
      <c r="I873" s="1" t="s">
        <v>28</v>
      </c>
      <c r="J873" s="1" t="s">
        <v>2739</v>
      </c>
      <c r="K873" s="1" t="s">
        <v>2283</v>
      </c>
      <c r="L873">
        <v>83704</v>
      </c>
      <c r="M873" s="1" t="s">
        <v>57</v>
      </c>
      <c r="N873" s="1" t="s">
        <v>47</v>
      </c>
      <c r="O873" s="1" t="s">
        <v>33</v>
      </c>
      <c r="P873" s="1" t="s">
        <v>48</v>
      </c>
      <c r="Q873" s="1" t="s">
        <v>49</v>
      </c>
      <c r="R873">
        <v>696</v>
      </c>
      <c r="S873">
        <v>2</v>
      </c>
      <c r="T873">
        <v>0</v>
      </c>
      <c r="U873">
        <v>160</v>
      </c>
      <c r="V873" s="1" t="s">
        <v>86</v>
      </c>
      <c r="W873" s="1" t="s">
        <v>37</v>
      </c>
    </row>
    <row r="874" spans="1:23" x14ac:dyDescent="0.35">
      <c r="A874">
        <v>4196</v>
      </c>
      <c r="B874" s="1" t="s">
        <v>2740</v>
      </c>
      <c r="C874" s="2">
        <v>42468</v>
      </c>
      <c r="D874" s="2">
        <v>42474</v>
      </c>
      <c r="E874" s="1" t="s">
        <v>42</v>
      </c>
      <c r="F874" s="1" t="s">
        <v>1657</v>
      </c>
      <c r="G874" s="1" t="s">
        <v>1658</v>
      </c>
      <c r="H874" s="1" t="s">
        <v>27</v>
      </c>
      <c r="I874" s="1" t="s">
        <v>28</v>
      </c>
      <c r="J874" s="1" t="s">
        <v>55</v>
      </c>
      <c r="K874" s="1" t="s">
        <v>56</v>
      </c>
      <c r="L874">
        <v>90032</v>
      </c>
      <c r="M874" s="1" t="s">
        <v>57</v>
      </c>
      <c r="N874" s="1" t="s">
        <v>805</v>
      </c>
      <c r="O874" s="1" t="s">
        <v>33</v>
      </c>
      <c r="P874" s="1" t="s">
        <v>59</v>
      </c>
      <c r="Q874" s="1" t="s">
        <v>806</v>
      </c>
      <c r="R874">
        <v>25</v>
      </c>
      <c r="S874">
        <v>5</v>
      </c>
      <c r="T874">
        <v>0</v>
      </c>
      <c r="U874">
        <v>10</v>
      </c>
      <c r="V874" s="1" t="s">
        <v>132</v>
      </c>
      <c r="W874" s="1" t="s">
        <v>116</v>
      </c>
    </row>
    <row r="875" spans="1:23" x14ac:dyDescent="0.35">
      <c r="A875">
        <v>4206</v>
      </c>
      <c r="B875" s="1" t="s">
        <v>2741</v>
      </c>
      <c r="C875" s="2">
        <v>41943</v>
      </c>
      <c r="D875" s="2">
        <v>41945</v>
      </c>
      <c r="E875" s="1" t="s">
        <v>24</v>
      </c>
      <c r="F875" s="1" t="s">
        <v>1642</v>
      </c>
      <c r="G875" s="1" t="s">
        <v>1643</v>
      </c>
      <c r="H875" s="1" t="s">
        <v>27</v>
      </c>
      <c r="I875" s="1" t="s">
        <v>28</v>
      </c>
      <c r="J875" s="1" t="s">
        <v>2742</v>
      </c>
      <c r="K875" s="1" t="s">
        <v>1648</v>
      </c>
      <c r="L875">
        <v>2920</v>
      </c>
      <c r="M875" s="1" t="s">
        <v>70</v>
      </c>
      <c r="N875" s="1" t="s">
        <v>1721</v>
      </c>
      <c r="O875" s="1" t="s">
        <v>33</v>
      </c>
      <c r="P875" s="1" t="s">
        <v>59</v>
      </c>
      <c r="Q875" s="1" t="s">
        <v>1722</v>
      </c>
      <c r="R875">
        <v>15</v>
      </c>
      <c r="S875">
        <v>2</v>
      </c>
      <c r="T875">
        <v>0</v>
      </c>
      <c r="U875">
        <v>4</v>
      </c>
      <c r="V875" s="1" t="s">
        <v>73</v>
      </c>
      <c r="W875" s="1" t="s">
        <v>51</v>
      </c>
    </row>
    <row r="876" spans="1:23" x14ac:dyDescent="0.35">
      <c r="A876">
        <v>4208</v>
      </c>
      <c r="B876" s="1" t="s">
        <v>2741</v>
      </c>
      <c r="C876" s="2">
        <v>41943</v>
      </c>
      <c r="D876" s="2">
        <v>41945</v>
      </c>
      <c r="E876" s="1" t="s">
        <v>24</v>
      </c>
      <c r="F876" s="1" t="s">
        <v>1642</v>
      </c>
      <c r="G876" s="1" t="s">
        <v>1643</v>
      </c>
      <c r="H876" s="1" t="s">
        <v>27</v>
      </c>
      <c r="I876" s="1" t="s">
        <v>28</v>
      </c>
      <c r="J876" s="1" t="s">
        <v>2742</v>
      </c>
      <c r="K876" s="1" t="s">
        <v>1648</v>
      </c>
      <c r="L876">
        <v>2920</v>
      </c>
      <c r="M876" s="1" t="s">
        <v>70</v>
      </c>
      <c r="N876" s="1" t="s">
        <v>425</v>
      </c>
      <c r="O876" s="1" t="s">
        <v>33</v>
      </c>
      <c r="P876" s="1" t="s">
        <v>59</v>
      </c>
      <c r="Q876" s="1" t="s">
        <v>426</v>
      </c>
      <c r="R876">
        <v>18</v>
      </c>
      <c r="S876">
        <v>3</v>
      </c>
      <c r="T876">
        <v>0</v>
      </c>
      <c r="U876">
        <v>8</v>
      </c>
      <c r="V876" s="1" t="s">
        <v>73</v>
      </c>
      <c r="W876" s="1" t="s">
        <v>51</v>
      </c>
    </row>
    <row r="877" spans="1:23" x14ac:dyDescent="0.35">
      <c r="A877">
        <v>4209</v>
      </c>
      <c r="B877" s="1" t="s">
        <v>2741</v>
      </c>
      <c r="C877" s="2">
        <v>41943</v>
      </c>
      <c r="D877" s="2">
        <v>41945</v>
      </c>
      <c r="E877" s="1" t="s">
        <v>24</v>
      </c>
      <c r="F877" s="1" t="s">
        <v>1642</v>
      </c>
      <c r="G877" s="1" t="s">
        <v>1643</v>
      </c>
      <c r="H877" s="1" t="s">
        <v>27</v>
      </c>
      <c r="I877" s="1" t="s">
        <v>28</v>
      </c>
      <c r="J877" s="1" t="s">
        <v>2742</v>
      </c>
      <c r="K877" s="1" t="s">
        <v>1648</v>
      </c>
      <c r="L877">
        <v>2920</v>
      </c>
      <c r="M877" s="1" t="s">
        <v>70</v>
      </c>
      <c r="N877" s="1" t="s">
        <v>2276</v>
      </c>
      <c r="O877" s="1" t="s">
        <v>33</v>
      </c>
      <c r="P877" s="1" t="s">
        <v>39</v>
      </c>
      <c r="Q877" s="1" t="s">
        <v>2277</v>
      </c>
      <c r="R877">
        <v>1605</v>
      </c>
      <c r="S877">
        <v>5</v>
      </c>
      <c r="T877">
        <v>0</v>
      </c>
      <c r="U877">
        <v>481</v>
      </c>
      <c r="V877" s="1" t="s">
        <v>73</v>
      </c>
      <c r="W877" s="1" t="s">
        <v>51</v>
      </c>
    </row>
    <row r="878" spans="1:23" x14ac:dyDescent="0.35">
      <c r="A878">
        <v>4210</v>
      </c>
      <c r="B878" s="1" t="s">
        <v>2741</v>
      </c>
      <c r="C878" s="2">
        <v>41943</v>
      </c>
      <c r="D878" s="2">
        <v>41945</v>
      </c>
      <c r="E878" s="1" t="s">
        <v>24</v>
      </c>
      <c r="F878" s="1" t="s">
        <v>1642</v>
      </c>
      <c r="G878" s="1" t="s">
        <v>1643</v>
      </c>
      <c r="H878" s="1" t="s">
        <v>27</v>
      </c>
      <c r="I878" s="1" t="s">
        <v>28</v>
      </c>
      <c r="J878" s="1" t="s">
        <v>2742</v>
      </c>
      <c r="K878" s="1" t="s">
        <v>1648</v>
      </c>
      <c r="L878">
        <v>2920</v>
      </c>
      <c r="M878" s="1" t="s">
        <v>70</v>
      </c>
      <c r="N878" s="1" t="s">
        <v>1726</v>
      </c>
      <c r="O878" s="1" t="s">
        <v>33</v>
      </c>
      <c r="P878" s="1" t="s">
        <v>48</v>
      </c>
      <c r="Q878" s="1" t="s">
        <v>1727</v>
      </c>
      <c r="R878">
        <v>386</v>
      </c>
      <c r="S878">
        <v>1</v>
      </c>
      <c r="T878">
        <v>0.3</v>
      </c>
      <c r="U878">
        <v>-61</v>
      </c>
      <c r="V878" s="1" t="s">
        <v>73</v>
      </c>
      <c r="W878" s="1" t="s">
        <v>51</v>
      </c>
    </row>
    <row r="879" spans="1:23" x14ac:dyDescent="0.35">
      <c r="A879">
        <v>4218</v>
      </c>
      <c r="B879" s="1" t="s">
        <v>2743</v>
      </c>
      <c r="C879" s="2">
        <v>42826</v>
      </c>
      <c r="D879" s="2">
        <v>42828</v>
      </c>
      <c r="E879" s="1" t="s">
        <v>90</v>
      </c>
      <c r="F879" s="1" t="s">
        <v>2744</v>
      </c>
      <c r="G879" s="1" t="s">
        <v>2745</v>
      </c>
      <c r="H879" s="1" t="s">
        <v>93</v>
      </c>
      <c r="I879" s="1" t="s">
        <v>28</v>
      </c>
      <c r="J879" s="1" t="s">
        <v>331</v>
      </c>
      <c r="K879" s="1" t="s">
        <v>56</v>
      </c>
      <c r="L879">
        <v>94110</v>
      </c>
      <c r="M879" s="1" t="s">
        <v>57</v>
      </c>
      <c r="N879" s="1" t="s">
        <v>2746</v>
      </c>
      <c r="O879" s="1" t="s">
        <v>33</v>
      </c>
      <c r="P879" s="1" t="s">
        <v>34</v>
      </c>
      <c r="Q879" s="1" t="s">
        <v>2747</v>
      </c>
      <c r="R879">
        <v>483</v>
      </c>
      <c r="S879">
        <v>8</v>
      </c>
      <c r="T879">
        <v>0.15</v>
      </c>
      <c r="U879">
        <v>85</v>
      </c>
      <c r="V879" s="1" t="s">
        <v>73</v>
      </c>
      <c r="W879" s="1" t="s">
        <v>116</v>
      </c>
    </row>
    <row r="880" spans="1:23" x14ac:dyDescent="0.35">
      <c r="A880">
        <v>4224</v>
      </c>
      <c r="B880" s="1" t="s">
        <v>2748</v>
      </c>
      <c r="C880" s="2">
        <v>42897</v>
      </c>
      <c r="D880" s="2">
        <v>42899</v>
      </c>
      <c r="E880" s="1" t="s">
        <v>24</v>
      </c>
      <c r="F880" s="1" t="s">
        <v>2022</v>
      </c>
      <c r="G880" s="1" t="s">
        <v>2023</v>
      </c>
      <c r="H880" s="1" t="s">
        <v>27</v>
      </c>
      <c r="I880" s="1" t="s">
        <v>28</v>
      </c>
      <c r="J880" s="1" t="s">
        <v>194</v>
      </c>
      <c r="K880" s="1" t="s">
        <v>195</v>
      </c>
      <c r="L880">
        <v>98103</v>
      </c>
      <c r="M880" s="1" t="s">
        <v>57</v>
      </c>
      <c r="N880" s="1" t="s">
        <v>863</v>
      </c>
      <c r="O880" s="1" t="s">
        <v>33</v>
      </c>
      <c r="P880" s="1" t="s">
        <v>34</v>
      </c>
      <c r="Q880" s="1" t="s">
        <v>864</v>
      </c>
      <c r="R880">
        <v>174</v>
      </c>
      <c r="S880">
        <v>3</v>
      </c>
      <c r="T880">
        <v>0</v>
      </c>
      <c r="U880">
        <v>42</v>
      </c>
      <c r="V880" s="1" t="s">
        <v>73</v>
      </c>
      <c r="W880" s="1" t="s">
        <v>62</v>
      </c>
    </row>
    <row r="881" spans="1:23" x14ac:dyDescent="0.35">
      <c r="A881">
        <v>4226</v>
      </c>
      <c r="B881" s="1" t="s">
        <v>2749</v>
      </c>
      <c r="C881" s="2">
        <v>41986</v>
      </c>
      <c r="D881" s="2">
        <v>41990</v>
      </c>
      <c r="E881" s="1" t="s">
        <v>42</v>
      </c>
      <c r="F881" s="1" t="s">
        <v>626</v>
      </c>
      <c r="G881" s="1" t="s">
        <v>627</v>
      </c>
      <c r="H881" s="1" t="s">
        <v>93</v>
      </c>
      <c r="I881" s="1" t="s">
        <v>28</v>
      </c>
      <c r="J881" s="1" t="s">
        <v>136</v>
      </c>
      <c r="K881" s="1" t="s">
        <v>137</v>
      </c>
      <c r="L881">
        <v>60623</v>
      </c>
      <c r="M881" s="1" t="s">
        <v>96</v>
      </c>
      <c r="N881" s="1" t="s">
        <v>2750</v>
      </c>
      <c r="O881" s="1" t="s">
        <v>33</v>
      </c>
      <c r="P881" s="1" t="s">
        <v>59</v>
      </c>
      <c r="Q881" s="1" t="s">
        <v>2751</v>
      </c>
      <c r="R881">
        <v>94</v>
      </c>
      <c r="S881">
        <v>3</v>
      </c>
      <c r="T881">
        <v>0.6</v>
      </c>
      <c r="U881">
        <v>-42</v>
      </c>
      <c r="V881" s="1" t="s">
        <v>86</v>
      </c>
      <c r="W881" s="1" t="s">
        <v>99</v>
      </c>
    </row>
    <row r="882" spans="1:23" x14ac:dyDescent="0.35">
      <c r="A882">
        <v>4228</v>
      </c>
      <c r="B882" s="1" t="s">
        <v>2752</v>
      </c>
      <c r="C882" s="2">
        <v>42009</v>
      </c>
      <c r="D882" s="2">
        <v>42014</v>
      </c>
      <c r="E882" s="1" t="s">
        <v>42</v>
      </c>
      <c r="F882" s="1" t="s">
        <v>2753</v>
      </c>
      <c r="G882" s="1" t="s">
        <v>2754</v>
      </c>
      <c r="H882" s="1" t="s">
        <v>103</v>
      </c>
      <c r="I882" s="1" t="s">
        <v>28</v>
      </c>
      <c r="J882" s="1" t="s">
        <v>194</v>
      </c>
      <c r="K882" s="1" t="s">
        <v>195</v>
      </c>
      <c r="L882">
        <v>98103</v>
      </c>
      <c r="M882" s="1" t="s">
        <v>57</v>
      </c>
      <c r="N882" s="1" t="s">
        <v>491</v>
      </c>
      <c r="O882" s="1" t="s">
        <v>33</v>
      </c>
      <c r="P882" s="1" t="s">
        <v>39</v>
      </c>
      <c r="Q882" s="1" t="s">
        <v>492</v>
      </c>
      <c r="R882">
        <v>62</v>
      </c>
      <c r="S882">
        <v>1</v>
      </c>
      <c r="T882">
        <v>0.2</v>
      </c>
      <c r="U882">
        <v>-7</v>
      </c>
      <c r="V882" s="1" t="s">
        <v>61</v>
      </c>
      <c r="W882" s="1" t="s">
        <v>172</v>
      </c>
    </row>
    <row r="883" spans="1:23" x14ac:dyDescent="0.35">
      <c r="A883">
        <v>4230</v>
      </c>
      <c r="B883" s="1" t="s">
        <v>2755</v>
      </c>
      <c r="C883" s="2">
        <v>42921</v>
      </c>
      <c r="D883" s="2">
        <v>42926</v>
      </c>
      <c r="E883" s="1" t="s">
        <v>42</v>
      </c>
      <c r="F883" s="1" t="s">
        <v>1108</v>
      </c>
      <c r="G883" s="1" t="s">
        <v>1109</v>
      </c>
      <c r="H883" s="1" t="s">
        <v>93</v>
      </c>
      <c r="I883" s="1" t="s">
        <v>28</v>
      </c>
      <c r="J883" s="1" t="s">
        <v>1742</v>
      </c>
      <c r="K883" s="1" t="s">
        <v>95</v>
      </c>
      <c r="L883">
        <v>75220</v>
      </c>
      <c r="M883" s="1" t="s">
        <v>96</v>
      </c>
      <c r="N883" s="1" t="s">
        <v>923</v>
      </c>
      <c r="O883" s="1" t="s">
        <v>33</v>
      </c>
      <c r="P883" s="1" t="s">
        <v>59</v>
      </c>
      <c r="Q883" s="1" t="s">
        <v>924</v>
      </c>
      <c r="R883">
        <v>332</v>
      </c>
      <c r="S883">
        <v>9</v>
      </c>
      <c r="T883">
        <v>0.6</v>
      </c>
      <c r="U883">
        <v>-349</v>
      </c>
      <c r="V883" s="1" t="s">
        <v>61</v>
      </c>
      <c r="W883" s="1" t="s">
        <v>74</v>
      </c>
    </row>
    <row r="884" spans="1:23" x14ac:dyDescent="0.35">
      <c r="A884">
        <v>4247</v>
      </c>
      <c r="B884" s="1" t="s">
        <v>2756</v>
      </c>
      <c r="C884" s="2">
        <v>43067</v>
      </c>
      <c r="D884" s="2">
        <v>43073</v>
      </c>
      <c r="E884" s="1" t="s">
        <v>42</v>
      </c>
      <c r="F884" s="1" t="s">
        <v>218</v>
      </c>
      <c r="G884" s="1" t="s">
        <v>219</v>
      </c>
      <c r="H884" s="1" t="s">
        <v>103</v>
      </c>
      <c r="I884" s="1" t="s">
        <v>28</v>
      </c>
      <c r="J884" s="1" t="s">
        <v>2757</v>
      </c>
      <c r="K884" s="1" t="s">
        <v>1092</v>
      </c>
      <c r="L884">
        <v>21215</v>
      </c>
      <c r="M884" s="1" t="s">
        <v>70</v>
      </c>
      <c r="N884" s="1" t="s">
        <v>316</v>
      </c>
      <c r="O884" s="1" t="s">
        <v>33</v>
      </c>
      <c r="P884" s="1" t="s">
        <v>59</v>
      </c>
      <c r="Q884" s="1" t="s">
        <v>317</v>
      </c>
      <c r="R884">
        <v>1049</v>
      </c>
      <c r="S884">
        <v>5</v>
      </c>
      <c r="T884">
        <v>0</v>
      </c>
      <c r="U884">
        <v>273</v>
      </c>
      <c r="V884" s="1" t="s">
        <v>132</v>
      </c>
      <c r="W884" s="1" t="s">
        <v>37</v>
      </c>
    </row>
    <row r="885" spans="1:23" x14ac:dyDescent="0.35">
      <c r="A885">
        <v>4248</v>
      </c>
      <c r="B885" s="1" t="s">
        <v>2756</v>
      </c>
      <c r="C885" s="2">
        <v>43067</v>
      </c>
      <c r="D885" s="2">
        <v>43073</v>
      </c>
      <c r="E885" s="1" t="s">
        <v>42</v>
      </c>
      <c r="F885" s="1" t="s">
        <v>218</v>
      </c>
      <c r="G885" s="1" t="s">
        <v>219</v>
      </c>
      <c r="H885" s="1" t="s">
        <v>103</v>
      </c>
      <c r="I885" s="1" t="s">
        <v>28</v>
      </c>
      <c r="J885" s="1" t="s">
        <v>2757</v>
      </c>
      <c r="K885" s="1" t="s">
        <v>1092</v>
      </c>
      <c r="L885">
        <v>21215</v>
      </c>
      <c r="M885" s="1" t="s">
        <v>70</v>
      </c>
      <c r="N885" s="1" t="s">
        <v>1314</v>
      </c>
      <c r="O885" s="1" t="s">
        <v>33</v>
      </c>
      <c r="P885" s="1" t="s">
        <v>59</v>
      </c>
      <c r="Q885" s="1" t="s">
        <v>1315</v>
      </c>
      <c r="R885">
        <v>21</v>
      </c>
      <c r="S885">
        <v>5</v>
      </c>
      <c r="T885">
        <v>0</v>
      </c>
      <c r="U885">
        <v>8</v>
      </c>
      <c r="V885" s="1" t="s">
        <v>132</v>
      </c>
      <c r="W885" s="1" t="s">
        <v>37</v>
      </c>
    </row>
    <row r="886" spans="1:23" x14ac:dyDescent="0.35">
      <c r="A886">
        <v>4250</v>
      </c>
      <c r="B886" s="1" t="s">
        <v>2758</v>
      </c>
      <c r="C886" s="2">
        <v>42705</v>
      </c>
      <c r="D886" s="2">
        <v>42709</v>
      </c>
      <c r="E886" s="1" t="s">
        <v>24</v>
      </c>
      <c r="F886" s="1" t="s">
        <v>2759</v>
      </c>
      <c r="G886" s="1" t="s">
        <v>2760</v>
      </c>
      <c r="H886" s="1" t="s">
        <v>27</v>
      </c>
      <c r="I886" s="1" t="s">
        <v>28</v>
      </c>
      <c r="J886" s="1" t="s">
        <v>1583</v>
      </c>
      <c r="K886" s="1" t="s">
        <v>432</v>
      </c>
      <c r="L886">
        <v>6824</v>
      </c>
      <c r="M886" s="1" t="s">
        <v>70</v>
      </c>
      <c r="N886" s="1" t="s">
        <v>628</v>
      </c>
      <c r="O886" s="1" t="s">
        <v>33</v>
      </c>
      <c r="P886" s="1" t="s">
        <v>39</v>
      </c>
      <c r="Q886" s="1" t="s">
        <v>629</v>
      </c>
      <c r="R886">
        <v>752</v>
      </c>
      <c r="S886">
        <v>4</v>
      </c>
      <c r="T886">
        <v>0</v>
      </c>
      <c r="U886">
        <v>150</v>
      </c>
      <c r="V886" s="1" t="s">
        <v>86</v>
      </c>
      <c r="W886" s="1" t="s">
        <v>99</v>
      </c>
    </row>
    <row r="887" spans="1:23" x14ac:dyDescent="0.35">
      <c r="A887">
        <v>4251</v>
      </c>
      <c r="B887" s="1" t="s">
        <v>2761</v>
      </c>
      <c r="C887" s="2">
        <v>41901</v>
      </c>
      <c r="D887" s="2">
        <v>41901</v>
      </c>
      <c r="E887" s="1" t="s">
        <v>428</v>
      </c>
      <c r="F887" s="1" t="s">
        <v>2762</v>
      </c>
      <c r="G887" s="1" t="s">
        <v>2763</v>
      </c>
      <c r="H887" s="1" t="s">
        <v>93</v>
      </c>
      <c r="I887" s="1" t="s">
        <v>28</v>
      </c>
      <c r="J887" s="1" t="s">
        <v>176</v>
      </c>
      <c r="K887" s="1" t="s">
        <v>123</v>
      </c>
      <c r="L887">
        <v>10011</v>
      </c>
      <c r="M887" s="1" t="s">
        <v>70</v>
      </c>
      <c r="N887" s="1" t="s">
        <v>1535</v>
      </c>
      <c r="O887" s="1" t="s">
        <v>33</v>
      </c>
      <c r="P887" s="1" t="s">
        <v>39</v>
      </c>
      <c r="Q887" s="1" t="s">
        <v>1536</v>
      </c>
      <c r="R887">
        <v>887</v>
      </c>
      <c r="S887">
        <v>7</v>
      </c>
      <c r="T887">
        <v>0.1</v>
      </c>
      <c r="U887">
        <v>177</v>
      </c>
      <c r="V887" s="1" t="s">
        <v>433</v>
      </c>
      <c r="W887" s="1" t="s">
        <v>80</v>
      </c>
    </row>
    <row r="888" spans="1:23" x14ac:dyDescent="0.35">
      <c r="A888">
        <v>4257</v>
      </c>
      <c r="B888" s="1" t="s">
        <v>2764</v>
      </c>
      <c r="C888" s="2">
        <v>43021</v>
      </c>
      <c r="D888" s="2">
        <v>43024</v>
      </c>
      <c r="E888" s="1" t="s">
        <v>90</v>
      </c>
      <c r="F888" s="1" t="s">
        <v>1431</v>
      </c>
      <c r="G888" s="1" t="s">
        <v>1432</v>
      </c>
      <c r="H888" s="1" t="s">
        <v>27</v>
      </c>
      <c r="I888" s="1" t="s">
        <v>28</v>
      </c>
      <c r="J888" s="1" t="s">
        <v>2731</v>
      </c>
      <c r="K888" s="1" t="s">
        <v>137</v>
      </c>
      <c r="L888">
        <v>61032</v>
      </c>
      <c r="M888" s="1" t="s">
        <v>96</v>
      </c>
      <c r="N888" s="1" t="s">
        <v>898</v>
      </c>
      <c r="O888" s="1" t="s">
        <v>33</v>
      </c>
      <c r="P888" s="1" t="s">
        <v>59</v>
      </c>
      <c r="Q888" s="1" t="s">
        <v>899</v>
      </c>
      <c r="R888">
        <v>10</v>
      </c>
      <c r="S888">
        <v>3</v>
      </c>
      <c r="T888">
        <v>0.6</v>
      </c>
      <c r="U888">
        <v>-7</v>
      </c>
      <c r="V888" s="1" t="s">
        <v>36</v>
      </c>
      <c r="W888" s="1" t="s">
        <v>51</v>
      </c>
    </row>
    <row r="889" spans="1:23" x14ac:dyDescent="0.35">
      <c r="A889">
        <v>4259</v>
      </c>
      <c r="B889" s="1" t="s">
        <v>2765</v>
      </c>
      <c r="C889" s="2">
        <v>42443</v>
      </c>
      <c r="D889" s="2">
        <v>42445</v>
      </c>
      <c r="E889" s="1" t="s">
        <v>90</v>
      </c>
      <c r="F889" s="1" t="s">
        <v>2628</v>
      </c>
      <c r="G889" s="1" t="s">
        <v>2629</v>
      </c>
      <c r="H889" s="1" t="s">
        <v>93</v>
      </c>
      <c r="I889" s="1" t="s">
        <v>28</v>
      </c>
      <c r="J889" s="1" t="s">
        <v>194</v>
      </c>
      <c r="K889" s="1" t="s">
        <v>195</v>
      </c>
      <c r="L889">
        <v>98103</v>
      </c>
      <c r="M889" s="1" t="s">
        <v>57</v>
      </c>
      <c r="N889" s="1" t="s">
        <v>1031</v>
      </c>
      <c r="O889" s="1" t="s">
        <v>33</v>
      </c>
      <c r="P889" s="1" t="s">
        <v>39</v>
      </c>
      <c r="Q889" s="1" t="s">
        <v>1032</v>
      </c>
      <c r="R889">
        <v>197</v>
      </c>
      <c r="S889">
        <v>2</v>
      </c>
      <c r="T889">
        <v>0.2</v>
      </c>
      <c r="U889">
        <v>-22</v>
      </c>
      <c r="V889" s="1" t="s">
        <v>73</v>
      </c>
      <c r="W889" s="1" t="s">
        <v>198</v>
      </c>
    </row>
    <row r="890" spans="1:23" x14ac:dyDescent="0.35">
      <c r="A890">
        <v>4265</v>
      </c>
      <c r="B890" s="1" t="s">
        <v>2766</v>
      </c>
      <c r="C890" s="2">
        <v>42679</v>
      </c>
      <c r="D890" s="2">
        <v>42683</v>
      </c>
      <c r="E890" s="1" t="s">
        <v>42</v>
      </c>
      <c r="F890" s="1" t="s">
        <v>2066</v>
      </c>
      <c r="G890" s="1" t="s">
        <v>2067</v>
      </c>
      <c r="H890" s="1" t="s">
        <v>27</v>
      </c>
      <c r="I890" s="1" t="s">
        <v>28</v>
      </c>
      <c r="J890" s="1" t="s">
        <v>104</v>
      </c>
      <c r="K890" s="1" t="s">
        <v>95</v>
      </c>
      <c r="L890">
        <v>77036</v>
      </c>
      <c r="M890" s="1" t="s">
        <v>96</v>
      </c>
      <c r="N890" s="1" t="s">
        <v>734</v>
      </c>
      <c r="O890" s="1" t="s">
        <v>33</v>
      </c>
      <c r="P890" s="1" t="s">
        <v>48</v>
      </c>
      <c r="Q890" s="1" t="s">
        <v>735</v>
      </c>
      <c r="R890">
        <v>863</v>
      </c>
      <c r="S890">
        <v>8</v>
      </c>
      <c r="T890">
        <v>0.3</v>
      </c>
      <c r="U890">
        <v>-160</v>
      </c>
      <c r="V890" s="1" t="s">
        <v>86</v>
      </c>
      <c r="W890" s="1" t="s">
        <v>37</v>
      </c>
    </row>
    <row r="891" spans="1:23" x14ac:dyDescent="0.35">
      <c r="A891">
        <v>4267</v>
      </c>
      <c r="B891" s="1" t="s">
        <v>2766</v>
      </c>
      <c r="C891" s="2">
        <v>42679</v>
      </c>
      <c r="D891" s="2">
        <v>42683</v>
      </c>
      <c r="E891" s="1" t="s">
        <v>42</v>
      </c>
      <c r="F891" s="1" t="s">
        <v>2066</v>
      </c>
      <c r="G891" s="1" t="s">
        <v>2067</v>
      </c>
      <c r="H891" s="1" t="s">
        <v>27</v>
      </c>
      <c r="I891" s="1" t="s">
        <v>28</v>
      </c>
      <c r="J891" s="1" t="s">
        <v>104</v>
      </c>
      <c r="K891" s="1" t="s">
        <v>95</v>
      </c>
      <c r="L891">
        <v>77036</v>
      </c>
      <c r="M891" s="1" t="s">
        <v>96</v>
      </c>
      <c r="N891" s="1" t="s">
        <v>1872</v>
      </c>
      <c r="O891" s="1" t="s">
        <v>33</v>
      </c>
      <c r="P891" s="1" t="s">
        <v>34</v>
      </c>
      <c r="Q891" s="1" t="s">
        <v>1873</v>
      </c>
      <c r="R891">
        <v>957</v>
      </c>
      <c r="S891">
        <v>7</v>
      </c>
      <c r="T891">
        <v>0.32</v>
      </c>
      <c r="U891">
        <v>-225</v>
      </c>
      <c r="V891" s="1" t="s">
        <v>86</v>
      </c>
      <c r="W891" s="1" t="s">
        <v>37</v>
      </c>
    </row>
    <row r="892" spans="1:23" x14ac:dyDescent="0.35">
      <c r="A892">
        <v>4270</v>
      </c>
      <c r="B892" s="1" t="s">
        <v>2767</v>
      </c>
      <c r="C892" s="2">
        <v>42911</v>
      </c>
      <c r="D892" s="2">
        <v>42915</v>
      </c>
      <c r="E892" s="1" t="s">
        <v>24</v>
      </c>
      <c r="F892" s="1" t="s">
        <v>1642</v>
      </c>
      <c r="G892" s="1" t="s">
        <v>1643</v>
      </c>
      <c r="H892" s="1" t="s">
        <v>27</v>
      </c>
      <c r="I892" s="1" t="s">
        <v>28</v>
      </c>
      <c r="J892" s="1" t="s">
        <v>194</v>
      </c>
      <c r="K892" s="1" t="s">
        <v>195</v>
      </c>
      <c r="L892">
        <v>98115</v>
      </c>
      <c r="M892" s="1" t="s">
        <v>57</v>
      </c>
      <c r="N892" s="1" t="s">
        <v>702</v>
      </c>
      <c r="O892" s="1" t="s">
        <v>33</v>
      </c>
      <c r="P892" s="1" t="s">
        <v>48</v>
      </c>
      <c r="Q892" s="1" t="s">
        <v>703</v>
      </c>
      <c r="R892">
        <v>871</v>
      </c>
      <c r="S892">
        <v>4</v>
      </c>
      <c r="T892">
        <v>0</v>
      </c>
      <c r="U892">
        <v>148</v>
      </c>
      <c r="V892" s="1" t="s">
        <v>86</v>
      </c>
      <c r="W892" s="1" t="s">
        <v>62</v>
      </c>
    </row>
    <row r="893" spans="1:23" x14ac:dyDescent="0.35">
      <c r="A893">
        <v>4271</v>
      </c>
      <c r="B893" s="1" t="s">
        <v>2768</v>
      </c>
      <c r="C893" s="2">
        <v>42334</v>
      </c>
      <c r="D893" s="2">
        <v>42338</v>
      </c>
      <c r="E893" s="1" t="s">
        <v>42</v>
      </c>
      <c r="F893" s="1" t="s">
        <v>2769</v>
      </c>
      <c r="G893" s="1" t="s">
        <v>2770</v>
      </c>
      <c r="H893" s="1" t="s">
        <v>93</v>
      </c>
      <c r="I893" s="1" t="s">
        <v>28</v>
      </c>
      <c r="J893" s="1" t="s">
        <v>480</v>
      </c>
      <c r="K893" s="1" t="s">
        <v>144</v>
      </c>
      <c r="L893">
        <v>38301</v>
      </c>
      <c r="M893" s="1" t="s">
        <v>31</v>
      </c>
      <c r="N893" s="1" t="s">
        <v>2750</v>
      </c>
      <c r="O893" s="1" t="s">
        <v>33</v>
      </c>
      <c r="P893" s="1" t="s">
        <v>59</v>
      </c>
      <c r="Q893" s="1" t="s">
        <v>2751</v>
      </c>
      <c r="R893">
        <v>692</v>
      </c>
      <c r="S893">
        <v>11</v>
      </c>
      <c r="T893">
        <v>0.2</v>
      </c>
      <c r="U893">
        <v>190</v>
      </c>
      <c r="V893" s="1" t="s">
        <v>86</v>
      </c>
      <c r="W893" s="1" t="s">
        <v>37</v>
      </c>
    </row>
    <row r="894" spans="1:23" x14ac:dyDescent="0.35">
      <c r="A894">
        <v>4272</v>
      </c>
      <c r="B894" s="1" t="s">
        <v>2771</v>
      </c>
      <c r="C894" s="2">
        <v>42698</v>
      </c>
      <c r="D894" s="2">
        <v>42701</v>
      </c>
      <c r="E894" s="1" t="s">
        <v>24</v>
      </c>
      <c r="F894" s="1" t="s">
        <v>987</v>
      </c>
      <c r="G894" s="1" t="s">
        <v>988</v>
      </c>
      <c r="H894" s="1" t="s">
        <v>93</v>
      </c>
      <c r="I894" s="1" t="s">
        <v>28</v>
      </c>
      <c r="J894" s="1" t="s">
        <v>2757</v>
      </c>
      <c r="K894" s="1" t="s">
        <v>1092</v>
      </c>
      <c r="L894">
        <v>21215</v>
      </c>
      <c r="M894" s="1" t="s">
        <v>70</v>
      </c>
      <c r="N894" s="1" t="s">
        <v>882</v>
      </c>
      <c r="O894" s="1" t="s">
        <v>33</v>
      </c>
      <c r="P894" s="1" t="s">
        <v>59</v>
      </c>
      <c r="Q894" s="1" t="s">
        <v>883</v>
      </c>
      <c r="R894">
        <v>208</v>
      </c>
      <c r="S894">
        <v>4</v>
      </c>
      <c r="T894">
        <v>0</v>
      </c>
      <c r="U894">
        <v>85</v>
      </c>
      <c r="V894" s="1" t="s">
        <v>36</v>
      </c>
      <c r="W894" s="1" t="s">
        <v>37</v>
      </c>
    </row>
    <row r="895" spans="1:23" x14ac:dyDescent="0.35">
      <c r="A895">
        <v>4279</v>
      </c>
      <c r="B895" s="1" t="s">
        <v>2772</v>
      </c>
      <c r="C895" s="2">
        <v>42476</v>
      </c>
      <c r="D895" s="2">
        <v>42480</v>
      </c>
      <c r="E895" s="1" t="s">
        <v>42</v>
      </c>
      <c r="F895" s="1" t="s">
        <v>2762</v>
      </c>
      <c r="G895" s="1" t="s">
        <v>2763</v>
      </c>
      <c r="H895" s="1" t="s">
        <v>93</v>
      </c>
      <c r="I895" s="1" t="s">
        <v>28</v>
      </c>
      <c r="J895" s="1" t="s">
        <v>2063</v>
      </c>
      <c r="K895" s="1" t="s">
        <v>365</v>
      </c>
      <c r="L895">
        <v>8701</v>
      </c>
      <c r="M895" s="1" t="s">
        <v>70</v>
      </c>
      <c r="N895" s="1" t="s">
        <v>2240</v>
      </c>
      <c r="O895" s="1" t="s">
        <v>33</v>
      </c>
      <c r="P895" s="1" t="s">
        <v>59</v>
      </c>
      <c r="Q895" s="1" t="s">
        <v>2241</v>
      </c>
      <c r="R895">
        <v>10</v>
      </c>
      <c r="S895">
        <v>2</v>
      </c>
      <c r="T895">
        <v>0</v>
      </c>
      <c r="U895">
        <v>3</v>
      </c>
      <c r="V895" s="1" t="s">
        <v>86</v>
      </c>
      <c r="W895" s="1" t="s">
        <v>116</v>
      </c>
    </row>
    <row r="896" spans="1:23" x14ac:dyDescent="0.35">
      <c r="A896">
        <v>4282</v>
      </c>
      <c r="B896" s="1" t="s">
        <v>2773</v>
      </c>
      <c r="C896" s="2">
        <v>41957</v>
      </c>
      <c r="D896" s="2">
        <v>41961</v>
      </c>
      <c r="E896" s="1" t="s">
        <v>42</v>
      </c>
      <c r="F896" s="1" t="s">
        <v>2774</v>
      </c>
      <c r="G896" s="1" t="s">
        <v>2775</v>
      </c>
      <c r="H896" s="1" t="s">
        <v>103</v>
      </c>
      <c r="I896" s="1" t="s">
        <v>28</v>
      </c>
      <c r="J896" s="1" t="s">
        <v>176</v>
      </c>
      <c r="K896" s="1" t="s">
        <v>123</v>
      </c>
      <c r="L896">
        <v>10011</v>
      </c>
      <c r="M896" s="1" t="s">
        <v>70</v>
      </c>
      <c r="N896" s="1" t="s">
        <v>2221</v>
      </c>
      <c r="O896" s="1" t="s">
        <v>33</v>
      </c>
      <c r="P896" s="1" t="s">
        <v>39</v>
      </c>
      <c r="Q896" s="1" t="s">
        <v>2222</v>
      </c>
      <c r="R896">
        <v>69</v>
      </c>
      <c r="S896">
        <v>2</v>
      </c>
      <c r="T896">
        <v>0.1</v>
      </c>
      <c r="U896">
        <v>15</v>
      </c>
      <c r="V896" s="1" t="s">
        <v>86</v>
      </c>
      <c r="W896" s="1" t="s">
        <v>37</v>
      </c>
    </row>
    <row r="897" spans="1:23" x14ac:dyDescent="0.35">
      <c r="A897">
        <v>4285</v>
      </c>
      <c r="B897" s="1" t="s">
        <v>2776</v>
      </c>
      <c r="C897" s="2">
        <v>42329</v>
      </c>
      <c r="D897" s="2">
        <v>42334</v>
      </c>
      <c r="E897" s="1" t="s">
        <v>24</v>
      </c>
      <c r="F897" s="1" t="s">
        <v>2777</v>
      </c>
      <c r="G897" s="1" t="s">
        <v>2778</v>
      </c>
      <c r="H897" s="1" t="s">
        <v>93</v>
      </c>
      <c r="I897" s="1" t="s">
        <v>28</v>
      </c>
      <c r="J897" s="1" t="s">
        <v>2779</v>
      </c>
      <c r="K897" s="1" t="s">
        <v>95</v>
      </c>
      <c r="L897">
        <v>77642</v>
      </c>
      <c r="M897" s="1" t="s">
        <v>96</v>
      </c>
      <c r="N897" s="1" t="s">
        <v>1449</v>
      </c>
      <c r="O897" s="1" t="s">
        <v>33</v>
      </c>
      <c r="P897" s="1" t="s">
        <v>34</v>
      </c>
      <c r="Q897" s="1" t="s">
        <v>1450</v>
      </c>
      <c r="R897">
        <v>246</v>
      </c>
      <c r="S897">
        <v>2</v>
      </c>
      <c r="T897">
        <v>0.32</v>
      </c>
      <c r="U897">
        <v>-76</v>
      </c>
      <c r="V897" s="1" t="s">
        <v>61</v>
      </c>
      <c r="W897" s="1" t="s">
        <v>37</v>
      </c>
    </row>
    <row r="898" spans="1:23" x14ac:dyDescent="0.35">
      <c r="A898">
        <v>4292</v>
      </c>
      <c r="B898" s="1" t="s">
        <v>2780</v>
      </c>
      <c r="C898" s="2">
        <v>43078</v>
      </c>
      <c r="D898" s="2">
        <v>43082</v>
      </c>
      <c r="E898" s="1" t="s">
        <v>24</v>
      </c>
      <c r="F898" s="1" t="s">
        <v>1326</v>
      </c>
      <c r="G898" s="1" t="s">
        <v>1327</v>
      </c>
      <c r="H898" s="1" t="s">
        <v>103</v>
      </c>
      <c r="I898" s="1" t="s">
        <v>28</v>
      </c>
      <c r="J898" s="1" t="s">
        <v>55</v>
      </c>
      <c r="K898" s="1" t="s">
        <v>56</v>
      </c>
      <c r="L898">
        <v>90004</v>
      </c>
      <c r="M898" s="1" t="s">
        <v>57</v>
      </c>
      <c r="N898" s="1" t="s">
        <v>293</v>
      </c>
      <c r="O898" s="1" t="s">
        <v>33</v>
      </c>
      <c r="P898" s="1" t="s">
        <v>48</v>
      </c>
      <c r="Q898" s="1" t="s">
        <v>294</v>
      </c>
      <c r="R898">
        <v>896</v>
      </c>
      <c r="S898">
        <v>9</v>
      </c>
      <c r="T898">
        <v>0.2</v>
      </c>
      <c r="U898">
        <v>22</v>
      </c>
      <c r="V898" s="1" t="s">
        <v>86</v>
      </c>
      <c r="W898" s="1" t="s">
        <v>99</v>
      </c>
    </row>
    <row r="899" spans="1:23" x14ac:dyDescent="0.35">
      <c r="A899">
        <v>4295</v>
      </c>
      <c r="B899" s="1" t="s">
        <v>2781</v>
      </c>
      <c r="C899" s="2">
        <v>43030</v>
      </c>
      <c r="D899" s="2">
        <v>43035</v>
      </c>
      <c r="E899" s="1" t="s">
        <v>42</v>
      </c>
      <c r="F899" s="1" t="s">
        <v>2359</v>
      </c>
      <c r="G899" s="1" t="s">
        <v>2360</v>
      </c>
      <c r="H899" s="1" t="s">
        <v>93</v>
      </c>
      <c r="I899" s="1" t="s">
        <v>28</v>
      </c>
      <c r="J899" s="1" t="s">
        <v>1519</v>
      </c>
      <c r="K899" s="1" t="s">
        <v>1520</v>
      </c>
      <c r="L899">
        <v>97756</v>
      </c>
      <c r="M899" s="1" t="s">
        <v>57</v>
      </c>
      <c r="N899" s="1" t="s">
        <v>320</v>
      </c>
      <c r="O899" s="1" t="s">
        <v>33</v>
      </c>
      <c r="P899" s="1" t="s">
        <v>48</v>
      </c>
      <c r="Q899" s="1" t="s">
        <v>321</v>
      </c>
      <c r="R899">
        <v>177</v>
      </c>
      <c r="S899">
        <v>5</v>
      </c>
      <c r="T899">
        <v>0.5</v>
      </c>
      <c r="U899">
        <v>-121</v>
      </c>
      <c r="V899" s="1" t="s">
        <v>61</v>
      </c>
      <c r="W899" s="1" t="s">
        <v>51</v>
      </c>
    </row>
    <row r="900" spans="1:23" x14ac:dyDescent="0.35">
      <c r="A900">
        <v>4296</v>
      </c>
      <c r="B900" s="1" t="s">
        <v>2782</v>
      </c>
      <c r="C900" s="2">
        <v>42919</v>
      </c>
      <c r="D900" s="2">
        <v>42926</v>
      </c>
      <c r="E900" s="1" t="s">
        <v>42</v>
      </c>
      <c r="F900" s="1" t="s">
        <v>1303</v>
      </c>
      <c r="G900" s="1" t="s">
        <v>1304</v>
      </c>
      <c r="H900" s="1" t="s">
        <v>27</v>
      </c>
      <c r="I900" s="1" t="s">
        <v>28</v>
      </c>
      <c r="J900" s="1" t="s">
        <v>2783</v>
      </c>
      <c r="K900" s="1" t="s">
        <v>56</v>
      </c>
      <c r="L900">
        <v>95610</v>
      </c>
      <c r="M900" s="1" t="s">
        <v>57</v>
      </c>
      <c r="N900" s="1" t="s">
        <v>2693</v>
      </c>
      <c r="O900" s="1" t="s">
        <v>33</v>
      </c>
      <c r="P900" s="1" t="s">
        <v>59</v>
      </c>
      <c r="Q900" s="1" t="s">
        <v>2694</v>
      </c>
      <c r="R900">
        <v>129</v>
      </c>
      <c r="S900">
        <v>3</v>
      </c>
      <c r="T900">
        <v>0</v>
      </c>
      <c r="U900">
        <v>54</v>
      </c>
      <c r="V900" s="1" t="s">
        <v>50</v>
      </c>
      <c r="W900" s="1" t="s">
        <v>74</v>
      </c>
    </row>
    <row r="901" spans="1:23" x14ac:dyDescent="0.35">
      <c r="A901">
        <v>4301</v>
      </c>
      <c r="B901" s="1" t="s">
        <v>2784</v>
      </c>
      <c r="C901" s="2">
        <v>42970</v>
      </c>
      <c r="D901" s="2">
        <v>42973</v>
      </c>
      <c r="E901" s="1" t="s">
        <v>24</v>
      </c>
      <c r="F901" s="1" t="s">
        <v>406</v>
      </c>
      <c r="G901" s="1" t="s">
        <v>407</v>
      </c>
      <c r="H901" s="1" t="s">
        <v>27</v>
      </c>
      <c r="I901" s="1" t="s">
        <v>28</v>
      </c>
      <c r="J901" s="1" t="s">
        <v>2343</v>
      </c>
      <c r="K901" s="1" t="s">
        <v>46</v>
      </c>
      <c r="L901">
        <v>32303</v>
      </c>
      <c r="M901" s="1" t="s">
        <v>31</v>
      </c>
      <c r="N901" s="1" t="s">
        <v>1074</v>
      </c>
      <c r="O901" s="1" t="s">
        <v>33</v>
      </c>
      <c r="P901" s="1" t="s">
        <v>59</v>
      </c>
      <c r="Q901" s="1" t="s">
        <v>1075</v>
      </c>
      <c r="R901">
        <v>3</v>
      </c>
      <c r="S901">
        <v>2</v>
      </c>
      <c r="T901">
        <v>0.2</v>
      </c>
      <c r="U901">
        <v>0</v>
      </c>
      <c r="V901" s="1" t="s">
        <v>36</v>
      </c>
      <c r="W901" s="1" t="s">
        <v>256</v>
      </c>
    </row>
    <row r="902" spans="1:23" x14ac:dyDescent="0.35">
      <c r="A902">
        <v>4305</v>
      </c>
      <c r="B902" s="1" t="s">
        <v>2785</v>
      </c>
      <c r="C902" s="2">
        <v>41938</v>
      </c>
      <c r="D902" s="2">
        <v>41942</v>
      </c>
      <c r="E902" s="1" t="s">
        <v>24</v>
      </c>
      <c r="F902" s="1" t="s">
        <v>2786</v>
      </c>
      <c r="G902" s="1" t="s">
        <v>2787</v>
      </c>
      <c r="H902" s="1" t="s">
        <v>27</v>
      </c>
      <c r="I902" s="1" t="s">
        <v>28</v>
      </c>
      <c r="J902" s="1" t="s">
        <v>194</v>
      </c>
      <c r="K902" s="1" t="s">
        <v>195</v>
      </c>
      <c r="L902">
        <v>98105</v>
      </c>
      <c r="M902" s="1" t="s">
        <v>57</v>
      </c>
      <c r="N902" s="1" t="s">
        <v>588</v>
      </c>
      <c r="O902" s="1" t="s">
        <v>33</v>
      </c>
      <c r="P902" s="1" t="s">
        <v>59</v>
      </c>
      <c r="Q902" s="1" t="s">
        <v>589</v>
      </c>
      <c r="R902">
        <v>64</v>
      </c>
      <c r="S902">
        <v>4</v>
      </c>
      <c r="T902">
        <v>0</v>
      </c>
      <c r="U902">
        <v>3</v>
      </c>
      <c r="V902" s="1" t="s">
        <v>86</v>
      </c>
      <c r="W902" s="1" t="s">
        <v>51</v>
      </c>
    </row>
    <row r="903" spans="1:23" x14ac:dyDescent="0.35">
      <c r="A903">
        <v>4310</v>
      </c>
      <c r="B903" s="1" t="s">
        <v>2788</v>
      </c>
      <c r="C903" s="2">
        <v>41947</v>
      </c>
      <c r="D903" s="2">
        <v>41954</v>
      </c>
      <c r="E903" s="1" t="s">
        <v>42</v>
      </c>
      <c r="F903" s="1" t="s">
        <v>1733</v>
      </c>
      <c r="G903" s="1" t="s">
        <v>1734</v>
      </c>
      <c r="H903" s="1" t="s">
        <v>27</v>
      </c>
      <c r="I903" s="1" t="s">
        <v>28</v>
      </c>
      <c r="J903" s="1" t="s">
        <v>55</v>
      </c>
      <c r="K903" s="1" t="s">
        <v>56</v>
      </c>
      <c r="L903">
        <v>90045</v>
      </c>
      <c r="M903" s="1" t="s">
        <v>57</v>
      </c>
      <c r="N903" s="1" t="s">
        <v>457</v>
      </c>
      <c r="O903" s="1" t="s">
        <v>33</v>
      </c>
      <c r="P903" s="1" t="s">
        <v>48</v>
      </c>
      <c r="Q903" s="1" t="s">
        <v>458</v>
      </c>
      <c r="R903">
        <v>574</v>
      </c>
      <c r="S903">
        <v>4</v>
      </c>
      <c r="T903">
        <v>0.2</v>
      </c>
      <c r="U903">
        <v>-65</v>
      </c>
      <c r="V903" s="1" t="s">
        <v>50</v>
      </c>
      <c r="W903" s="1" t="s">
        <v>37</v>
      </c>
    </row>
    <row r="904" spans="1:23" x14ac:dyDescent="0.35">
      <c r="A904">
        <v>4319</v>
      </c>
      <c r="B904" s="1" t="s">
        <v>2789</v>
      </c>
      <c r="C904" s="2">
        <v>43076</v>
      </c>
      <c r="D904" s="2">
        <v>43080</v>
      </c>
      <c r="E904" s="1" t="s">
        <v>42</v>
      </c>
      <c r="F904" s="1" t="s">
        <v>1447</v>
      </c>
      <c r="G904" s="1" t="s">
        <v>1448</v>
      </c>
      <c r="H904" s="1" t="s">
        <v>27</v>
      </c>
      <c r="I904" s="1" t="s">
        <v>28</v>
      </c>
      <c r="J904" s="1" t="s">
        <v>638</v>
      </c>
      <c r="K904" s="1" t="s">
        <v>719</v>
      </c>
      <c r="L904">
        <v>23223</v>
      </c>
      <c r="M904" s="1" t="s">
        <v>31</v>
      </c>
      <c r="N904" s="1" t="s">
        <v>2790</v>
      </c>
      <c r="O904" s="1" t="s">
        <v>33</v>
      </c>
      <c r="P904" s="1" t="s">
        <v>59</v>
      </c>
      <c r="Q904" s="1" t="s">
        <v>2791</v>
      </c>
      <c r="R904">
        <v>82</v>
      </c>
      <c r="S904">
        <v>6</v>
      </c>
      <c r="T904">
        <v>0</v>
      </c>
      <c r="U904">
        <v>26</v>
      </c>
      <c r="V904" s="1" t="s">
        <v>86</v>
      </c>
      <c r="W904" s="1" t="s">
        <v>99</v>
      </c>
    </row>
    <row r="905" spans="1:23" x14ac:dyDescent="0.35">
      <c r="A905">
        <v>4337</v>
      </c>
      <c r="B905" s="1" t="s">
        <v>2792</v>
      </c>
      <c r="C905" s="2">
        <v>42358</v>
      </c>
      <c r="D905" s="2">
        <v>42362</v>
      </c>
      <c r="E905" s="1" t="s">
        <v>42</v>
      </c>
      <c r="F905" s="1" t="s">
        <v>2793</v>
      </c>
      <c r="G905" s="1" t="s">
        <v>2794</v>
      </c>
      <c r="H905" s="1" t="s">
        <v>27</v>
      </c>
      <c r="I905" s="1" t="s">
        <v>28</v>
      </c>
      <c r="J905" s="1" t="s">
        <v>2795</v>
      </c>
      <c r="K905" s="1" t="s">
        <v>523</v>
      </c>
      <c r="L905">
        <v>86442</v>
      </c>
      <c r="M905" s="1" t="s">
        <v>57</v>
      </c>
      <c r="N905" s="1" t="s">
        <v>1454</v>
      </c>
      <c r="O905" s="1" t="s">
        <v>33</v>
      </c>
      <c r="P905" s="1" t="s">
        <v>59</v>
      </c>
      <c r="Q905" s="1" t="s">
        <v>1455</v>
      </c>
      <c r="R905">
        <v>14</v>
      </c>
      <c r="S905">
        <v>2</v>
      </c>
      <c r="T905">
        <v>0.2</v>
      </c>
      <c r="U905">
        <v>4</v>
      </c>
      <c r="V905" s="1" t="s">
        <v>86</v>
      </c>
      <c r="W905" s="1" t="s">
        <v>99</v>
      </c>
    </row>
    <row r="906" spans="1:23" x14ac:dyDescent="0.35">
      <c r="A906">
        <v>4347</v>
      </c>
      <c r="B906" s="1" t="s">
        <v>2796</v>
      </c>
      <c r="C906" s="2">
        <v>42631</v>
      </c>
      <c r="D906" s="2">
        <v>42638</v>
      </c>
      <c r="E906" s="1" t="s">
        <v>42</v>
      </c>
      <c r="F906" s="1" t="s">
        <v>1687</v>
      </c>
      <c r="G906" s="1" t="s">
        <v>1688</v>
      </c>
      <c r="H906" s="1" t="s">
        <v>27</v>
      </c>
      <c r="I906" s="1" t="s">
        <v>28</v>
      </c>
      <c r="J906" s="1" t="s">
        <v>2797</v>
      </c>
      <c r="K906" s="1" t="s">
        <v>123</v>
      </c>
      <c r="L906">
        <v>10801</v>
      </c>
      <c r="M906" s="1" t="s">
        <v>70</v>
      </c>
      <c r="N906" s="1" t="s">
        <v>854</v>
      </c>
      <c r="O906" s="1" t="s">
        <v>33</v>
      </c>
      <c r="P906" s="1" t="s">
        <v>39</v>
      </c>
      <c r="Q906" s="1" t="s">
        <v>855</v>
      </c>
      <c r="R906">
        <v>632</v>
      </c>
      <c r="S906">
        <v>2</v>
      </c>
      <c r="T906">
        <v>0.1</v>
      </c>
      <c r="U906">
        <v>140</v>
      </c>
      <c r="V906" s="1" t="s">
        <v>50</v>
      </c>
      <c r="W906" s="1" t="s">
        <v>80</v>
      </c>
    </row>
    <row r="907" spans="1:23" x14ac:dyDescent="0.35">
      <c r="A907">
        <v>4348</v>
      </c>
      <c r="B907" s="1" t="s">
        <v>2796</v>
      </c>
      <c r="C907" s="2">
        <v>42631</v>
      </c>
      <c r="D907" s="2">
        <v>42638</v>
      </c>
      <c r="E907" s="1" t="s">
        <v>42</v>
      </c>
      <c r="F907" s="1" t="s">
        <v>1687</v>
      </c>
      <c r="G907" s="1" t="s">
        <v>1688</v>
      </c>
      <c r="H907" s="1" t="s">
        <v>27</v>
      </c>
      <c r="I907" s="1" t="s">
        <v>28</v>
      </c>
      <c r="J907" s="1" t="s">
        <v>2797</v>
      </c>
      <c r="K907" s="1" t="s">
        <v>123</v>
      </c>
      <c r="L907">
        <v>10801</v>
      </c>
      <c r="M907" s="1" t="s">
        <v>70</v>
      </c>
      <c r="N907" s="1" t="s">
        <v>2798</v>
      </c>
      <c r="O907" s="1" t="s">
        <v>33</v>
      </c>
      <c r="P907" s="1" t="s">
        <v>59</v>
      </c>
      <c r="Q907" s="1" t="s">
        <v>2799</v>
      </c>
      <c r="R907">
        <v>61</v>
      </c>
      <c r="S907">
        <v>3</v>
      </c>
      <c r="T907">
        <v>0</v>
      </c>
      <c r="U907">
        <v>26</v>
      </c>
      <c r="V907" s="1" t="s">
        <v>50</v>
      </c>
      <c r="W907" s="1" t="s">
        <v>80</v>
      </c>
    </row>
    <row r="908" spans="1:23" x14ac:dyDescent="0.35">
      <c r="A908">
        <v>4359</v>
      </c>
      <c r="B908" s="1" t="s">
        <v>2800</v>
      </c>
      <c r="C908" s="2">
        <v>43080</v>
      </c>
      <c r="D908" s="2">
        <v>43080</v>
      </c>
      <c r="E908" s="1" t="s">
        <v>428</v>
      </c>
      <c r="F908" s="1" t="s">
        <v>2801</v>
      </c>
      <c r="G908" s="1" t="s">
        <v>2802</v>
      </c>
      <c r="H908" s="1" t="s">
        <v>27</v>
      </c>
      <c r="I908" s="1" t="s">
        <v>28</v>
      </c>
      <c r="J908" s="1" t="s">
        <v>182</v>
      </c>
      <c r="K908" s="1" t="s">
        <v>137</v>
      </c>
      <c r="L908">
        <v>60505</v>
      </c>
      <c r="M908" s="1" t="s">
        <v>96</v>
      </c>
      <c r="N908" s="1" t="s">
        <v>793</v>
      </c>
      <c r="O908" s="1" t="s">
        <v>33</v>
      </c>
      <c r="P908" s="1" t="s">
        <v>59</v>
      </c>
      <c r="Q908" s="1" t="s">
        <v>794</v>
      </c>
      <c r="R908">
        <v>78</v>
      </c>
      <c r="S908">
        <v>1</v>
      </c>
      <c r="T908">
        <v>0.6</v>
      </c>
      <c r="U908">
        <v>-66</v>
      </c>
      <c r="V908" s="1" t="s">
        <v>433</v>
      </c>
      <c r="W908" s="1" t="s">
        <v>99</v>
      </c>
    </row>
    <row r="909" spans="1:23" x14ac:dyDescent="0.35">
      <c r="A909">
        <v>4360</v>
      </c>
      <c r="B909" s="1" t="s">
        <v>2800</v>
      </c>
      <c r="C909" s="2">
        <v>43080</v>
      </c>
      <c r="D909" s="2">
        <v>43080</v>
      </c>
      <c r="E909" s="1" t="s">
        <v>428</v>
      </c>
      <c r="F909" s="1" t="s">
        <v>2801</v>
      </c>
      <c r="G909" s="1" t="s">
        <v>2802</v>
      </c>
      <c r="H909" s="1" t="s">
        <v>27</v>
      </c>
      <c r="I909" s="1" t="s">
        <v>28</v>
      </c>
      <c r="J909" s="1" t="s">
        <v>182</v>
      </c>
      <c r="K909" s="1" t="s">
        <v>137</v>
      </c>
      <c r="L909">
        <v>60505</v>
      </c>
      <c r="M909" s="1" t="s">
        <v>96</v>
      </c>
      <c r="N909" s="1" t="s">
        <v>1098</v>
      </c>
      <c r="O909" s="1" t="s">
        <v>33</v>
      </c>
      <c r="P909" s="1" t="s">
        <v>39</v>
      </c>
      <c r="Q909" s="1" t="s">
        <v>1099</v>
      </c>
      <c r="R909">
        <v>520</v>
      </c>
      <c r="S909">
        <v>2</v>
      </c>
      <c r="T909">
        <v>0.3</v>
      </c>
      <c r="U909">
        <v>-15</v>
      </c>
      <c r="V909" s="1" t="s">
        <v>433</v>
      </c>
      <c r="W909" s="1" t="s">
        <v>99</v>
      </c>
    </row>
    <row r="910" spans="1:23" x14ac:dyDescent="0.35">
      <c r="A910">
        <v>4376</v>
      </c>
      <c r="B910" s="1" t="s">
        <v>2803</v>
      </c>
      <c r="C910" s="2">
        <v>41754</v>
      </c>
      <c r="D910" s="2">
        <v>41759</v>
      </c>
      <c r="E910" s="1" t="s">
        <v>42</v>
      </c>
      <c r="F910" s="1" t="s">
        <v>1269</v>
      </c>
      <c r="G910" s="1" t="s">
        <v>1270</v>
      </c>
      <c r="H910" s="1" t="s">
        <v>103</v>
      </c>
      <c r="I910" s="1" t="s">
        <v>28</v>
      </c>
      <c r="J910" s="1" t="s">
        <v>2804</v>
      </c>
      <c r="K910" s="1" t="s">
        <v>56</v>
      </c>
      <c r="L910">
        <v>91776</v>
      </c>
      <c r="M910" s="1" t="s">
        <v>57</v>
      </c>
      <c r="N910" s="1" t="s">
        <v>147</v>
      </c>
      <c r="O910" s="1" t="s">
        <v>33</v>
      </c>
      <c r="P910" s="1" t="s">
        <v>59</v>
      </c>
      <c r="Q910" s="1" t="s">
        <v>148</v>
      </c>
      <c r="R910">
        <v>303</v>
      </c>
      <c r="S910">
        <v>5</v>
      </c>
      <c r="T910">
        <v>0</v>
      </c>
      <c r="U910">
        <v>64</v>
      </c>
      <c r="V910" s="1" t="s">
        <v>61</v>
      </c>
      <c r="W910" s="1" t="s">
        <v>116</v>
      </c>
    </row>
    <row r="911" spans="1:23" x14ac:dyDescent="0.35">
      <c r="A911">
        <v>4378</v>
      </c>
      <c r="B911" s="1" t="s">
        <v>2803</v>
      </c>
      <c r="C911" s="2">
        <v>41754</v>
      </c>
      <c r="D911" s="2">
        <v>41759</v>
      </c>
      <c r="E911" s="1" t="s">
        <v>42</v>
      </c>
      <c r="F911" s="1" t="s">
        <v>1269</v>
      </c>
      <c r="G911" s="1" t="s">
        <v>1270</v>
      </c>
      <c r="H911" s="1" t="s">
        <v>103</v>
      </c>
      <c r="I911" s="1" t="s">
        <v>28</v>
      </c>
      <c r="J911" s="1" t="s">
        <v>2804</v>
      </c>
      <c r="K911" s="1" t="s">
        <v>56</v>
      </c>
      <c r="L911">
        <v>91776</v>
      </c>
      <c r="M911" s="1" t="s">
        <v>57</v>
      </c>
      <c r="N911" s="1" t="s">
        <v>1098</v>
      </c>
      <c r="O911" s="1" t="s">
        <v>33</v>
      </c>
      <c r="P911" s="1" t="s">
        <v>39</v>
      </c>
      <c r="Q911" s="1" t="s">
        <v>1099</v>
      </c>
      <c r="R911">
        <v>1487</v>
      </c>
      <c r="S911">
        <v>5</v>
      </c>
      <c r="T911">
        <v>0.2</v>
      </c>
      <c r="U911">
        <v>149</v>
      </c>
      <c r="V911" s="1" t="s">
        <v>61</v>
      </c>
      <c r="W911" s="1" t="s">
        <v>116</v>
      </c>
    </row>
    <row r="912" spans="1:23" x14ac:dyDescent="0.35">
      <c r="A912">
        <v>4382</v>
      </c>
      <c r="B912" s="1" t="s">
        <v>2805</v>
      </c>
      <c r="C912" s="2">
        <v>42302</v>
      </c>
      <c r="D912" s="2">
        <v>42307</v>
      </c>
      <c r="E912" s="1" t="s">
        <v>42</v>
      </c>
      <c r="F912" s="1" t="s">
        <v>1718</v>
      </c>
      <c r="G912" s="1" t="s">
        <v>1719</v>
      </c>
      <c r="H912" s="1" t="s">
        <v>27</v>
      </c>
      <c r="I912" s="1" t="s">
        <v>28</v>
      </c>
      <c r="J912" s="1" t="s">
        <v>331</v>
      </c>
      <c r="K912" s="1" t="s">
        <v>56</v>
      </c>
      <c r="L912">
        <v>94110</v>
      </c>
      <c r="M912" s="1" t="s">
        <v>57</v>
      </c>
      <c r="N912" s="1" t="s">
        <v>550</v>
      </c>
      <c r="O912" s="1" t="s">
        <v>33</v>
      </c>
      <c r="P912" s="1" t="s">
        <v>48</v>
      </c>
      <c r="Q912" s="1" t="s">
        <v>551</v>
      </c>
      <c r="R912">
        <v>253</v>
      </c>
      <c r="S912">
        <v>3</v>
      </c>
      <c r="T912">
        <v>0.2</v>
      </c>
      <c r="U912">
        <v>-32</v>
      </c>
      <c r="V912" s="1" t="s">
        <v>61</v>
      </c>
      <c r="W912" s="1" t="s">
        <v>51</v>
      </c>
    </row>
    <row r="913" spans="1:23" x14ac:dyDescent="0.35">
      <c r="A913">
        <v>4384</v>
      </c>
      <c r="B913" s="1" t="s">
        <v>2806</v>
      </c>
      <c r="C913" s="2">
        <v>42205</v>
      </c>
      <c r="D913" s="2">
        <v>42212</v>
      </c>
      <c r="E913" s="1" t="s">
        <v>42</v>
      </c>
      <c r="F913" s="1" t="s">
        <v>1052</v>
      </c>
      <c r="G913" s="1" t="s">
        <v>1053</v>
      </c>
      <c r="H913" s="1" t="s">
        <v>27</v>
      </c>
      <c r="I913" s="1" t="s">
        <v>28</v>
      </c>
      <c r="J913" s="1" t="s">
        <v>2165</v>
      </c>
      <c r="K913" s="1" t="s">
        <v>137</v>
      </c>
      <c r="L913">
        <v>60035</v>
      </c>
      <c r="M913" s="1" t="s">
        <v>96</v>
      </c>
      <c r="N913" s="1" t="s">
        <v>2807</v>
      </c>
      <c r="O913" s="1" t="s">
        <v>33</v>
      </c>
      <c r="P913" s="1" t="s">
        <v>34</v>
      </c>
      <c r="Q913" s="1" t="s">
        <v>2808</v>
      </c>
      <c r="R913">
        <v>385</v>
      </c>
      <c r="S913">
        <v>4</v>
      </c>
      <c r="T913">
        <v>0.3</v>
      </c>
      <c r="U913">
        <v>-126</v>
      </c>
      <c r="V913" s="1" t="s">
        <v>50</v>
      </c>
      <c r="W913" s="1" t="s">
        <v>74</v>
      </c>
    </row>
    <row r="914" spans="1:23" x14ac:dyDescent="0.35">
      <c r="A914">
        <v>4386</v>
      </c>
      <c r="B914" s="1" t="s">
        <v>2806</v>
      </c>
      <c r="C914" s="2">
        <v>42205</v>
      </c>
      <c r="D914" s="2">
        <v>42212</v>
      </c>
      <c r="E914" s="1" t="s">
        <v>42</v>
      </c>
      <c r="F914" s="1" t="s">
        <v>1052</v>
      </c>
      <c r="G914" s="1" t="s">
        <v>1053</v>
      </c>
      <c r="H914" s="1" t="s">
        <v>27</v>
      </c>
      <c r="I914" s="1" t="s">
        <v>28</v>
      </c>
      <c r="J914" s="1" t="s">
        <v>2165</v>
      </c>
      <c r="K914" s="1" t="s">
        <v>137</v>
      </c>
      <c r="L914">
        <v>60035</v>
      </c>
      <c r="M914" s="1" t="s">
        <v>96</v>
      </c>
      <c r="N914" s="1" t="s">
        <v>105</v>
      </c>
      <c r="O914" s="1" t="s">
        <v>33</v>
      </c>
      <c r="P914" s="1" t="s">
        <v>34</v>
      </c>
      <c r="Q914" s="1" t="s">
        <v>106</v>
      </c>
      <c r="R914">
        <v>913</v>
      </c>
      <c r="S914">
        <v>5</v>
      </c>
      <c r="T914">
        <v>0.3</v>
      </c>
      <c r="U914">
        <v>-52</v>
      </c>
      <c r="V914" s="1" t="s">
        <v>50</v>
      </c>
      <c r="W914" s="1" t="s">
        <v>74</v>
      </c>
    </row>
    <row r="915" spans="1:23" x14ac:dyDescent="0.35">
      <c r="A915">
        <v>4390</v>
      </c>
      <c r="B915" s="1" t="s">
        <v>2809</v>
      </c>
      <c r="C915" s="2">
        <v>43059</v>
      </c>
      <c r="D915" s="2">
        <v>43061</v>
      </c>
      <c r="E915" s="1" t="s">
        <v>90</v>
      </c>
      <c r="F915" s="1" t="s">
        <v>827</v>
      </c>
      <c r="G915" s="1" t="s">
        <v>828</v>
      </c>
      <c r="H915" s="1" t="s">
        <v>27</v>
      </c>
      <c r="I915" s="1" t="s">
        <v>28</v>
      </c>
      <c r="J915" s="1" t="s">
        <v>176</v>
      </c>
      <c r="K915" s="1" t="s">
        <v>123</v>
      </c>
      <c r="L915">
        <v>10035</v>
      </c>
      <c r="M915" s="1" t="s">
        <v>70</v>
      </c>
      <c r="N915" s="1" t="s">
        <v>1479</v>
      </c>
      <c r="O915" s="1" t="s">
        <v>33</v>
      </c>
      <c r="P915" s="1" t="s">
        <v>34</v>
      </c>
      <c r="Q915" s="1" t="s">
        <v>1480</v>
      </c>
      <c r="R915">
        <v>184</v>
      </c>
      <c r="S915">
        <v>2</v>
      </c>
      <c r="T915">
        <v>0.2</v>
      </c>
      <c r="U915">
        <v>-25</v>
      </c>
      <c r="V915" s="1" t="s">
        <v>73</v>
      </c>
      <c r="W915" s="1" t="s">
        <v>37</v>
      </c>
    </row>
    <row r="916" spans="1:23" x14ac:dyDescent="0.35">
      <c r="A916">
        <v>4398</v>
      </c>
      <c r="B916" s="1" t="s">
        <v>2810</v>
      </c>
      <c r="C916" s="2">
        <v>41827</v>
      </c>
      <c r="D916" s="2">
        <v>41831</v>
      </c>
      <c r="E916" s="1" t="s">
        <v>42</v>
      </c>
      <c r="F916" s="1" t="s">
        <v>2811</v>
      </c>
      <c r="G916" s="1" t="s">
        <v>2812</v>
      </c>
      <c r="H916" s="1" t="s">
        <v>27</v>
      </c>
      <c r="I916" s="1" t="s">
        <v>28</v>
      </c>
      <c r="J916" s="1" t="s">
        <v>68</v>
      </c>
      <c r="K916" s="1" t="s">
        <v>69</v>
      </c>
      <c r="L916">
        <v>19120</v>
      </c>
      <c r="M916" s="1" t="s">
        <v>70</v>
      </c>
      <c r="N916" s="1" t="s">
        <v>1031</v>
      </c>
      <c r="O916" s="1" t="s">
        <v>33</v>
      </c>
      <c r="P916" s="1" t="s">
        <v>39</v>
      </c>
      <c r="Q916" s="1" t="s">
        <v>1032</v>
      </c>
      <c r="R916">
        <v>172</v>
      </c>
      <c r="S916">
        <v>2</v>
      </c>
      <c r="T916">
        <v>0.3</v>
      </c>
      <c r="U916">
        <v>-47</v>
      </c>
      <c r="V916" s="1" t="s">
        <v>86</v>
      </c>
      <c r="W916" s="1" t="s">
        <v>74</v>
      </c>
    </row>
    <row r="917" spans="1:23" x14ac:dyDescent="0.35">
      <c r="A917">
        <v>4399</v>
      </c>
      <c r="B917" s="1" t="s">
        <v>2810</v>
      </c>
      <c r="C917" s="2">
        <v>41827</v>
      </c>
      <c r="D917" s="2">
        <v>41831</v>
      </c>
      <c r="E917" s="1" t="s">
        <v>42</v>
      </c>
      <c r="F917" s="1" t="s">
        <v>2811</v>
      </c>
      <c r="G917" s="1" t="s">
        <v>2812</v>
      </c>
      <c r="H917" s="1" t="s">
        <v>27</v>
      </c>
      <c r="I917" s="1" t="s">
        <v>28</v>
      </c>
      <c r="J917" s="1" t="s">
        <v>68</v>
      </c>
      <c r="K917" s="1" t="s">
        <v>69</v>
      </c>
      <c r="L917">
        <v>19120</v>
      </c>
      <c r="M917" s="1" t="s">
        <v>70</v>
      </c>
      <c r="N917" s="1" t="s">
        <v>610</v>
      </c>
      <c r="O917" s="1" t="s">
        <v>33</v>
      </c>
      <c r="P917" s="1" t="s">
        <v>59</v>
      </c>
      <c r="Q917" s="1" t="s">
        <v>611</v>
      </c>
      <c r="R917">
        <v>69</v>
      </c>
      <c r="S917">
        <v>2</v>
      </c>
      <c r="T917">
        <v>0.2</v>
      </c>
      <c r="U917">
        <v>12</v>
      </c>
      <c r="V917" s="1" t="s">
        <v>86</v>
      </c>
      <c r="W917" s="1" t="s">
        <v>74</v>
      </c>
    </row>
    <row r="918" spans="1:23" x14ac:dyDescent="0.35">
      <c r="A918">
        <v>4402</v>
      </c>
      <c r="B918" s="1" t="s">
        <v>2813</v>
      </c>
      <c r="C918" s="2">
        <v>42446</v>
      </c>
      <c r="D918" s="2">
        <v>42446</v>
      </c>
      <c r="E918" s="1" t="s">
        <v>428</v>
      </c>
      <c r="F918" s="1" t="s">
        <v>2793</v>
      </c>
      <c r="G918" s="1" t="s">
        <v>2794</v>
      </c>
      <c r="H918" s="1" t="s">
        <v>27</v>
      </c>
      <c r="I918" s="1" t="s">
        <v>28</v>
      </c>
      <c r="J918" s="1" t="s">
        <v>160</v>
      </c>
      <c r="K918" s="1" t="s">
        <v>1092</v>
      </c>
      <c r="L918">
        <v>21044</v>
      </c>
      <c r="M918" s="1" t="s">
        <v>70</v>
      </c>
      <c r="N918" s="1" t="s">
        <v>793</v>
      </c>
      <c r="O918" s="1" t="s">
        <v>33</v>
      </c>
      <c r="P918" s="1" t="s">
        <v>59</v>
      </c>
      <c r="Q918" s="1" t="s">
        <v>794</v>
      </c>
      <c r="R918">
        <v>972</v>
      </c>
      <c r="S918">
        <v>5</v>
      </c>
      <c r="T918">
        <v>0</v>
      </c>
      <c r="U918">
        <v>253</v>
      </c>
      <c r="V918" s="1" t="s">
        <v>433</v>
      </c>
      <c r="W918" s="1" t="s">
        <v>198</v>
      </c>
    </row>
    <row r="919" spans="1:23" x14ac:dyDescent="0.35">
      <c r="A919">
        <v>4419</v>
      </c>
      <c r="B919" s="1" t="s">
        <v>2814</v>
      </c>
      <c r="C919" s="2">
        <v>41993</v>
      </c>
      <c r="D919" s="2">
        <v>42000</v>
      </c>
      <c r="E919" s="1" t="s">
        <v>42</v>
      </c>
      <c r="F919" s="1" t="s">
        <v>2636</v>
      </c>
      <c r="G919" s="1" t="s">
        <v>2637</v>
      </c>
      <c r="H919" s="1" t="s">
        <v>27</v>
      </c>
      <c r="I919" s="1" t="s">
        <v>28</v>
      </c>
      <c r="J919" s="1" t="s">
        <v>2815</v>
      </c>
      <c r="K919" s="1" t="s">
        <v>234</v>
      </c>
      <c r="L919">
        <v>45011</v>
      </c>
      <c r="M919" s="1" t="s">
        <v>70</v>
      </c>
      <c r="N919" s="1" t="s">
        <v>221</v>
      </c>
      <c r="O919" s="1" t="s">
        <v>33</v>
      </c>
      <c r="P919" s="1" t="s">
        <v>59</v>
      </c>
      <c r="Q919" s="1" t="s">
        <v>222</v>
      </c>
      <c r="R919">
        <v>191</v>
      </c>
      <c r="S919">
        <v>3</v>
      </c>
      <c r="T919">
        <v>0.2</v>
      </c>
      <c r="U919">
        <v>-21</v>
      </c>
      <c r="V919" s="1" t="s">
        <v>50</v>
      </c>
      <c r="W919" s="1" t="s">
        <v>99</v>
      </c>
    </row>
    <row r="920" spans="1:23" x14ac:dyDescent="0.35">
      <c r="A920">
        <v>4424</v>
      </c>
      <c r="B920" s="1" t="s">
        <v>2816</v>
      </c>
      <c r="C920" s="2">
        <v>42873</v>
      </c>
      <c r="D920" s="2">
        <v>42874</v>
      </c>
      <c r="E920" s="1" t="s">
        <v>90</v>
      </c>
      <c r="F920" s="1" t="s">
        <v>1170</v>
      </c>
      <c r="G920" s="1" t="s">
        <v>1171</v>
      </c>
      <c r="H920" s="1" t="s">
        <v>93</v>
      </c>
      <c r="I920" s="1" t="s">
        <v>28</v>
      </c>
      <c r="J920" s="1" t="s">
        <v>2817</v>
      </c>
      <c r="K920" s="1" t="s">
        <v>670</v>
      </c>
      <c r="L920">
        <v>30328</v>
      </c>
      <c r="M920" s="1" t="s">
        <v>31</v>
      </c>
      <c r="N920" s="1" t="s">
        <v>2818</v>
      </c>
      <c r="O920" s="1" t="s">
        <v>33</v>
      </c>
      <c r="P920" s="1" t="s">
        <v>34</v>
      </c>
      <c r="Q920" s="1" t="s">
        <v>2819</v>
      </c>
      <c r="R920">
        <v>303</v>
      </c>
      <c r="S920">
        <v>3</v>
      </c>
      <c r="T920">
        <v>0</v>
      </c>
      <c r="U920">
        <v>76</v>
      </c>
      <c r="V920" s="1" t="s">
        <v>126</v>
      </c>
      <c r="W920" s="1" t="s">
        <v>164</v>
      </c>
    </row>
    <row r="921" spans="1:23" x14ac:dyDescent="0.35">
      <c r="A921">
        <v>4429</v>
      </c>
      <c r="B921" s="1" t="s">
        <v>2820</v>
      </c>
      <c r="C921" s="2">
        <v>42815</v>
      </c>
      <c r="D921" s="2">
        <v>42821</v>
      </c>
      <c r="E921" s="1" t="s">
        <v>42</v>
      </c>
      <c r="F921" s="1" t="s">
        <v>2229</v>
      </c>
      <c r="G921" s="1" t="s">
        <v>2230</v>
      </c>
      <c r="H921" s="1" t="s">
        <v>27</v>
      </c>
      <c r="I921" s="1" t="s">
        <v>28</v>
      </c>
      <c r="J921" s="1" t="s">
        <v>2024</v>
      </c>
      <c r="K921" s="1" t="s">
        <v>1525</v>
      </c>
      <c r="L921">
        <v>74133</v>
      </c>
      <c r="M921" s="1" t="s">
        <v>96</v>
      </c>
      <c r="N921" s="1" t="s">
        <v>2337</v>
      </c>
      <c r="O921" s="1" t="s">
        <v>33</v>
      </c>
      <c r="P921" s="1" t="s">
        <v>39</v>
      </c>
      <c r="Q921" s="1" t="s">
        <v>2338</v>
      </c>
      <c r="R921">
        <v>1806</v>
      </c>
      <c r="S921">
        <v>6</v>
      </c>
      <c r="T921">
        <v>0</v>
      </c>
      <c r="U921">
        <v>524</v>
      </c>
      <c r="V921" s="1" t="s">
        <v>132</v>
      </c>
      <c r="W921" s="1" t="s">
        <v>198</v>
      </c>
    </row>
    <row r="922" spans="1:23" x14ac:dyDescent="0.35">
      <c r="A922">
        <v>4433</v>
      </c>
      <c r="B922" s="1" t="s">
        <v>2821</v>
      </c>
      <c r="C922" s="2">
        <v>42677</v>
      </c>
      <c r="D922" s="2">
        <v>42682</v>
      </c>
      <c r="E922" s="1" t="s">
        <v>24</v>
      </c>
      <c r="F922" s="1" t="s">
        <v>1068</v>
      </c>
      <c r="G922" s="1" t="s">
        <v>1069</v>
      </c>
      <c r="H922" s="1" t="s">
        <v>27</v>
      </c>
      <c r="I922" s="1" t="s">
        <v>28</v>
      </c>
      <c r="J922" s="1" t="s">
        <v>29</v>
      </c>
      <c r="K922" s="1" t="s">
        <v>30</v>
      </c>
      <c r="L922">
        <v>42420</v>
      </c>
      <c r="M922" s="1" t="s">
        <v>31</v>
      </c>
      <c r="N922" s="1" t="s">
        <v>962</v>
      </c>
      <c r="O922" s="1" t="s">
        <v>33</v>
      </c>
      <c r="P922" s="1" t="s">
        <v>59</v>
      </c>
      <c r="Q922" s="1" t="s">
        <v>963</v>
      </c>
      <c r="R922">
        <v>24</v>
      </c>
      <c r="S922">
        <v>5</v>
      </c>
      <c r="T922">
        <v>0</v>
      </c>
      <c r="U922">
        <v>9</v>
      </c>
      <c r="V922" s="1" t="s">
        <v>61</v>
      </c>
      <c r="W922" s="1" t="s">
        <v>37</v>
      </c>
    </row>
    <row r="923" spans="1:23" x14ac:dyDescent="0.35">
      <c r="A923">
        <v>4435</v>
      </c>
      <c r="B923" s="1" t="s">
        <v>2821</v>
      </c>
      <c r="C923" s="2">
        <v>42677</v>
      </c>
      <c r="D923" s="2">
        <v>42682</v>
      </c>
      <c r="E923" s="1" t="s">
        <v>24</v>
      </c>
      <c r="F923" s="1" t="s">
        <v>1068</v>
      </c>
      <c r="G923" s="1" t="s">
        <v>1069</v>
      </c>
      <c r="H923" s="1" t="s">
        <v>27</v>
      </c>
      <c r="I923" s="1" t="s">
        <v>28</v>
      </c>
      <c r="J923" s="1" t="s">
        <v>29</v>
      </c>
      <c r="K923" s="1" t="s">
        <v>30</v>
      </c>
      <c r="L923">
        <v>42420</v>
      </c>
      <c r="M923" s="1" t="s">
        <v>31</v>
      </c>
      <c r="N923" s="1" t="s">
        <v>2822</v>
      </c>
      <c r="O923" s="1" t="s">
        <v>33</v>
      </c>
      <c r="P923" s="1" t="s">
        <v>48</v>
      </c>
      <c r="Q923" s="1" t="s">
        <v>2823</v>
      </c>
      <c r="R923">
        <v>843</v>
      </c>
      <c r="S923">
        <v>3</v>
      </c>
      <c r="T923">
        <v>0</v>
      </c>
      <c r="U923">
        <v>160</v>
      </c>
      <c r="V923" s="1" t="s">
        <v>61</v>
      </c>
      <c r="W923" s="1" t="s">
        <v>37</v>
      </c>
    </row>
    <row r="924" spans="1:23" x14ac:dyDescent="0.35">
      <c r="A924">
        <v>4449</v>
      </c>
      <c r="B924" s="1" t="s">
        <v>2824</v>
      </c>
      <c r="C924" s="2">
        <v>42174</v>
      </c>
      <c r="D924" s="2">
        <v>42178</v>
      </c>
      <c r="E924" s="1" t="s">
        <v>42</v>
      </c>
      <c r="F924" s="1" t="s">
        <v>329</v>
      </c>
      <c r="G924" s="1" t="s">
        <v>330</v>
      </c>
      <c r="H924" s="1" t="s">
        <v>27</v>
      </c>
      <c r="I924" s="1" t="s">
        <v>28</v>
      </c>
      <c r="J924" s="1" t="s">
        <v>55</v>
      </c>
      <c r="K924" s="1" t="s">
        <v>56</v>
      </c>
      <c r="L924">
        <v>90032</v>
      </c>
      <c r="M924" s="1" t="s">
        <v>57</v>
      </c>
      <c r="N924" s="1" t="s">
        <v>680</v>
      </c>
      <c r="O924" s="1" t="s">
        <v>33</v>
      </c>
      <c r="P924" s="1" t="s">
        <v>59</v>
      </c>
      <c r="Q924" s="1" t="s">
        <v>681</v>
      </c>
      <c r="R924">
        <v>13</v>
      </c>
      <c r="S924">
        <v>2</v>
      </c>
      <c r="T924">
        <v>0</v>
      </c>
      <c r="U924">
        <v>4</v>
      </c>
      <c r="V924" s="1" t="s">
        <v>86</v>
      </c>
      <c r="W924" s="1" t="s">
        <v>62</v>
      </c>
    </row>
    <row r="925" spans="1:23" x14ac:dyDescent="0.35">
      <c r="A925">
        <v>4452</v>
      </c>
      <c r="B925" s="1" t="s">
        <v>2825</v>
      </c>
      <c r="C925" s="2">
        <v>42555</v>
      </c>
      <c r="D925" s="2">
        <v>42557</v>
      </c>
      <c r="E925" s="1" t="s">
        <v>90</v>
      </c>
      <c r="F925" s="1" t="s">
        <v>2696</v>
      </c>
      <c r="G925" s="1" t="s">
        <v>2697</v>
      </c>
      <c r="H925" s="1" t="s">
        <v>27</v>
      </c>
      <c r="I925" s="1" t="s">
        <v>28</v>
      </c>
      <c r="J925" s="1" t="s">
        <v>331</v>
      </c>
      <c r="K925" s="1" t="s">
        <v>56</v>
      </c>
      <c r="L925">
        <v>94109</v>
      </c>
      <c r="M925" s="1" t="s">
        <v>57</v>
      </c>
      <c r="N925" s="1" t="s">
        <v>664</v>
      </c>
      <c r="O925" s="1" t="s">
        <v>33</v>
      </c>
      <c r="P925" s="1" t="s">
        <v>59</v>
      </c>
      <c r="Q925" s="1" t="s">
        <v>665</v>
      </c>
      <c r="R925">
        <v>25</v>
      </c>
      <c r="S925">
        <v>5</v>
      </c>
      <c r="T925">
        <v>0</v>
      </c>
      <c r="U925">
        <v>9</v>
      </c>
      <c r="V925" s="1" t="s">
        <v>73</v>
      </c>
      <c r="W925" s="1" t="s">
        <v>74</v>
      </c>
    </row>
    <row r="926" spans="1:23" x14ac:dyDescent="0.35">
      <c r="A926">
        <v>4454</v>
      </c>
      <c r="B926" s="1" t="s">
        <v>2825</v>
      </c>
      <c r="C926" s="2">
        <v>42555</v>
      </c>
      <c r="D926" s="2">
        <v>42557</v>
      </c>
      <c r="E926" s="1" t="s">
        <v>90</v>
      </c>
      <c r="F926" s="1" t="s">
        <v>2696</v>
      </c>
      <c r="G926" s="1" t="s">
        <v>2697</v>
      </c>
      <c r="H926" s="1" t="s">
        <v>27</v>
      </c>
      <c r="I926" s="1" t="s">
        <v>28</v>
      </c>
      <c r="J926" s="1" t="s">
        <v>331</v>
      </c>
      <c r="K926" s="1" t="s">
        <v>56</v>
      </c>
      <c r="L926">
        <v>94109</v>
      </c>
      <c r="M926" s="1" t="s">
        <v>57</v>
      </c>
      <c r="N926" s="1" t="s">
        <v>1002</v>
      </c>
      <c r="O926" s="1" t="s">
        <v>33</v>
      </c>
      <c r="P926" s="1" t="s">
        <v>34</v>
      </c>
      <c r="Q926" s="1" t="s">
        <v>1003</v>
      </c>
      <c r="R926">
        <v>1279</v>
      </c>
      <c r="S926">
        <v>5</v>
      </c>
      <c r="T926">
        <v>0.15</v>
      </c>
      <c r="U926">
        <v>226</v>
      </c>
      <c r="V926" s="1" t="s">
        <v>73</v>
      </c>
      <c r="W926" s="1" t="s">
        <v>74</v>
      </c>
    </row>
    <row r="927" spans="1:23" x14ac:dyDescent="0.35">
      <c r="A927">
        <v>4456</v>
      </c>
      <c r="B927" s="1" t="s">
        <v>2826</v>
      </c>
      <c r="C927" s="2">
        <v>42250</v>
      </c>
      <c r="D927" s="2">
        <v>42255</v>
      </c>
      <c r="E927" s="1" t="s">
        <v>42</v>
      </c>
      <c r="F927" s="1" t="s">
        <v>2827</v>
      </c>
      <c r="G927" s="1" t="s">
        <v>2828</v>
      </c>
      <c r="H927" s="1" t="s">
        <v>103</v>
      </c>
      <c r="I927" s="1" t="s">
        <v>28</v>
      </c>
      <c r="J927" s="1" t="s">
        <v>331</v>
      </c>
      <c r="K927" s="1" t="s">
        <v>56</v>
      </c>
      <c r="L927">
        <v>94110</v>
      </c>
      <c r="M927" s="1" t="s">
        <v>57</v>
      </c>
      <c r="N927" s="1" t="s">
        <v>498</v>
      </c>
      <c r="O927" s="1" t="s">
        <v>33</v>
      </c>
      <c r="P927" s="1" t="s">
        <v>39</v>
      </c>
      <c r="Q927" s="1" t="s">
        <v>499</v>
      </c>
      <c r="R927">
        <v>130</v>
      </c>
      <c r="S927">
        <v>2</v>
      </c>
      <c r="T927">
        <v>0.2</v>
      </c>
      <c r="U927">
        <v>-13</v>
      </c>
      <c r="V927" s="1" t="s">
        <v>61</v>
      </c>
      <c r="W927" s="1" t="s">
        <v>80</v>
      </c>
    </row>
    <row r="928" spans="1:23" x14ac:dyDescent="0.35">
      <c r="A928">
        <v>4460</v>
      </c>
      <c r="B928" s="1" t="s">
        <v>2829</v>
      </c>
      <c r="C928" s="2">
        <v>43006</v>
      </c>
      <c r="D928" s="2">
        <v>43009</v>
      </c>
      <c r="E928" s="1" t="s">
        <v>90</v>
      </c>
      <c r="F928" s="1" t="s">
        <v>768</v>
      </c>
      <c r="G928" s="1" t="s">
        <v>769</v>
      </c>
      <c r="H928" s="1" t="s">
        <v>103</v>
      </c>
      <c r="I928" s="1" t="s">
        <v>28</v>
      </c>
      <c r="J928" s="1" t="s">
        <v>182</v>
      </c>
      <c r="K928" s="1" t="s">
        <v>183</v>
      </c>
      <c r="L928">
        <v>80013</v>
      </c>
      <c r="M928" s="1" t="s">
        <v>57</v>
      </c>
      <c r="N928" s="1" t="s">
        <v>643</v>
      </c>
      <c r="O928" s="1" t="s">
        <v>33</v>
      </c>
      <c r="P928" s="1" t="s">
        <v>59</v>
      </c>
      <c r="Q928" s="1" t="s">
        <v>644</v>
      </c>
      <c r="R928">
        <v>33</v>
      </c>
      <c r="S928">
        <v>1</v>
      </c>
      <c r="T928">
        <v>0.2</v>
      </c>
      <c r="U928">
        <v>3</v>
      </c>
      <c r="V928" s="1" t="s">
        <v>36</v>
      </c>
      <c r="W928" s="1" t="s">
        <v>80</v>
      </c>
    </row>
    <row r="929" spans="1:23" x14ac:dyDescent="0.35">
      <c r="A929">
        <v>4469</v>
      </c>
      <c r="B929" s="1" t="s">
        <v>2830</v>
      </c>
      <c r="C929" s="2">
        <v>43063</v>
      </c>
      <c r="D929" s="2">
        <v>43070</v>
      </c>
      <c r="E929" s="1" t="s">
        <v>42</v>
      </c>
      <c r="F929" s="1" t="s">
        <v>1677</v>
      </c>
      <c r="G929" s="1" t="s">
        <v>1678</v>
      </c>
      <c r="H929" s="1" t="s">
        <v>27</v>
      </c>
      <c r="I929" s="1" t="s">
        <v>28</v>
      </c>
      <c r="J929" s="1" t="s">
        <v>176</v>
      </c>
      <c r="K929" s="1" t="s">
        <v>123</v>
      </c>
      <c r="L929">
        <v>10035</v>
      </c>
      <c r="M929" s="1" t="s">
        <v>70</v>
      </c>
      <c r="N929" s="1" t="s">
        <v>1872</v>
      </c>
      <c r="O929" s="1" t="s">
        <v>33</v>
      </c>
      <c r="P929" s="1" t="s">
        <v>34</v>
      </c>
      <c r="Q929" s="1" t="s">
        <v>1873</v>
      </c>
      <c r="R929">
        <v>322</v>
      </c>
      <c r="S929">
        <v>2</v>
      </c>
      <c r="T929">
        <v>0.2</v>
      </c>
      <c r="U929">
        <v>-16</v>
      </c>
      <c r="V929" s="1" t="s">
        <v>50</v>
      </c>
      <c r="W929" s="1" t="s">
        <v>37</v>
      </c>
    </row>
    <row r="930" spans="1:23" x14ac:dyDescent="0.35">
      <c r="A930">
        <v>4471</v>
      </c>
      <c r="B930" s="1" t="s">
        <v>2831</v>
      </c>
      <c r="C930" s="2">
        <v>42863</v>
      </c>
      <c r="D930" s="2">
        <v>42867</v>
      </c>
      <c r="E930" s="1" t="s">
        <v>42</v>
      </c>
      <c r="F930" s="1" t="s">
        <v>400</v>
      </c>
      <c r="G930" s="1" t="s">
        <v>401</v>
      </c>
      <c r="H930" s="1" t="s">
        <v>93</v>
      </c>
      <c r="I930" s="1" t="s">
        <v>28</v>
      </c>
      <c r="J930" s="1" t="s">
        <v>68</v>
      </c>
      <c r="K930" s="1" t="s">
        <v>69</v>
      </c>
      <c r="L930">
        <v>19140</v>
      </c>
      <c r="M930" s="1" t="s">
        <v>70</v>
      </c>
      <c r="N930" s="1" t="s">
        <v>2431</v>
      </c>
      <c r="O930" s="1" t="s">
        <v>33</v>
      </c>
      <c r="P930" s="1" t="s">
        <v>39</v>
      </c>
      <c r="Q930" s="1" t="s">
        <v>2432</v>
      </c>
      <c r="R930">
        <v>128</v>
      </c>
      <c r="S930">
        <v>3</v>
      </c>
      <c r="T930">
        <v>0.3</v>
      </c>
      <c r="U930">
        <v>-24</v>
      </c>
      <c r="V930" s="1" t="s">
        <v>86</v>
      </c>
      <c r="W930" s="1" t="s">
        <v>164</v>
      </c>
    </row>
    <row r="931" spans="1:23" x14ac:dyDescent="0.35">
      <c r="A931">
        <v>4472</v>
      </c>
      <c r="B931" s="1" t="s">
        <v>2832</v>
      </c>
      <c r="C931" s="2">
        <v>43007</v>
      </c>
      <c r="D931" s="2">
        <v>43007</v>
      </c>
      <c r="E931" s="1" t="s">
        <v>428</v>
      </c>
      <c r="F931" s="1" t="s">
        <v>231</v>
      </c>
      <c r="G931" s="1" t="s">
        <v>232</v>
      </c>
      <c r="H931" s="1" t="s">
        <v>103</v>
      </c>
      <c r="I931" s="1" t="s">
        <v>28</v>
      </c>
      <c r="J931" s="1" t="s">
        <v>2833</v>
      </c>
      <c r="K931" s="1" t="s">
        <v>234</v>
      </c>
      <c r="L931">
        <v>44060</v>
      </c>
      <c r="M931" s="1" t="s">
        <v>70</v>
      </c>
      <c r="N931" s="1" t="s">
        <v>1620</v>
      </c>
      <c r="O931" s="1" t="s">
        <v>33</v>
      </c>
      <c r="P931" s="1" t="s">
        <v>39</v>
      </c>
      <c r="Q931" s="1" t="s">
        <v>1621</v>
      </c>
      <c r="R931">
        <v>64</v>
      </c>
      <c r="S931">
        <v>1</v>
      </c>
      <c r="T931">
        <v>0.3</v>
      </c>
      <c r="U931">
        <v>-15</v>
      </c>
      <c r="V931" s="1" t="s">
        <v>433</v>
      </c>
      <c r="W931" s="1" t="s">
        <v>80</v>
      </c>
    </row>
    <row r="932" spans="1:23" x14ac:dyDescent="0.35">
      <c r="A932">
        <v>4474</v>
      </c>
      <c r="B932" s="1" t="s">
        <v>2832</v>
      </c>
      <c r="C932" s="2">
        <v>43007</v>
      </c>
      <c r="D932" s="2">
        <v>43007</v>
      </c>
      <c r="E932" s="1" t="s">
        <v>428</v>
      </c>
      <c r="F932" s="1" t="s">
        <v>231</v>
      </c>
      <c r="G932" s="1" t="s">
        <v>232</v>
      </c>
      <c r="H932" s="1" t="s">
        <v>103</v>
      </c>
      <c r="I932" s="1" t="s">
        <v>28</v>
      </c>
      <c r="J932" s="1" t="s">
        <v>2833</v>
      </c>
      <c r="K932" s="1" t="s">
        <v>234</v>
      </c>
      <c r="L932">
        <v>44060</v>
      </c>
      <c r="M932" s="1" t="s">
        <v>70</v>
      </c>
      <c r="N932" s="1" t="s">
        <v>2834</v>
      </c>
      <c r="O932" s="1" t="s">
        <v>33</v>
      </c>
      <c r="P932" s="1" t="s">
        <v>48</v>
      </c>
      <c r="Q932" s="1" t="s">
        <v>2835</v>
      </c>
      <c r="R932">
        <v>344</v>
      </c>
      <c r="S932">
        <v>2</v>
      </c>
      <c r="T932">
        <v>0.4</v>
      </c>
      <c r="U932">
        <v>-189</v>
      </c>
      <c r="V932" s="1" t="s">
        <v>433</v>
      </c>
      <c r="W932" s="1" t="s">
        <v>80</v>
      </c>
    </row>
    <row r="933" spans="1:23" x14ac:dyDescent="0.35">
      <c r="A933">
        <v>4476</v>
      </c>
      <c r="B933" s="1" t="s">
        <v>2832</v>
      </c>
      <c r="C933" s="2">
        <v>43007</v>
      </c>
      <c r="D933" s="2">
        <v>43007</v>
      </c>
      <c r="E933" s="1" t="s">
        <v>428</v>
      </c>
      <c r="F933" s="1" t="s">
        <v>231</v>
      </c>
      <c r="G933" s="1" t="s">
        <v>232</v>
      </c>
      <c r="H933" s="1" t="s">
        <v>103</v>
      </c>
      <c r="I933" s="1" t="s">
        <v>28</v>
      </c>
      <c r="J933" s="1" t="s">
        <v>2833</v>
      </c>
      <c r="K933" s="1" t="s">
        <v>234</v>
      </c>
      <c r="L933">
        <v>44060</v>
      </c>
      <c r="M933" s="1" t="s">
        <v>70</v>
      </c>
      <c r="N933" s="1" t="s">
        <v>2329</v>
      </c>
      <c r="O933" s="1" t="s">
        <v>33</v>
      </c>
      <c r="P933" s="1" t="s">
        <v>59</v>
      </c>
      <c r="Q933" s="1" t="s">
        <v>2330</v>
      </c>
      <c r="R933">
        <v>21</v>
      </c>
      <c r="S933">
        <v>4</v>
      </c>
      <c r="T933">
        <v>0.2</v>
      </c>
      <c r="U933">
        <v>7</v>
      </c>
      <c r="V933" s="1" t="s">
        <v>433</v>
      </c>
      <c r="W933" s="1" t="s">
        <v>80</v>
      </c>
    </row>
    <row r="934" spans="1:23" x14ac:dyDescent="0.35">
      <c r="A934">
        <v>4479</v>
      </c>
      <c r="B934" s="1" t="s">
        <v>2836</v>
      </c>
      <c r="C934" s="2">
        <v>43030</v>
      </c>
      <c r="D934" s="2">
        <v>43030</v>
      </c>
      <c r="E934" s="1" t="s">
        <v>428</v>
      </c>
      <c r="F934" s="1" t="s">
        <v>1026</v>
      </c>
      <c r="G934" s="1" t="s">
        <v>1027</v>
      </c>
      <c r="H934" s="1" t="s">
        <v>27</v>
      </c>
      <c r="I934" s="1" t="s">
        <v>28</v>
      </c>
      <c r="J934" s="1" t="s">
        <v>2837</v>
      </c>
      <c r="K934" s="1" t="s">
        <v>1525</v>
      </c>
      <c r="L934">
        <v>73505</v>
      </c>
      <c r="M934" s="1" t="s">
        <v>96</v>
      </c>
      <c r="N934" s="1" t="s">
        <v>293</v>
      </c>
      <c r="O934" s="1" t="s">
        <v>33</v>
      </c>
      <c r="P934" s="1" t="s">
        <v>48</v>
      </c>
      <c r="Q934" s="1" t="s">
        <v>294</v>
      </c>
      <c r="R934">
        <v>249</v>
      </c>
      <c r="S934">
        <v>2</v>
      </c>
      <c r="T934">
        <v>0</v>
      </c>
      <c r="U934">
        <v>55</v>
      </c>
      <c r="V934" s="1" t="s">
        <v>433</v>
      </c>
      <c r="W934" s="1" t="s">
        <v>51</v>
      </c>
    </row>
    <row r="935" spans="1:23" x14ac:dyDescent="0.35">
      <c r="A935">
        <v>4491</v>
      </c>
      <c r="B935" s="1" t="s">
        <v>2838</v>
      </c>
      <c r="C935" s="2">
        <v>42961</v>
      </c>
      <c r="D935" s="2">
        <v>42968</v>
      </c>
      <c r="E935" s="1" t="s">
        <v>42</v>
      </c>
      <c r="F935" s="1" t="s">
        <v>2657</v>
      </c>
      <c r="G935" s="1" t="s">
        <v>2658</v>
      </c>
      <c r="H935" s="1" t="s">
        <v>27</v>
      </c>
      <c r="I935" s="1" t="s">
        <v>28</v>
      </c>
      <c r="J935" s="1" t="s">
        <v>55</v>
      </c>
      <c r="K935" s="1" t="s">
        <v>56</v>
      </c>
      <c r="L935">
        <v>90032</v>
      </c>
      <c r="M935" s="1" t="s">
        <v>57</v>
      </c>
      <c r="N935" s="1" t="s">
        <v>787</v>
      </c>
      <c r="O935" s="1" t="s">
        <v>33</v>
      </c>
      <c r="P935" s="1" t="s">
        <v>48</v>
      </c>
      <c r="Q935" s="1" t="s">
        <v>788</v>
      </c>
      <c r="R935">
        <v>418</v>
      </c>
      <c r="S935">
        <v>3</v>
      </c>
      <c r="T935">
        <v>0.2</v>
      </c>
      <c r="U935">
        <v>5</v>
      </c>
      <c r="V935" s="1" t="s">
        <v>50</v>
      </c>
      <c r="W935" s="1" t="s">
        <v>256</v>
      </c>
    </row>
    <row r="936" spans="1:23" x14ac:dyDescent="0.35">
      <c r="A936">
        <v>4493</v>
      </c>
      <c r="B936" s="1" t="s">
        <v>2839</v>
      </c>
      <c r="C936" s="2">
        <v>41974</v>
      </c>
      <c r="D936" s="2">
        <v>41976</v>
      </c>
      <c r="E936" s="1" t="s">
        <v>24</v>
      </c>
      <c r="F936" s="1" t="s">
        <v>2840</v>
      </c>
      <c r="G936" s="1" t="s">
        <v>2841</v>
      </c>
      <c r="H936" s="1" t="s">
        <v>27</v>
      </c>
      <c r="I936" s="1" t="s">
        <v>28</v>
      </c>
      <c r="J936" s="1" t="s">
        <v>350</v>
      </c>
      <c r="K936" s="1" t="s">
        <v>234</v>
      </c>
      <c r="L936">
        <v>43229</v>
      </c>
      <c r="M936" s="1" t="s">
        <v>70</v>
      </c>
      <c r="N936" s="1" t="s">
        <v>664</v>
      </c>
      <c r="O936" s="1" t="s">
        <v>33</v>
      </c>
      <c r="P936" s="1" t="s">
        <v>59</v>
      </c>
      <c r="Q936" s="1" t="s">
        <v>665</v>
      </c>
      <c r="R936">
        <v>8</v>
      </c>
      <c r="S936">
        <v>2</v>
      </c>
      <c r="T936">
        <v>0.2</v>
      </c>
      <c r="U936">
        <v>1</v>
      </c>
      <c r="V936" s="1" t="s">
        <v>73</v>
      </c>
      <c r="W936" s="1" t="s">
        <v>99</v>
      </c>
    </row>
    <row r="937" spans="1:23" x14ac:dyDescent="0.35">
      <c r="A937">
        <v>4495</v>
      </c>
      <c r="B937" s="1" t="s">
        <v>2839</v>
      </c>
      <c r="C937" s="2">
        <v>41974</v>
      </c>
      <c r="D937" s="2">
        <v>41976</v>
      </c>
      <c r="E937" s="1" t="s">
        <v>24</v>
      </c>
      <c r="F937" s="1" t="s">
        <v>2840</v>
      </c>
      <c r="G937" s="1" t="s">
        <v>2841</v>
      </c>
      <c r="H937" s="1" t="s">
        <v>27</v>
      </c>
      <c r="I937" s="1" t="s">
        <v>28</v>
      </c>
      <c r="J937" s="1" t="s">
        <v>350</v>
      </c>
      <c r="K937" s="1" t="s">
        <v>234</v>
      </c>
      <c r="L937">
        <v>43229</v>
      </c>
      <c r="M937" s="1" t="s">
        <v>70</v>
      </c>
      <c r="N937" s="1" t="s">
        <v>482</v>
      </c>
      <c r="O937" s="1" t="s">
        <v>33</v>
      </c>
      <c r="P937" s="1" t="s">
        <v>39</v>
      </c>
      <c r="Q937" s="1" t="s">
        <v>483</v>
      </c>
      <c r="R937">
        <v>910</v>
      </c>
      <c r="S937">
        <v>6</v>
      </c>
      <c r="T937">
        <v>0.3</v>
      </c>
      <c r="U937">
        <v>-52</v>
      </c>
      <c r="V937" s="1" t="s">
        <v>73</v>
      </c>
      <c r="W937" s="1" t="s">
        <v>99</v>
      </c>
    </row>
    <row r="938" spans="1:23" x14ac:dyDescent="0.35">
      <c r="A938">
        <v>4496</v>
      </c>
      <c r="B938" s="1" t="s">
        <v>2842</v>
      </c>
      <c r="C938" s="2">
        <v>42904</v>
      </c>
      <c r="D938" s="2">
        <v>42909</v>
      </c>
      <c r="E938" s="1" t="s">
        <v>42</v>
      </c>
      <c r="F938" s="1" t="s">
        <v>2843</v>
      </c>
      <c r="G938" s="1" t="s">
        <v>2844</v>
      </c>
      <c r="H938" s="1" t="s">
        <v>27</v>
      </c>
      <c r="I938" s="1" t="s">
        <v>28</v>
      </c>
      <c r="J938" s="1" t="s">
        <v>55</v>
      </c>
      <c r="K938" s="1" t="s">
        <v>56</v>
      </c>
      <c r="L938">
        <v>90032</v>
      </c>
      <c r="M938" s="1" t="s">
        <v>57</v>
      </c>
      <c r="N938" s="1" t="s">
        <v>713</v>
      </c>
      <c r="O938" s="1" t="s">
        <v>33</v>
      </c>
      <c r="P938" s="1" t="s">
        <v>34</v>
      </c>
      <c r="Q938" s="1" t="s">
        <v>714</v>
      </c>
      <c r="R938">
        <v>918</v>
      </c>
      <c r="S938">
        <v>9</v>
      </c>
      <c r="T938">
        <v>0.15</v>
      </c>
      <c r="U938">
        <v>76</v>
      </c>
      <c r="V938" s="1" t="s">
        <v>61</v>
      </c>
      <c r="W938" s="1" t="s">
        <v>62</v>
      </c>
    </row>
    <row r="939" spans="1:23" x14ac:dyDescent="0.35">
      <c r="A939">
        <v>4509</v>
      </c>
      <c r="B939" s="1" t="s">
        <v>2845</v>
      </c>
      <c r="C939" s="2">
        <v>41997</v>
      </c>
      <c r="D939" s="2">
        <v>42002</v>
      </c>
      <c r="E939" s="1" t="s">
        <v>42</v>
      </c>
      <c r="F939" s="1" t="s">
        <v>1740</v>
      </c>
      <c r="G939" s="1" t="s">
        <v>1741</v>
      </c>
      <c r="H939" s="1" t="s">
        <v>103</v>
      </c>
      <c r="I939" s="1" t="s">
        <v>28</v>
      </c>
      <c r="J939" s="1" t="s">
        <v>55</v>
      </c>
      <c r="K939" s="1" t="s">
        <v>56</v>
      </c>
      <c r="L939">
        <v>90045</v>
      </c>
      <c r="M939" s="1" t="s">
        <v>57</v>
      </c>
      <c r="N939" s="1" t="s">
        <v>1183</v>
      </c>
      <c r="O939" s="1" t="s">
        <v>33</v>
      </c>
      <c r="P939" s="1" t="s">
        <v>59</v>
      </c>
      <c r="Q939" s="1" t="s">
        <v>1184</v>
      </c>
      <c r="R939">
        <v>24</v>
      </c>
      <c r="S939">
        <v>1</v>
      </c>
      <c r="T939">
        <v>0</v>
      </c>
      <c r="U939">
        <v>6</v>
      </c>
      <c r="V939" s="1" t="s">
        <v>61</v>
      </c>
      <c r="W939" s="1" t="s">
        <v>99</v>
      </c>
    </row>
    <row r="940" spans="1:23" x14ac:dyDescent="0.35">
      <c r="A940">
        <v>4510</v>
      </c>
      <c r="B940" s="1" t="s">
        <v>2846</v>
      </c>
      <c r="C940" s="2">
        <v>42878</v>
      </c>
      <c r="D940" s="2">
        <v>42884</v>
      </c>
      <c r="E940" s="1" t="s">
        <v>42</v>
      </c>
      <c r="F940" s="1" t="s">
        <v>2847</v>
      </c>
      <c r="G940" s="1" t="s">
        <v>2848</v>
      </c>
      <c r="H940" s="1" t="s">
        <v>27</v>
      </c>
      <c r="I940" s="1" t="s">
        <v>28</v>
      </c>
      <c r="J940" s="1" t="s">
        <v>55</v>
      </c>
      <c r="K940" s="1" t="s">
        <v>56</v>
      </c>
      <c r="L940">
        <v>90036</v>
      </c>
      <c r="M940" s="1" t="s">
        <v>57</v>
      </c>
      <c r="N940" s="1" t="s">
        <v>910</v>
      </c>
      <c r="O940" s="1" t="s">
        <v>33</v>
      </c>
      <c r="P940" s="1" t="s">
        <v>48</v>
      </c>
      <c r="Q940" s="1" t="s">
        <v>911</v>
      </c>
      <c r="R940">
        <v>171</v>
      </c>
      <c r="S940">
        <v>3</v>
      </c>
      <c r="T940">
        <v>0.2</v>
      </c>
      <c r="U940">
        <v>-6</v>
      </c>
      <c r="V940" s="1" t="s">
        <v>132</v>
      </c>
      <c r="W940" s="1" t="s">
        <v>164</v>
      </c>
    </row>
    <row r="941" spans="1:23" x14ac:dyDescent="0.35">
      <c r="A941">
        <v>4511</v>
      </c>
      <c r="B941" s="1" t="s">
        <v>2849</v>
      </c>
      <c r="C941" s="2">
        <v>42684</v>
      </c>
      <c r="D941" s="2">
        <v>42688</v>
      </c>
      <c r="E941" s="1" t="s">
        <v>42</v>
      </c>
      <c r="F941" s="1" t="s">
        <v>978</v>
      </c>
      <c r="G941" s="1" t="s">
        <v>979</v>
      </c>
      <c r="H941" s="1" t="s">
        <v>93</v>
      </c>
      <c r="I941" s="1" t="s">
        <v>28</v>
      </c>
      <c r="J941" s="1" t="s">
        <v>881</v>
      </c>
      <c r="K941" s="1" t="s">
        <v>568</v>
      </c>
      <c r="L941">
        <v>65807</v>
      </c>
      <c r="M941" s="1" t="s">
        <v>96</v>
      </c>
      <c r="N941" s="1" t="s">
        <v>2651</v>
      </c>
      <c r="O941" s="1" t="s">
        <v>33</v>
      </c>
      <c r="P941" s="1" t="s">
        <v>59</v>
      </c>
      <c r="Q941" s="1" t="s">
        <v>2652</v>
      </c>
      <c r="R941">
        <v>37</v>
      </c>
      <c r="S941">
        <v>2</v>
      </c>
      <c r="T941">
        <v>0</v>
      </c>
      <c r="U941">
        <v>17</v>
      </c>
      <c r="V941" s="1" t="s">
        <v>86</v>
      </c>
      <c r="W941" s="1" t="s">
        <v>37</v>
      </c>
    </row>
    <row r="942" spans="1:23" x14ac:dyDescent="0.35">
      <c r="A942">
        <v>4515</v>
      </c>
      <c r="B942" s="1" t="s">
        <v>2850</v>
      </c>
      <c r="C942" s="2">
        <v>42670</v>
      </c>
      <c r="D942" s="2">
        <v>42675</v>
      </c>
      <c r="E942" s="1" t="s">
        <v>24</v>
      </c>
      <c r="F942" s="1" t="s">
        <v>2851</v>
      </c>
      <c r="G942" s="1" t="s">
        <v>2852</v>
      </c>
      <c r="H942" s="1" t="s">
        <v>27</v>
      </c>
      <c r="I942" s="1" t="s">
        <v>28</v>
      </c>
      <c r="J942" s="1" t="s">
        <v>2853</v>
      </c>
      <c r="K942" s="1" t="s">
        <v>719</v>
      </c>
      <c r="L942">
        <v>23666</v>
      </c>
      <c r="M942" s="1" t="s">
        <v>31</v>
      </c>
      <c r="N942" s="1" t="s">
        <v>1309</v>
      </c>
      <c r="O942" s="1" t="s">
        <v>33</v>
      </c>
      <c r="P942" s="1" t="s">
        <v>39</v>
      </c>
      <c r="Q942" s="1" t="s">
        <v>1310</v>
      </c>
      <c r="R942">
        <v>291</v>
      </c>
      <c r="S942">
        <v>1</v>
      </c>
      <c r="T942">
        <v>0</v>
      </c>
      <c r="U942">
        <v>76</v>
      </c>
      <c r="V942" s="1" t="s">
        <v>61</v>
      </c>
      <c r="W942" s="1" t="s">
        <v>51</v>
      </c>
    </row>
    <row r="943" spans="1:23" x14ac:dyDescent="0.35">
      <c r="A943">
        <v>4522</v>
      </c>
      <c r="B943" s="1" t="s">
        <v>2854</v>
      </c>
      <c r="C943" s="2">
        <v>41690</v>
      </c>
      <c r="D943" s="2">
        <v>41696</v>
      </c>
      <c r="E943" s="1" t="s">
        <v>42</v>
      </c>
      <c r="F943" s="1" t="s">
        <v>1300</v>
      </c>
      <c r="G943" s="1" t="s">
        <v>1301</v>
      </c>
      <c r="H943" s="1" t="s">
        <v>93</v>
      </c>
      <c r="I943" s="1" t="s">
        <v>28</v>
      </c>
      <c r="J943" s="1" t="s">
        <v>638</v>
      </c>
      <c r="K943" s="1" t="s">
        <v>113</v>
      </c>
      <c r="L943">
        <v>47374</v>
      </c>
      <c r="M943" s="1" t="s">
        <v>96</v>
      </c>
      <c r="N943" s="1" t="s">
        <v>664</v>
      </c>
      <c r="O943" s="1" t="s">
        <v>33</v>
      </c>
      <c r="P943" s="1" t="s">
        <v>59</v>
      </c>
      <c r="Q943" s="1" t="s">
        <v>665</v>
      </c>
      <c r="R943">
        <v>20</v>
      </c>
      <c r="S943">
        <v>4</v>
      </c>
      <c r="T943">
        <v>0</v>
      </c>
      <c r="U943">
        <v>7</v>
      </c>
      <c r="V943" s="1" t="s">
        <v>132</v>
      </c>
      <c r="W943" s="1" t="s">
        <v>300</v>
      </c>
    </row>
    <row r="944" spans="1:23" x14ac:dyDescent="0.35">
      <c r="A944">
        <v>4525</v>
      </c>
      <c r="B944" s="1" t="s">
        <v>2855</v>
      </c>
      <c r="C944" s="2">
        <v>41945</v>
      </c>
      <c r="D944" s="2">
        <v>41949</v>
      </c>
      <c r="E944" s="1" t="s">
        <v>42</v>
      </c>
      <c r="F944" s="1" t="s">
        <v>2856</v>
      </c>
      <c r="G944" s="1" t="s">
        <v>2857</v>
      </c>
      <c r="H944" s="1" t="s">
        <v>27</v>
      </c>
      <c r="I944" s="1" t="s">
        <v>28</v>
      </c>
      <c r="J944" s="1" t="s">
        <v>176</v>
      </c>
      <c r="K944" s="1" t="s">
        <v>123</v>
      </c>
      <c r="L944">
        <v>10024</v>
      </c>
      <c r="M944" s="1" t="s">
        <v>70</v>
      </c>
      <c r="N944" s="1" t="s">
        <v>1207</v>
      </c>
      <c r="O944" s="1" t="s">
        <v>33</v>
      </c>
      <c r="P944" s="1" t="s">
        <v>59</v>
      </c>
      <c r="Q944" s="1" t="s">
        <v>1208</v>
      </c>
      <c r="R944">
        <v>89</v>
      </c>
      <c r="S944">
        <v>6</v>
      </c>
      <c r="T944">
        <v>0</v>
      </c>
      <c r="U944">
        <v>24</v>
      </c>
      <c r="V944" s="1" t="s">
        <v>86</v>
      </c>
      <c r="W944" s="1" t="s">
        <v>37</v>
      </c>
    </row>
    <row r="945" spans="1:23" x14ac:dyDescent="0.35">
      <c r="A945">
        <v>4528</v>
      </c>
      <c r="B945" s="1" t="s">
        <v>2858</v>
      </c>
      <c r="C945" s="2">
        <v>42933</v>
      </c>
      <c r="D945" s="2">
        <v>42939</v>
      </c>
      <c r="E945" s="1" t="s">
        <v>42</v>
      </c>
      <c r="F945" s="1" t="s">
        <v>1875</v>
      </c>
      <c r="G945" s="1" t="s">
        <v>1876</v>
      </c>
      <c r="H945" s="1" t="s">
        <v>103</v>
      </c>
      <c r="I945" s="1" t="s">
        <v>28</v>
      </c>
      <c r="J945" s="1" t="s">
        <v>2859</v>
      </c>
      <c r="K945" s="1" t="s">
        <v>123</v>
      </c>
      <c r="L945">
        <v>13440</v>
      </c>
      <c r="M945" s="1" t="s">
        <v>70</v>
      </c>
      <c r="N945" s="1" t="s">
        <v>87</v>
      </c>
      <c r="O945" s="1" t="s">
        <v>33</v>
      </c>
      <c r="P945" s="1" t="s">
        <v>59</v>
      </c>
      <c r="Q945" s="1" t="s">
        <v>1864</v>
      </c>
      <c r="R945">
        <v>39</v>
      </c>
      <c r="S945">
        <v>4</v>
      </c>
      <c r="T945">
        <v>0</v>
      </c>
      <c r="U945">
        <v>14</v>
      </c>
      <c r="V945" s="1" t="s">
        <v>132</v>
      </c>
      <c r="W945" s="1" t="s">
        <v>74</v>
      </c>
    </row>
    <row r="946" spans="1:23" x14ac:dyDescent="0.35">
      <c r="A946">
        <v>4531</v>
      </c>
      <c r="B946" s="1" t="s">
        <v>2860</v>
      </c>
      <c r="C946" s="2">
        <v>42688</v>
      </c>
      <c r="D946" s="2">
        <v>42691</v>
      </c>
      <c r="E946" s="1" t="s">
        <v>90</v>
      </c>
      <c r="F946" s="1" t="s">
        <v>1303</v>
      </c>
      <c r="G946" s="1" t="s">
        <v>1304</v>
      </c>
      <c r="H946" s="1" t="s">
        <v>27</v>
      </c>
      <c r="I946" s="1" t="s">
        <v>28</v>
      </c>
      <c r="J946" s="1" t="s">
        <v>176</v>
      </c>
      <c r="K946" s="1" t="s">
        <v>123</v>
      </c>
      <c r="L946">
        <v>10009</v>
      </c>
      <c r="M946" s="1" t="s">
        <v>70</v>
      </c>
      <c r="N946" s="1" t="s">
        <v>808</v>
      </c>
      <c r="O946" s="1" t="s">
        <v>33</v>
      </c>
      <c r="P946" s="1" t="s">
        <v>39</v>
      </c>
      <c r="Q946" s="1" t="s">
        <v>809</v>
      </c>
      <c r="R946">
        <v>408</v>
      </c>
      <c r="S946">
        <v>2</v>
      </c>
      <c r="T946">
        <v>0.1</v>
      </c>
      <c r="U946">
        <v>73</v>
      </c>
      <c r="V946" s="1" t="s">
        <v>36</v>
      </c>
      <c r="W946" s="1" t="s">
        <v>37</v>
      </c>
    </row>
    <row r="947" spans="1:23" x14ac:dyDescent="0.35">
      <c r="A947">
        <v>4533</v>
      </c>
      <c r="B947" s="1" t="s">
        <v>2861</v>
      </c>
      <c r="C947" s="2">
        <v>41922</v>
      </c>
      <c r="D947" s="2">
        <v>41922</v>
      </c>
      <c r="E947" s="1" t="s">
        <v>428</v>
      </c>
      <c r="F947" s="1" t="s">
        <v>520</v>
      </c>
      <c r="G947" s="1" t="s">
        <v>521</v>
      </c>
      <c r="H947" s="1" t="s">
        <v>103</v>
      </c>
      <c r="I947" s="1" t="s">
        <v>28</v>
      </c>
      <c r="J947" s="1" t="s">
        <v>2862</v>
      </c>
      <c r="K947" s="1" t="s">
        <v>56</v>
      </c>
      <c r="L947">
        <v>95336</v>
      </c>
      <c r="M947" s="1" t="s">
        <v>57</v>
      </c>
      <c r="N947" s="1" t="s">
        <v>71</v>
      </c>
      <c r="O947" s="1" t="s">
        <v>33</v>
      </c>
      <c r="P947" s="1" t="s">
        <v>39</v>
      </c>
      <c r="Q947" s="1" t="s">
        <v>72</v>
      </c>
      <c r="R947">
        <v>122</v>
      </c>
      <c r="S947">
        <v>3</v>
      </c>
      <c r="T947">
        <v>0.2</v>
      </c>
      <c r="U947">
        <v>14</v>
      </c>
      <c r="V947" s="1" t="s">
        <v>433</v>
      </c>
      <c r="W947" s="1" t="s">
        <v>51</v>
      </c>
    </row>
    <row r="948" spans="1:23" x14ac:dyDescent="0.35">
      <c r="A948">
        <v>4536</v>
      </c>
      <c r="B948" s="1" t="s">
        <v>2863</v>
      </c>
      <c r="C948" s="2">
        <v>42924</v>
      </c>
      <c r="D948" s="2">
        <v>42928</v>
      </c>
      <c r="E948" s="1" t="s">
        <v>42</v>
      </c>
      <c r="F948" s="1" t="s">
        <v>2864</v>
      </c>
      <c r="G948" s="1" t="s">
        <v>2865</v>
      </c>
      <c r="H948" s="1" t="s">
        <v>103</v>
      </c>
      <c r="I948" s="1" t="s">
        <v>28</v>
      </c>
      <c r="J948" s="1" t="s">
        <v>194</v>
      </c>
      <c r="K948" s="1" t="s">
        <v>195</v>
      </c>
      <c r="L948">
        <v>98115</v>
      </c>
      <c r="M948" s="1" t="s">
        <v>57</v>
      </c>
      <c r="N948" s="1" t="s">
        <v>1661</v>
      </c>
      <c r="O948" s="1" t="s">
        <v>33</v>
      </c>
      <c r="P948" s="1" t="s">
        <v>59</v>
      </c>
      <c r="Q948" s="1" t="s">
        <v>1662</v>
      </c>
      <c r="R948">
        <v>16</v>
      </c>
      <c r="S948">
        <v>3</v>
      </c>
      <c r="T948">
        <v>0</v>
      </c>
      <c r="U948">
        <v>5</v>
      </c>
      <c r="V948" s="1" t="s">
        <v>86</v>
      </c>
      <c r="W948" s="1" t="s">
        <v>74</v>
      </c>
    </row>
    <row r="949" spans="1:23" x14ac:dyDescent="0.35">
      <c r="A949">
        <v>4541</v>
      </c>
      <c r="B949" s="1" t="s">
        <v>2866</v>
      </c>
      <c r="C949" s="2">
        <v>42062</v>
      </c>
      <c r="D949" s="2">
        <v>42065</v>
      </c>
      <c r="E949" s="1" t="s">
        <v>42</v>
      </c>
      <c r="F949" s="1" t="s">
        <v>2867</v>
      </c>
      <c r="G949" s="1" t="s">
        <v>2868</v>
      </c>
      <c r="H949" s="1" t="s">
        <v>93</v>
      </c>
      <c r="I949" s="1" t="s">
        <v>28</v>
      </c>
      <c r="J949" s="1" t="s">
        <v>1647</v>
      </c>
      <c r="K949" s="1" t="s">
        <v>1648</v>
      </c>
      <c r="L949">
        <v>2908</v>
      </c>
      <c r="M949" s="1" t="s">
        <v>70</v>
      </c>
      <c r="N949" s="1" t="s">
        <v>2409</v>
      </c>
      <c r="O949" s="1" t="s">
        <v>33</v>
      </c>
      <c r="P949" s="1" t="s">
        <v>48</v>
      </c>
      <c r="Q949" s="1" t="s">
        <v>2410</v>
      </c>
      <c r="R949">
        <v>494</v>
      </c>
      <c r="S949">
        <v>7</v>
      </c>
      <c r="T949">
        <v>0.3</v>
      </c>
      <c r="U949">
        <v>-28</v>
      </c>
      <c r="V949" s="1" t="s">
        <v>36</v>
      </c>
      <c r="W949" s="1" t="s">
        <v>300</v>
      </c>
    </row>
    <row r="950" spans="1:23" x14ac:dyDescent="0.35">
      <c r="A950">
        <v>4544</v>
      </c>
      <c r="B950" s="1" t="s">
        <v>2869</v>
      </c>
      <c r="C950" s="2">
        <v>42197</v>
      </c>
      <c r="D950" s="2">
        <v>42202</v>
      </c>
      <c r="E950" s="1" t="s">
        <v>24</v>
      </c>
      <c r="F950" s="1" t="s">
        <v>2870</v>
      </c>
      <c r="G950" s="1" t="s">
        <v>2871</v>
      </c>
      <c r="H950" s="1" t="s">
        <v>27</v>
      </c>
      <c r="I950" s="1" t="s">
        <v>28</v>
      </c>
      <c r="J950" s="1" t="s">
        <v>136</v>
      </c>
      <c r="K950" s="1" t="s">
        <v>137</v>
      </c>
      <c r="L950">
        <v>60610</v>
      </c>
      <c r="M950" s="1" t="s">
        <v>96</v>
      </c>
      <c r="N950" s="1" t="s">
        <v>301</v>
      </c>
      <c r="O950" s="1" t="s">
        <v>33</v>
      </c>
      <c r="P950" s="1" t="s">
        <v>39</v>
      </c>
      <c r="Q950" s="1" t="s">
        <v>302</v>
      </c>
      <c r="R950">
        <v>384</v>
      </c>
      <c r="S950">
        <v>9</v>
      </c>
      <c r="T950">
        <v>0.3</v>
      </c>
      <c r="U950">
        <v>-5</v>
      </c>
      <c r="V950" s="1" t="s">
        <v>61</v>
      </c>
      <c r="W950" s="1" t="s">
        <v>74</v>
      </c>
    </row>
    <row r="951" spans="1:23" x14ac:dyDescent="0.35">
      <c r="A951">
        <v>4549</v>
      </c>
      <c r="B951" s="1" t="s">
        <v>2869</v>
      </c>
      <c r="C951" s="2">
        <v>42197</v>
      </c>
      <c r="D951" s="2">
        <v>42202</v>
      </c>
      <c r="E951" s="1" t="s">
        <v>24</v>
      </c>
      <c r="F951" s="1" t="s">
        <v>2870</v>
      </c>
      <c r="G951" s="1" t="s">
        <v>2871</v>
      </c>
      <c r="H951" s="1" t="s">
        <v>27</v>
      </c>
      <c r="I951" s="1" t="s">
        <v>28</v>
      </c>
      <c r="J951" s="1" t="s">
        <v>136</v>
      </c>
      <c r="K951" s="1" t="s">
        <v>137</v>
      </c>
      <c r="L951">
        <v>60610</v>
      </c>
      <c r="M951" s="1" t="s">
        <v>96</v>
      </c>
      <c r="N951" s="1" t="s">
        <v>366</v>
      </c>
      <c r="O951" s="1" t="s">
        <v>33</v>
      </c>
      <c r="P951" s="1" t="s">
        <v>59</v>
      </c>
      <c r="Q951" s="1" t="s">
        <v>367</v>
      </c>
      <c r="R951">
        <v>8</v>
      </c>
      <c r="S951">
        <v>1</v>
      </c>
      <c r="T951">
        <v>0.6</v>
      </c>
      <c r="U951">
        <v>-2</v>
      </c>
      <c r="V951" s="1" t="s">
        <v>61</v>
      </c>
      <c r="W951" s="1" t="s">
        <v>74</v>
      </c>
    </row>
    <row r="952" spans="1:23" x14ac:dyDescent="0.35">
      <c r="A952">
        <v>4552</v>
      </c>
      <c r="B952" s="1" t="s">
        <v>2872</v>
      </c>
      <c r="C952" s="2">
        <v>41833</v>
      </c>
      <c r="D952" s="2">
        <v>41837</v>
      </c>
      <c r="E952" s="1" t="s">
        <v>42</v>
      </c>
      <c r="F952" s="1" t="s">
        <v>2873</v>
      </c>
      <c r="G952" s="1" t="s">
        <v>2874</v>
      </c>
      <c r="H952" s="1" t="s">
        <v>93</v>
      </c>
      <c r="I952" s="1" t="s">
        <v>28</v>
      </c>
      <c r="J952" s="1" t="s">
        <v>55</v>
      </c>
      <c r="K952" s="1" t="s">
        <v>56</v>
      </c>
      <c r="L952">
        <v>90049</v>
      </c>
      <c r="M952" s="1" t="s">
        <v>57</v>
      </c>
      <c r="N952" s="1" t="s">
        <v>1630</v>
      </c>
      <c r="O952" s="1" t="s">
        <v>33</v>
      </c>
      <c r="P952" s="1" t="s">
        <v>48</v>
      </c>
      <c r="Q952" s="1" t="s">
        <v>1631</v>
      </c>
      <c r="R952">
        <v>351</v>
      </c>
      <c r="S952">
        <v>3</v>
      </c>
      <c r="T952">
        <v>0.2</v>
      </c>
      <c r="U952">
        <v>4</v>
      </c>
      <c r="V952" s="1" t="s">
        <v>86</v>
      </c>
      <c r="W952" s="1" t="s">
        <v>74</v>
      </c>
    </row>
    <row r="953" spans="1:23" x14ac:dyDescent="0.35">
      <c r="A953">
        <v>4553</v>
      </c>
      <c r="B953" s="1" t="s">
        <v>2875</v>
      </c>
      <c r="C953" s="2">
        <v>42000</v>
      </c>
      <c r="D953" s="2">
        <v>42006</v>
      </c>
      <c r="E953" s="1" t="s">
        <v>42</v>
      </c>
      <c r="F953" s="1" t="s">
        <v>2876</v>
      </c>
      <c r="G953" s="1" t="s">
        <v>2877</v>
      </c>
      <c r="H953" s="1" t="s">
        <v>27</v>
      </c>
      <c r="I953" s="1" t="s">
        <v>28</v>
      </c>
      <c r="J953" s="1" t="s">
        <v>331</v>
      </c>
      <c r="K953" s="1" t="s">
        <v>56</v>
      </c>
      <c r="L953">
        <v>94122</v>
      </c>
      <c r="M953" s="1" t="s">
        <v>57</v>
      </c>
      <c r="N953" s="1" t="s">
        <v>469</v>
      </c>
      <c r="O953" s="1" t="s">
        <v>33</v>
      </c>
      <c r="P953" s="1" t="s">
        <v>39</v>
      </c>
      <c r="Q953" s="1" t="s">
        <v>470</v>
      </c>
      <c r="R953">
        <v>230</v>
      </c>
      <c r="S953">
        <v>3</v>
      </c>
      <c r="T953">
        <v>0.2</v>
      </c>
      <c r="U953">
        <v>23</v>
      </c>
      <c r="V953" s="1" t="s">
        <v>132</v>
      </c>
      <c r="W953" s="1" t="s">
        <v>99</v>
      </c>
    </row>
    <row r="954" spans="1:23" x14ac:dyDescent="0.35">
      <c r="A954">
        <v>4560</v>
      </c>
      <c r="B954" s="1" t="s">
        <v>2878</v>
      </c>
      <c r="C954" s="2">
        <v>41764</v>
      </c>
      <c r="D954" s="2">
        <v>41767</v>
      </c>
      <c r="E954" s="1" t="s">
        <v>90</v>
      </c>
      <c r="F954" s="1" t="s">
        <v>76</v>
      </c>
      <c r="G954" s="1" t="s">
        <v>77</v>
      </c>
      <c r="H954" s="1" t="s">
        <v>27</v>
      </c>
      <c r="I954" s="1" t="s">
        <v>28</v>
      </c>
      <c r="J954" s="1" t="s">
        <v>248</v>
      </c>
      <c r="K954" s="1" t="s">
        <v>95</v>
      </c>
      <c r="L954">
        <v>78207</v>
      </c>
      <c r="M954" s="1" t="s">
        <v>96</v>
      </c>
      <c r="N954" s="1" t="s">
        <v>138</v>
      </c>
      <c r="O954" s="1" t="s">
        <v>33</v>
      </c>
      <c r="P954" s="1" t="s">
        <v>39</v>
      </c>
      <c r="Q954" s="1" t="s">
        <v>139</v>
      </c>
      <c r="R954">
        <v>128</v>
      </c>
      <c r="S954">
        <v>3</v>
      </c>
      <c r="T954">
        <v>0.3</v>
      </c>
      <c r="U954">
        <v>-9</v>
      </c>
      <c r="V954" s="1" t="s">
        <v>36</v>
      </c>
      <c r="W954" s="1" t="s">
        <v>164</v>
      </c>
    </row>
    <row r="955" spans="1:23" x14ac:dyDescent="0.35">
      <c r="A955">
        <v>4563</v>
      </c>
      <c r="B955" s="1" t="s">
        <v>2879</v>
      </c>
      <c r="C955" s="2">
        <v>42342</v>
      </c>
      <c r="D955" s="2">
        <v>42347</v>
      </c>
      <c r="E955" s="1" t="s">
        <v>24</v>
      </c>
      <c r="F955" s="1" t="s">
        <v>1869</v>
      </c>
      <c r="G955" s="1" t="s">
        <v>1870</v>
      </c>
      <c r="H955" s="1" t="s">
        <v>93</v>
      </c>
      <c r="I955" s="1" t="s">
        <v>28</v>
      </c>
      <c r="J955" s="1" t="s">
        <v>55</v>
      </c>
      <c r="K955" s="1" t="s">
        <v>56</v>
      </c>
      <c r="L955">
        <v>90049</v>
      </c>
      <c r="M955" s="1" t="s">
        <v>57</v>
      </c>
      <c r="N955" s="1" t="s">
        <v>2880</v>
      </c>
      <c r="O955" s="1" t="s">
        <v>33</v>
      </c>
      <c r="P955" s="1" t="s">
        <v>59</v>
      </c>
      <c r="Q955" s="1" t="s">
        <v>2881</v>
      </c>
      <c r="R955">
        <v>36</v>
      </c>
      <c r="S955">
        <v>5</v>
      </c>
      <c r="T955">
        <v>0</v>
      </c>
      <c r="U955">
        <v>14</v>
      </c>
      <c r="V955" s="1" t="s">
        <v>61</v>
      </c>
      <c r="W955" s="1" t="s">
        <v>99</v>
      </c>
    </row>
    <row r="956" spans="1:23" x14ac:dyDescent="0.35">
      <c r="A956">
        <v>4564</v>
      </c>
      <c r="B956" s="1" t="s">
        <v>2882</v>
      </c>
      <c r="C956" s="2">
        <v>43004</v>
      </c>
      <c r="D956" s="2">
        <v>43008</v>
      </c>
      <c r="E956" s="1" t="s">
        <v>42</v>
      </c>
      <c r="F956" s="1" t="s">
        <v>1785</v>
      </c>
      <c r="G956" s="1" t="s">
        <v>1786</v>
      </c>
      <c r="H956" s="1" t="s">
        <v>103</v>
      </c>
      <c r="I956" s="1" t="s">
        <v>28</v>
      </c>
      <c r="J956" s="1" t="s">
        <v>2711</v>
      </c>
      <c r="K956" s="1" t="s">
        <v>46</v>
      </c>
      <c r="L956">
        <v>33023</v>
      </c>
      <c r="M956" s="1" t="s">
        <v>31</v>
      </c>
      <c r="N956" s="1" t="s">
        <v>2581</v>
      </c>
      <c r="O956" s="1" t="s">
        <v>33</v>
      </c>
      <c r="P956" s="1" t="s">
        <v>39</v>
      </c>
      <c r="Q956" s="1" t="s">
        <v>2582</v>
      </c>
      <c r="R956">
        <v>419</v>
      </c>
      <c r="S956">
        <v>4</v>
      </c>
      <c r="T956">
        <v>0.2</v>
      </c>
      <c r="U956">
        <v>-58</v>
      </c>
      <c r="V956" s="1" t="s">
        <v>86</v>
      </c>
      <c r="W956" s="1" t="s">
        <v>80</v>
      </c>
    </row>
    <row r="957" spans="1:23" x14ac:dyDescent="0.35">
      <c r="A957">
        <v>4570</v>
      </c>
      <c r="B957" s="1" t="s">
        <v>2883</v>
      </c>
      <c r="C957" s="2">
        <v>41748</v>
      </c>
      <c r="D957" s="2">
        <v>41750</v>
      </c>
      <c r="E957" s="1" t="s">
        <v>24</v>
      </c>
      <c r="F957" s="1" t="s">
        <v>1018</v>
      </c>
      <c r="G957" s="1" t="s">
        <v>1019</v>
      </c>
      <c r="H957" s="1" t="s">
        <v>103</v>
      </c>
      <c r="I957" s="1" t="s">
        <v>28</v>
      </c>
      <c r="J957" s="1" t="s">
        <v>1494</v>
      </c>
      <c r="K957" s="1" t="s">
        <v>56</v>
      </c>
      <c r="L957">
        <v>95123</v>
      </c>
      <c r="M957" s="1" t="s">
        <v>57</v>
      </c>
      <c r="N957" s="1" t="s">
        <v>311</v>
      </c>
      <c r="O957" s="1" t="s">
        <v>33</v>
      </c>
      <c r="P957" s="1" t="s">
        <v>59</v>
      </c>
      <c r="Q957" s="1" t="s">
        <v>2589</v>
      </c>
      <c r="R957">
        <v>76</v>
      </c>
      <c r="S957">
        <v>3</v>
      </c>
      <c r="T957">
        <v>0</v>
      </c>
      <c r="U957">
        <v>27</v>
      </c>
      <c r="V957" s="1" t="s">
        <v>73</v>
      </c>
      <c r="W957" s="1" t="s">
        <v>116</v>
      </c>
    </row>
    <row r="958" spans="1:23" x14ac:dyDescent="0.35">
      <c r="A958">
        <v>4575</v>
      </c>
      <c r="B958" s="1" t="s">
        <v>2884</v>
      </c>
      <c r="C958" s="2">
        <v>42716</v>
      </c>
      <c r="D958" s="2">
        <v>42722</v>
      </c>
      <c r="E958" s="1" t="s">
        <v>42</v>
      </c>
      <c r="F958" s="1" t="s">
        <v>2885</v>
      </c>
      <c r="G958" s="1" t="s">
        <v>2886</v>
      </c>
      <c r="H958" s="1" t="s">
        <v>103</v>
      </c>
      <c r="I958" s="1" t="s">
        <v>28</v>
      </c>
      <c r="J958" s="1" t="s">
        <v>480</v>
      </c>
      <c r="K958" s="1" t="s">
        <v>292</v>
      </c>
      <c r="L958">
        <v>49201</v>
      </c>
      <c r="M958" s="1" t="s">
        <v>96</v>
      </c>
      <c r="N958" s="1" t="s">
        <v>1150</v>
      </c>
      <c r="O958" s="1" t="s">
        <v>33</v>
      </c>
      <c r="P958" s="1" t="s">
        <v>59</v>
      </c>
      <c r="Q958" s="1" t="s">
        <v>1151</v>
      </c>
      <c r="R958">
        <v>33</v>
      </c>
      <c r="S958">
        <v>4</v>
      </c>
      <c r="T958">
        <v>0</v>
      </c>
      <c r="U958">
        <v>9</v>
      </c>
      <c r="V958" s="1" t="s">
        <v>132</v>
      </c>
      <c r="W958" s="1" t="s">
        <v>99</v>
      </c>
    </row>
    <row r="959" spans="1:23" x14ac:dyDescent="0.35">
      <c r="A959">
        <v>4582</v>
      </c>
      <c r="B959" s="1" t="s">
        <v>2887</v>
      </c>
      <c r="C959" s="2">
        <v>42632</v>
      </c>
      <c r="D959" s="2">
        <v>42635</v>
      </c>
      <c r="E959" s="1" t="s">
        <v>90</v>
      </c>
      <c r="F959" s="1" t="s">
        <v>1953</v>
      </c>
      <c r="G959" s="1" t="s">
        <v>1954</v>
      </c>
      <c r="H959" s="1" t="s">
        <v>103</v>
      </c>
      <c r="I959" s="1" t="s">
        <v>28</v>
      </c>
      <c r="J959" s="1" t="s">
        <v>68</v>
      </c>
      <c r="K959" s="1" t="s">
        <v>69</v>
      </c>
      <c r="L959">
        <v>19140</v>
      </c>
      <c r="M959" s="1" t="s">
        <v>70</v>
      </c>
      <c r="N959" s="1" t="s">
        <v>2888</v>
      </c>
      <c r="O959" s="1" t="s">
        <v>33</v>
      </c>
      <c r="P959" s="1" t="s">
        <v>59</v>
      </c>
      <c r="Q959" s="1" t="s">
        <v>2889</v>
      </c>
      <c r="R959">
        <v>26</v>
      </c>
      <c r="S959">
        <v>3</v>
      </c>
      <c r="T959">
        <v>0.2</v>
      </c>
      <c r="U959">
        <v>4</v>
      </c>
      <c r="V959" s="1" t="s">
        <v>36</v>
      </c>
      <c r="W959" s="1" t="s">
        <v>80</v>
      </c>
    </row>
    <row r="960" spans="1:23" x14ac:dyDescent="0.35">
      <c r="A960">
        <v>4589</v>
      </c>
      <c r="B960" s="1" t="s">
        <v>2890</v>
      </c>
      <c r="C960" s="2">
        <v>43041</v>
      </c>
      <c r="D960" s="2">
        <v>43043</v>
      </c>
      <c r="E960" s="1" t="s">
        <v>24</v>
      </c>
      <c r="F960" s="1" t="s">
        <v>2041</v>
      </c>
      <c r="G960" s="1" t="s">
        <v>2042</v>
      </c>
      <c r="H960" s="1" t="s">
        <v>103</v>
      </c>
      <c r="I960" s="1" t="s">
        <v>28</v>
      </c>
      <c r="J960" s="1" t="s">
        <v>2891</v>
      </c>
      <c r="K960" s="1" t="s">
        <v>56</v>
      </c>
      <c r="L960">
        <v>94526</v>
      </c>
      <c r="M960" s="1" t="s">
        <v>57</v>
      </c>
      <c r="N960" s="1" t="s">
        <v>2892</v>
      </c>
      <c r="O960" s="1" t="s">
        <v>33</v>
      </c>
      <c r="P960" s="1" t="s">
        <v>59</v>
      </c>
      <c r="Q960" s="1" t="s">
        <v>2893</v>
      </c>
      <c r="R960">
        <v>25</v>
      </c>
      <c r="S960">
        <v>3</v>
      </c>
      <c r="T960">
        <v>0</v>
      </c>
      <c r="U960">
        <v>11</v>
      </c>
      <c r="V960" s="1" t="s">
        <v>73</v>
      </c>
      <c r="W960" s="1" t="s">
        <v>37</v>
      </c>
    </row>
    <row r="961" spans="1:23" x14ac:dyDescent="0.35">
      <c r="A961">
        <v>4593</v>
      </c>
      <c r="B961" s="1" t="s">
        <v>2894</v>
      </c>
      <c r="C961" s="2">
        <v>42730</v>
      </c>
      <c r="D961" s="2">
        <v>42735</v>
      </c>
      <c r="E961" s="1" t="s">
        <v>42</v>
      </c>
      <c r="F961" s="1" t="s">
        <v>2895</v>
      </c>
      <c r="G961" s="1" t="s">
        <v>2896</v>
      </c>
      <c r="H961" s="1" t="s">
        <v>93</v>
      </c>
      <c r="I961" s="1" t="s">
        <v>28</v>
      </c>
      <c r="J961" s="1" t="s">
        <v>55</v>
      </c>
      <c r="K961" s="1" t="s">
        <v>56</v>
      </c>
      <c r="L961">
        <v>90004</v>
      </c>
      <c r="M961" s="1" t="s">
        <v>57</v>
      </c>
      <c r="N961" s="1" t="s">
        <v>2431</v>
      </c>
      <c r="O961" s="1" t="s">
        <v>33</v>
      </c>
      <c r="P961" s="1" t="s">
        <v>39</v>
      </c>
      <c r="Q961" s="1" t="s">
        <v>2432</v>
      </c>
      <c r="R961">
        <v>146</v>
      </c>
      <c r="S961">
        <v>3</v>
      </c>
      <c r="T961">
        <v>0.2</v>
      </c>
      <c r="U961">
        <v>-5</v>
      </c>
      <c r="V961" s="1" t="s">
        <v>61</v>
      </c>
      <c r="W961" s="1" t="s">
        <v>99</v>
      </c>
    </row>
    <row r="962" spans="1:23" x14ac:dyDescent="0.35">
      <c r="A962">
        <v>4595</v>
      </c>
      <c r="B962" s="1" t="s">
        <v>2894</v>
      </c>
      <c r="C962" s="2">
        <v>42730</v>
      </c>
      <c r="D962" s="2">
        <v>42735</v>
      </c>
      <c r="E962" s="1" t="s">
        <v>42</v>
      </c>
      <c r="F962" s="1" t="s">
        <v>2895</v>
      </c>
      <c r="G962" s="1" t="s">
        <v>2896</v>
      </c>
      <c r="H962" s="1" t="s">
        <v>93</v>
      </c>
      <c r="I962" s="1" t="s">
        <v>28</v>
      </c>
      <c r="J962" s="1" t="s">
        <v>55</v>
      </c>
      <c r="K962" s="1" t="s">
        <v>56</v>
      </c>
      <c r="L962">
        <v>90004</v>
      </c>
      <c r="M962" s="1" t="s">
        <v>57</v>
      </c>
      <c r="N962" s="1" t="s">
        <v>309</v>
      </c>
      <c r="O962" s="1" t="s">
        <v>33</v>
      </c>
      <c r="P962" s="1" t="s">
        <v>48</v>
      </c>
      <c r="Q962" s="1" t="s">
        <v>310</v>
      </c>
      <c r="R962">
        <v>903</v>
      </c>
      <c r="S962">
        <v>3</v>
      </c>
      <c r="T962">
        <v>0.2</v>
      </c>
      <c r="U962">
        <v>34</v>
      </c>
      <c r="V962" s="1" t="s">
        <v>61</v>
      </c>
      <c r="W962" s="1" t="s">
        <v>99</v>
      </c>
    </row>
    <row r="963" spans="1:23" x14ac:dyDescent="0.35">
      <c r="A963">
        <v>4600</v>
      </c>
      <c r="B963" s="1" t="s">
        <v>2897</v>
      </c>
      <c r="C963" s="2">
        <v>42201</v>
      </c>
      <c r="D963" s="2">
        <v>42205</v>
      </c>
      <c r="E963" s="1" t="s">
        <v>42</v>
      </c>
      <c r="F963" s="1" t="s">
        <v>2898</v>
      </c>
      <c r="G963" s="1" t="s">
        <v>2899</v>
      </c>
      <c r="H963" s="1" t="s">
        <v>103</v>
      </c>
      <c r="I963" s="1" t="s">
        <v>28</v>
      </c>
      <c r="J963" s="1" t="s">
        <v>2757</v>
      </c>
      <c r="K963" s="1" t="s">
        <v>1092</v>
      </c>
      <c r="L963">
        <v>21215</v>
      </c>
      <c r="M963" s="1" t="s">
        <v>70</v>
      </c>
      <c r="N963" s="1" t="s">
        <v>659</v>
      </c>
      <c r="O963" s="1" t="s">
        <v>33</v>
      </c>
      <c r="P963" s="1" t="s">
        <v>39</v>
      </c>
      <c r="Q963" s="1" t="s">
        <v>660</v>
      </c>
      <c r="R963">
        <v>151</v>
      </c>
      <c r="S963">
        <v>1</v>
      </c>
      <c r="T963">
        <v>0</v>
      </c>
      <c r="U963">
        <v>44</v>
      </c>
      <c r="V963" s="1" t="s">
        <v>86</v>
      </c>
      <c r="W963" s="1" t="s">
        <v>74</v>
      </c>
    </row>
    <row r="964" spans="1:23" x14ac:dyDescent="0.35">
      <c r="A964">
        <v>4611</v>
      </c>
      <c r="B964" s="1" t="s">
        <v>2900</v>
      </c>
      <c r="C964" s="2">
        <v>43048</v>
      </c>
      <c r="D964" s="2">
        <v>43053</v>
      </c>
      <c r="E964" s="1" t="s">
        <v>42</v>
      </c>
      <c r="F964" s="1" t="s">
        <v>141</v>
      </c>
      <c r="G964" s="1" t="s">
        <v>142</v>
      </c>
      <c r="H964" s="1" t="s">
        <v>27</v>
      </c>
      <c r="I964" s="1" t="s">
        <v>28</v>
      </c>
      <c r="J964" s="1" t="s">
        <v>764</v>
      </c>
      <c r="K964" s="1" t="s">
        <v>56</v>
      </c>
      <c r="L964">
        <v>92054</v>
      </c>
      <c r="M964" s="1" t="s">
        <v>57</v>
      </c>
      <c r="N964" s="1" t="s">
        <v>425</v>
      </c>
      <c r="O964" s="1" t="s">
        <v>33</v>
      </c>
      <c r="P964" s="1" t="s">
        <v>59</v>
      </c>
      <c r="Q964" s="1" t="s">
        <v>426</v>
      </c>
      <c r="R964">
        <v>47</v>
      </c>
      <c r="S964">
        <v>8</v>
      </c>
      <c r="T964">
        <v>0</v>
      </c>
      <c r="U964">
        <v>21</v>
      </c>
      <c r="V964" s="1" t="s">
        <v>61</v>
      </c>
      <c r="W964" s="1" t="s">
        <v>37</v>
      </c>
    </row>
    <row r="965" spans="1:23" x14ac:dyDescent="0.35">
      <c r="A965">
        <v>4619</v>
      </c>
      <c r="B965" s="1" t="s">
        <v>2901</v>
      </c>
      <c r="C965" s="2">
        <v>42268</v>
      </c>
      <c r="D965" s="2">
        <v>42273</v>
      </c>
      <c r="E965" s="1" t="s">
        <v>42</v>
      </c>
      <c r="F965" s="1" t="s">
        <v>2390</v>
      </c>
      <c r="G965" s="1" t="s">
        <v>2391</v>
      </c>
      <c r="H965" s="1" t="s">
        <v>103</v>
      </c>
      <c r="I965" s="1" t="s">
        <v>28</v>
      </c>
      <c r="J965" s="1" t="s">
        <v>1360</v>
      </c>
      <c r="K965" s="1" t="s">
        <v>437</v>
      </c>
      <c r="L965">
        <v>2149</v>
      </c>
      <c r="M965" s="1" t="s">
        <v>70</v>
      </c>
      <c r="N965" s="1" t="s">
        <v>423</v>
      </c>
      <c r="O965" s="1" t="s">
        <v>33</v>
      </c>
      <c r="P965" s="1" t="s">
        <v>39</v>
      </c>
      <c r="Q965" s="1" t="s">
        <v>424</v>
      </c>
      <c r="R965">
        <v>543</v>
      </c>
      <c r="S965">
        <v>3</v>
      </c>
      <c r="T965">
        <v>0</v>
      </c>
      <c r="U965">
        <v>141</v>
      </c>
      <c r="V965" s="1" t="s">
        <v>61</v>
      </c>
      <c r="W965" s="1" t="s">
        <v>80</v>
      </c>
    </row>
    <row r="966" spans="1:23" x14ac:dyDescent="0.35">
      <c r="A966">
        <v>4626</v>
      </c>
      <c r="B966" s="1" t="s">
        <v>2902</v>
      </c>
      <c r="C966" s="2">
        <v>42987</v>
      </c>
      <c r="D966" s="2">
        <v>42992</v>
      </c>
      <c r="E966" s="1" t="s">
        <v>42</v>
      </c>
      <c r="F966" s="1" t="s">
        <v>43</v>
      </c>
      <c r="G966" s="1" t="s">
        <v>44</v>
      </c>
      <c r="H966" s="1" t="s">
        <v>27</v>
      </c>
      <c r="I966" s="1" t="s">
        <v>28</v>
      </c>
      <c r="J966" s="1" t="s">
        <v>160</v>
      </c>
      <c r="K966" s="1" t="s">
        <v>144</v>
      </c>
      <c r="L966">
        <v>38401</v>
      </c>
      <c r="M966" s="1" t="s">
        <v>31</v>
      </c>
      <c r="N966" s="1" t="s">
        <v>425</v>
      </c>
      <c r="O966" s="1" t="s">
        <v>33</v>
      </c>
      <c r="P966" s="1" t="s">
        <v>59</v>
      </c>
      <c r="Q966" s="1" t="s">
        <v>426</v>
      </c>
      <c r="R966">
        <v>14</v>
      </c>
      <c r="S966">
        <v>3</v>
      </c>
      <c r="T966">
        <v>0.2</v>
      </c>
      <c r="U966">
        <v>4</v>
      </c>
      <c r="V966" s="1" t="s">
        <v>61</v>
      </c>
      <c r="W966" s="1" t="s">
        <v>80</v>
      </c>
    </row>
    <row r="967" spans="1:23" x14ac:dyDescent="0.35">
      <c r="A967">
        <v>4631</v>
      </c>
      <c r="B967" s="1" t="s">
        <v>2903</v>
      </c>
      <c r="C967" s="2">
        <v>42292</v>
      </c>
      <c r="D967" s="2">
        <v>42292</v>
      </c>
      <c r="E967" s="1" t="s">
        <v>428</v>
      </c>
      <c r="F967" s="1" t="s">
        <v>870</v>
      </c>
      <c r="G967" s="1" t="s">
        <v>871</v>
      </c>
      <c r="H967" s="1" t="s">
        <v>27</v>
      </c>
      <c r="I967" s="1" t="s">
        <v>28</v>
      </c>
      <c r="J967" s="1" t="s">
        <v>2224</v>
      </c>
      <c r="K967" s="1" t="s">
        <v>292</v>
      </c>
      <c r="L967">
        <v>48858</v>
      </c>
      <c r="M967" s="1" t="s">
        <v>96</v>
      </c>
      <c r="N967" s="1" t="s">
        <v>2904</v>
      </c>
      <c r="O967" s="1" t="s">
        <v>33</v>
      </c>
      <c r="P967" s="1" t="s">
        <v>59</v>
      </c>
      <c r="Q967" s="1" t="s">
        <v>2905</v>
      </c>
      <c r="R967">
        <v>17</v>
      </c>
      <c r="S967">
        <v>2</v>
      </c>
      <c r="T967">
        <v>0</v>
      </c>
      <c r="U967">
        <v>6</v>
      </c>
      <c r="V967" s="1" t="s">
        <v>433</v>
      </c>
      <c r="W967" s="1" t="s">
        <v>51</v>
      </c>
    </row>
    <row r="968" spans="1:23" x14ac:dyDescent="0.35">
      <c r="A968">
        <v>4633</v>
      </c>
      <c r="B968" s="1" t="s">
        <v>2906</v>
      </c>
      <c r="C968" s="2">
        <v>42950</v>
      </c>
      <c r="D968" s="2">
        <v>42955</v>
      </c>
      <c r="E968" s="1" t="s">
        <v>24</v>
      </c>
      <c r="F968" s="1" t="s">
        <v>636</v>
      </c>
      <c r="G968" s="1" t="s">
        <v>637</v>
      </c>
      <c r="H968" s="1" t="s">
        <v>27</v>
      </c>
      <c r="I968" s="1" t="s">
        <v>28</v>
      </c>
      <c r="J968" s="1" t="s">
        <v>331</v>
      </c>
      <c r="K968" s="1" t="s">
        <v>56</v>
      </c>
      <c r="L968">
        <v>94122</v>
      </c>
      <c r="M968" s="1" t="s">
        <v>57</v>
      </c>
      <c r="N968" s="1" t="s">
        <v>599</v>
      </c>
      <c r="O968" s="1" t="s">
        <v>33</v>
      </c>
      <c r="P968" s="1" t="s">
        <v>59</v>
      </c>
      <c r="Q968" s="1" t="s">
        <v>600</v>
      </c>
      <c r="R968">
        <v>124</v>
      </c>
      <c r="S968">
        <v>3</v>
      </c>
      <c r="T968">
        <v>0</v>
      </c>
      <c r="U968">
        <v>11</v>
      </c>
      <c r="V968" s="1" t="s">
        <v>61</v>
      </c>
      <c r="W968" s="1" t="s">
        <v>256</v>
      </c>
    </row>
    <row r="969" spans="1:23" x14ac:dyDescent="0.35">
      <c r="A969">
        <v>4634</v>
      </c>
      <c r="B969" s="1" t="s">
        <v>2907</v>
      </c>
      <c r="C969" s="2">
        <v>42237</v>
      </c>
      <c r="D969" s="2">
        <v>42242</v>
      </c>
      <c r="E969" s="1" t="s">
        <v>42</v>
      </c>
      <c r="F969" s="1" t="s">
        <v>289</v>
      </c>
      <c r="G969" s="1" t="s">
        <v>290</v>
      </c>
      <c r="H969" s="1" t="s">
        <v>93</v>
      </c>
      <c r="I969" s="1" t="s">
        <v>28</v>
      </c>
      <c r="J969" s="1" t="s">
        <v>331</v>
      </c>
      <c r="K969" s="1" t="s">
        <v>56</v>
      </c>
      <c r="L969">
        <v>94122</v>
      </c>
      <c r="M969" s="1" t="s">
        <v>57</v>
      </c>
      <c r="N969" s="1" t="s">
        <v>2908</v>
      </c>
      <c r="O969" s="1" t="s">
        <v>33</v>
      </c>
      <c r="P969" s="1" t="s">
        <v>34</v>
      </c>
      <c r="Q969" s="1" t="s">
        <v>2909</v>
      </c>
      <c r="R969">
        <v>586</v>
      </c>
      <c r="S969">
        <v>6</v>
      </c>
      <c r="T969">
        <v>0.15</v>
      </c>
      <c r="U969">
        <v>34</v>
      </c>
      <c r="V969" s="1" t="s">
        <v>61</v>
      </c>
      <c r="W969" s="1" t="s">
        <v>256</v>
      </c>
    </row>
    <row r="970" spans="1:23" x14ac:dyDescent="0.35">
      <c r="A970">
        <v>4643</v>
      </c>
      <c r="B970" s="1" t="s">
        <v>2910</v>
      </c>
      <c r="C970" s="2">
        <v>43030</v>
      </c>
      <c r="D970" s="2">
        <v>43032</v>
      </c>
      <c r="E970" s="1" t="s">
        <v>24</v>
      </c>
      <c r="F970" s="1" t="s">
        <v>2911</v>
      </c>
      <c r="G970" s="1" t="s">
        <v>2912</v>
      </c>
      <c r="H970" s="1" t="s">
        <v>27</v>
      </c>
      <c r="I970" s="1" t="s">
        <v>28</v>
      </c>
      <c r="J970" s="1" t="s">
        <v>2346</v>
      </c>
      <c r="K970" s="1" t="s">
        <v>183</v>
      </c>
      <c r="L970">
        <v>80525</v>
      </c>
      <c r="M970" s="1" t="s">
        <v>57</v>
      </c>
      <c r="N970" s="1" t="s">
        <v>2913</v>
      </c>
      <c r="O970" s="1" t="s">
        <v>33</v>
      </c>
      <c r="P970" s="1" t="s">
        <v>39</v>
      </c>
      <c r="Q970" s="1" t="s">
        <v>2914</v>
      </c>
      <c r="R970">
        <v>579</v>
      </c>
      <c r="S970">
        <v>4</v>
      </c>
      <c r="T970">
        <v>0.2</v>
      </c>
      <c r="U970">
        <v>-29</v>
      </c>
      <c r="V970" s="1" t="s">
        <v>73</v>
      </c>
      <c r="W970" s="1" t="s">
        <v>51</v>
      </c>
    </row>
    <row r="971" spans="1:23" x14ac:dyDescent="0.35">
      <c r="A971">
        <v>4646</v>
      </c>
      <c r="B971" s="1" t="s">
        <v>2915</v>
      </c>
      <c r="C971" s="2">
        <v>42594</v>
      </c>
      <c r="D971" s="2">
        <v>42598</v>
      </c>
      <c r="E971" s="1" t="s">
        <v>42</v>
      </c>
      <c r="F971" s="1" t="s">
        <v>1823</v>
      </c>
      <c r="G971" s="1" t="s">
        <v>1824</v>
      </c>
      <c r="H971" s="1" t="s">
        <v>103</v>
      </c>
      <c r="I971" s="1" t="s">
        <v>28</v>
      </c>
      <c r="J971" s="1" t="s">
        <v>176</v>
      </c>
      <c r="K971" s="1" t="s">
        <v>123</v>
      </c>
      <c r="L971">
        <v>10011</v>
      </c>
      <c r="M971" s="1" t="s">
        <v>70</v>
      </c>
      <c r="N971" s="1" t="s">
        <v>513</v>
      </c>
      <c r="O971" s="1" t="s">
        <v>33</v>
      </c>
      <c r="P971" s="1" t="s">
        <v>39</v>
      </c>
      <c r="Q971" s="1" t="s">
        <v>514</v>
      </c>
      <c r="R971">
        <v>146</v>
      </c>
      <c r="S971">
        <v>2</v>
      </c>
      <c r="T971">
        <v>0.1</v>
      </c>
      <c r="U971">
        <v>-8</v>
      </c>
      <c r="V971" s="1" t="s">
        <v>86</v>
      </c>
      <c r="W971" s="1" t="s">
        <v>256</v>
      </c>
    </row>
    <row r="972" spans="1:23" x14ac:dyDescent="0.35">
      <c r="A972">
        <v>4648</v>
      </c>
      <c r="B972" s="1" t="s">
        <v>2916</v>
      </c>
      <c r="C972" s="2">
        <v>42486</v>
      </c>
      <c r="D972" s="2">
        <v>42491</v>
      </c>
      <c r="E972" s="1" t="s">
        <v>42</v>
      </c>
      <c r="F972" s="1" t="s">
        <v>2917</v>
      </c>
      <c r="G972" s="1" t="s">
        <v>2918</v>
      </c>
      <c r="H972" s="1" t="s">
        <v>103</v>
      </c>
      <c r="I972" s="1" t="s">
        <v>28</v>
      </c>
      <c r="J972" s="1" t="s">
        <v>176</v>
      </c>
      <c r="K972" s="1" t="s">
        <v>123</v>
      </c>
      <c r="L972">
        <v>10009</v>
      </c>
      <c r="M972" s="1" t="s">
        <v>70</v>
      </c>
      <c r="N972" s="1" t="s">
        <v>2552</v>
      </c>
      <c r="O972" s="1" t="s">
        <v>33</v>
      </c>
      <c r="P972" s="1" t="s">
        <v>39</v>
      </c>
      <c r="Q972" s="1" t="s">
        <v>2553</v>
      </c>
      <c r="R972">
        <v>435</v>
      </c>
      <c r="S972">
        <v>3</v>
      </c>
      <c r="T972">
        <v>0.1</v>
      </c>
      <c r="U972">
        <v>63</v>
      </c>
      <c r="V972" s="1" t="s">
        <v>61</v>
      </c>
      <c r="W972" s="1" t="s">
        <v>116</v>
      </c>
    </row>
    <row r="973" spans="1:23" x14ac:dyDescent="0.35">
      <c r="A973">
        <v>4662</v>
      </c>
      <c r="B973" s="1" t="s">
        <v>2919</v>
      </c>
      <c r="C973" s="2">
        <v>42127</v>
      </c>
      <c r="D973" s="2">
        <v>42131</v>
      </c>
      <c r="E973" s="1" t="s">
        <v>42</v>
      </c>
      <c r="F973" s="1" t="s">
        <v>2920</v>
      </c>
      <c r="G973" s="1" t="s">
        <v>2921</v>
      </c>
      <c r="H973" s="1" t="s">
        <v>27</v>
      </c>
      <c r="I973" s="1" t="s">
        <v>28</v>
      </c>
      <c r="J973" s="1" t="s">
        <v>68</v>
      </c>
      <c r="K973" s="1" t="s">
        <v>69</v>
      </c>
      <c r="L973">
        <v>19140</v>
      </c>
      <c r="M973" s="1" t="s">
        <v>70</v>
      </c>
      <c r="N973" s="1" t="s">
        <v>332</v>
      </c>
      <c r="O973" s="1" t="s">
        <v>33</v>
      </c>
      <c r="P973" s="1" t="s">
        <v>39</v>
      </c>
      <c r="Q973" s="1" t="s">
        <v>333</v>
      </c>
      <c r="R973">
        <v>844</v>
      </c>
      <c r="S973">
        <v>6</v>
      </c>
      <c r="T973">
        <v>0.3</v>
      </c>
      <c r="U973">
        <v>-36</v>
      </c>
      <c r="V973" s="1" t="s">
        <v>86</v>
      </c>
      <c r="W973" s="1" t="s">
        <v>164</v>
      </c>
    </row>
    <row r="974" spans="1:23" x14ac:dyDescent="0.35">
      <c r="A974">
        <v>4667</v>
      </c>
      <c r="B974" s="1" t="s">
        <v>2922</v>
      </c>
      <c r="C974" s="2">
        <v>42379</v>
      </c>
      <c r="D974" s="2">
        <v>42386</v>
      </c>
      <c r="E974" s="1" t="s">
        <v>42</v>
      </c>
      <c r="F974" s="1" t="s">
        <v>2559</v>
      </c>
      <c r="G974" s="1" t="s">
        <v>2560</v>
      </c>
      <c r="H974" s="1" t="s">
        <v>93</v>
      </c>
      <c r="I974" s="1" t="s">
        <v>28</v>
      </c>
      <c r="J974" s="1" t="s">
        <v>194</v>
      </c>
      <c r="K974" s="1" t="s">
        <v>195</v>
      </c>
      <c r="L974">
        <v>98115</v>
      </c>
      <c r="M974" s="1" t="s">
        <v>57</v>
      </c>
      <c r="N974" s="1" t="s">
        <v>1124</v>
      </c>
      <c r="O974" s="1" t="s">
        <v>33</v>
      </c>
      <c r="P974" s="1" t="s">
        <v>59</v>
      </c>
      <c r="Q974" s="1" t="s">
        <v>1125</v>
      </c>
      <c r="R974">
        <v>80</v>
      </c>
      <c r="S974">
        <v>4</v>
      </c>
      <c r="T974">
        <v>0</v>
      </c>
      <c r="U974">
        <v>34</v>
      </c>
      <c r="V974" s="1" t="s">
        <v>50</v>
      </c>
      <c r="W974" s="1" t="s">
        <v>172</v>
      </c>
    </row>
    <row r="975" spans="1:23" x14ac:dyDescent="0.35">
      <c r="A975">
        <v>4670</v>
      </c>
      <c r="B975" s="1" t="s">
        <v>2923</v>
      </c>
      <c r="C975" s="2">
        <v>42861</v>
      </c>
      <c r="D975" s="2">
        <v>42866</v>
      </c>
      <c r="E975" s="1" t="s">
        <v>42</v>
      </c>
      <c r="F975" s="1" t="s">
        <v>2924</v>
      </c>
      <c r="G975" s="1" t="s">
        <v>2925</v>
      </c>
      <c r="H975" s="1" t="s">
        <v>93</v>
      </c>
      <c r="I975" s="1" t="s">
        <v>28</v>
      </c>
      <c r="J975" s="1" t="s">
        <v>598</v>
      </c>
      <c r="K975" s="1" t="s">
        <v>95</v>
      </c>
      <c r="L975">
        <v>76106</v>
      </c>
      <c r="M975" s="1" t="s">
        <v>96</v>
      </c>
      <c r="N975" s="1" t="s">
        <v>537</v>
      </c>
      <c r="O975" s="1" t="s">
        <v>33</v>
      </c>
      <c r="P975" s="1" t="s">
        <v>34</v>
      </c>
      <c r="Q975" s="1" t="s">
        <v>538</v>
      </c>
      <c r="R975">
        <v>623</v>
      </c>
      <c r="S975">
        <v>7</v>
      </c>
      <c r="T975">
        <v>0.32</v>
      </c>
      <c r="U975">
        <v>-119</v>
      </c>
      <c r="V975" s="1" t="s">
        <v>61</v>
      </c>
      <c r="W975" s="1" t="s">
        <v>164</v>
      </c>
    </row>
    <row r="976" spans="1:23" x14ac:dyDescent="0.35">
      <c r="A976">
        <v>4675</v>
      </c>
      <c r="B976" s="1" t="s">
        <v>2926</v>
      </c>
      <c r="C976" s="2">
        <v>42582</v>
      </c>
      <c r="D976" s="2">
        <v>42588</v>
      </c>
      <c r="E976" s="1" t="s">
        <v>42</v>
      </c>
      <c r="F976" s="1" t="s">
        <v>314</v>
      </c>
      <c r="G976" s="1" t="s">
        <v>315</v>
      </c>
      <c r="H976" s="1" t="s">
        <v>27</v>
      </c>
      <c r="I976" s="1" t="s">
        <v>28</v>
      </c>
      <c r="J976" s="1" t="s">
        <v>291</v>
      </c>
      <c r="K976" s="1" t="s">
        <v>292</v>
      </c>
      <c r="L976">
        <v>48205</v>
      </c>
      <c r="M976" s="1" t="s">
        <v>96</v>
      </c>
      <c r="N976" s="1" t="s">
        <v>361</v>
      </c>
      <c r="O976" s="1" t="s">
        <v>33</v>
      </c>
      <c r="P976" s="1" t="s">
        <v>59</v>
      </c>
      <c r="Q976" s="1" t="s">
        <v>362</v>
      </c>
      <c r="R976">
        <v>273</v>
      </c>
      <c r="S976">
        <v>3</v>
      </c>
      <c r="T976">
        <v>0</v>
      </c>
      <c r="U976">
        <v>30</v>
      </c>
      <c r="V976" s="1" t="s">
        <v>132</v>
      </c>
      <c r="W976" s="1" t="s">
        <v>74</v>
      </c>
    </row>
    <row r="977" spans="1:23" x14ac:dyDescent="0.35">
      <c r="A977">
        <v>4676</v>
      </c>
      <c r="B977" s="1" t="s">
        <v>2927</v>
      </c>
      <c r="C977" s="2">
        <v>42821</v>
      </c>
      <c r="D977" s="2">
        <v>42823</v>
      </c>
      <c r="E977" s="1" t="s">
        <v>24</v>
      </c>
      <c r="F977" s="1" t="s">
        <v>2928</v>
      </c>
      <c r="G977" s="1" t="s">
        <v>2929</v>
      </c>
      <c r="H977" s="1" t="s">
        <v>27</v>
      </c>
      <c r="I977" s="1" t="s">
        <v>28</v>
      </c>
      <c r="J977" s="1" t="s">
        <v>68</v>
      </c>
      <c r="K977" s="1" t="s">
        <v>69</v>
      </c>
      <c r="L977">
        <v>19120</v>
      </c>
      <c r="M977" s="1" t="s">
        <v>70</v>
      </c>
      <c r="N977" s="1" t="s">
        <v>2129</v>
      </c>
      <c r="O977" s="1" t="s">
        <v>33</v>
      </c>
      <c r="P977" s="1" t="s">
        <v>59</v>
      </c>
      <c r="Q977" s="1" t="s">
        <v>2130</v>
      </c>
      <c r="R977">
        <v>15</v>
      </c>
      <c r="S977">
        <v>2</v>
      </c>
      <c r="T977">
        <v>0.2</v>
      </c>
      <c r="U977">
        <v>2</v>
      </c>
      <c r="V977" s="1" t="s">
        <v>73</v>
      </c>
      <c r="W977" s="1" t="s">
        <v>198</v>
      </c>
    </row>
    <row r="978" spans="1:23" x14ac:dyDescent="0.35">
      <c r="A978">
        <v>4684</v>
      </c>
      <c r="B978" s="1" t="s">
        <v>2930</v>
      </c>
      <c r="C978" s="2">
        <v>42611</v>
      </c>
      <c r="D978" s="2">
        <v>42616</v>
      </c>
      <c r="E978" s="1" t="s">
        <v>42</v>
      </c>
      <c r="F978" s="1" t="s">
        <v>1083</v>
      </c>
      <c r="G978" s="1" t="s">
        <v>1084</v>
      </c>
      <c r="H978" s="1" t="s">
        <v>93</v>
      </c>
      <c r="I978" s="1" t="s">
        <v>28</v>
      </c>
      <c r="J978" s="1" t="s">
        <v>68</v>
      </c>
      <c r="K978" s="1" t="s">
        <v>69</v>
      </c>
      <c r="L978">
        <v>19120</v>
      </c>
      <c r="M978" s="1" t="s">
        <v>70</v>
      </c>
      <c r="N978" s="1" t="s">
        <v>2409</v>
      </c>
      <c r="O978" s="1" t="s">
        <v>33</v>
      </c>
      <c r="P978" s="1" t="s">
        <v>48</v>
      </c>
      <c r="Q978" s="1" t="s">
        <v>2410</v>
      </c>
      <c r="R978">
        <v>242</v>
      </c>
      <c r="S978">
        <v>4</v>
      </c>
      <c r="T978">
        <v>0.4</v>
      </c>
      <c r="U978">
        <v>-56</v>
      </c>
      <c r="V978" s="1" t="s">
        <v>61</v>
      </c>
      <c r="W978" s="1" t="s">
        <v>256</v>
      </c>
    </row>
    <row r="979" spans="1:23" x14ac:dyDescent="0.35">
      <c r="A979">
        <v>4685</v>
      </c>
      <c r="B979" s="1" t="s">
        <v>2930</v>
      </c>
      <c r="C979" s="2">
        <v>42611</v>
      </c>
      <c r="D979" s="2">
        <v>42616</v>
      </c>
      <c r="E979" s="1" t="s">
        <v>42</v>
      </c>
      <c r="F979" s="1" t="s">
        <v>1083</v>
      </c>
      <c r="G979" s="1" t="s">
        <v>1084</v>
      </c>
      <c r="H979" s="1" t="s">
        <v>93</v>
      </c>
      <c r="I979" s="1" t="s">
        <v>28</v>
      </c>
      <c r="J979" s="1" t="s">
        <v>68</v>
      </c>
      <c r="K979" s="1" t="s">
        <v>69</v>
      </c>
      <c r="L979">
        <v>19120</v>
      </c>
      <c r="M979" s="1" t="s">
        <v>70</v>
      </c>
      <c r="N979" s="1" t="s">
        <v>2736</v>
      </c>
      <c r="O979" s="1" t="s">
        <v>33</v>
      </c>
      <c r="P979" s="1" t="s">
        <v>34</v>
      </c>
      <c r="Q979" s="1" t="s">
        <v>2737</v>
      </c>
      <c r="R979">
        <v>164</v>
      </c>
      <c r="S979">
        <v>4</v>
      </c>
      <c r="T979">
        <v>0.5</v>
      </c>
      <c r="U979">
        <v>-82</v>
      </c>
      <c r="V979" s="1" t="s">
        <v>61</v>
      </c>
      <c r="W979" s="1" t="s">
        <v>256</v>
      </c>
    </row>
    <row r="980" spans="1:23" x14ac:dyDescent="0.35">
      <c r="A980">
        <v>4690</v>
      </c>
      <c r="B980" s="1" t="s">
        <v>2931</v>
      </c>
      <c r="C980" s="2">
        <v>41993</v>
      </c>
      <c r="D980" s="2">
        <v>41995</v>
      </c>
      <c r="E980" s="1" t="s">
        <v>90</v>
      </c>
      <c r="F980" s="1" t="s">
        <v>1651</v>
      </c>
      <c r="G980" s="1" t="s">
        <v>1652</v>
      </c>
      <c r="H980" s="1" t="s">
        <v>27</v>
      </c>
      <c r="I980" s="1" t="s">
        <v>28</v>
      </c>
      <c r="J980" s="1" t="s">
        <v>1225</v>
      </c>
      <c r="K980" s="1" t="s">
        <v>523</v>
      </c>
      <c r="L980">
        <v>85705</v>
      </c>
      <c r="M980" s="1" t="s">
        <v>57</v>
      </c>
      <c r="N980" s="1" t="s">
        <v>2058</v>
      </c>
      <c r="O980" s="1" t="s">
        <v>33</v>
      </c>
      <c r="P980" s="1" t="s">
        <v>59</v>
      </c>
      <c r="Q980" s="1" t="s">
        <v>2059</v>
      </c>
      <c r="R980">
        <v>52</v>
      </c>
      <c r="S980">
        <v>2</v>
      </c>
      <c r="T980">
        <v>0.2</v>
      </c>
      <c r="U980">
        <v>10</v>
      </c>
      <c r="V980" s="1" t="s">
        <v>73</v>
      </c>
      <c r="W980" s="1" t="s">
        <v>99</v>
      </c>
    </row>
    <row r="981" spans="1:23" x14ac:dyDescent="0.35">
      <c r="A981">
        <v>4692</v>
      </c>
      <c r="B981" s="1" t="s">
        <v>2931</v>
      </c>
      <c r="C981" s="2">
        <v>41993</v>
      </c>
      <c r="D981" s="2">
        <v>41995</v>
      </c>
      <c r="E981" s="1" t="s">
        <v>90</v>
      </c>
      <c r="F981" s="1" t="s">
        <v>1651</v>
      </c>
      <c r="G981" s="1" t="s">
        <v>1652</v>
      </c>
      <c r="H981" s="1" t="s">
        <v>27</v>
      </c>
      <c r="I981" s="1" t="s">
        <v>28</v>
      </c>
      <c r="J981" s="1" t="s">
        <v>1225</v>
      </c>
      <c r="K981" s="1" t="s">
        <v>523</v>
      </c>
      <c r="L981">
        <v>85705</v>
      </c>
      <c r="M981" s="1" t="s">
        <v>57</v>
      </c>
      <c r="N981" s="1" t="s">
        <v>298</v>
      </c>
      <c r="O981" s="1" t="s">
        <v>33</v>
      </c>
      <c r="P981" s="1" t="s">
        <v>39</v>
      </c>
      <c r="Q981" s="1" t="s">
        <v>299</v>
      </c>
      <c r="R981">
        <v>242</v>
      </c>
      <c r="S981">
        <v>3</v>
      </c>
      <c r="T981">
        <v>0.2</v>
      </c>
      <c r="U981">
        <v>-42</v>
      </c>
      <c r="V981" s="1" t="s">
        <v>73</v>
      </c>
      <c r="W981" s="1" t="s">
        <v>99</v>
      </c>
    </row>
    <row r="982" spans="1:23" x14ac:dyDescent="0.35">
      <c r="A982">
        <v>4696</v>
      </c>
      <c r="B982" s="1" t="s">
        <v>2932</v>
      </c>
      <c r="C982" s="2">
        <v>42355</v>
      </c>
      <c r="D982" s="2">
        <v>42355</v>
      </c>
      <c r="E982" s="1" t="s">
        <v>428</v>
      </c>
      <c r="F982" s="1" t="s">
        <v>2811</v>
      </c>
      <c r="G982" s="1" t="s">
        <v>2812</v>
      </c>
      <c r="H982" s="1" t="s">
        <v>27</v>
      </c>
      <c r="I982" s="1" t="s">
        <v>28</v>
      </c>
      <c r="J982" s="1" t="s">
        <v>291</v>
      </c>
      <c r="K982" s="1" t="s">
        <v>292</v>
      </c>
      <c r="L982">
        <v>48205</v>
      </c>
      <c r="M982" s="1" t="s">
        <v>96</v>
      </c>
      <c r="N982" s="1" t="s">
        <v>1189</v>
      </c>
      <c r="O982" s="1" t="s">
        <v>33</v>
      </c>
      <c r="P982" s="1" t="s">
        <v>39</v>
      </c>
      <c r="Q982" s="1" t="s">
        <v>1190</v>
      </c>
      <c r="R982">
        <v>303</v>
      </c>
      <c r="S982">
        <v>3</v>
      </c>
      <c r="T982">
        <v>0</v>
      </c>
      <c r="U982">
        <v>48</v>
      </c>
      <c r="V982" s="1" t="s">
        <v>433</v>
      </c>
      <c r="W982" s="1" t="s">
        <v>99</v>
      </c>
    </row>
    <row r="983" spans="1:23" x14ac:dyDescent="0.35">
      <c r="A983">
        <v>4697</v>
      </c>
      <c r="B983" s="1" t="s">
        <v>2932</v>
      </c>
      <c r="C983" s="2">
        <v>42355</v>
      </c>
      <c r="D983" s="2">
        <v>42355</v>
      </c>
      <c r="E983" s="1" t="s">
        <v>428</v>
      </c>
      <c r="F983" s="1" t="s">
        <v>2811</v>
      </c>
      <c r="G983" s="1" t="s">
        <v>2812</v>
      </c>
      <c r="H983" s="1" t="s">
        <v>27</v>
      </c>
      <c r="I983" s="1" t="s">
        <v>28</v>
      </c>
      <c r="J983" s="1" t="s">
        <v>291</v>
      </c>
      <c r="K983" s="1" t="s">
        <v>292</v>
      </c>
      <c r="L983">
        <v>48205</v>
      </c>
      <c r="M983" s="1" t="s">
        <v>96</v>
      </c>
      <c r="N983" s="1" t="s">
        <v>2197</v>
      </c>
      <c r="O983" s="1" t="s">
        <v>33</v>
      </c>
      <c r="P983" s="1" t="s">
        <v>39</v>
      </c>
      <c r="Q983" s="1" t="s">
        <v>2198</v>
      </c>
      <c r="R983">
        <v>142</v>
      </c>
      <c r="S983">
        <v>2</v>
      </c>
      <c r="T983">
        <v>0</v>
      </c>
      <c r="U983">
        <v>38</v>
      </c>
      <c r="V983" s="1" t="s">
        <v>433</v>
      </c>
      <c r="W983" s="1" t="s">
        <v>99</v>
      </c>
    </row>
    <row r="984" spans="1:23" x14ac:dyDescent="0.35">
      <c r="A984">
        <v>4698</v>
      </c>
      <c r="B984" s="1" t="s">
        <v>2932</v>
      </c>
      <c r="C984" s="2">
        <v>42355</v>
      </c>
      <c r="D984" s="2">
        <v>42355</v>
      </c>
      <c r="E984" s="1" t="s">
        <v>428</v>
      </c>
      <c r="F984" s="1" t="s">
        <v>2811</v>
      </c>
      <c r="G984" s="1" t="s">
        <v>2812</v>
      </c>
      <c r="H984" s="1" t="s">
        <v>27</v>
      </c>
      <c r="I984" s="1" t="s">
        <v>28</v>
      </c>
      <c r="J984" s="1" t="s">
        <v>291</v>
      </c>
      <c r="K984" s="1" t="s">
        <v>292</v>
      </c>
      <c r="L984">
        <v>48205</v>
      </c>
      <c r="M984" s="1" t="s">
        <v>96</v>
      </c>
      <c r="N984" s="1" t="s">
        <v>254</v>
      </c>
      <c r="O984" s="1" t="s">
        <v>33</v>
      </c>
      <c r="P984" s="1" t="s">
        <v>39</v>
      </c>
      <c r="Q984" s="1" t="s">
        <v>255</v>
      </c>
      <c r="R984">
        <v>547</v>
      </c>
      <c r="S984">
        <v>9</v>
      </c>
      <c r="T984">
        <v>0</v>
      </c>
      <c r="U984">
        <v>137</v>
      </c>
      <c r="V984" s="1" t="s">
        <v>433</v>
      </c>
      <c r="W984" s="1" t="s">
        <v>99</v>
      </c>
    </row>
    <row r="985" spans="1:23" x14ac:dyDescent="0.35">
      <c r="A985">
        <v>4699</v>
      </c>
      <c r="B985" s="1" t="s">
        <v>2932</v>
      </c>
      <c r="C985" s="2">
        <v>42355</v>
      </c>
      <c r="D985" s="2">
        <v>42355</v>
      </c>
      <c r="E985" s="1" t="s">
        <v>428</v>
      </c>
      <c r="F985" s="1" t="s">
        <v>2811</v>
      </c>
      <c r="G985" s="1" t="s">
        <v>2812</v>
      </c>
      <c r="H985" s="1" t="s">
        <v>27</v>
      </c>
      <c r="I985" s="1" t="s">
        <v>28</v>
      </c>
      <c r="J985" s="1" t="s">
        <v>291</v>
      </c>
      <c r="K985" s="1" t="s">
        <v>292</v>
      </c>
      <c r="L985">
        <v>48205</v>
      </c>
      <c r="M985" s="1" t="s">
        <v>96</v>
      </c>
      <c r="N985" s="1" t="s">
        <v>2172</v>
      </c>
      <c r="O985" s="1" t="s">
        <v>33</v>
      </c>
      <c r="P985" s="1" t="s">
        <v>59</v>
      </c>
      <c r="Q985" s="1" t="s">
        <v>2173</v>
      </c>
      <c r="R985">
        <v>212</v>
      </c>
      <c r="S985">
        <v>3</v>
      </c>
      <c r="T985">
        <v>0</v>
      </c>
      <c r="U985">
        <v>15</v>
      </c>
      <c r="V985" s="1" t="s">
        <v>433</v>
      </c>
      <c r="W985" s="1" t="s">
        <v>99</v>
      </c>
    </row>
    <row r="986" spans="1:23" x14ac:dyDescent="0.35">
      <c r="A986">
        <v>4703</v>
      </c>
      <c r="B986" s="1" t="s">
        <v>2933</v>
      </c>
      <c r="C986" s="2">
        <v>42866</v>
      </c>
      <c r="D986" s="2">
        <v>42872</v>
      </c>
      <c r="E986" s="1" t="s">
        <v>42</v>
      </c>
      <c r="F986" s="1" t="s">
        <v>1240</v>
      </c>
      <c r="G986" s="1" t="s">
        <v>1241</v>
      </c>
      <c r="H986" s="1" t="s">
        <v>103</v>
      </c>
      <c r="I986" s="1" t="s">
        <v>28</v>
      </c>
      <c r="J986" s="1" t="s">
        <v>2333</v>
      </c>
      <c r="K986" s="1" t="s">
        <v>95</v>
      </c>
      <c r="L986">
        <v>78745</v>
      </c>
      <c r="M986" s="1" t="s">
        <v>96</v>
      </c>
      <c r="N986" s="1" t="s">
        <v>403</v>
      </c>
      <c r="O986" s="1" t="s">
        <v>33</v>
      </c>
      <c r="P986" s="1" t="s">
        <v>59</v>
      </c>
      <c r="Q986" s="1" t="s">
        <v>404</v>
      </c>
      <c r="R986">
        <v>8</v>
      </c>
      <c r="S986">
        <v>1</v>
      </c>
      <c r="T986">
        <v>0.6</v>
      </c>
      <c r="U986">
        <v>-7</v>
      </c>
      <c r="V986" s="1" t="s">
        <v>132</v>
      </c>
      <c r="W986" s="1" t="s">
        <v>164</v>
      </c>
    </row>
    <row r="987" spans="1:23" x14ac:dyDescent="0.35">
      <c r="A987">
        <v>4707</v>
      </c>
      <c r="B987" s="1" t="s">
        <v>2934</v>
      </c>
      <c r="C987" s="2">
        <v>42507</v>
      </c>
      <c r="D987" s="2">
        <v>42508</v>
      </c>
      <c r="E987" s="1" t="s">
        <v>90</v>
      </c>
      <c r="F987" s="1" t="s">
        <v>1475</v>
      </c>
      <c r="G987" s="1" t="s">
        <v>1476</v>
      </c>
      <c r="H987" s="1" t="s">
        <v>27</v>
      </c>
      <c r="I987" s="1" t="s">
        <v>28</v>
      </c>
      <c r="J987" s="1" t="s">
        <v>2935</v>
      </c>
      <c r="K987" s="1" t="s">
        <v>432</v>
      </c>
      <c r="L987">
        <v>6708</v>
      </c>
      <c r="M987" s="1" t="s">
        <v>70</v>
      </c>
      <c r="N987" s="1" t="s">
        <v>993</v>
      </c>
      <c r="O987" s="1" t="s">
        <v>33</v>
      </c>
      <c r="P987" s="1" t="s">
        <v>59</v>
      </c>
      <c r="Q987" s="1" t="s">
        <v>994</v>
      </c>
      <c r="R987">
        <v>173</v>
      </c>
      <c r="S987">
        <v>4</v>
      </c>
      <c r="T987">
        <v>0</v>
      </c>
      <c r="U987">
        <v>17</v>
      </c>
      <c r="V987" s="1" t="s">
        <v>126</v>
      </c>
      <c r="W987" s="1" t="s">
        <v>164</v>
      </c>
    </row>
    <row r="988" spans="1:23" x14ac:dyDescent="0.35">
      <c r="A988">
        <v>4714</v>
      </c>
      <c r="B988" s="1" t="s">
        <v>2936</v>
      </c>
      <c r="C988" s="2">
        <v>41989</v>
      </c>
      <c r="D988" s="2">
        <v>41994</v>
      </c>
      <c r="E988" s="1" t="s">
        <v>42</v>
      </c>
      <c r="F988" s="1" t="s">
        <v>2567</v>
      </c>
      <c r="G988" s="1" t="s">
        <v>2568</v>
      </c>
      <c r="H988" s="1" t="s">
        <v>27</v>
      </c>
      <c r="I988" s="1" t="s">
        <v>28</v>
      </c>
      <c r="J988" s="1" t="s">
        <v>1871</v>
      </c>
      <c r="K988" s="1" t="s">
        <v>95</v>
      </c>
      <c r="L988">
        <v>77340</v>
      </c>
      <c r="M988" s="1" t="s">
        <v>96</v>
      </c>
      <c r="N988" s="1" t="s">
        <v>2172</v>
      </c>
      <c r="O988" s="1" t="s">
        <v>33</v>
      </c>
      <c r="P988" s="1" t="s">
        <v>59</v>
      </c>
      <c r="Q988" s="1" t="s">
        <v>2173</v>
      </c>
      <c r="R988">
        <v>57</v>
      </c>
      <c r="S988">
        <v>2</v>
      </c>
      <c r="T988">
        <v>0.6</v>
      </c>
      <c r="U988">
        <v>-75</v>
      </c>
      <c r="V988" s="1" t="s">
        <v>61</v>
      </c>
      <c r="W988" s="1" t="s">
        <v>99</v>
      </c>
    </row>
    <row r="989" spans="1:23" x14ac:dyDescent="0.35">
      <c r="A989">
        <v>4717</v>
      </c>
      <c r="B989" s="1" t="s">
        <v>2937</v>
      </c>
      <c r="C989" s="2">
        <v>43072</v>
      </c>
      <c r="D989" s="2">
        <v>43076</v>
      </c>
      <c r="E989" s="1" t="s">
        <v>24</v>
      </c>
      <c r="F989" s="1" t="s">
        <v>1317</v>
      </c>
      <c r="G989" s="1" t="s">
        <v>1318</v>
      </c>
      <c r="H989" s="1" t="s">
        <v>103</v>
      </c>
      <c r="I989" s="1" t="s">
        <v>28</v>
      </c>
      <c r="J989" s="1" t="s">
        <v>194</v>
      </c>
      <c r="K989" s="1" t="s">
        <v>195</v>
      </c>
      <c r="L989">
        <v>98115</v>
      </c>
      <c r="M989" s="1" t="s">
        <v>57</v>
      </c>
      <c r="N989" s="1" t="s">
        <v>1250</v>
      </c>
      <c r="O989" s="1" t="s">
        <v>33</v>
      </c>
      <c r="P989" s="1" t="s">
        <v>48</v>
      </c>
      <c r="Q989" s="1" t="s">
        <v>1251</v>
      </c>
      <c r="R989">
        <v>522</v>
      </c>
      <c r="S989">
        <v>2</v>
      </c>
      <c r="T989">
        <v>0</v>
      </c>
      <c r="U989">
        <v>89</v>
      </c>
      <c r="V989" s="1" t="s">
        <v>86</v>
      </c>
      <c r="W989" s="1" t="s">
        <v>99</v>
      </c>
    </row>
    <row r="990" spans="1:23" x14ac:dyDescent="0.35">
      <c r="A990">
        <v>4722</v>
      </c>
      <c r="B990" s="1" t="s">
        <v>2938</v>
      </c>
      <c r="C990" s="2">
        <v>41797</v>
      </c>
      <c r="D990" s="2">
        <v>41801</v>
      </c>
      <c r="E990" s="1" t="s">
        <v>24</v>
      </c>
      <c r="F990" s="1" t="s">
        <v>2939</v>
      </c>
      <c r="G990" s="1" t="s">
        <v>2940</v>
      </c>
      <c r="H990" s="1" t="s">
        <v>27</v>
      </c>
      <c r="I990" s="1" t="s">
        <v>28</v>
      </c>
      <c r="J990" s="1" t="s">
        <v>182</v>
      </c>
      <c r="K990" s="1" t="s">
        <v>137</v>
      </c>
      <c r="L990">
        <v>60505</v>
      </c>
      <c r="M990" s="1" t="s">
        <v>96</v>
      </c>
      <c r="N990" s="1" t="s">
        <v>457</v>
      </c>
      <c r="O990" s="1" t="s">
        <v>33</v>
      </c>
      <c r="P990" s="1" t="s">
        <v>48</v>
      </c>
      <c r="Q990" s="1" t="s">
        <v>458</v>
      </c>
      <c r="R990">
        <v>269</v>
      </c>
      <c r="S990">
        <v>3</v>
      </c>
      <c r="T990">
        <v>0.5</v>
      </c>
      <c r="U990">
        <v>-210</v>
      </c>
      <c r="V990" s="1" t="s">
        <v>86</v>
      </c>
      <c r="W990" s="1" t="s">
        <v>62</v>
      </c>
    </row>
    <row r="991" spans="1:23" x14ac:dyDescent="0.35">
      <c r="A991">
        <v>4728</v>
      </c>
      <c r="B991" s="1" t="s">
        <v>2941</v>
      </c>
      <c r="C991" s="2">
        <v>41968</v>
      </c>
      <c r="D991" s="2">
        <v>41972</v>
      </c>
      <c r="E991" s="1" t="s">
        <v>24</v>
      </c>
      <c r="F991" s="1" t="s">
        <v>1354</v>
      </c>
      <c r="G991" s="1" t="s">
        <v>1355</v>
      </c>
      <c r="H991" s="1" t="s">
        <v>103</v>
      </c>
      <c r="I991" s="1" t="s">
        <v>28</v>
      </c>
      <c r="J991" s="1" t="s">
        <v>176</v>
      </c>
      <c r="K991" s="1" t="s">
        <v>123</v>
      </c>
      <c r="L991">
        <v>10009</v>
      </c>
      <c r="M991" s="1" t="s">
        <v>70</v>
      </c>
      <c r="N991" s="1" t="s">
        <v>1479</v>
      </c>
      <c r="O991" s="1" t="s">
        <v>33</v>
      </c>
      <c r="P991" s="1" t="s">
        <v>34</v>
      </c>
      <c r="Q991" s="1" t="s">
        <v>1480</v>
      </c>
      <c r="R991">
        <v>276</v>
      </c>
      <c r="S991">
        <v>3</v>
      </c>
      <c r="T991">
        <v>0.2</v>
      </c>
      <c r="U991">
        <v>-38</v>
      </c>
      <c r="V991" s="1" t="s">
        <v>86</v>
      </c>
      <c r="W991" s="1" t="s">
        <v>37</v>
      </c>
    </row>
    <row r="992" spans="1:23" x14ac:dyDescent="0.35">
      <c r="A992">
        <v>4734</v>
      </c>
      <c r="B992" s="1" t="s">
        <v>2942</v>
      </c>
      <c r="C992" s="2">
        <v>42092</v>
      </c>
      <c r="D992" s="2">
        <v>42094</v>
      </c>
      <c r="E992" s="1" t="s">
        <v>24</v>
      </c>
      <c r="F992" s="1" t="s">
        <v>2943</v>
      </c>
      <c r="G992" s="1" t="s">
        <v>2944</v>
      </c>
      <c r="H992" s="1" t="s">
        <v>27</v>
      </c>
      <c r="I992" s="1" t="s">
        <v>28</v>
      </c>
      <c r="J992" s="1" t="s">
        <v>642</v>
      </c>
      <c r="K992" s="1" t="s">
        <v>56</v>
      </c>
      <c r="L992">
        <v>92105</v>
      </c>
      <c r="M992" s="1" t="s">
        <v>57</v>
      </c>
      <c r="N992" s="1" t="s">
        <v>2329</v>
      </c>
      <c r="O992" s="1" t="s">
        <v>33</v>
      </c>
      <c r="P992" s="1" t="s">
        <v>59</v>
      </c>
      <c r="Q992" s="1" t="s">
        <v>2330</v>
      </c>
      <c r="R992">
        <v>20</v>
      </c>
      <c r="S992">
        <v>3</v>
      </c>
      <c r="T992">
        <v>0</v>
      </c>
      <c r="U992">
        <v>10</v>
      </c>
      <c r="V992" s="1" t="s">
        <v>73</v>
      </c>
      <c r="W992" s="1" t="s">
        <v>198</v>
      </c>
    </row>
    <row r="993" spans="1:23" x14ac:dyDescent="0.35">
      <c r="A993">
        <v>4735</v>
      </c>
      <c r="B993" s="1" t="s">
        <v>2945</v>
      </c>
      <c r="C993" s="2">
        <v>42467</v>
      </c>
      <c r="D993" s="2">
        <v>42472</v>
      </c>
      <c r="E993" s="1" t="s">
        <v>42</v>
      </c>
      <c r="F993" s="1" t="s">
        <v>723</v>
      </c>
      <c r="G993" s="1" t="s">
        <v>724</v>
      </c>
      <c r="H993" s="1" t="s">
        <v>93</v>
      </c>
      <c r="I993" s="1" t="s">
        <v>28</v>
      </c>
      <c r="J993" s="1" t="s">
        <v>176</v>
      </c>
      <c r="K993" s="1" t="s">
        <v>123</v>
      </c>
      <c r="L993">
        <v>10035</v>
      </c>
      <c r="M993" s="1" t="s">
        <v>70</v>
      </c>
      <c r="N993" s="1" t="s">
        <v>38</v>
      </c>
      <c r="O993" s="1" t="s">
        <v>33</v>
      </c>
      <c r="P993" s="1" t="s">
        <v>39</v>
      </c>
      <c r="Q993" s="1" t="s">
        <v>40</v>
      </c>
      <c r="R993">
        <v>659</v>
      </c>
      <c r="S993">
        <v>3</v>
      </c>
      <c r="T993">
        <v>0.1</v>
      </c>
      <c r="U993">
        <v>146</v>
      </c>
      <c r="V993" s="1" t="s">
        <v>61</v>
      </c>
      <c r="W993" s="1" t="s">
        <v>116</v>
      </c>
    </row>
    <row r="994" spans="1:23" x14ac:dyDescent="0.35">
      <c r="A994">
        <v>4740</v>
      </c>
      <c r="B994" s="1" t="s">
        <v>2946</v>
      </c>
      <c r="C994" s="2">
        <v>42053</v>
      </c>
      <c r="D994" s="2">
        <v>42059</v>
      </c>
      <c r="E994" s="1" t="s">
        <v>42</v>
      </c>
      <c r="F994" s="1" t="s">
        <v>2947</v>
      </c>
      <c r="G994" s="1" t="s">
        <v>2948</v>
      </c>
      <c r="H994" s="1" t="s">
        <v>27</v>
      </c>
      <c r="I994" s="1" t="s">
        <v>28</v>
      </c>
      <c r="J994" s="1" t="s">
        <v>733</v>
      </c>
      <c r="K994" s="1" t="s">
        <v>56</v>
      </c>
      <c r="L994">
        <v>90805</v>
      </c>
      <c r="M994" s="1" t="s">
        <v>57</v>
      </c>
      <c r="N994" s="1" t="s">
        <v>1252</v>
      </c>
      <c r="O994" s="1" t="s">
        <v>33</v>
      </c>
      <c r="P994" s="1" t="s">
        <v>48</v>
      </c>
      <c r="Q994" s="1" t="s">
        <v>1253</v>
      </c>
      <c r="R994">
        <v>36</v>
      </c>
      <c r="S994">
        <v>1</v>
      </c>
      <c r="T994">
        <v>0.2</v>
      </c>
      <c r="U994">
        <v>-1</v>
      </c>
      <c r="V994" s="1" t="s">
        <v>132</v>
      </c>
      <c r="W994" s="1" t="s">
        <v>300</v>
      </c>
    </row>
    <row r="995" spans="1:23" x14ac:dyDescent="0.35">
      <c r="A995">
        <v>4749</v>
      </c>
      <c r="B995" s="1" t="s">
        <v>2949</v>
      </c>
      <c r="C995" s="2">
        <v>42432</v>
      </c>
      <c r="D995" s="2">
        <v>42432</v>
      </c>
      <c r="E995" s="1" t="s">
        <v>428</v>
      </c>
      <c r="F995" s="1" t="s">
        <v>1729</v>
      </c>
      <c r="G995" s="1" t="s">
        <v>1730</v>
      </c>
      <c r="H995" s="1" t="s">
        <v>93</v>
      </c>
      <c r="I995" s="1" t="s">
        <v>28</v>
      </c>
      <c r="J995" s="1" t="s">
        <v>331</v>
      </c>
      <c r="K995" s="1" t="s">
        <v>56</v>
      </c>
      <c r="L995">
        <v>94110</v>
      </c>
      <c r="M995" s="1" t="s">
        <v>57</v>
      </c>
      <c r="N995" s="1" t="s">
        <v>2412</v>
      </c>
      <c r="O995" s="1" t="s">
        <v>33</v>
      </c>
      <c r="P995" s="1" t="s">
        <v>59</v>
      </c>
      <c r="Q995" s="1" t="s">
        <v>2413</v>
      </c>
      <c r="R995">
        <v>35</v>
      </c>
      <c r="S995">
        <v>3</v>
      </c>
      <c r="T995">
        <v>0</v>
      </c>
      <c r="U995">
        <v>12</v>
      </c>
      <c r="V995" s="1" t="s">
        <v>433</v>
      </c>
      <c r="W995" s="1" t="s">
        <v>198</v>
      </c>
    </row>
    <row r="996" spans="1:23" x14ac:dyDescent="0.35">
      <c r="A996">
        <v>4753</v>
      </c>
      <c r="B996" s="1" t="s">
        <v>2950</v>
      </c>
      <c r="C996" s="2">
        <v>43059</v>
      </c>
      <c r="D996" s="2">
        <v>43063</v>
      </c>
      <c r="E996" s="1" t="s">
        <v>42</v>
      </c>
      <c r="F996" s="1" t="s">
        <v>2951</v>
      </c>
      <c r="G996" s="1" t="s">
        <v>2952</v>
      </c>
      <c r="H996" s="1" t="s">
        <v>27</v>
      </c>
      <c r="I996" s="1" t="s">
        <v>28</v>
      </c>
      <c r="J996" s="1" t="s">
        <v>480</v>
      </c>
      <c r="K996" s="1" t="s">
        <v>144</v>
      </c>
      <c r="L996">
        <v>38301</v>
      </c>
      <c r="M996" s="1" t="s">
        <v>31</v>
      </c>
      <c r="N996" s="1" t="s">
        <v>671</v>
      </c>
      <c r="O996" s="1" t="s">
        <v>33</v>
      </c>
      <c r="P996" s="1" t="s">
        <v>39</v>
      </c>
      <c r="Q996" s="1" t="s">
        <v>672</v>
      </c>
      <c r="R996">
        <v>210</v>
      </c>
      <c r="S996">
        <v>2</v>
      </c>
      <c r="T996">
        <v>0.2</v>
      </c>
      <c r="U996">
        <v>-24</v>
      </c>
      <c r="V996" s="1" t="s">
        <v>86</v>
      </c>
      <c r="W996" s="1" t="s">
        <v>37</v>
      </c>
    </row>
    <row r="997" spans="1:23" x14ac:dyDescent="0.35">
      <c r="A997">
        <v>4773</v>
      </c>
      <c r="B997" s="1" t="s">
        <v>2953</v>
      </c>
      <c r="C997" s="2">
        <v>43062</v>
      </c>
      <c r="D997" s="2">
        <v>43066</v>
      </c>
      <c r="E997" s="1" t="s">
        <v>42</v>
      </c>
      <c r="F997" s="1" t="s">
        <v>2954</v>
      </c>
      <c r="G997" s="1" t="s">
        <v>2955</v>
      </c>
      <c r="H997" s="1" t="s">
        <v>27</v>
      </c>
      <c r="I997" s="1" t="s">
        <v>28</v>
      </c>
      <c r="J997" s="1" t="s">
        <v>136</v>
      </c>
      <c r="K997" s="1" t="s">
        <v>137</v>
      </c>
      <c r="L997">
        <v>60610</v>
      </c>
      <c r="M997" s="1" t="s">
        <v>96</v>
      </c>
      <c r="N997" s="1" t="s">
        <v>1965</v>
      </c>
      <c r="O997" s="1" t="s">
        <v>33</v>
      </c>
      <c r="P997" s="1" t="s">
        <v>59</v>
      </c>
      <c r="Q997" s="1" t="s">
        <v>1966</v>
      </c>
      <c r="R997">
        <v>6</v>
      </c>
      <c r="S997">
        <v>1</v>
      </c>
      <c r="T997">
        <v>0.6</v>
      </c>
      <c r="U997">
        <v>-4</v>
      </c>
      <c r="V997" s="1" t="s">
        <v>86</v>
      </c>
      <c r="W997" s="1" t="s">
        <v>37</v>
      </c>
    </row>
    <row r="998" spans="1:23" x14ac:dyDescent="0.35">
      <c r="A998">
        <v>4780</v>
      </c>
      <c r="B998" s="1" t="s">
        <v>2956</v>
      </c>
      <c r="C998" s="2">
        <v>41828</v>
      </c>
      <c r="D998" s="2">
        <v>41830</v>
      </c>
      <c r="E998" s="1" t="s">
        <v>90</v>
      </c>
      <c r="F998" s="1" t="s">
        <v>2110</v>
      </c>
      <c r="G998" s="1" t="s">
        <v>2111</v>
      </c>
      <c r="H998" s="1" t="s">
        <v>27</v>
      </c>
      <c r="I998" s="1" t="s">
        <v>28</v>
      </c>
      <c r="J998" s="1" t="s">
        <v>2957</v>
      </c>
      <c r="K998" s="1" t="s">
        <v>123</v>
      </c>
      <c r="L998">
        <v>14215</v>
      </c>
      <c r="M998" s="1" t="s">
        <v>70</v>
      </c>
      <c r="N998" s="1" t="s">
        <v>593</v>
      </c>
      <c r="O998" s="1" t="s">
        <v>33</v>
      </c>
      <c r="P998" s="1" t="s">
        <v>39</v>
      </c>
      <c r="Q998" s="1" t="s">
        <v>594</v>
      </c>
      <c r="R998">
        <v>64</v>
      </c>
      <c r="S998">
        <v>1</v>
      </c>
      <c r="T998">
        <v>0.1</v>
      </c>
      <c r="U998">
        <v>11</v>
      </c>
      <c r="V998" s="1" t="s">
        <v>73</v>
      </c>
      <c r="W998" s="1" t="s">
        <v>74</v>
      </c>
    </row>
    <row r="999" spans="1:23" x14ac:dyDescent="0.35">
      <c r="A999">
        <v>4781</v>
      </c>
      <c r="B999" s="1" t="s">
        <v>2958</v>
      </c>
      <c r="C999" s="2">
        <v>41950</v>
      </c>
      <c r="D999" s="2">
        <v>41955</v>
      </c>
      <c r="E999" s="1" t="s">
        <v>42</v>
      </c>
      <c r="F999" s="1" t="s">
        <v>200</v>
      </c>
      <c r="G999" s="1" t="s">
        <v>201</v>
      </c>
      <c r="H999" s="1" t="s">
        <v>27</v>
      </c>
      <c r="I999" s="1" t="s">
        <v>28</v>
      </c>
      <c r="J999" s="1" t="s">
        <v>104</v>
      </c>
      <c r="K999" s="1" t="s">
        <v>95</v>
      </c>
      <c r="L999">
        <v>77070</v>
      </c>
      <c r="M999" s="1" t="s">
        <v>96</v>
      </c>
      <c r="N999" s="1" t="s">
        <v>2080</v>
      </c>
      <c r="O999" s="1" t="s">
        <v>33</v>
      </c>
      <c r="P999" s="1" t="s">
        <v>39</v>
      </c>
      <c r="Q999" s="1" t="s">
        <v>2081</v>
      </c>
      <c r="R999">
        <v>683</v>
      </c>
      <c r="S999">
        <v>4</v>
      </c>
      <c r="T999">
        <v>0.3</v>
      </c>
      <c r="U999">
        <v>0</v>
      </c>
      <c r="V999" s="1" t="s">
        <v>61</v>
      </c>
      <c r="W999" s="1" t="s">
        <v>37</v>
      </c>
    </row>
    <row r="1000" spans="1:23" x14ac:dyDescent="0.35">
      <c r="A1000">
        <v>4786</v>
      </c>
      <c r="B1000" s="1" t="s">
        <v>2959</v>
      </c>
      <c r="C1000" s="2">
        <v>42349</v>
      </c>
      <c r="D1000" s="2">
        <v>42354</v>
      </c>
      <c r="E1000" s="1" t="s">
        <v>42</v>
      </c>
      <c r="F1000" s="1" t="s">
        <v>1277</v>
      </c>
      <c r="G1000" s="1" t="s">
        <v>1278</v>
      </c>
      <c r="H1000" s="1" t="s">
        <v>27</v>
      </c>
      <c r="I1000" s="1" t="s">
        <v>28</v>
      </c>
      <c r="J1000" s="1" t="s">
        <v>356</v>
      </c>
      <c r="K1000" s="1" t="s">
        <v>183</v>
      </c>
      <c r="L1000">
        <v>80906</v>
      </c>
      <c r="M1000" s="1" t="s">
        <v>57</v>
      </c>
      <c r="N1000" s="1" t="s">
        <v>1956</v>
      </c>
      <c r="O1000" s="1" t="s">
        <v>33</v>
      </c>
      <c r="P1000" s="1" t="s">
        <v>34</v>
      </c>
      <c r="Q1000" s="1" t="s">
        <v>1957</v>
      </c>
      <c r="R1000">
        <v>70</v>
      </c>
      <c r="S1000">
        <v>4</v>
      </c>
      <c r="T1000">
        <v>0.7</v>
      </c>
      <c r="U1000">
        <v>-144</v>
      </c>
      <c r="V1000" s="1" t="s">
        <v>61</v>
      </c>
      <c r="W1000" s="1" t="s">
        <v>99</v>
      </c>
    </row>
    <row r="1001" spans="1:23" x14ac:dyDescent="0.35">
      <c r="A1001">
        <v>4789</v>
      </c>
      <c r="B1001" s="1" t="s">
        <v>2959</v>
      </c>
      <c r="C1001" s="2">
        <v>42349</v>
      </c>
      <c r="D1001" s="2">
        <v>42354</v>
      </c>
      <c r="E1001" s="1" t="s">
        <v>42</v>
      </c>
      <c r="F1001" s="1" t="s">
        <v>1277</v>
      </c>
      <c r="G1001" s="1" t="s">
        <v>1278</v>
      </c>
      <c r="H1001" s="1" t="s">
        <v>27</v>
      </c>
      <c r="I1001" s="1" t="s">
        <v>28</v>
      </c>
      <c r="J1001" s="1" t="s">
        <v>356</v>
      </c>
      <c r="K1001" s="1" t="s">
        <v>183</v>
      </c>
      <c r="L1001">
        <v>80906</v>
      </c>
      <c r="M1001" s="1" t="s">
        <v>57</v>
      </c>
      <c r="N1001" s="1" t="s">
        <v>1351</v>
      </c>
      <c r="O1001" s="1" t="s">
        <v>33</v>
      </c>
      <c r="P1001" s="1" t="s">
        <v>59</v>
      </c>
      <c r="Q1001" s="1" t="s">
        <v>1352</v>
      </c>
      <c r="R1001">
        <v>52</v>
      </c>
      <c r="S1001">
        <v>9</v>
      </c>
      <c r="T1001">
        <v>0.2</v>
      </c>
      <c r="U1001">
        <v>15</v>
      </c>
      <c r="V1001" s="1" t="s">
        <v>61</v>
      </c>
      <c r="W1001" s="1" t="s">
        <v>99</v>
      </c>
    </row>
    <row r="1002" spans="1:23" x14ac:dyDescent="0.35">
      <c r="A1002">
        <v>4790</v>
      </c>
      <c r="B1002" s="1" t="s">
        <v>2959</v>
      </c>
      <c r="C1002" s="2">
        <v>42349</v>
      </c>
      <c r="D1002" s="2">
        <v>42354</v>
      </c>
      <c r="E1002" s="1" t="s">
        <v>42</v>
      </c>
      <c r="F1002" s="1" t="s">
        <v>1277</v>
      </c>
      <c r="G1002" s="1" t="s">
        <v>1278</v>
      </c>
      <c r="H1002" s="1" t="s">
        <v>27</v>
      </c>
      <c r="I1002" s="1" t="s">
        <v>28</v>
      </c>
      <c r="J1002" s="1" t="s">
        <v>356</v>
      </c>
      <c r="K1002" s="1" t="s">
        <v>183</v>
      </c>
      <c r="L1002">
        <v>80906</v>
      </c>
      <c r="M1002" s="1" t="s">
        <v>57</v>
      </c>
      <c r="N1002" s="1" t="s">
        <v>1293</v>
      </c>
      <c r="O1002" s="1" t="s">
        <v>33</v>
      </c>
      <c r="P1002" s="1" t="s">
        <v>59</v>
      </c>
      <c r="Q1002" s="1" t="s">
        <v>1294</v>
      </c>
      <c r="R1002">
        <v>55</v>
      </c>
      <c r="S1002">
        <v>5</v>
      </c>
      <c r="T1002">
        <v>0.2</v>
      </c>
      <c r="U1002">
        <v>11</v>
      </c>
      <c r="V1002" s="1" t="s">
        <v>61</v>
      </c>
      <c r="W1002" s="1" t="s">
        <v>99</v>
      </c>
    </row>
    <row r="1003" spans="1:23" x14ac:dyDescent="0.35">
      <c r="A1003">
        <v>4791</v>
      </c>
      <c r="B1003" s="1" t="s">
        <v>2959</v>
      </c>
      <c r="C1003" s="2">
        <v>42349</v>
      </c>
      <c r="D1003" s="2">
        <v>42354</v>
      </c>
      <c r="E1003" s="1" t="s">
        <v>42</v>
      </c>
      <c r="F1003" s="1" t="s">
        <v>1277</v>
      </c>
      <c r="G1003" s="1" t="s">
        <v>1278</v>
      </c>
      <c r="H1003" s="1" t="s">
        <v>27</v>
      </c>
      <c r="I1003" s="1" t="s">
        <v>28</v>
      </c>
      <c r="J1003" s="1" t="s">
        <v>356</v>
      </c>
      <c r="K1003" s="1" t="s">
        <v>183</v>
      </c>
      <c r="L1003">
        <v>80906</v>
      </c>
      <c r="M1003" s="1" t="s">
        <v>57</v>
      </c>
      <c r="N1003" s="1" t="s">
        <v>1903</v>
      </c>
      <c r="O1003" s="1" t="s">
        <v>33</v>
      </c>
      <c r="P1003" s="1" t="s">
        <v>48</v>
      </c>
      <c r="Q1003" s="1" t="s">
        <v>1904</v>
      </c>
      <c r="R1003">
        <v>365</v>
      </c>
      <c r="S1003">
        <v>5</v>
      </c>
      <c r="T1003">
        <v>0.5</v>
      </c>
      <c r="U1003">
        <v>-248</v>
      </c>
      <c r="V1003" s="1" t="s">
        <v>61</v>
      </c>
      <c r="W1003" s="1" t="s">
        <v>99</v>
      </c>
    </row>
    <row r="1004" spans="1:23" x14ac:dyDescent="0.35">
      <c r="A1004">
        <v>4795</v>
      </c>
      <c r="B1004" s="1" t="s">
        <v>2960</v>
      </c>
      <c r="C1004" s="2">
        <v>42079</v>
      </c>
      <c r="D1004" s="2">
        <v>42086</v>
      </c>
      <c r="E1004" s="1" t="s">
        <v>42</v>
      </c>
      <c r="F1004" s="1" t="s">
        <v>2961</v>
      </c>
      <c r="G1004" s="1" t="s">
        <v>2962</v>
      </c>
      <c r="H1004" s="1" t="s">
        <v>93</v>
      </c>
      <c r="I1004" s="1" t="s">
        <v>28</v>
      </c>
      <c r="J1004" s="1" t="s">
        <v>55</v>
      </c>
      <c r="K1004" s="1" t="s">
        <v>56</v>
      </c>
      <c r="L1004">
        <v>90036</v>
      </c>
      <c r="M1004" s="1" t="s">
        <v>57</v>
      </c>
      <c r="N1004" s="1" t="s">
        <v>2693</v>
      </c>
      <c r="O1004" s="1" t="s">
        <v>33</v>
      </c>
      <c r="P1004" s="1" t="s">
        <v>59</v>
      </c>
      <c r="Q1004" s="1" t="s">
        <v>2694</v>
      </c>
      <c r="R1004">
        <v>43</v>
      </c>
      <c r="S1004">
        <v>1</v>
      </c>
      <c r="T1004">
        <v>0</v>
      </c>
      <c r="U1004">
        <v>18</v>
      </c>
      <c r="V1004" s="1" t="s">
        <v>50</v>
      </c>
      <c r="W1004" s="1" t="s">
        <v>198</v>
      </c>
    </row>
    <row r="1005" spans="1:23" x14ac:dyDescent="0.35">
      <c r="A1005">
        <v>4799</v>
      </c>
      <c r="B1005" s="1" t="s">
        <v>2963</v>
      </c>
      <c r="C1005" s="2">
        <v>42504</v>
      </c>
      <c r="D1005" s="2">
        <v>42509</v>
      </c>
      <c r="E1005" s="1" t="s">
        <v>42</v>
      </c>
      <c r="F1005" s="1" t="s">
        <v>429</v>
      </c>
      <c r="G1005" s="1" t="s">
        <v>430</v>
      </c>
      <c r="H1005" s="1" t="s">
        <v>93</v>
      </c>
      <c r="I1005" s="1" t="s">
        <v>28</v>
      </c>
      <c r="J1005" s="1" t="s">
        <v>609</v>
      </c>
      <c r="K1005" s="1" t="s">
        <v>46</v>
      </c>
      <c r="L1005">
        <v>32216</v>
      </c>
      <c r="M1005" s="1" t="s">
        <v>31</v>
      </c>
      <c r="N1005" s="1" t="s">
        <v>2617</v>
      </c>
      <c r="O1005" s="1" t="s">
        <v>33</v>
      </c>
      <c r="P1005" s="1" t="s">
        <v>59</v>
      </c>
      <c r="Q1005" s="1" t="s">
        <v>2618</v>
      </c>
      <c r="R1005">
        <v>30</v>
      </c>
      <c r="S1005">
        <v>3</v>
      </c>
      <c r="T1005">
        <v>0.2</v>
      </c>
      <c r="U1005">
        <v>8</v>
      </c>
      <c r="V1005" s="1" t="s">
        <v>61</v>
      </c>
      <c r="W1005" s="1" t="s">
        <v>164</v>
      </c>
    </row>
    <row r="1006" spans="1:23" x14ac:dyDescent="0.35">
      <c r="A1006">
        <v>4805</v>
      </c>
      <c r="B1006" s="1" t="s">
        <v>2964</v>
      </c>
      <c r="C1006" s="2">
        <v>42929</v>
      </c>
      <c r="D1006" s="2">
        <v>42933</v>
      </c>
      <c r="E1006" s="1" t="s">
        <v>24</v>
      </c>
      <c r="F1006" s="1" t="s">
        <v>2636</v>
      </c>
      <c r="G1006" s="1" t="s">
        <v>2637</v>
      </c>
      <c r="H1006" s="1" t="s">
        <v>27</v>
      </c>
      <c r="I1006" s="1" t="s">
        <v>28</v>
      </c>
      <c r="J1006" s="1" t="s">
        <v>68</v>
      </c>
      <c r="K1006" s="1" t="s">
        <v>69</v>
      </c>
      <c r="L1006">
        <v>19140</v>
      </c>
      <c r="M1006" s="1" t="s">
        <v>70</v>
      </c>
      <c r="N1006" s="1" t="s">
        <v>1837</v>
      </c>
      <c r="O1006" s="1" t="s">
        <v>33</v>
      </c>
      <c r="P1006" s="1" t="s">
        <v>59</v>
      </c>
      <c r="Q1006" s="1" t="s">
        <v>1838</v>
      </c>
      <c r="R1006">
        <v>91</v>
      </c>
      <c r="S1006">
        <v>9</v>
      </c>
      <c r="T1006">
        <v>0.2</v>
      </c>
      <c r="U1006">
        <v>19</v>
      </c>
      <c r="V1006" s="1" t="s">
        <v>86</v>
      </c>
      <c r="W1006" s="1" t="s">
        <v>74</v>
      </c>
    </row>
    <row r="1007" spans="1:23" x14ac:dyDescent="0.35">
      <c r="A1007">
        <v>4812</v>
      </c>
      <c r="B1007" s="1" t="s">
        <v>2965</v>
      </c>
      <c r="C1007" s="2">
        <v>42688</v>
      </c>
      <c r="D1007" s="2">
        <v>42693</v>
      </c>
      <c r="E1007" s="1" t="s">
        <v>24</v>
      </c>
      <c r="F1007" s="1" t="s">
        <v>2966</v>
      </c>
      <c r="G1007" s="1" t="s">
        <v>2967</v>
      </c>
      <c r="H1007" s="1" t="s">
        <v>27</v>
      </c>
      <c r="I1007" s="1" t="s">
        <v>28</v>
      </c>
      <c r="J1007" s="1" t="s">
        <v>68</v>
      </c>
      <c r="K1007" s="1" t="s">
        <v>69</v>
      </c>
      <c r="L1007">
        <v>19134</v>
      </c>
      <c r="M1007" s="1" t="s">
        <v>70</v>
      </c>
      <c r="N1007" s="1" t="s">
        <v>423</v>
      </c>
      <c r="O1007" s="1" t="s">
        <v>33</v>
      </c>
      <c r="P1007" s="1" t="s">
        <v>39</v>
      </c>
      <c r="Q1007" s="1" t="s">
        <v>424</v>
      </c>
      <c r="R1007">
        <v>380</v>
      </c>
      <c r="S1007">
        <v>3</v>
      </c>
      <c r="T1007">
        <v>0.3</v>
      </c>
      <c r="U1007">
        <v>-22</v>
      </c>
      <c r="V1007" s="1" t="s">
        <v>61</v>
      </c>
      <c r="W1007" s="1" t="s">
        <v>37</v>
      </c>
    </row>
    <row r="1008" spans="1:23" x14ac:dyDescent="0.35">
      <c r="A1008">
        <v>4814</v>
      </c>
      <c r="B1008" s="1" t="s">
        <v>2965</v>
      </c>
      <c r="C1008" s="2">
        <v>42688</v>
      </c>
      <c r="D1008" s="2">
        <v>42693</v>
      </c>
      <c r="E1008" s="1" t="s">
        <v>24</v>
      </c>
      <c r="F1008" s="1" t="s">
        <v>2966</v>
      </c>
      <c r="G1008" s="1" t="s">
        <v>2967</v>
      </c>
      <c r="H1008" s="1" t="s">
        <v>27</v>
      </c>
      <c r="I1008" s="1" t="s">
        <v>28</v>
      </c>
      <c r="J1008" s="1" t="s">
        <v>68</v>
      </c>
      <c r="K1008" s="1" t="s">
        <v>69</v>
      </c>
      <c r="L1008">
        <v>19134</v>
      </c>
      <c r="M1008" s="1" t="s">
        <v>70</v>
      </c>
      <c r="N1008" s="1" t="s">
        <v>2968</v>
      </c>
      <c r="O1008" s="1" t="s">
        <v>33</v>
      </c>
      <c r="P1008" s="1" t="s">
        <v>59</v>
      </c>
      <c r="Q1008" s="1" t="s">
        <v>2969</v>
      </c>
      <c r="R1008">
        <v>49</v>
      </c>
      <c r="S1008">
        <v>3</v>
      </c>
      <c r="T1008">
        <v>0.2</v>
      </c>
      <c r="U1008">
        <v>10</v>
      </c>
      <c r="V1008" s="1" t="s">
        <v>61</v>
      </c>
      <c r="W1008" s="1" t="s">
        <v>37</v>
      </c>
    </row>
    <row r="1009" spans="1:23" x14ac:dyDescent="0.35">
      <c r="A1009">
        <v>4825</v>
      </c>
      <c r="B1009" s="1" t="s">
        <v>2970</v>
      </c>
      <c r="C1009" s="2">
        <v>42695</v>
      </c>
      <c r="D1009" s="2">
        <v>42700</v>
      </c>
      <c r="E1009" s="1" t="s">
        <v>42</v>
      </c>
      <c r="F1009" s="1" t="s">
        <v>1362</v>
      </c>
      <c r="G1009" s="1" t="s">
        <v>1363</v>
      </c>
      <c r="H1009" s="1" t="s">
        <v>27</v>
      </c>
      <c r="I1009" s="1" t="s">
        <v>28</v>
      </c>
      <c r="J1009" s="1" t="s">
        <v>350</v>
      </c>
      <c r="K1009" s="1" t="s">
        <v>234</v>
      </c>
      <c r="L1009">
        <v>43229</v>
      </c>
      <c r="M1009" s="1" t="s">
        <v>70</v>
      </c>
      <c r="N1009" s="1" t="s">
        <v>254</v>
      </c>
      <c r="O1009" s="1" t="s">
        <v>33</v>
      </c>
      <c r="P1009" s="1" t="s">
        <v>39</v>
      </c>
      <c r="Q1009" s="1" t="s">
        <v>255</v>
      </c>
      <c r="R1009">
        <v>128</v>
      </c>
      <c r="S1009">
        <v>3</v>
      </c>
      <c r="T1009">
        <v>0.3</v>
      </c>
      <c r="U1009">
        <v>-9</v>
      </c>
      <c r="V1009" s="1" t="s">
        <v>61</v>
      </c>
      <c r="W1009" s="1" t="s">
        <v>37</v>
      </c>
    </row>
    <row r="1010" spans="1:23" x14ac:dyDescent="0.35">
      <c r="A1010">
        <v>4826</v>
      </c>
      <c r="B1010" s="1" t="s">
        <v>2970</v>
      </c>
      <c r="C1010" s="2">
        <v>42695</v>
      </c>
      <c r="D1010" s="2">
        <v>42700</v>
      </c>
      <c r="E1010" s="1" t="s">
        <v>42</v>
      </c>
      <c r="F1010" s="1" t="s">
        <v>1362</v>
      </c>
      <c r="G1010" s="1" t="s">
        <v>1363</v>
      </c>
      <c r="H1010" s="1" t="s">
        <v>27</v>
      </c>
      <c r="I1010" s="1" t="s">
        <v>28</v>
      </c>
      <c r="J1010" s="1" t="s">
        <v>350</v>
      </c>
      <c r="K1010" s="1" t="s">
        <v>234</v>
      </c>
      <c r="L1010">
        <v>43229</v>
      </c>
      <c r="M1010" s="1" t="s">
        <v>70</v>
      </c>
      <c r="N1010" s="1" t="s">
        <v>2058</v>
      </c>
      <c r="O1010" s="1" t="s">
        <v>33</v>
      </c>
      <c r="P1010" s="1" t="s">
        <v>59</v>
      </c>
      <c r="Q1010" s="1" t="s">
        <v>2059</v>
      </c>
      <c r="R1010">
        <v>78</v>
      </c>
      <c r="S1010">
        <v>3</v>
      </c>
      <c r="T1010">
        <v>0.2</v>
      </c>
      <c r="U1010">
        <v>16</v>
      </c>
      <c r="V1010" s="1" t="s">
        <v>61</v>
      </c>
      <c r="W1010" s="1" t="s">
        <v>37</v>
      </c>
    </row>
    <row r="1011" spans="1:23" x14ac:dyDescent="0.35">
      <c r="A1011">
        <v>4841</v>
      </c>
      <c r="B1011" s="1" t="s">
        <v>2971</v>
      </c>
      <c r="C1011" s="2">
        <v>43059</v>
      </c>
      <c r="D1011" s="2">
        <v>43064</v>
      </c>
      <c r="E1011" s="1" t="s">
        <v>42</v>
      </c>
      <c r="F1011" s="1" t="s">
        <v>904</v>
      </c>
      <c r="G1011" s="1" t="s">
        <v>905</v>
      </c>
      <c r="H1011" s="1" t="s">
        <v>103</v>
      </c>
      <c r="I1011" s="1" t="s">
        <v>28</v>
      </c>
      <c r="J1011" s="1" t="s">
        <v>29</v>
      </c>
      <c r="K1011" s="1" t="s">
        <v>30</v>
      </c>
      <c r="L1011">
        <v>42420</v>
      </c>
      <c r="M1011" s="1" t="s">
        <v>31</v>
      </c>
      <c r="N1011" s="1" t="s">
        <v>177</v>
      </c>
      <c r="O1011" s="1" t="s">
        <v>33</v>
      </c>
      <c r="P1011" s="1" t="s">
        <v>59</v>
      </c>
      <c r="Q1011" s="1" t="s">
        <v>178</v>
      </c>
      <c r="R1011">
        <v>28</v>
      </c>
      <c r="S1011">
        <v>2</v>
      </c>
      <c r="T1011">
        <v>0</v>
      </c>
      <c r="U1011">
        <v>12</v>
      </c>
      <c r="V1011" s="1" t="s">
        <v>61</v>
      </c>
      <c r="W1011" s="1" t="s">
        <v>37</v>
      </c>
    </row>
    <row r="1012" spans="1:23" x14ac:dyDescent="0.35">
      <c r="A1012">
        <v>4851</v>
      </c>
      <c r="B1012" s="1" t="s">
        <v>2972</v>
      </c>
      <c r="C1012" s="2">
        <v>41890</v>
      </c>
      <c r="D1012" s="2">
        <v>41896</v>
      </c>
      <c r="E1012" s="1" t="s">
        <v>42</v>
      </c>
      <c r="F1012" s="1" t="s">
        <v>1406</v>
      </c>
      <c r="G1012" s="1" t="s">
        <v>1407</v>
      </c>
      <c r="H1012" s="1" t="s">
        <v>27</v>
      </c>
      <c r="I1012" s="1" t="s">
        <v>28</v>
      </c>
      <c r="J1012" s="1" t="s">
        <v>2973</v>
      </c>
      <c r="K1012" s="1" t="s">
        <v>195</v>
      </c>
      <c r="L1012">
        <v>99301</v>
      </c>
      <c r="M1012" s="1" t="s">
        <v>57</v>
      </c>
      <c r="N1012" s="1" t="s">
        <v>38</v>
      </c>
      <c r="O1012" s="1" t="s">
        <v>33</v>
      </c>
      <c r="P1012" s="1" t="s">
        <v>39</v>
      </c>
      <c r="Q1012" s="1" t="s">
        <v>40</v>
      </c>
      <c r="R1012">
        <v>976</v>
      </c>
      <c r="S1012">
        <v>5</v>
      </c>
      <c r="T1012">
        <v>0.2</v>
      </c>
      <c r="U1012">
        <v>122</v>
      </c>
      <c r="V1012" s="1" t="s">
        <v>132</v>
      </c>
      <c r="W1012" s="1" t="s">
        <v>80</v>
      </c>
    </row>
    <row r="1013" spans="1:23" x14ac:dyDescent="0.35">
      <c r="A1013">
        <v>4854</v>
      </c>
      <c r="B1013" s="1" t="s">
        <v>2974</v>
      </c>
      <c r="C1013" s="2">
        <v>41985</v>
      </c>
      <c r="D1013" s="2">
        <v>41988</v>
      </c>
      <c r="E1013" s="1" t="s">
        <v>24</v>
      </c>
      <c r="F1013" s="1" t="s">
        <v>329</v>
      </c>
      <c r="G1013" s="1" t="s">
        <v>330</v>
      </c>
      <c r="H1013" s="1" t="s">
        <v>27</v>
      </c>
      <c r="I1013" s="1" t="s">
        <v>28</v>
      </c>
      <c r="J1013" s="1" t="s">
        <v>1473</v>
      </c>
      <c r="K1013" s="1" t="s">
        <v>56</v>
      </c>
      <c r="L1013">
        <v>94601</v>
      </c>
      <c r="M1013" s="1" t="s">
        <v>57</v>
      </c>
      <c r="N1013" s="1" t="s">
        <v>1314</v>
      </c>
      <c r="O1013" s="1" t="s">
        <v>33</v>
      </c>
      <c r="P1013" s="1" t="s">
        <v>59</v>
      </c>
      <c r="Q1013" s="1" t="s">
        <v>1315</v>
      </c>
      <c r="R1013">
        <v>13</v>
      </c>
      <c r="S1013">
        <v>3</v>
      </c>
      <c r="T1013">
        <v>0</v>
      </c>
      <c r="U1013">
        <v>5</v>
      </c>
      <c r="V1013" s="1" t="s">
        <v>36</v>
      </c>
      <c r="W1013" s="1" t="s">
        <v>99</v>
      </c>
    </row>
    <row r="1014" spans="1:23" x14ac:dyDescent="0.35">
      <c r="A1014">
        <v>4856</v>
      </c>
      <c r="B1014" s="1" t="s">
        <v>2974</v>
      </c>
      <c r="C1014" s="2">
        <v>41985</v>
      </c>
      <c r="D1014" s="2">
        <v>41988</v>
      </c>
      <c r="E1014" s="1" t="s">
        <v>24</v>
      </c>
      <c r="F1014" s="1" t="s">
        <v>329</v>
      </c>
      <c r="G1014" s="1" t="s">
        <v>330</v>
      </c>
      <c r="H1014" s="1" t="s">
        <v>27</v>
      </c>
      <c r="I1014" s="1" t="s">
        <v>28</v>
      </c>
      <c r="J1014" s="1" t="s">
        <v>1473</v>
      </c>
      <c r="K1014" s="1" t="s">
        <v>56</v>
      </c>
      <c r="L1014">
        <v>94601</v>
      </c>
      <c r="M1014" s="1" t="s">
        <v>57</v>
      </c>
      <c r="N1014" s="1" t="s">
        <v>114</v>
      </c>
      <c r="O1014" s="1" t="s">
        <v>33</v>
      </c>
      <c r="P1014" s="1" t="s">
        <v>59</v>
      </c>
      <c r="Q1014" s="1" t="s">
        <v>115</v>
      </c>
      <c r="R1014">
        <v>9</v>
      </c>
      <c r="S1014">
        <v>3</v>
      </c>
      <c r="T1014">
        <v>0</v>
      </c>
      <c r="U1014">
        <v>4</v>
      </c>
      <c r="V1014" s="1" t="s">
        <v>36</v>
      </c>
      <c r="W1014" s="1" t="s">
        <v>99</v>
      </c>
    </row>
    <row r="1015" spans="1:23" x14ac:dyDescent="0.35">
      <c r="A1015">
        <v>4858</v>
      </c>
      <c r="B1015" s="1" t="s">
        <v>2975</v>
      </c>
      <c r="C1015" s="2">
        <v>42017</v>
      </c>
      <c r="D1015" s="2">
        <v>42021</v>
      </c>
      <c r="E1015" s="1" t="s">
        <v>42</v>
      </c>
      <c r="F1015" s="1" t="s">
        <v>467</v>
      </c>
      <c r="G1015" s="1" t="s">
        <v>468</v>
      </c>
      <c r="H1015" s="1" t="s">
        <v>27</v>
      </c>
      <c r="I1015" s="1" t="s">
        <v>28</v>
      </c>
      <c r="J1015" s="1" t="s">
        <v>55</v>
      </c>
      <c r="K1015" s="1" t="s">
        <v>56</v>
      </c>
      <c r="L1015">
        <v>90004</v>
      </c>
      <c r="M1015" s="1" t="s">
        <v>57</v>
      </c>
      <c r="N1015" s="1" t="s">
        <v>366</v>
      </c>
      <c r="O1015" s="1" t="s">
        <v>33</v>
      </c>
      <c r="P1015" s="1" t="s">
        <v>59</v>
      </c>
      <c r="Q1015" s="1" t="s">
        <v>367</v>
      </c>
      <c r="R1015">
        <v>78</v>
      </c>
      <c r="S1015">
        <v>4</v>
      </c>
      <c r="T1015">
        <v>0</v>
      </c>
      <c r="U1015">
        <v>38</v>
      </c>
      <c r="V1015" s="1" t="s">
        <v>86</v>
      </c>
      <c r="W1015" s="1" t="s">
        <v>172</v>
      </c>
    </row>
    <row r="1016" spans="1:23" x14ac:dyDescent="0.35">
      <c r="A1016">
        <v>4859</v>
      </c>
      <c r="B1016" s="1" t="s">
        <v>2975</v>
      </c>
      <c r="C1016" s="2">
        <v>42017</v>
      </c>
      <c r="D1016" s="2">
        <v>42021</v>
      </c>
      <c r="E1016" s="1" t="s">
        <v>42</v>
      </c>
      <c r="F1016" s="1" t="s">
        <v>467</v>
      </c>
      <c r="G1016" s="1" t="s">
        <v>468</v>
      </c>
      <c r="H1016" s="1" t="s">
        <v>27</v>
      </c>
      <c r="I1016" s="1" t="s">
        <v>28</v>
      </c>
      <c r="J1016" s="1" t="s">
        <v>55</v>
      </c>
      <c r="K1016" s="1" t="s">
        <v>56</v>
      </c>
      <c r="L1016">
        <v>90004</v>
      </c>
      <c r="M1016" s="1" t="s">
        <v>57</v>
      </c>
      <c r="N1016" s="1" t="s">
        <v>2976</v>
      </c>
      <c r="O1016" s="1" t="s">
        <v>33</v>
      </c>
      <c r="P1016" s="1" t="s">
        <v>59</v>
      </c>
      <c r="Q1016" s="1" t="s">
        <v>2977</v>
      </c>
      <c r="R1016">
        <v>465</v>
      </c>
      <c r="S1016">
        <v>9</v>
      </c>
      <c r="T1016">
        <v>0</v>
      </c>
      <c r="U1016">
        <v>93</v>
      </c>
      <c r="V1016" s="1" t="s">
        <v>86</v>
      </c>
      <c r="W1016" s="1" t="s">
        <v>172</v>
      </c>
    </row>
    <row r="1017" spans="1:23" x14ac:dyDescent="0.35">
      <c r="A1017">
        <v>4866</v>
      </c>
      <c r="B1017" s="1" t="s">
        <v>2978</v>
      </c>
      <c r="C1017" s="2">
        <v>43052</v>
      </c>
      <c r="D1017" s="2">
        <v>43057</v>
      </c>
      <c r="E1017" s="1" t="s">
        <v>42</v>
      </c>
      <c r="F1017" s="1" t="s">
        <v>2351</v>
      </c>
      <c r="G1017" s="1" t="s">
        <v>2352</v>
      </c>
      <c r="H1017" s="1" t="s">
        <v>27</v>
      </c>
      <c r="I1017" s="1" t="s">
        <v>28</v>
      </c>
      <c r="J1017" s="1" t="s">
        <v>194</v>
      </c>
      <c r="K1017" s="1" t="s">
        <v>195</v>
      </c>
      <c r="L1017">
        <v>98103</v>
      </c>
      <c r="M1017" s="1" t="s">
        <v>57</v>
      </c>
      <c r="N1017" s="1" t="s">
        <v>562</v>
      </c>
      <c r="O1017" s="1" t="s">
        <v>33</v>
      </c>
      <c r="P1017" s="1" t="s">
        <v>39</v>
      </c>
      <c r="Q1017" s="1" t="s">
        <v>563</v>
      </c>
      <c r="R1017">
        <v>2405</v>
      </c>
      <c r="S1017">
        <v>6</v>
      </c>
      <c r="T1017">
        <v>0.2</v>
      </c>
      <c r="U1017">
        <v>150</v>
      </c>
      <c r="V1017" s="1" t="s">
        <v>61</v>
      </c>
      <c r="W1017" s="1" t="s">
        <v>37</v>
      </c>
    </row>
    <row r="1018" spans="1:23" x14ac:dyDescent="0.35">
      <c r="A1018">
        <v>4881</v>
      </c>
      <c r="B1018" s="1" t="s">
        <v>2979</v>
      </c>
      <c r="C1018" s="2">
        <v>43041</v>
      </c>
      <c r="D1018" s="2">
        <v>43044</v>
      </c>
      <c r="E1018" s="1" t="s">
        <v>24</v>
      </c>
      <c r="F1018" s="1" t="s">
        <v>2980</v>
      </c>
      <c r="G1018" s="1" t="s">
        <v>2981</v>
      </c>
      <c r="H1018" s="1" t="s">
        <v>93</v>
      </c>
      <c r="I1018" s="1" t="s">
        <v>28</v>
      </c>
      <c r="J1018" s="1" t="s">
        <v>29</v>
      </c>
      <c r="K1018" s="1" t="s">
        <v>30</v>
      </c>
      <c r="L1018">
        <v>42420</v>
      </c>
      <c r="M1018" s="1" t="s">
        <v>31</v>
      </c>
      <c r="N1018" s="1" t="s">
        <v>38</v>
      </c>
      <c r="O1018" s="1" t="s">
        <v>33</v>
      </c>
      <c r="P1018" s="1" t="s">
        <v>39</v>
      </c>
      <c r="Q1018" s="1" t="s">
        <v>40</v>
      </c>
      <c r="R1018">
        <v>976</v>
      </c>
      <c r="S1018">
        <v>4</v>
      </c>
      <c r="T1018">
        <v>0</v>
      </c>
      <c r="U1018">
        <v>293</v>
      </c>
      <c r="V1018" s="1" t="s">
        <v>36</v>
      </c>
      <c r="W1018" s="1" t="s">
        <v>37</v>
      </c>
    </row>
    <row r="1019" spans="1:23" x14ac:dyDescent="0.35">
      <c r="A1019">
        <v>4887</v>
      </c>
      <c r="B1019" s="1" t="s">
        <v>2982</v>
      </c>
      <c r="C1019" s="2">
        <v>42702</v>
      </c>
      <c r="D1019" s="2">
        <v>42705</v>
      </c>
      <c r="E1019" s="1" t="s">
        <v>24</v>
      </c>
      <c r="F1019" s="1" t="s">
        <v>1715</v>
      </c>
      <c r="G1019" s="1" t="s">
        <v>1716</v>
      </c>
      <c r="H1019" s="1" t="s">
        <v>93</v>
      </c>
      <c r="I1019" s="1" t="s">
        <v>28</v>
      </c>
      <c r="J1019" s="1" t="s">
        <v>2983</v>
      </c>
      <c r="K1019" s="1" t="s">
        <v>670</v>
      </c>
      <c r="L1019">
        <v>30062</v>
      </c>
      <c r="M1019" s="1" t="s">
        <v>31</v>
      </c>
      <c r="N1019" s="1" t="s">
        <v>301</v>
      </c>
      <c r="O1019" s="1" t="s">
        <v>33</v>
      </c>
      <c r="P1019" s="1" t="s">
        <v>39</v>
      </c>
      <c r="Q1019" s="1" t="s">
        <v>302</v>
      </c>
      <c r="R1019">
        <v>183</v>
      </c>
      <c r="S1019">
        <v>3</v>
      </c>
      <c r="T1019">
        <v>0</v>
      </c>
      <c r="U1019">
        <v>53</v>
      </c>
      <c r="V1019" s="1" t="s">
        <v>36</v>
      </c>
      <c r="W1019" s="1" t="s">
        <v>37</v>
      </c>
    </row>
    <row r="1020" spans="1:23" x14ac:dyDescent="0.35">
      <c r="A1020">
        <v>4898</v>
      </c>
      <c r="B1020" s="1" t="s">
        <v>2984</v>
      </c>
      <c r="C1020" s="2">
        <v>41927</v>
      </c>
      <c r="D1020" s="2">
        <v>41929</v>
      </c>
      <c r="E1020" s="1" t="s">
        <v>90</v>
      </c>
      <c r="F1020" s="1" t="s">
        <v>2985</v>
      </c>
      <c r="G1020" s="1" t="s">
        <v>2986</v>
      </c>
      <c r="H1020" s="1" t="s">
        <v>27</v>
      </c>
      <c r="I1020" s="1" t="s">
        <v>28</v>
      </c>
      <c r="J1020" s="1" t="s">
        <v>2987</v>
      </c>
      <c r="K1020" s="1" t="s">
        <v>234</v>
      </c>
      <c r="L1020">
        <v>44134</v>
      </c>
      <c r="M1020" s="1" t="s">
        <v>70</v>
      </c>
      <c r="N1020" s="1" t="s">
        <v>2047</v>
      </c>
      <c r="O1020" s="1" t="s">
        <v>33</v>
      </c>
      <c r="P1020" s="1" t="s">
        <v>39</v>
      </c>
      <c r="Q1020" s="1" t="s">
        <v>2048</v>
      </c>
      <c r="R1020">
        <v>183</v>
      </c>
      <c r="S1020">
        <v>2</v>
      </c>
      <c r="T1020">
        <v>0.3</v>
      </c>
      <c r="U1020">
        <v>-8</v>
      </c>
      <c r="V1020" s="1" t="s">
        <v>73</v>
      </c>
      <c r="W1020" s="1" t="s">
        <v>51</v>
      </c>
    </row>
    <row r="1021" spans="1:23" x14ac:dyDescent="0.35">
      <c r="A1021">
        <v>4905</v>
      </c>
      <c r="B1021" s="1" t="s">
        <v>2988</v>
      </c>
      <c r="C1021" s="2">
        <v>41974</v>
      </c>
      <c r="D1021" s="2">
        <v>41976</v>
      </c>
      <c r="E1021" s="1" t="s">
        <v>24</v>
      </c>
      <c r="F1021" s="1" t="s">
        <v>572</v>
      </c>
      <c r="G1021" s="1" t="s">
        <v>573</v>
      </c>
      <c r="H1021" s="1" t="s">
        <v>93</v>
      </c>
      <c r="I1021" s="1" t="s">
        <v>28</v>
      </c>
      <c r="J1021" s="1" t="s">
        <v>104</v>
      </c>
      <c r="K1021" s="1" t="s">
        <v>95</v>
      </c>
      <c r="L1021">
        <v>77070</v>
      </c>
      <c r="M1021" s="1" t="s">
        <v>96</v>
      </c>
      <c r="N1021" s="1" t="s">
        <v>798</v>
      </c>
      <c r="O1021" s="1" t="s">
        <v>33</v>
      </c>
      <c r="P1021" s="1" t="s">
        <v>39</v>
      </c>
      <c r="Q1021" s="1" t="s">
        <v>799</v>
      </c>
      <c r="R1021">
        <v>674</v>
      </c>
      <c r="S1021">
        <v>3</v>
      </c>
      <c r="T1021">
        <v>0.3</v>
      </c>
      <c r="U1021">
        <v>-19</v>
      </c>
      <c r="V1021" s="1" t="s">
        <v>73</v>
      </c>
      <c r="W1021" s="1" t="s">
        <v>99</v>
      </c>
    </row>
    <row r="1022" spans="1:23" x14ac:dyDescent="0.35">
      <c r="A1022">
        <v>4918</v>
      </c>
      <c r="B1022" s="1" t="s">
        <v>2989</v>
      </c>
      <c r="C1022" s="2">
        <v>43017</v>
      </c>
      <c r="D1022" s="2">
        <v>43019</v>
      </c>
      <c r="E1022" s="1" t="s">
        <v>24</v>
      </c>
      <c r="F1022" s="1" t="s">
        <v>1303</v>
      </c>
      <c r="G1022" s="1" t="s">
        <v>1304</v>
      </c>
      <c r="H1022" s="1" t="s">
        <v>27</v>
      </c>
      <c r="I1022" s="1" t="s">
        <v>28</v>
      </c>
      <c r="J1022" s="1" t="s">
        <v>2990</v>
      </c>
      <c r="K1022" s="1" t="s">
        <v>95</v>
      </c>
      <c r="L1022">
        <v>77573</v>
      </c>
      <c r="M1022" s="1" t="s">
        <v>96</v>
      </c>
      <c r="N1022" s="1" t="s">
        <v>2991</v>
      </c>
      <c r="O1022" s="1" t="s">
        <v>33</v>
      </c>
      <c r="P1022" s="1" t="s">
        <v>39</v>
      </c>
      <c r="Q1022" s="1" t="s">
        <v>2992</v>
      </c>
      <c r="R1022">
        <v>254</v>
      </c>
      <c r="S1022">
        <v>3</v>
      </c>
      <c r="T1022">
        <v>0.3</v>
      </c>
      <c r="U1022">
        <v>-33</v>
      </c>
      <c r="V1022" s="1" t="s">
        <v>73</v>
      </c>
      <c r="W1022" s="1" t="s">
        <v>51</v>
      </c>
    </row>
    <row r="1023" spans="1:23" x14ac:dyDescent="0.35">
      <c r="A1023">
        <v>4919</v>
      </c>
      <c r="B1023" s="1" t="s">
        <v>2993</v>
      </c>
      <c r="C1023" s="2">
        <v>42371</v>
      </c>
      <c r="D1023" s="2">
        <v>42376</v>
      </c>
      <c r="E1023" s="1" t="s">
        <v>42</v>
      </c>
      <c r="F1023" s="1" t="s">
        <v>1831</v>
      </c>
      <c r="G1023" s="1" t="s">
        <v>1832</v>
      </c>
      <c r="H1023" s="1" t="s">
        <v>93</v>
      </c>
      <c r="I1023" s="1" t="s">
        <v>28</v>
      </c>
      <c r="J1023" s="1" t="s">
        <v>2994</v>
      </c>
      <c r="K1023" s="1" t="s">
        <v>1092</v>
      </c>
      <c r="L1023">
        <v>20877</v>
      </c>
      <c r="M1023" s="1" t="s">
        <v>70</v>
      </c>
      <c r="N1023" s="1" t="s">
        <v>351</v>
      </c>
      <c r="O1023" s="1" t="s">
        <v>33</v>
      </c>
      <c r="P1023" s="1" t="s">
        <v>34</v>
      </c>
      <c r="Q1023" s="1" t="s">
        <v>352</v>
      </c>
      <c r="R1023">
        <v>174</v>
      </c>
      <c r="S1023">
        <v>3</v>
      </c>
      <c r="T1023">
        <v>0</v>
      </c>
      <c r="U1023">
        <v>38</v>
      </c>
      <c r="V1023" s="1" t="s">
        <v>61</v>
      </c>
      <c r="W1023" s="1" t="s">
        <v>172</v>
      </c>
    </row>
    <row r="1024" spans="1:23" x14ac:dyDescent="0.35">
      <c r="A1024">
        <v>4927</v>
      </c>
      <c r="B1024" s="1" t="s">
        <v>2995</v>
      </c>
      <c r="C1024" s="2">
        <v>43027</v>
      </c>
      <c r="D1024" s="2">
        <v>43031</v>
      </c>
      <c r="E1024" s="1" t="s">
        <v>42</v>
      </c>
      <c r="F1024" s="1" t="s">
        <v>1000</v>
      </c>
      <c r="G1024" s="1" t="s">
        <v>1001</v>
      </c>
      <c r="H1024" s="1" t="s">
        <v>27</v>
      </c>
      <c r="I1024" s="1" t="s">
        <v>28</v>
      </c>
      <c r="J1024" s="1" t="s">
        <v>136</v>
      </c>
      <c r="K1024" s="1" t="s">
        <v>137</v>
      </c>
      <c r="L1024">
        <v>60623</v>
      </c>
      <c r="M1024" s="1" t="s">
        <v>96</v>
      </c>
      <c r="N1024" s="1" t="s">
        <v>1237</v>
      </c>
      <c r="O1024" s="1" t="s">
        <v>33</v>
      </c>
      <c r="P1024" s="1" t="s">
        <v>48</v>
      </c>
      <c r="Q1024" s="1" t="s">
        <v>1238</v>
      </c>
      <c r="R1024">
        <v>91</v>
      </c>
      <c r="S1024">
        <v>1</v>
      </c>
      <c r="T1024">
        <v>0.5</v>
      </c>
      <c r="U1024">
        <v>-68</v>
      </c>
      <c r="V1024" s="1" t="s">
        <v>86</v>
      </c>
      <c r="W1024" s="1" t="s">
        <v>51</v>
      </c>
    </row>
    <row r="1025" spans="1:23" x14ac:dyDescent="0.35">
      <c r="A1025">
        <v>4929</v>
      </c>
      <c r="B1025" s="1" t="s">
        <v>2996</v>
      </c>
      <c r="C1025" s="2">
        <v>43070</v>
      </c>
      <c r="D1025" s="2">
        <v>43075</v>
      </c>
      <c r="E1025" s="1" t="s">
        <v>42</v>
      </c>
      <c r="F1025" s="1" t="s">
        <v>207</v>
      </c>
      <c r="G1025" s="1" t="s">
        <v>208</v>
      </c>
      <c r="H1025" s="1" t="s">
        <v>103</v>
      </c>
      <c r="I1025" s="1" t="s">
        <v>28</v>
      </c>
      <c r="J1025" s="1" t="s">
        <v>1583</v>
      </c>
      <c r="K1025" s="1" t="s">
        <v>432</v>
      </c>
      <c r="L1025">
        <v>6824</v>
      </c>
      <c r="M1025" s="1" t="s">
        <v>70</v>
      </c>
      <c r="N1025" s="1" t="s">
        <v>1588</v>
      </c>
      <c r="O1025" s="1" t="s">
        <v>33</v>
      </c>
      <c r="P1025" s="1" t="s">
        <v>39</v>
      </c>
      <c r="Q1025" s="1" t="s">
        <v>1589</v>
      </c>
      <c r="R1025">
        <v>897</v>
      </c>
      <c r="S1025">
        <v>3</v>
      </c>
      <c r="T1025">
        <v>0</v>
      </c>
      <c r="U1025">
        <v>251</v>
      </c>
      <c r="V1025" s="1" t="s">
        <v>61</v>
      </c>
      <c r="W1025" s="1" t="s">
        <v>99</v>
      </c>
    </row>
    <row r="1026" spans="1:23" x14ac:dyDescent="0.35">
      <c r="A1026">
        <v>4939</v>
      </c>
      <c r="B1026" s="1" t="s">
        <v>2997</v>
      </c>
      <c r="C1026" s="2">
        <v>41652</v>
      </c>
      <c r="D1026" s="2">
        <v>41657</v>
      </c>
      <c r="E1026" s="1" t="s">
        <v>42</v>
      </c>
      <c r="F1026" s="1" t="s">
        <v>1063</v>
      </c>
      <c r="G1026" s="1" t="s">
        <v>1064</v>
      </c>
      <c r="H1026" s="1" t="s">
        <v>27</v>
      </c>
      <c r="I1026" s="1" t="s">
        <v>28</v>
      </c>
      <c r="J1026" s="1" t="s">
        <v>331</v>
      </c>
      <c r="K1026" s="1" t="s">
        <v>56</v>
      </c>
      <c r="L1026">
        <v>94109</v>
      </c>
      <c r="M1026" s="1" t="s">
        <v>57</v>
      </c>
      <c r="N1026" s="1" t="s">
        <v>1639</v>
      </c>
      <c r="O1026" s="1" t="s">
        <v>33</v>
      </c>
      <c r="P1026" s="1" t="s">
        <v>34</v>
      </c>
      <c r="Q1026" s="1" t="s">
        <v>1640</v>
      </c>
      <c r="R1026">
        <v>334</v>
      </c>
      <c r="S1026">
        <v>3</v>
      </c>
      <c r="T1026">
        <v>0.15</v>
      </c>
      <c r="U1026">
        <v>4</v>
      </c>
      <c r="V1026" s="1" t="s">
        <v>61</v>
      </c>
      <c r="W1026" s="1" t="s">
        <v>172</v>
      </c>
    </row>
    <row r="1027" spans="1:23" x14ac:dyDescent="0.35">
      <c r="A1027">
        <v>4941</v>
      </c>
      <c r="B1027" s="1" t="s">
        <v>2998</v>
      </c>
      <c r="C1027" s="2">
        <v>42041</v>
      </c>
      <c r="D1027" s="2">
        <v>42048</v>
      </c>
      <c r="E1027" s="1" t="s">
        <v>42</v>
      </c>
      <c r="F1027" s="1" t="s">
        <v>1753</v>
      </c>
      <c r="G1027" s="1" t="s">
        <v>1754</v>
      </c>
      <c r="H1027" s="1" t="s">
        <v>27</v>
      </c>
      <c r="I1027" s="1" t="s">
        <v>28</v>
      </c>
      <c r="J1027" s="1" t="s">
        <v>202</v>
      </c>
      <c r="K1027" s="1" t="s">
        <v>203</v>
      </c>
      <c r="L1027">
        <v>19805</v>
      </c>
      <c r="M1027" s="1" t="s">
        <v>70</v>
      </c>
      <c r="N1027" s="1" t="s">
        <v>1144</v>
      </c>
      <c r="O1027" s="1" t="s">
        <v>33</v>
      </c>
      <c r="P1027" s="1" t="s">
        <v>39</v>
      </c>
      <c r="Q1027" s="1" t="s">
        <v>1145</v>
      </c>
      <c r="R1027">
        <v>1269</v>
      </c>
      <c r="S1027">
        <v>9</v>
      </c>
      <c r="T1027">
        <v>0</v>
      </c>
      <c r="U1027">
        <v>266</v>
      </c>
      <c r="V1027" s="1" t="s">
        <v>50</v>
      </c>
      <c r="W1027" s="1" t="s">
        <v>300</v>
      </c>
    </row>
    <row r="1028" spans="1:23" x14ac:dyDescent="0.35">
      <c r="A1028">
        <v>4942</v>
      </c>
      <c r="B1028" s="1" t="s">
        <v>2998</v>
      </c>
      <c r="C1028" s="2">
        <v>42041</v>
      </c>
      <c r="D1028" s="2">
        <v>42048</v>
      </c>
      <c r="E1028" s="1" t="s">
        <v>42</v>
      </c>
      <c r="F1028" s="1" t="s">
        <v>1753</v>
      </c>
      <c r="G1028" s="1" t="s">
        <v>1754</v>
      </c>
      <c r="H1028" s="1" t="s">
        <v>27</v>
      </c>
      <c r="I1028" s="1" t="s">
        <v>28</v>
      </c>
      <c r="J1028" s="1" t="s">
        <v>202</v>
      </c>
      <c r="K1028" s="1" t="s">
        <v>203</v>
      </c>
      <c r="L1028">
        <v>19805</v>
      </c>
      <c r="M1028" s="1" t="s">
        <v>70</v>
      </c>
      <c r="N1028" s="1" t="s">
        <v>2423</v>
      </c>
      <c r="O1028" s="1" t="s">
        <v>33</v>
      </c>
      <c r="P1028" s="1" t="s">
        <v>34</v>
      </c>
      <c r="Q1028" s="1" t="s">
        <v>2424</v>
      </c>
      <c r="R1028">
        <v>284</v>
      </c>
      <c r="S1028">
        <v>4</v>
      </c>
      <c r="T1028">
        <v>0</v>
      </c>
      <c r="U1028">
        <v>82</v>
      </c>
      <c r="V1028" s="1" t="s">
        <v>50</v>
      </c>
      <c r="W1028" s="1" t="s">
        <v>300</v>
      </c>
    </row>
    <row r="1029" spans="1:23" x14ac:dyDescent="0.35">
      <c r="A1029">
        <v>4950</v>
      </c>
      <c r="B1029" s="1" t="s">
        <v>2999</v>
      </c>
      <c r="C1029" s="2">
        <v>43066</v>
      </c>
      <c r="D1029" s="2">
        <v>43071</v>
      </c>
      <c r="E1029" s="1" t="s">
        <v>42</v>
      </c>
      <c r="F1029" s="1" t="s">
        <v>602</v>
      </c>
      <c r="G1029" s="1" t="s">
        <v>603</v>
      </c>
      <c r="H1029" s="1" t="s">
        <v>27</v>
      </c>
      <c r="I1029" s="1" t="s">
        <v>28</v>
      </c>
      <c r="J1029" s="1" t="s">
        <v>55</v>
      </c>
      <c r="K1029" s="1" t="s">
        <v>56</v>
      </c>
      <c r="L1029">
        <v>90045</v>
      </c>
      <c r="M1029" s="1" t="s">
        <v>57</v>
      </c>
      <c r="N1029" s="1" t="s">
        <v>680</v>
      </c>
      <c r="O1029" s="1" t="s">
        <v>33</v>
      </c>
      <c r="P1029" s="1" t="s">
        <v>59</v>
      </c>
      <c r="Q1029" s="1" t="s">
        <v>681</v>
      </c>
      <c r="R1029">
        <v>19</v>
      </c>
      <c r="S1029">
        <v>3</v>
      </c>
      <c r="T1029">
        <v>0</v>
      </c>
      <c r="U1029">
        <v>6</v>
      </c>
      <c r="V1029" s="1" t="s">
        <v>61</v>
      </c>
      <c r="W1029" s="1" t="s">
        <v>37</v>
      </c>
    </row>
    <row r="1030" spans="1:23" x14ac:dyDescent="0.35">
      <c r="A1030">
        <v>4957</v>
      </c>
      <c r="B1030" s="1" t="s">
        <v>3000</v>
      </c>
      <c r="C1030" s="2">
        <v>41799</v>
      </c>
      <c r="D1030" s="2">
        <v>41803</v>
      </c>
      <c r="E1030" s="1" t="s">
        <v>24</v>
      </c>
      <c r="F1030" s="1" t="s">
        <v>389</v>
      </c>
      <c r="G1030" s="1" t="s">
        <v>390</v>
      </c>
      <c r="H1030" s="1" t="s">
        <v>93</v>
      </c>
      <c r="I1030" s="1" t="s">
        <v>28</v>
      </c>
      <c r="J1030" s="1" t="s">
        <v>1342</v>
      </c>
      <c r="K1030" s="1" t="s">
        <v>1343</v>
      </c>
      <c r="L1030">
        <v>89031</v>
      </c>
      <c r="M1030" s="1" t="s">
        <v>57</v>
      </c>
      <c r="N1030" s="1" t="s">
        <v>2186</v>
      </c>
      <c r="O1030" s="1" t="s">
        <v>33</v>
      </c>
      <c r="P1030" s="1" t="s">
        <v>59</v>
      </c>
      <c r="Q1030" s="1" t="s">
        <v>2187</v>
      </c>
      <c r="R1030">
        <v>37</v>
      </c>
      <c r="S1030">
        <v>2</v>
      </c>
      <c r="T1030">
        <v>0</v>
      </c>
      <c r="U1030">
        <v>14</v>
      </c>
      <c r="V1030" s="1" t="s">
        <v>86</v>
      </c>
      <c r="W1030" s="1" t="s">
        <v>62</v>
      </c>
    </row>
    <row r="1031" spans="1:23" x14ac:dyDescent="0.35">
      <c r="A1031">
        <v>4962</v>
      </c>
      <c r="B1031" s="1" t="s">
        <v>3001</v>
      </c>
      <c r="C1031" s="2">
        <v>41705</v>
      </c>
      <c r="D1031" s="2">
        <v>41706</v>
      </c>
      <c r="E1031" s="1" t="s">
        <v>90</v>
      </c>
      <c r="F1031" s="1" t="s">
        <v>3002</v>
      </c>
      <c r="G1031" s="1" t="s">
        <v>3003</v>
      </c>
      <c r="H1031" s="1" t="s">
        <v>27</v>
      </c>
      <c r="I1031" s="1" t="s">
        <v>28</v>
      </c>
      <c r="J1031" s="1" t="s">
        <v>194</v>
      </c>
      <c r="K1031" s="1" t="s">
        <v>195</v>
      </c>
      <c r="L1031">
        <v>98103</v>
      </c>
      <c r="M1031" s="1" t="s">
        <v>57</v>
      </c>
      <c r="N1031" s="1" t="s">
        <v>301</v>
      </c>
      <c r="O1031" s="1" t="s">
        <v>33</v>
      </c>
      <c r="P1031" s="1" t="s">
        <v>39</v>
      </c>
      <c r="Q1031" s="1" t="s">
        <v>302</v>
      </c>
      <c r="R1031">
        <v>49</v>
      </c>
      <c r="S1031">
        <v>1</v>
      </c>
      <c r="T1031">
        <v>0.2</v>
      </c>
      <c r="U1031">
        <v>5</v>
      </c>
      <c r="V1031" s="1" t="s">
        <v>126</v>
      </c>
      <c r="W1031" s="1" t="s">
        <v>198</v>
      </c>
    </row>
    <row r="1032" spans="1:23" x14ac:dyDescent="0.35">
      <c r="A1032">
        <v>4970</v>
      </c>
      <c r="B1032" s="1" t="s">
        <v>3004</v>
      </c>
      <c r="C1032" s="2">
        <v>42218</v>
      </c>
      <c r="D1032" s="2">
        <v>42221</v>
      </c>
      <c r="E1032" s="1" t="s">
        <v>24</v>
      </c>
      <c r="F1032" s="1" t="s">
        <v>1862</v>
      </c>
      <c r="G1032" s="1" t="s">
        <v>1863</v>
      </c>
      <c r="H1032" s="1" t="s">
        <v>103</v>
      </c>
      <c r="I1032" s="1" t="s">
        <v>28</v>
      </c>
      <c r="J1032" s="1" t="s">
        <v>1647</v>
      </c>
      <c r="K1032" s="1" t="s">
        <v>1648</v>
      </c>
      <c r="L1032">
        <v>2908</v>
      </c>
      <c r="M1032" s="1" t="s">
        <v>70</v>
      </c>
      <c r="N1032" s="1" t="s">
        <v>1167</v>
      </c>
      <c r="O1032" s="1" t="s">
        <v>33</v>
      </c>
      <c r="P1032" s="1" t="s">
        <v>39</v>
      </c>
      <c r="Q1032" s="1" t="s">
        <v>1168</v>
      </c>
      <c r="R1032">
        <v>111</v>
      </c>
      <c r="S1032">
        <v>1</v>
      </c>
      <c r="T1032">
        <v>0</v>
      </c>
      <c r="U1032">
        <v>16</v>
      </c>
      <c r="V1032" s="1" t="s">
        <v>36</v>
      </c>
      <c r="W1032" s="1" t="s">
        <v>256</v>
      </c>
    </row>
    <row r="1033" spans="1:23" x14ac:dyDescent="0.35">
      <c r="A1033">
        <v>4971</v>
      </c>
      <c r="B1033" s="1" t="s">
        <v>3005</v>
      </c>
      <c r="C1033" s="2">
        <v>42680</v>
      </c>
      <c r="D1033" s="2">
        <v>42683</v>
      </c>
      <c r="E1033" s="1" t="s">
        <v>90</v>
      </c>
      <c r="F1033" s="1" t="s">
        <v>354</v>
      </c>
      <c r="G1033" s="1" t="s">
        <v>355</v>
      </c>
      <c r="H1033" s="1" t="s">
        <v>93</v>
      </c>
      <c r="I1033" s="1" t="s">
        <v>28</v>
      </c>
      <c r="J1033" s="1" t="s">
        <v>609</v>
      </c>
      <c r="K1033" s="1" t="s">
        <v>46</v>
      </c>
      <c r="L1033">
        <v>32216</v>
      </c>
      <c r="M1033" s="1" t="s">
        <v>31</v>
      </c>
      <c r="N1033" s="1" t="s">
        <v>145</v>
      </c>
      <c r="O1033" s="1" t="s">
        <v>33</v>
      </c>
      <c r="P1033" s="1" t="s">
        <v>39</v>
      </c>
      <c r="Q1033" s="1" t="s">
        <v>146</v>
      </c>
      <c r="R1033">
        <v>208</v>
      </c>
      <c r="S1033">
        <v>2</v>
      </c>
      <c r="T1033">
        <v>0.2</v>
      </c>
      <c r="U1033">
        <v>-29</v>
      </c>
      <c r="V1033" s="1" t="s">
        <v>36</v>
      </c>
      <c r="W1033" s="1" t="s">
        <v>37</v>
      </c>
    </row>
    <row r="1034" spans="1:23" x14ac:dyDescent="0.35">
      <c r="A1034">
        <v>4973</v>
      </c>
      <c r="B1034" s="1" t="s">
        <v>3005</v>
      </c>
      <c r="C1034" s="2">
        <v>42680</v>
      </c>
      <c r="D1034" s="2">
        <v>42683</v>
      </c>
      <c r="E1034" s="1" t="s">
        <v>90</v>
      </c>
      <c r="F1034" s="1" t="s">
        <v>354</v>
      </c>
      <c r="G1034" s="1" t="s">
        <v>355</v>
      </c>
      <c r="H1034" s="1" t="s">
        <v>93</v>
      </c>
      <c r="I1034" s="1" t="s">
        <v>28</v>
      </c>
      <c r="J1034" s="1" t="s">
        <v>609</v>
      </c>
      <c r="K1034" s="1" t="s">
        <v>46</v>
      </c>
      <c r="L1034">
        <v>32216</v>
      </c>
      <c r="M1034" s="1" t="s">
        <v>31</v>
      </c>
      <c r="N1034" s="1" t="s">
        <v>833</v>
      </c>
      <c r="O1034" s="1" t="s">
        <v>33</v>
      </c>
      <c r="P1034" s="1" t="s">
        <v>59</v>
      </c>
      <c r="Q1034" s="1" t="s">
        <v>834</v>
      </c>
      <c r="R1034">
        <v>36</v>
      </c>
      <c r="S1034">
        <v>2</v>
      </c>
      <c r="T1034">
        <v>0.2</v>
      </c>
      <c r="U1034">
        <v>6</v>
      </c>
      <c r="V1034" s="1" t="s">
        <v>36</v>
      </c>
      <c r="W1034" s="1" t="s">
        <v>37</v>
      </c>
    </row>
    <row r="1035" spans="1:23" x14ac:dyDescent="0.35">
      <c r="A1035">
        <v>4988</v>
      </c>
      <c r="B1035" s="1" t="s">
        <v>3006</v>
      </c>
      <c r="C1035" s="2">
        <v>42484</v>
      </c>
      <c r="D1035" s="2">
        <v>42488</v>
      </c>
      <c r="E1035" s="1" t="s">
        <v>42</v>
      </c>
      <c r="F1035" s="1" t="s">
        <v>3007</v>
      </c>
      <c r="G1035" s="1" t="s">
        <v>3008</v>
      </c>
      <c r="H1035" s="1" t="s">
        <v>103</v>
      </c>
      <c r="I1035" s="1" t="s">
        <v>28</v>
      </c>
      <c r="J1035" s="1" t="s">
        <v>356</v>
      </c>
      <c r="K1035" s="1" t="s">
        <v>183</v>
      </c>
      <c r="L1035">
        <v>80906</v>
      </c>
      <c r="M1035" s="1" t="s">
        <v>57</v>
      </c>
      <c r="N1035" s="1" t="s">
        <v>249</v>
      </c>
      <c r="O1035" s="1" t="s">
        <v>33</v>
      </c>
      <c r="P1035" s="1" t="s">
        <v>39</v>
      </c>
      <c r="Q1035" s="1" t="s">
        <v>250</v>
      </c>
      <c r="R1035">
        <v>1326</v>
      </c>
      <c r="S1035">
        <v>6</v>
      </c>
      <c r="T1035">
        <v>0.2</v>
      </c>
      <c r="U1035">
        <v>149</v>
      </c>
      <c r="V1035" s="1" t="s">
        <v>86</v>
      </c>
      <c r="W1035" s="1" t="s">
        <v>116</v>
      </c>
    </row>
    <row r="1036" spans="1:23" x14ac:dyDescent="0.35">
      <c r="A1036">
        <v>4995</v>
      </c>
      <c r="B1036" s="1" t="s">
        <v>3009</v>
      </c>
      <c r="C1036" s="2">
        <v>42356</v>
      </c>
      <c r="D1036" s="2">
        <v>42363</v>
      </c>
      <c r="E1036" s="1" t="s">
        <v>42</v>
      </c>
      <c r="F1036" s="1" t="s">
        <v>3010</v>
      </c>
      <c r="G1036" s="1" t="s">
        <v>3011</v>
      </c>
      <c r="H1036" s="1" t="s">
        <v>93</v>
      </c>
      <c r="I1036" s="1" t="s">
        <v>28</v>
      </c>
      <c r="J1036" s="1" t="s">
        <v>143</v>
      </c>
      <c r="K1036" s="1" t="s">
        <v>144</v>
      </c>
      <c r="L1036">
        <v>38109</v>
      </c>
      <c r="M1036" s="1" t="s">
        <v>31</v>
      </c>
      <c r="N1036" s="1" t="s">
        <v>664</v>
      </c>
      <c r="O1036" s="1" t="s">
        <v>33</v>
      </c>
      <c r="P1036" s="1" t="s">
        <v>59</v>
      </c>
      <c r="Q1036" s="1" t="s">
        <v>665</v>
      </c>
      <c r="R1036">
        <v>20</v>
      </c>
      <c r="S1036">
        <v>5</v>
      </c>
      <c r="T1036">
        <v>0.2</v>
      </c>
      <c r="U1036">
        <v>4</v>
      </c>
      <c r="V1036" s="1" t="s">
        <v>50</v>
      </c>
      <c r="W1036" s="1" t="s">
        <v>99</v>
      </c>
    </row>
    <row r="1037" spans="1:23" x14ac:dyDescent="0.35">
      <c r="A1037">
        <v>5012</v>
      </c>
      <c r="B1037" s="1" t="s">
        <v>3012</v>
      </c>
      <c r="C1037" s="2">
        <v>42866</v>
      </c>
      <c r="D1037" s="2">
        <v>42868</v>
      </c>
      <c r="E1037" s="1" t="s">
        <v>90</v>
      </c>
      <c r="F1037" s="1" t="s">
        <v>1320</v>
      </c>
      <c r="G1037" s="1" t="s">
        <v>1321</v>
      </c>
      <c r="H1037" s="1" t="s">
        <v>93</v>
      </c>
      <c r="I1037" s="1" t="s">
        <v>28</v>
      </c>
      <c r="J1037" s="1" t="s">
        <v>522</v>
      </c>
      <c r="K1037" s="1" t="s">
        <v>523</v>
      </c>
      <c r="L1037">
        <v>85023</v>
      </c>
      <c r="M1037" s="1" t="s">
        <v>57</v>
      </c>
      <c r="N1037" s="1" t="s">
        <v>1139</v>
      </c>
      <c r="O1037" s="1" t="s">
        <v>33</v>
      </c>
      <c r="P1037" s="1" t="s">
        <v>34</v>
      </c>
      <c r="Q1037" s="1" t="s">
        <v>1140</v>
      </c>
      <c r="R1037">
        <v>210</v>
      </c>
      <c r="S1037">
        <v>7</v>
      </c>
      <c r="T1037">
        <v>0.7</v>
      </c>
      <c r="U1037">
        <v>-357</v>
      </c>
      <c r="V1037" s="1" t="s">
        <v>73</v>
      </c>
      <c r="W1037" s="1" t="s">
        <v>164</v>
      </c>
    </row>
    <row r="1038" spans="1:23" x14ac:dyDescent="0.35">
      <c r="A1038">
        <v>5016</v>
      </c>
      <c r="B1038" s="1" t="s">
        <v>3013</v>
      </c>
      <c r="C1038" s="2">
        <v>41967</v>
      </c>
      <c r="D1038" s="2">
        <v>41972</v>
      </c>
      <c r="E1038" s="1" t="s">
        <v>42</v>
      </c>
      <c r="F1038" s="1" t="s">
        <v>2378</v>
      </c>
      <c r="G1038" s="1" t="s">
        <v>2379</v>
      </c>
      <c r="H1038" s="1" t="s">
        <v>27</v>
      </c>
      <c r="I1038" s="1" t="s">
        <v>28</v>
      </c>
      <c r="J1038" s="1" t="s">
        <v>2534</v>
      </c>
      <c r="K1038" s="1" t="s">
        <v>234</v>
      </c>
      <c r="L1038">
        <v>43615</v>
      </c>
      <c r="M1038" s="1" t="s">
        <v>70</v>
      </c>
      <c r="N1038" s="1" t="s">
        <v>274</v>
      </c>
      <c r="O1038" s="1" t="s">
        <v>33</v>
      </c>
      <c r="P1038" s="1" t="s">
        <v>59</v>
      </c>
      <c r="Q1038" s="1" t="s">
        <v>275</v>
      </c>
      <c r="R1038">
        <v>35</v>
      </c>
      <c r="S1038">
        <v>7</v>
      </c>
      <c r="T1038">
        <v>0.2</v>
      </c>
      <c r="U1038">
        <v>10</v>
      </c>
      <c r="V1038" s="1" t="s">
        <v>61</v>
      </c>
      <c r="W1038" s="1" t="s">
        <v>37</v>
      </c>
    </row>
    <row r="1039" spans="1:23" x14ac:dyDescent="0.35">
      <c r="A1039">
        <v>5018</v>
      </c>
      <c r="B1039" s="1" t="s">
        <v>3014</v>
      </c>
      <c r="C1039" s="2">
        <v>41958</v>
      </c>
      <c r="D1039" s="2">
        <v>41961</v>
      </c>
      <c r="E1039" s="1" t="s">
        <v>90</v>
      </c>
      <c r="F1039" s="1" t="s">
        <v>3015</v>
      </c>
      <c r="G1039" s="1" t="s">
        <v>3016</v>
      </c>
      <c r="H1039" s="1" t="s">
        <v>27</v>
      </c>
      <c r="I1039" s="1" t="s">
        <v>28</v>
      </c>
      <c r="J1039" s="1" t="s">
        <v>55</v>
      </c>
      <c r="K1039" s="1" t="s">
        <v>56</v>
      </c>
      <c r="L1039">
        <v>90008</v>
      </c>
      <c r="M1039" s="1" t="s">
        <v>57</v>
      </c>
      <c r="N1039" s="1" t="s">
        <v>322</v>
      </c>
      <c r="O1039" s="1" t="s">
        <v>33</v>
      </c>
      <c r="P1039" s="1" t="s">
        <v>59</v>
      </c>
      <c r="Q1039" s="1" t="s">
        <v>323</v>
      </c>
      <c r="R1039">
        <v>10</v>
      </c>
      <c r="S1039">
        <v>3</v>
      </c>
      <c r="T1039">
        <v>0</v>
      </c>
      <c r="U1039">
        <v>3</v>
      </c>
      <c r="V1039" s="1" t="s">
        <v>36</v>
      </c>
      <c r="W1039" s="1" t="s">
        <v>37</v>
      </c>
    </row>
    <row r="1040" spans="1:23" x14ac:dyDescent="0.35">
      <c r="A1040">
        <v>5024</v>
      </c>
      <c r="B1040" s="1" t="s">
        <v>3017</v>
      </c>
      <c r="C1040" s="2">
        <v>42722</v>
      </c>
      <c r="D1040" s="2">
        <v>42728</v>
      </c>
      <c r="E1040" s="1" t="s">
        <v>42</v>
      </c>
      <c r="F1040" s="1" t="s">
        <v>540</v>
      </c>
      <c r="G1040" s="1" t="s">
        <v>541</v>
      </c>
      <c r="H1040" s="1" t="s">
        <v>27</v>
      </c>
      <c r="I1040" s="1" t="s">
        <v>28</v>
      </c>
      <c r="J1040" s="1" t="s">
        <v>642</v>
      </c>
      <c r="K1040" s="1" t="s">
        <v>56</v>
      </c>
      <c r="L1040">
        <v>92037</v>
      </c>
      <c r="M1040" s="1" t="s">
        <v>57</v>
      </c>
      <c r="N1040" s="1" t="s">
        <v>2662</v>
      </c>
      <c r="O1040" s="1" t="s">
        <v>33</v>
      </c>
      <c r="P1040" s="1" t="s">
        <v>59</v>
      </c>
      <c r="Q1040" s="1" t="s">
        <v>2663</v>
      </c>
      <c r="R1040">
        <v>40</v>
      </c>
      <c r="S1040">
        <v>4</v>
      </c>
      <c r="T1040">
        <v>0</v>
      </c>
      <c r="U1040">
        <v>11</v>
      </c>
      <c r="V1040" s="1" t="s">
        <v>132</v>
      </c>
      <c r="W1040" s="1" t="s">
        <v>99</v>
      </c>
    </row>
    <row r="1041" spans="1:23" x14ac:dyDescent="0.35">
      <c r="A1041">
        <v>5028</v>
      </c>
      <c r="B1041" s="1" t="s">
        <v>3018</v>
      </c>
      <c r="C1041" s="2">
        <v>42945</v>
      </c>
      <c r="D1041" s="2">
        <v>42950</v>
      </c>
      <c r="E1041" s="1" t="s">
        <v>42</v>
      </c>
      <c r="F1041" s="1" t="s">
        <v>776</v>
      </c>
      <c r="G1041" s="1" t="s">
        <v>777</v>
      </c>
      <c r="H1041" s="1" t="s">
        <v>27</v>
      </c>
      <c r="I1041" s="1" t="s">
        <v>28</v>
      </c>
      <c r="J1041" s="1" t="s">
        <v>3019</v>
      </c>
      <c r="K1041" s="1" t="s">
        <v>1525</v>
      </c>
      <c r="L1041">
        <v>73120</v>
      </c>
      <c r="M1041" s="1" t="s">
        <v>96</v>
      </c>
      <c r="N1041" s="1" t="s">
        <v>3020</v>
      </c>
      <c r="O1041" s="1" t="s">
        <v>33</v>
      </c>
      <c r="P1041" s="1" t="s">
        <v>39</v>
      </c>
      <c r="Q1041" s="1" t="s">
        <v>3021</v>
      </c>
      <c r="R1041">
        <v>303</v>
      </c>
      <c r="S1041">
        <v>3</v>
      </c>
      <c r="T1041">
        <v>0</v>
      </c>
      <c r="U1041">
        <v>73</v>
      </c>
      <c r="V1041" s="1" t="s">
        <v>61</v>
      </c>
      <c r="W1041" s="1" t="s">
        <v>74</v>
      </c>
    </row>
    <row r="1042" spans="1:23" x14ac:dyDescent="0.35">
      <c r="A1042">
        <v>5033</v>
      </c>
      <c r="B1042" s="1" t="s">
        <v>3022</v>
      </c>
      <c r="C1042" s="2">
        <v>42730</v>
      </c>
      <c r="D1042" s="2">
        <v>42737</v>
      </c>
      <c r="E1042" s="1" t="s">
        <v>42</v>
      </c>
      <c r="F1042" s="1" t="s">
        <v>1938</v>
      </c>
      <c r="G1042" s="1" t="s">
        <v>1939</v>
      </c>
      <c r="H1042" s="1" t="s">
        <v>93</v>
      </c>
      <c r="I1042" s="1" t="s">
        <v>28</v>
      </c>
      <c r="J1042" s="1" t="s">
        <v>1298</v>
      </c>
      <c r="K1042" s="1" t="s">
        <v>365</v>
      </c>
      <c r="L1042">
        <v>8360</v>
      </c>
      <c r="M1042" s="1" t="s">
        <v>70</v>
      </c>
      <c r="N1042" s="1" t="s">
        <v>124</v>
      </c>
      <c r="O1042" s="1" t="s">
        <v>33</v>
      </c>
      <c r="P1042" s="1" t="s">
        <v>39</v>
      </c>
      <c r="Q1042" s="1" t="s">
        <v>125</v>
      </c>
      <c r="R1042">
        <v>213</v>
      </c>
      <c r="S1042">
        <v>3</v>
      </c>
      <c r="T1042">
        <v>0</v>
      </c>
      <c r="U1042">
        <v>26</v>
      </c>
      <c r="V1042" s="1" t="s">
        <v>50</v>
      </c>
      <c r="W1042" s="1" t="s">
        <v>99</v>
      </c>
    </row>
    <row r="1043" spans="1:23" x14ac:dyDescent="0.35">
      <c r="A1043">
        <v>5035</v>
      </c>
      <c r="B1043" s="1" t="s">
        <v>3023</v>
      </c>
      <c r="C1043" s="2">
        <v>42225</v>
      </c>
      <c r="D1043" s="2">
        <v>42229</v>
      </c>
      <c r="E1043" s="1" t="s">
        <v>24</v>
      </c>
      <c r="F1043" s="1" t="s">
        <v>3024</v>
      </c>
      <c r="G1043" s="1" t="s">
        <v>3025</v>
      </c>
      <c r="H1043" s="1" t="s">
        <v>103</v>
      </c>
      <c r="I1043" s="1" t="s">
        <v>28</v>
      </c>
      <c r="J1043" s="1" t="s">
        <v>908</v>
      </c>
      <c r="K1043" s="1" t="s">
        <v>241</v>
      </c>
      <c r="L1043">
        <v>53209</v>
      </c>
      <c r="M1043" s="1" t="s">
        <v>96</v>
      </c>
      <c r="N1043" s="1" t="s">
        <v>2807</v>
      </c>
      <c r="O1043" s="1" t="s">
        <v>33</v>
      </c>
      <c r="P1043" s="1" t="s">
        <v>34</v>
      </c>
      <c r="Q1043" s="1" t="s">
        <v>2808</v>
      </c>
      <c r="R1043">
        <v>687</v>
      </c>
      <c r="S1043">
        <v>5</v>
      </c>
      <c r="T1043">
        <v>0</v>
      </c>
      <c r="U1043">
        <v>48</v>
      </c>
      <c r="V1043" s="1" t="s">
        <v>86</v>
      </c>
      <c r="W1043" s="1" t="s">
        <v>256</v>
      </c>
    </row>
    <row r="1044" spans="1:23" x14ac:dyDescent="0.35">
      <c r="A1044">
        <v>5036</v>
      </c>
      <c r="B1044" s="1" t="s">
        <v>3026</v>
      </c>
      <c r="C1044" s="2">
        <v>41735</v>
      </c>
      <c r="D1044" s="2">
        <v>41741</v>
      </c>
      <c r="E1044" s="1" t="s">
        <v>42</v>
      </c>
      <c r="F1044" s="1" t="s">
        <v>1841</v>
      </c>
      <c r="G1044" s="1" t="s">
        <v>1842</v>
      </c>
      <c r="H1044" s="1" t="s">
        <v>93</v>
      </c>
      <c r="I1044" s="1" t="s">
        <v>28</v>
      </c>
      <c r="J1044" s="1" t="s">
        <v>194</v>
      </c>
      <c r="K1044" s="1" t="s">
        <v>195</v>
      </c>
      <c r="L1044">
        <v>98115</v>
      </c>
      <c r="M1044" s="1" t="s">
        <v>57</v>
      </c>
      <c r="N1044" s="1" t="s">
        <v>702</v>
      </c>
      <c r="O1044" s="1" t="s">
        <v>33</v>
      </c>
      <c r="P1044" s="1" t="s">
        <v>48</v>
      </c>
      <c r="Q1044" s="1" t="s">
        <v>703</v>
      </c>
      <c r="R1044">
        <v>654</v>
      </c>
      <c r="S1044">
        <v>3</v>
      </c>
      <c r="T1044">
        <v>0</v>
      </c>
      <c r="U1044">
        <v>111</v>
      </c>
      <c r="V1044" s="1" t="s">
        <v>132</v>
      </c>
      <c r="W1044" s="1" t="s">
        <v>116</v>
      </c>
    </row>
    <row r="1045" spans="1:23" x14ac:dyDescent="0.35">
      <c r="A1045">
        <v>5039</v>
      </c>
      <c r="B1045" s="1" t="s">
        <v>3027</v>
      </c>
      <c r="C1045" s="2">
        <v>42196</v>
      </c>
      <c r="D1045" s="2">
        <v>42197</v>
      </c>
      <c r="E1045" s="1" t="s">
        <v>90</v>
      </c>
      <c r="F1045" s="1" t="s">
        <v>1320</v>
      </c>
      <c r="G1045" s="1" t="s">
        <v>1321</v>
      </c>
      <c r="H1045" s="1" t="s">
        <v>93</v>
      </c>
      <c r="I1045" s="1" t="s">
        <v>28</v>
      </c>
      <c r="J1045" s="1" t="s">
        <v>202</v>
      </c>
      <c r="K1045" s="1" t="s">
        <v>203</v>
      </c>
      <c r="L1045">
        <v>19805</v>
      </c>
      <c r="M1045" s="1" t="s">
        <v>70</v>
      </c>
      <c r="N1045" s="1" t="s">
        <v>910</v>
      </c>
      <c r="O1045" s="1" t="s">
        <v>33</v>
      </c>
      <c r="P1045" s="1" t="s">
        <v>48</v>
      </c>
      <c r="Q1045" s="1" t="s">
        <v>911</v>
      </c>
      <c r="R1045">
        <v>200</v>
      </c>
      <c r="S1045">
        <v>4</v>
      </c>
      <c r="T1045">
        <v>0.3</v>
      </c>
      <c r="U1045">
        <v>-37</v>
      </c>
      <c r="V1045" s="1" t="s">
        <v>126</v>
      </c>
      <c r="W1045" s="1" t="s">
        <v>74</v>
      </c>
    </row>
    <row r="1046" spans="1:23" x14ac:dyDescent="0.35">
      <c r="A1046">
        <v>5044</v>
      </c>
      <c r="B1046" s="1" t="s">
        <v>3028</v>
      </c>
      <c r="C1046" s="2">
        <v>42684</v>
      </c>
      <c r="D1046" s="2">
        <v>42687</v>
      </c>
      <c r="E1046" s="1" t="s">
        <v>24</v>
      </c>
      <c r="F1046" s="1" t="s">
        <v>1337</v>
      </c>
      <c r="G1046" s="1" t="s">
        <v>1338</v>
      </c>
      <c r="H1046" s="1" t="s">
        <v>27</v>
      </c>
      <c r="I1046" s="1" t="s">
        <v>28</v>
      </c>
      <c r="J1046" s="1" t="s">
        <v>55</v>
      </c>
      <c r="K1046" s="1" t="s">
        <v>56</v>
      </c>
      <c r="L1046">
        <v>90036</v>
      </c>
      <c r="M1046" s="1" t="s">
        <v>57</v>
      </c>
      <c r="N1046" s="1" t="s">
        <v>882</v>
      </c>
      <c r="O1046" s="1" t="s">
        <v>33</v>
      </c>
      <c r="P1046" s="1" t="s">
        <v>59</v>
      </c>
      <c r="Q1046" s="1" t="s">
        <v>883</v>
      </c>
      <c r="R1046">
        <v>467</v>
      </c>
      <c r="S1046">
        <v>9</v>
      </c>
      <c r="T1046">
        <v>0</v>
      </c>
      <c r="U1046">
        <v>192</v>
      </c>
      <c r="V1046" s="1" t="s">
        <v>36</v>
      </c>
      <c r="W1046" s="1" t="s">
        <v>37</v>
      </c>
    </row>
    <row r="1047" spans="1:23" x14ac:dyDescent="0.35">
      <c r="A1047">
        <v>5056</v>
      </c>
      <c r="B1047" s="1" t="s">
        <v>3029</v>
      </c>
      <c r="C1047" s="2">
        <v>42007</v>
      </c>
      <c r="D1047" s="2">
        <v>42012</v>
      </c>
      <c r="E1047" s="1" t="s">
        <v>24</v>
      </c>
      <c r="F1047" s="1" t="s">
        <v>3030</v>
      </c>
      <c r="G1047" s="1" t="s">
        <v>3031</v>
      </c>
      <c r="H1047" s="1" t="s">
        <v>27</v>
      </c>
      <c r="I1047" s="1" t="s">
        <v>28</v>
      </c>
      <c r="J1047" s="1" t="s">
        <v>1742</v>
      </c>
      <c r="K1047" s="1" t="s">
        <v>95</v>
      </c>
      <c r="L1047">
        <v>75217</v>
      </c>
      <c r="M1047" s="1" t="s">
        <v>96</v>
      </c>
      <c r="N1047" s="1" t="s">
        <v>739</v>
      </c>
      <c r="O1047" s="1" t="s">
        <v>33</v>
      </c>
      <c r="P1047" s="1" t="s">
        <v>34</v>
      </c>
      <c r="Q1047" s="1" t="s">
        <v>740</v>
      </c>
      <c r="R1047">
        <v>1352</v>
      </c>
      <c r="S1047">
        <v>9</v>
      </c>
      <c r="T1047">
        <v>0.32</v>
      </c>
      <c r="U1047">
        <v>-438</v>
      </c>
      <c r="V1047" s="1" t="s">
        <v>61</v>
      </c>
      <c r="W1047" s="1" t="s">
        <v>172</v>
      </c>
    </row>
    <row r="1048" spans="1:23" x14ac:dyDescent="0.35">
      <c r="A1048">
        <v>5064</v>
      </c>
      <c r="B1048" s="1" t="s">
        <v>3032</v>
      </c>
      <c r="C1048" s="2">
        <v>42132</v>
      </c>
      <c r="D1048" s="2">
        <v>42136</v>
      </c>
      <c r="E1048" s="1" t="s">
        <v>42</v>
      </c>
      <c r="F1048" s="1" t="s">
        <v>936</v>
      </c>
      <c r="G1048" s="1" t="s">
        <v>937</v>
      </c>
      <c r="H1048" s="1" t="s">
        <v>27</v>
      </c>
      <c r="I1048" s="1" t="s">
        <v>28</v>
      </c>
      <c r="J1048" s="1" t="s">
        <v>168</v>
      </c>
      <c r="K1048" s="1" t="s">
        <v>169</v>
      </c>
      <c r="L1048">
        <v>55407</v>
      </c>
      <c r="M1048" s="1" t="s">
        <v>96</v>
      </c>
      <c r="N1048" s="1" t="s">
        <v>599</v>
      </c>
      <c r="O1048" s="1" t="s">
        <v>33</v>
      </c>
      <c r="P1048" s="1" t="s">
        <v>59</v>
      </c>
      <c r="Q1048" s="1" t="s">
        <v>600</v>
      </c>
      <c r="R1048">
        <v>124</v>
      </c>
      <c r="S1048">
        <v>3</v>
      </c>
      <c r="T1048">
        <v>0</v>
      </c>
      <c r="U1048">
        <v>11</v>
      </c>
      <c r="V1048" s="1" t="s">
        <v>86</v>
      </c>
      <c r="W1048" s="1" t="s">
        <v>164</v>
      </c>
    </row>
    <row r="1049" spans="1:23" x14ac:dyDescent="0.35">
      <c r="A1049">
        <v>5067</v>
      </c>
      <c r="B1049" s="1" t="s">
        <v>3033</v>
      </c>
      <c r="C1049" s="2">
        <v>43069</v>
      </c>
      <c r="D1049" s="2">
        <v>43076</v>
      </c>
      <c r="E1049" s="1" t="s">
        <v>42</v>
      </c>
      <c r="F1049" s="1" t="s">
        <v>2139</v>
      </c>
      <c r="G1049" s="1" t="s">
        <v>2140</v>
      </c>
      <c r="H1049" s="1" t="s">
        <v>27</v>
      </c>
      <c r="I1049" s="1" t="s">
        <v>28</v>
      </c>
      <c r="J1049" s="1" t="s">
        <v>3034</v>
      </c>
      <c r="K1049" s="1" t="s">
        <v>1039</v>
      </c>
      <c r="L1049">
        <v>27217</v>
      </c>
      <c r="M1049" s="1" t="s">
        <v>31</v>
      </c>
      <c r="N1049" s="1" t="s">
        <v>524</v>
      </c>
      <c r="O1049" s="1" t="s">
        <v>33</v>
      </c>
      <c r="P1049" s="1" t="s">
        <v>48</v>
      </c>
      <c r="Q1049" s="1" t="s">
        <v>525</v>
      </c>
      <c r="R1049">
        <v>1782</v>
      </c>
      <c r="S1049">
        <v>7</v>
      </c>
      <c r="T1049">
        <v>0.4</v>
      </c>
      <c r="U1049">
        <v>-653</v>
      </c>
      <c r="V1049" s="1" t="s">
        <v>50</v>
      </c>
      <c r="W1049" s="1" t="s">
        <v>37</v>
      </c>
    </row>
    <row r="1050" spans="1:23" x14ac:dyDescent="0.35">
      <c r="A1050">
        <v>5072</v>
      </c>
      <c r="B1050" s="1" t="s">
        <v>3035</v>
      </c>
      <c r="C1050" s="2">
        <v>41859</v>
      </c>
      <c r="D1050" s="2">
        <v>41863</v>
      </c>
      <c r="E1050" s="1" t="s">
        <v>42</v>
      </c>
      <c r="F1050" s="1" t="s">
        <v>3036</v>
      </c>
      <c r="G1050" s="1" t="s">
        <v>3037</v>
      </c>
      <c r="H1050" s="1" t="s">
        <v>103</v>
      </c>
      <c r="I1050" s="1" t="s">
        <v>28</v>
      </c>
      <c r="J1050" s="1" t="s">
        <v>778</v>
      </c>
      <c r="K1050" s="1" t="s">
        <v>292</v>
      </c>
      <c r="L1050">
        <v>48183</v>
      </c>
      <c r="M1050" s="1" t="s">
        <v>96</v>
      </c>
      <c r="N1050" s="1" t="s">
        <v>1454</v>
      </c>
      <c r="O1050" s="1" t="s">
        <v>33</v>
      </c>
      <c r="P1050" s="1" t="s">
        <v>59</v>
      </c>
      <c r="Q1050" s="1" t="s">
        <v>1455</v>
      </c>
      <c r="R1050">
        <v>54</v>
      </c>
      <c r="S1050">
        <v>6</v>
      </c>
      <c r="T1050">
        <v>0</v>
      </c>
      <c r="U1050">
        <v>23</v>
      </c>
      <c r="V1050" s="1" t="s">
        <v>86</v>
      </c>
      <c r="W1050" s="1" t="s">
        <v>256</v>
      </c>
    </row>
    <row r="1051" spans="1:23" x14ac:dyDescent="0.35">
      <c r="A1051">
        <v>5076</v>
      </c>
      <c r="B1051" s="1" t="s">
        <v>3038</v>
      </c>
      <c r="C1051" s="2">
        <v>41749</v>
      </c>
      <c r="D1051" s="2">
        <v>41751</v>
      </c>
      <c r="E1051" s="1" t="s">
        <v>24</v>
      </c>
      <c r="F1051" s="1" t="s">
        <v>742</v>
      </c>
      <c r="G1051" s="1" t="s">
        <v>743</v>
      </c>
      <c r="H1051" s="1" t="s">
        <v>27</v>
      </c>
      <c r="I1051" s="1" t="s">
        <v>28</v>
      </c>
      <c r="J1051" s="1" t="s">
        <v>104</v>
      </c>
      <c r="K1051" s="1" t="s">
        <v>95</v>
      </c>
      <c r="L1051">
        <v>77070</v>
      </c>
      <c r="M1051" s="1" t="s">
        <v>96</v>
      </c>
      <c r="N1051" s="1" t="s">
        <v>307</v>
      </c>
      <c r="O1051" s="1" t="s">
        <v>33</v>
      </c>
      <c r="P1051" s="1" t="s">
        <v>48</v>
      </c>
      <c r="Q1051" s="1" t="s">
        <v>308</v>
      </c>
      <c r="R1051">
        <v>744</v>
      </c>
      <c r="S1051">
        <v>5</v>
      </c>
      <c r="T1051">
        <v>0.3</v>
      </c>
      <c r="U1051">
        <v>-96</v>
      </c>
      <c r="V1051" s="1" t="s">
        <v>73</v>
      </c>
      <c r="W1051" s="1" t="s">
        <v>116</v>
      </c>
    </row>
    <row r="1052" spans="1:23" x14ac:dyDescent="0.35">
      <c r="A1052">
        <v>5078</v>
      </c>
      <c r="B1052" s="1" t="s">
        <v>3038</v>
      </c>
      <c r="C1052" s="2">
        <v>41749</v>
      </c>
      <c r="D1052" s="2">
        <v>41751</v>
      </c>
      <c r="E1052" s="1" t="s">
        <v>24</v>
      </c>
      <c r="F1052" s="1" t="s">
        <v>742</v>
      </c>
      <c r="G1052" s="1" t="s">
        <v>743</v>
      </c>
      <c r="H1052" s="1" t="s">
        <v>27</v>
      </c>
      <c r="I1052" s="1" t="s">
        <v>28</v>
      </c>
      <c r="J1052" s="1" t="s">
        <v>104</v>
      </c>
      <c r="K1052" s="1" t="s">
        <v>95</v>
      </c>
      <c r="L1052">
        <v>77070</v>
      </c>
      <c r="M1052" s="1" t="s">
        <v>96</v>
      </c>
      <c r="N1052" s="1" t="s">
        <v>2834</v>
      </c>
      <c r="O1052" s="1" t="s">
        <v>33</v>
      </c>
      <c r="P1052" s="1" t="s">
        <v>48</v>
      </c>
      <c r="Q1052" s="1" t="s">
        <v>2835</v>
      </c>
      <c r="R1052">
        <v>402</v>
      </c>
      <c r="S1052">
        <v>2</v>
      </c>
      <c r="T1052">
        <v>0.3</v>
      </c>
      <c r="U1052">
        <v>-132</v>
      </c>
      <c r="V1052" s="1" t="s">
        <v>73</v>
      </c>
      <c r="W1052" s="1" t="s">
        <v>116</v>
      </c>
    </row>
    <row r="1053" spans="1:23" x14ac:dyDescent="0.35">
      <c r="A1053">
        <v>5080</v>
      </c>
      <c r="B1053" s="1" t="s">
        <v>3039</v>
      </c>
      <c r="C1053" s="2">
        <v>43064</v>
      </c>
      <c r="D1053" s="2">
        <v>43068</v>
      </c>
      <c r="E1053" s="1" t="s">
        <v>42</v>
      </c>
      <c r="F1053" s="1" t="s">
        <v>3040</v>
      </c>
      <c r="G1053" s="1" t="s">
        <v>3041</v>
      </c>
      <c r="H1053" s="1" t="s">
        <v>27</v>
      </c>
      <c r="I1053" s="1" t="s">
        <v>28</v>
      </c>
      <c r="J1053" s="1" t="s">
        <v>331</v>
      </c>
      <c r="K1053" s="1" t="s">
        <v>56</v>
      </c>
      <c r="L1053">
        <v>94122</v>
      </c>
      <c r="M1053" s="1" t="s">
        <v>57</v>
      </c>
      <c r="N1053" s="1" t="s">
        <v>1698</v>
      </c>
      <c r="O1053" s="1" t="s">
        <v>33</v>
      </c>
      <c r="P1053" s="1" t="s">
        <v>34</v>
      </c>
      <c r="Q1053" s="1" t="s">
        <v>1917</v>
      </c>
      <c r="R1053">
        <v>359</v>
      </c>
      <c r="S1053">
        <v>3</v>
      </c>
      <c r="T1053">
        <v>0.15</v>
      </c>
      <c r="U1053">
        <v>-30</v>
      </c>
      <c r="V1053" s="1" t="s">
        <v>86</v>
      </c>
      <c r="W1053" s="1" t="s">
        <v>37</v>
      </c>
    </row>
    <row r="1054" spans="1:23" x14ac:dyDescent="0.35">
      <c r="A1054">
        <v>5095</v>
      </c>
      <c r="B1054" s="1" t="s">
        <v>3042</v>
      </c>
      <c r="C1054" s="2">
        <v>41979</v>
      </c>
      <c r="D1054" s="2">
        <v>41983</v>
      </c>
      <c r="E1054" s="1" t="s">
        <v>42</v>
      </c>
      <c r="F1054" s="1" t="s">
        <v>2152</v>
      </c>
      <c r="G1054" s="1" t="s">
        <v>2153</v>
      </c>
      <c r="H1054" s="1" t="s">
        <v>27</v>
      </c>
      <c r="I1054" s="1" t="s">
        <v>28</v>
      </c>
      <c r="J1054" s="1" t="s">
        <v>136</v>
      </c>
      <c r="K1054" s="1" t="s">
        <v>137</v>
      </c>
      <c r="L1054">
        <v>60610</v>
      </c>
      <c r="M1054" s="1" t="s">
        <v>96</v>
      </c>
      <c r="N1054" s="1" t="s">
        <v>1065</v>
      </c>
      <c r="O1054" s="1" t="s">
        <v>33</v>
      </c>
      <c r="P1054" s="1" t="s">
        <v>48</v>
      </c>
      <c r="Q1054" s="1" t="s">
        <v>1066</v>
      </c>
      <c r="R1054">
        <v>215</v>
      </c>
      <c r="S1054">
        <v>5</v>
      </c>
      <c r="T1054">
        <v>0.5</v>
      </c>
      <c r="U1054">
        <v>-120</v>
      </c>
      <c r="V1054" s="1" t="s">
        <v>86</v>
      </c>
      <c r="W1054" s="1" t="s">
        <v>99</v>
      </c>
    </row>
    <row r="1055" spans="1:23" x14ac:dyDescent="0.35">
      <c r="A1055">
        <v>5097</v>
      </c>
      <c r="B1055" s="1" t="s">
        <v>3042</v>
      </c>
      <c r="C1055" s="2">
        <v>41979</v>
      </c>
      <c r="D1055" s="2">
        <v>41983</v>
      </c>
      <c r="E1055" s="1" t="s">
        <v>42</v>
      </c>
      <c r="F1055" s="1" t="s">
        <v>2152</v>
      </c>
      <c r="G1055" s="1" t="s">
        <v>2153</v>
      </c>
      <c r="H1055" s="1" t="s">
        <v>27</v>
      </c>
      <c r="I1055" s="1" t="s">
        <v>28</v>
      </c>
      <c r="J1055" s="1" t="s">
        <v>136</v>
      </c>
      <c r="K1055" s="1" t="s">
        <v>137</v>
      </c>
      <c r="L1055">
        <v>60610</v>
      </c>
      <c r="M1055" s="1" t="s">
        <v>96</v>
      </c>
      <c r="N1055" s="1" t="s">
        <v>1454</v>
      </c>
      <c r="O1055" s="1" t="s">
        <v>33</v>
      </c>
      <c r="P1055" s="1" t="s">
        <v>59</v>
      </c>
      <c r="Q1055" s="1" t="s">
        <v>1455</v>
      </c>
      <c r="R1055">
        <v>11</v>
      </c>
      <c r="S1055">
        <v>3</v>
      </c>
      <c r="T1055">
        <v>0.6</v>
      </c>
      <c r="U1055">
        <v>-5</v>
      </c>
      <c r="V1055" s="1" t="s">
        <v>86</v>
      </c>
      <c r="W1055" s="1" t="s">
        <v>99</v>
      </c>
    </row>
    <row r="1056" spans="1:23" x14ac:dyDescent="0.35">
      <c r="A1056">
        <v>5106</v>
      </c>
      <c r="B1056" s="1" t="s">
        <v>3043</v>
      </c>
      <c r="C1056" s="2">
        <v>41987</v>
      </c>
      <c r="D1056" s="2">
        <v>41993</v>
      </c>
      <c r="E1056" s="1" t="s">
        <v>42</v>
      </c>
      <c r="F1056" s="1" t="s">
        <v>811</v>
      </c>
      <c r="G1056" s="1" t="s">
        <v>812</v>
      </c>
      <c r="H1056" s="1" t="s">
        <v>27</v>
      </c>
      <c r="I1056" s="1" t="s">
        <v>28</v>
      </c>
      <c r="J1056" s="1" t="s">
        <v>3044</v>
      </c>
      <c r="K1056" s="1" t="s">
        <v>46</v>
      </c>
      <c r="L1056">
        <v>32725</v>
      </c>
      <c r="M1056" s="1" t="s">
        <v>31</v>
      </c>
      <c r="N1056" s="1" t="s">
        <v>1895</v>
      </c>
      <c r="O1056" s="1" t="s">
        <v>33</v>
      </c>
      <c r="P1056" s="1" t="s">
        <v>39</v>
      </c>
      <c r="Q1056" s="1" t="s">
        <v>1896</v>
      </c>
      <c r="R1056">
        <v>186</v>
      </c>
      <c r="S1056">
        <v>4</v>
      </c>
      <c r="T1056">
        <v>0.2</v>
      </c>
      <c r="U1056">
        <v>14</v>
      </c>
      <c r="V1056" s="1" t="s">
        <v>132</v>
      </c>
      <c r="W1056" s="1" t="s">
        <v>99</v>
      </c>
    </row>
    <row r="1057" spans="1:23" x14ac:dyDescent="0.35">
      <c r="A1057">
        <v>5113</v>
      </c>
      <c r="B1057" s="1" t="s">
        <v>3045</v>
      </c>
      <c r="C1057" s="2">
        <v>42321</v>
      </c>
      <c r="D1057" s="2">
        <v>42321</v>
      </c>
      <c r="E1057" s="1" t="s">
        <v>428</v>
      </c>
      <c r="F1057" s="1" t="s">
        <v>2911</v>
      </c>
      <c r="G1057" s="1" t="s">
        <v>2912</v>
      </c>
      <c r="H1057" s="1" t="s">
        <v>27</v>
      </c>
      <c r="I1057" s="1" t="s">
        <v>28</v>
      </c>
      <c r="J1057" s="1" t="s">
        <v>136</v>
      </c>
      <c r="K1057" s="1" t="s">
        <v>137</v>
      </c>
      <c r="L1057">
        <v>60610</v>
      </c>
      <c r="M1057" s="1" t="s">
        <v>96</v>
      </c>
      <c r="N1057" s="1" t="s">
        <v>3046</v>
      </c>
      <c r="O1057" s="1" t="s">
        <v>33</v>
      </c>
      <c r="P1057" s="1" t="s">
        <v>59</v>
      </c>
      <c r="Q1057" s="1" t="s">
        <v>3047</v>
      </c>
      <c r="R1057">
        <v>17</v>
      </c>
      <c r="S1057">
        <v>9</v>
      </c>
      <c r="T1057">
        <v>0.6</v>
      </c>
      <c r="U1057">
        <v>-7</v>
      </c>
      <c r="V1057" s="1" t="s">
        <v>433</v>
      </c>
      <c r="W1057" s="1" t="s">
        <v>37</v>
      </c>
    </row>
    <row r="1058" spans="1:23" x14ac:dyDescent="0.35">
      <c r="A1058">
        <v>5125</v>
      </c>
      <c r="B1058" s="1" t="s">
        <v>3048</v>
      </c>
      <c r="C1058" s="2">
        <v>41896</v>
      </c>
      <c r="D1058" s="2">
        <v>41896</v>
      </c>
      <c r="E1058" s="1" t="s">
        <v>428</v>
      </c>
      <c r="F1058" s="1" t="s">
        <v>2119</v>
      </c>
      <c r="G1058" s="1" t="s">
        <v>2120</v>
      </c>
      <c r="H1058" s="1" t="s">
        <v>27</v>
      </c>
      <c r="I1058" s="1" t="s">
        <v>28</v>
      </c>
      <c r="J1058" s="1" t="s">
        <v>176</v>
      </c>
      <c r="K1058" s="1" t="s">
        <v>123</v>
      </c>
      <c r="L1058">
        <v>10009</v>
      </c>
      <c r="M1058" s="1" t="s">
        <v>70</v>
      </c>
      <c r="N1058" s="1" t="s">
        <v>1262</v>
      </c>
      <c r="O1058" s="1" t="s">
        <v>33</v>
      </c>
      <c r="P1058" s="1" t="s">
        <v>48</v>
      </c>
      <c r="Q1058" s="1" t="s">
        <v>1066</v>
      </c>
      <c r="R1058">
        <v>464</v>
      </c>
      <c r="S1058">
        <v>9</v>
      </c>
      <c r="T1058">
        <v>0.4</v>
      </c>
      <c r="U1058">
        <v>-108</v>
      </c>
      <c r="V1058" s="1" t="s">
        <v>433</v>
      </c>
      <c r="W1058" s="1" t="s">
        <v>80</v>
      </c>
    </row>
    <row r="1059" spans="1:23" x14ac:dyDescent="0.35">
      <c r="A1059">
        <v>5132</v>
      </c>
      <c r="B1059" s="1" t="s">
        <v>3049</v>
      </c>
      <c r="C1059" s="2">
        <v>43098</v>
      </c>
      <c r="D1059" s="2">
        <v>43105</v>
      </c>
      <c r="E1059" s="1" t="s">
        <v>42</v>
      </c>
      <c r="F1059" s="1" t="s">
        <v>379</v>
      </c>
      <c r="G1059" s="1" t="s">
        <v>380</v>
      </c>
      <c r="H1059" s="1" t="s">
        <v>93</v>
      </c>
      <c r="I1059" s="1" t="s">
        <v>28</v>
      </c>
      <c r="J1059" s="1" t="s">
        <v>3050</v>
      </c>
      <c r="K1059" s="1" t="s">
        <v>56</v>
      </c>
      <c r="L1059">
        <v>92804</v>
      </c>
      <c r="M1059" s="1" t="s">
        <v>57</v>
      </c>
      <c r="N1059" s="1" t="s">
        <v>1837</v>
      </c>
      <c r="O1059" s="1" t="s">
        <v>33</v>
      </c>
      <c r="P1059" s="1" t="s">
        <v>59</v>
      </c>
      <c r="Q1059" s="1" t="s">
        <v>1838</v>
      </c>
      <c r="R1059">
        <v>101</v>
      </c>
      <c r="S1059">
        <v>8</v>
      </c>
      <c r="T1059">
        <v>0</v>
      </c>
      <c r="U1059">
        <v>37</v>
      </c>
      <c r="V1059" s="1" t="s">
        <v>50</v>
      </c>
      <c r="W1059" s="1" t="s">
        <v>99</v>
      </c>
    </row>
    <row r="1060" spans="1:23" x14ac:dyDescent="0.35">
      <c r="A1060">
        <v>5138</v>
      </c>
      <c r="B1060" s="1" t="s">
        <v>3051</v>
      </c>
      <c r="C1060" s="2">
        <v>42687</v>
      </c>
      <c r="D1060" s="2">
        <v>42691</v>
      </c>
      <c r="E1060" s="1" t="s">
        <v>42</v>
      </c>
      <c r="F1060" s="1" t="s">
        <v>3052</v>
      </c>
      <c r="G1060" s="1" t="s">
        <v>3053</v>
      </c>
      <c r="H1060" s="1" t="s">
        <v>93</v>
      </c>
      <c r="I1060" s="1" t="s">
        <v>28</v>
      </c>
      <c r="J1060" s="1" t="s">
        <v>3019</v>
      </c>
      <c r="K1060" s="1" t="s">
        <v>1525</v>
      </c>
      <c r="L1060">
        <v>73120</v>
      </c>
      <c r="M1060" s="1" t="s">
        <v>96</v>
      </c>
      <c r="N1060" s="1" t="s">
        <v>697</v>
      </c>
      <c r="O1060" s="1" t="s">
        <v>33</v>
      </c>
      <c r="P1060" s="1" t="s">
        <v>59</v>
      </c>
      <c r="Q1060" s="1" t="s">
        <v>698</v>
      </c>
      <c r="R1060">
        <v>30</v>
      </c>
      <c r="S1060">
        <v>4</v>
      </c>
      <c r="T1060">
        <v>0</v>
      </c>
      <c r="U1060">
        <v>13</v>
      </c>
      <c r="V1060" s="1" t="s">
        <v>86</v>
      </c>
      <c r="W1060" s="1" t="s">
        <v>37</v>
      </c>
    </row>
    <row r="1061" spans="1:23" x14ac:dyDescent="0.35">
      <c r="A1061">
        <v>5142</v>
      </c>
      <c r="B1061" s="1" t="s">
        <v>3054</v>
      </c>
      <c r="C1061" s="2">
        <v>42461</v>
      </c>
      <c r="D1061" s="2">
        <v>42465</v>
      </c>
      <c r="E1061" s="1" t="s">
        <v>42</v>
      </c>
      <c r="F1061" s="1" t="s">
        <v>3055</v>
      </c>
      <c r="G1061" s="1" t="s">
        <v>3056</v>
      </c>
      <c r="H1061" s="1" t="s">
        <v>27</v>
      </c>
      <c r="I1061" s="1" t="s">
        <v>28</v>
      </c>
      <c r="J1061" s="1" t="s">
        <v>176</v>
      </c>
      <c r="K1061" s="1" t="s">
        <v>123</v>
      </c>
      <c r="L1061">
        <v>10009</v>
      </c>
      <c r="M1061" s="1" t="s">
        <v>70</v>
      </c>
      <c r="N1061" s="1" t="s">
        <v>38</v>
      </c>
      <c r="O1061" s="1" t="s">
        <v>33</v>
      </c>
      <c r="P1061" s="1" t="s">
        <v>39</v>
      </c>
      <c r="Q1061" s="1" t="s">
        <v>40</v>
      </c>
      <c r="R1061">
        <v>1317</v>
      </c>
      <c r="S1061">
        <v>6</v>
      </c>
      <c r="T1061">
        <v>0.1</v>
      </c>
      <c r="U1061">
        <v>293</v>
      </c>
      <c r="V1061" s="1" t="s">
        <v>86</v>
      </c>
      <c r="W1061" s="1" t="s">
        <v>116</v>
      </c>
    </row>
    <row r="1062" spans="1:23" x14ac:dyDescent="0.35">
      <c r="A1062">
        <v>5145</v>
      </c>
      <c r="B1062" s="1" t="s">
        <v>3057</v>
      </c>
      <c r="C1062" s="2">
        <v>42768</v>
      </c>
      <c r="D1062" s="2">
        <v>42773</v>
      </c>
      <c r="E1062" s="1" t="s">
        <v>42</v>
      </c>
      <c r="F1062" s="1" t="s">
        <v>2811</v>
      </c>
      <c r="G1062" s="1" t="s">
        <v>2812</v>
      </c>
      <c r="H1062" s="1" t="s">
        <v>27</v>
      </c>
      <c r="I1062" s="1" t="s">
        <v>28</v>
      </c>
      <c r="J1062" s="1" t="s">
        <v>55</v>
      </c>
      <c r="K1062" s="1" t="s">
        <v>56</v>
      </c>
      <c r="L1062">
        <v>90045</v>
      </c>
      <c r="M1062" s="1" t="s">
        <v>57</v>
      </c>
      <c r="N1062" s="1" t="s">
        <v>610</v>
      </c>
      <c r="O1062" s="1" t="s">
        <v>33</v>
      </c>
      <c r="P1062" s="1" t="s">
        <v>59</v>
      </c>
      <c r="Q1062" s="1" t="s">
        <v>611</v>
      </c>
      <c r="R1062">
        <v>86</v>
      </c>
      <c r="S1062">
        <v>2</v>
      </c>
      <c r="T1062">
        <v>0</v>
      </c>
      <c r="U1062">
        <v>29</v>
      </c>
      <c r="V1062" s="1" t="s">
        <v>61</v>
      </c>
      <c r="W1062" s="1" t="s">
        <v>300</v>
      </c>
    </row>
    <row r="1063" spans="1:23" x14ac:dyDescent="0.35">
      <c r="A1063">
        <v>5148</v>
      </c>
      <c r="B1063" s="1" t="s">
        <v>3058</v>
      </c>
      <c r="C1063" s="2">
        <v>43093</v>
      </c>
      <c r="D1063" s="2">
        <v>43100</v>
      </c>
      <c r="E1063" s="1" t="s">
        <v>42</v>
      </c>
      <c r="F1063" s="1" t="s">
        <v>3059</v>
      </c>
      <c r="G1063" s="1" t="s">
        <v>3060</v>
      </c>
      <c r="H1063" s="1" t="s">
        <v>103</v>
      </c>
      <c r="I1063" s="1" t="s">
        <v>28</v>
      </c>
      <c r="J1063" s="1" t="s">
        <v>3061</v>
      </c>
      <c r="K1063" s="1" t="s">
        <v>523</v>
      </c>
      <c r="L1063">
        <v>85224</v>
      </c>
      <c r="M1063" s="1" t="s">
        <v>57</v>
      </c>
      <c r="N1063" s="1" t="s">
        <v>2516</v>
      </c>
      <c r="O1063" s="1" t="s">
        <v>33</v>
      </c>
      <c r="P1063" s="1" t="s">
        <v>59</v>
      </c>
      <c r="Q1063" s="1" t="s">
        <v>2517</v>
      </c>
      <c r="R1063">
        <v>9</v>
      </c>
      <c r="S1063">
        <v>4</v>
      </c>
      <c r="T1063">
        <v>0.2</v>
      </c>
      <c r="U1063">
        <v>2</v>
      </c>
      <c r="V1063" s="1" t="s">
        <v>50</v>
      </c>
      <c r="W1063" s="1" t="s">
        <v>99</v>
      </c>
    </row>
    <row r="1064" spans="1:23" x14ac:dyDescent="0.35">
      <c r="A1064">
        <v>5149</v>
      </c>
      <c r="B1064" s="1" t="s">
        <v>3058</v>
      </c>
      <c r="C1064" s="2">
        <v>43093</v>
      </c>
      <c r="D1064" s="2">
        <v>43100</v>
      </c>
      <c r="E1064" s="1" t="s">
        <v>42</v>
      </c>
      <c r="F1064" s="1" t="s">
        <v>3059</v>
      </c>
      <c r="G1064" s="1" t="s">
        <v>3060</v>
      </c>
      <c r="H1064" s="1" t="s">
        <v>103</v>
      </c>
      <c r="I1064" s="1" t="s">
        <v>28</v>
      </c>
      <c r="J1064" s="1" t="s">
        <v>3061</v>
      </c>
      <c r="K1064" s="1" t="s">
        <v>523</v>
      </c>
      <c r="L1064">
        <v>85224</v>
      </c>
      <c r="M1064" s="1" t="s">
        <v>57</v>
      </c>
      <c r="N1064" s="1" t="s">
        <v>854</v>
      </c>
      <c r="O1064" s="1" t="s">
        <v>33</v>
      </c>
      <c r="P1064" s="1" t="s">
        <v>39</v>
      </c>
      <c r="Q1064" s="1" t="s">
        <v>855</v>
      </c>
      <c r="R1064">
        <v>842</v>
      </c>
      <c r="S1064">
        <v>3</v>
      </c>
      <c r="T1064">
        <v>0.2</v>
      </c>
      <c r="U1064">
        <v>105</v>
      </c>
      <c r="V1064" s="1" t="s">
        <v>50</v>
      </c>
      <c r="W1064" s="1" t="s">
        <v>99</v>
      </c>
    </row>
    <row r="1065" spans="1:23" x14ac:dyDescent="0.35">
      <c r="A1065">
        <v>5156</v>
      </c>
      <c r="B1065" s="1" t="s">
        <v>3062</v>
      </c>
      <c r="C1065" s="2">
        <v>42223</v>
      </c>
      <c r="D1065" s="2">
        <v>42224</v>
      </c>
      <c r="E1065" s="1" t="s">
        <v>90</v>
      </c>
      <c r="F1065" s="1" t="s">
        <v>3063</v>
      </c>
      <c r="G1065" s="1" t="s">
        <v>3064</v>
      </c>
      <c r="H1065" s="1" t="s">
        <v>27</v>
      </c>
      <c r="I1065" s="1" t="s">
        <v>28</v>
      </c>
      <c r="J1065" s="1" t="s">
        <v>3065</v>
      </c>
      <c r="K1065" s="1" t="s">
        <v>568</v>
      </c>
      <c r="L1065">
        <v>63122</v>
      </c>
      <c r="M1065" s="1" t="s">
        <v>96</v>
      </c>
      <c r="N1065" s="1" t="s">
        <v>2199</v>
      </c>
      <c r="O1065" s="1" t="s">
        <v>33</v>
      </c>
      <c r="P1065" s="1" t="s">
        <v>59</v>
      </c>
      <c r="Q1065" s="1" t="s">
        <v>2200</v>
      </c>
      <c r="R1065">
        <v>213</v>
      </c>
      <c r="S1065">
        <v>3</v>
      </c>
      <c r="T1065">
        <v>0</v>
      </c>
      <c r="U1065">
        <v>34</v>
      </c>
      <c r="V1065" s="1" t="s">
        <v>126</v>
      </c>
      <c r="W1065" s="1" t="s">
        <v>256</v>
      </c>
    </row>
    <row r="1066" spans="1:23" x14ac:dyDescent="0.35">
      <c r="A1066">
        <v>5158</v>
      </c>
      <c r="B1066" s="1" t="s">
        <v>3066</v>
      </c>
      <c r="C1066" s="2">
        <v>42916</v>
      </c>
      <c r="D1066" s="2">
        <v>42920</v>
      </c>
      <c r="E1066" s="1" t="s">
        <v>24</v>
      </c>
      <c r="F1066" s="1" t="s">
        <v>2602</v>
      </c>
      <c r="G1066" s="1" t="s">
        <v>2603</v>
      </c>
      <c r="H1066" s="1" t="s">
        <v>103</v>
      </c>
      <c r="I1066" s="1" t="s">
        <v>28</v>
      </c>
      <c r="J1066" s="1" t="s">
        <v>136</v>
      </c>
      <c r="K1066" s="1" t="s">
        <v>137</v>
      </c>
      <c r="L1066">
        <v>60653</v>
      </c>
      <c r="M1066" s="1" t="s">
        <v>96</v>
      </c>
      <c r="N1066" s="1" t="s">
        <v>2733</v>
      </c>
      <c r="O1066" s="1" t="s">
        <v>33</v>
      </c>
      <c r="P1066" s="1" t="s">
        <v>39</v>
      </c>
      <c r="Q1066" s="1" t="s">
        <v>2734</v>
      </c>
      <c r="R1066">
        <v>569</v>
      </c>
      <c r="S1066">
        <v>3</v>
      </c>
      <c r="T1066">
        <v>0.3</v>
      </c>
      <c r="U1066">
        <v>-179</v>
      </c>
      <c r="V1066" s="1" t="s">
        <v>86</v>
      </c>
      <c r="W1066" s="1" t="s">
        <v>62</v>
      </c>
    </row>
    <row r="1067" spans="1:23" x14ac:dyDescent="0.35">
      <c r="A1067">
        <v>5159</v>
      </c>
      <c r="B1067" s="1" t="s">
        <v>3066</v>
      </c>
      <c r="C1067" s="2">
        <v>42916</v>
      </c>
      <c r="D1067" s="2">
        <v>42920</v>
      </c>
      <c r="E1067" s="1" t="s">
        <v>24</v>
      </c>
      <c r="F1067" s="1" t="s">
        <v>2602</v>
      </c>
      <c r="G1067" s="1" t="s">
        <v>2603</v>
      </c>
      <c r="H1067" s="1" t="s">
        <v>103</v>
      </c>
      <c r="I1067" s="1" t="s">
        <v>28</v>
      </c>
      <c r="J1067" s="1" t="s">
        <v>136</v>
      </c>
      <c r="K1067" s="1" t="s">
        <v>137</v>
      </c>
      <c r="L1067">
        <v>60653</v>
      </c>
      <c r="M1067" s="1" t="s">
        <v>96</v>
      </c>
      <c r="N1067" s="1" t="s">
        <v>170</v>
      </c>
      <c r="O1067" s="1" t="s">
        <v>33</v>
      </c>
      <c r="P1067" s="1" t="s">
        <v>59</v>
      </c>
      <c r="Q1067" s="1" t="s">
        <v>171</v>
      </c>
      <c r="R1067">
        <v>14</v>
      </c>
      <c r="S1067">
        <v>2</v>
      </c>
      <c r="T1067">
        <v>0.6</v>
      </c>
      <c r="U1067">
        <v>-10</v>
      </c>
      <c r="V1067" s="1" t="s">
        <v>86</v>
      </c>
      <c r="W1067" s="1" t="s">
        <v>62</v>
      </c>
    </row>
    <row r="1068" spans="1:23" x14ac:dyDescent="0.35">
      <c r="A1068">
        <v>5162</v>
      </c>
      <c r="B1068" s="1" t="s">
        <v>3067</v>
      </c>
      <c r="C1068" s="2">
        <v>41850</v>
      </c>
      <c r="D1068" s="2">
        <v>41856</v>
      </c>
      <c r="E1068" s="1" t="s">
        <v>42</v>
      </c>
      <c r="F1068" s="1" t="s">
        <v>3052</v>
      </c>
      <c r="G1068" s="1" t="s">
        <v>3053</v>
      </c>
      <c r="H1068" s="1" t="s">
        <v>93</v>
      </c>
      <c r="I1068" s="1" t="s">
        <v>28</v>
      </c>
      <c r="J1068" s="1" t="s">
        <v>194</v>
      </c>
      <c r="K1068" s="1" t="s">
        <v>195</v>
      </c>
      <c r="L1068">
        <v>98103</v>
      </c>
      <c r="M1068" s="1" t="s">
        <v>57</v>
      </c>
      <c r="N1068" s="1" t="s">
        <v>2403</v>
      </c>
      <c r="O1068" s="1" t="s">
        <v>33</v>
      </c>
      <c r="P1068" s="1" t="s">
        <v>34</v>
      </c>
      <c r="Q1068" s="1" t="s">
        <v>2404</v>
      </c>
      <c r="R1068">
        <v>1368</v>
      </c>
      <c r="S1068">
        <v>8</v>
      </c>
      <c r="T1068">
        <v>0</v>
      </c>
      <c r="U1068">
        <v>260</v>
      </c>
      <c r="V1068" s="1" t="s">
        <v>132</v>
      </c>
      <c r="W1068" s="1" t="s">
        <v>74</v>
      </c>
    </row>
    <row r="1069" spans="1:23" x14ac:dyDescent="0.35">
      <c r="A1069">
        <v>5163</v>
      </c>
      <c r="B1069" s="1" t="s">
        <v>3068</v>
      </c>
      <c r="C1069" s="2">
        <v>42692</v>
      </c>
      <c r="D1069" s="2">
        <v>42697</v>
      </c>
      <c r="E1069" s="1" t="s">
        <v>24</v>
      </c>
      <c r="F1069" s="1" t="s">
        <v>3069</v>
      </c>
      <c r="G1069" s="1" t="s">
        <v>3070</v>
      </c>
      <c r="H1069" s="1" t="s">
        <v>27</v>
      </c>
      <c r="I1069" s="1" t="s">
        <v>28</v>
      </c>
      <c r="J1069" s="1" t="s">
        <v>3071</v>
      </c>
      <c r="K1069" s="1" t="s">
        <v>292</v>
      </c>
      <c r="L1069">
        <v>48180</v>
      </c>
      <c r="M1069" s="1" t="s">
        <v>96</v>
      </c>
      <c r="N1069" s="1" t="s">
        <v>162</v>
      </c>
      <c r="O1069" s="1" t="s">
        <v>33</v>
      </c>
      <c r="P1069" s="1" t="s">
        <v>39</v>
      </c>
      <c r="Q1069" s="1" t="s">
        <v>163</v>
      </c>
      <c r="R1069">
        <v>302</v>
      </c>
      <c r="S1069">
        <v>2</v>
      </c>
      <c r="T1069">
        <v>0</v>
      </c>
      <c r="U1069">
        <v>33</v>
      </c>
      <c r="V1069" s="1" t="s">
        <v>61</v>
      </c>
      <c r="W1069" s="1" t="s">
        <v>37</v>
      </c>
    </row>
    <row r="1070" spans="1:23" x14ac:dyDescent="0.35">
      <c r="A1070">
        <v>5164</v>
      </c>
      <c r="B1070" s="1" t="s">
        <v>3072</v>
      </c>
      <c r="C1070" s="2">
        <v>42191</v>
      </c>
      <c r="D1070" s="2">
        <v>42196</v>
      </c>
      <c r="E1070" s="1" t="s">
        <v>42</v>
      </c>
      <c r="F1070" s="1" t="s">
        <v>2362</v>
      </c>
      <c r="G1070" s="1" t="s">
        <v>2363</v>
      </c>
      <c r="H1070" s="1" t="s">
        <v>27</v>
      </c>
      <c r="I1070" s="1" t="s">
        <v>28</v>
      </c>
      <c r="J1070" s="1" t="s">
        <v>1188</v>
      </c>
      <c r="K1070" s="1" t="s">
        <v>56</v>
      </c>
      <c r="L1070">
        <v>91104</v>
      </c>
      <c r="M1070" s="1" t="s">
        <v>57</v>
      </c>
      <c r="N1070" s="1" t="s">
        <v>124</v>
      </c>
      <c r="O1070" s="1" t="s">
        <v>33</v>
      </c>
      <c r="P1070" s="1" t="s">
        <v>39</v>
      </c>
      <c r="Q1070" s="1" t="s">
        <v>125</v>
      </c>
      <c r="R1070">
        <v>170</v>
      </c>
      <c r="S1070">
        <v>3</v>
      </c>
      <c r="T1070">
        <v>0.2</v>
      </c>
      <c r="U1070">
        <v>-17</v>
      </c>
      <c r="V1070" s="1" t="s">
        <v>61</v>
      </c>
      <c r="W1070" s="1" t="s">
        <v>74</v>
      </c>
    </row>
    <row r="1071" spans="1:23" x14ac:dyDescent="0.35">
      <c r="A1071">
        <v>5168</v>
      </c>
      <c r="B1071" s="1" t="s">
        <v>3073</v>
      </c>
      <c r="C1071" s="2">
        <v>41953</v>
      </c>
      <c r="D1071" s="2">
        <v>41959</v>
      </c>
      <c r="E1071" s="1" t="s">
        <v>42</v>
      </c>
      <c r="F1071" s="1" t="s">
        <v>2479</v>
      </c>
      <c r="G1071" s="1" t="s">
        <v>2480</v>
      </c>
      <c r="H1071" s="1" t="s">
        <v>27</v>
      </c>
      <c r="I1071" s="1" t="s">
        <v>28</v>
      </c>
      <c r="J1071" s="1" t="s">
        <v>3074</v>
      </c>
      <c r="K1071" s="1" t="s">
        <v>292</v>
      </c>
      <c r="L1071">
        <v>48640</v>
      </c>
      <c r="M1071" s="1" t="s">
        <v>96</v>
      </c>
      <c r="N1071" s="1" t="s">
        <v>628</v>
      </c>
      <c r="O1071" s="1" t="s">
        <v>33</v>
      </c>
      <c r="P1071" s="1" t="s">
        <v>39</v>
      </c>
      <c r="Q1071" s="1" t="s">
        <v>629</v>
      </c>
      <c r="R1071">
        <v>564</v>
      </c>
      <c r="S1071">
        <v>3</v>
      </c>
      <c r="T1071">
        <v>0</v>
      </c>
      <c r="U1071">
        <v>113</v>
      </c>
      <c r="V1071" s="1" t="s">
        <v>132</v>
      </c>
      <c r="W1071" s="1" t="s">
        <v>37</v>
      </c>
    </row>
    <row r="1072" spans="1:23" x14ac:dyDescent="0.35">
      <c r="A1072">
        <v>5171</v>
      </c>
      <c r="B1072" s="1" t="s">
        <v>3075</v>
      </c>
      <c r="C1072" s="2">
        <v>42517</v>
      </c>
      <c r="D1072" s="2">
        <v>42519</v>
      </c>
      <c r="E1072" s="1" t="s">
        <v>24</v>
      </c>
      <c r="F1072" s="1" t="s">
        <v>987</v>
      </c>
      <c r="G1072" s="1" t="s">
        <v>988</v>
      </c>
      <c r="H1072" s="1" t="s">
        <v>93</v>
      </c>
      <c r="I1072" s="1" t="s">
        <v>28</v>
      </c>
      <c r="J1072" s="1" t="s">
        <v>291</v>
      </c>
      <c r="K1072" s="1" t="s">
        <v>292</v>
      </c>
      <c r="L1072">
        <v>48205</v>
      </c>
      <c r="M1072" s="1" t="s">
        <v>96</v>
      </c>
      <c r="N1072" s="1" t="s">
        <v>604</v>
      </c>
      <c r="O1072" s="1" t="s">
        <v>33</v>
      </c>
      <c r="P1072" s="1" t="s">
        <v>39</v>
      </c>
      <c r="Q1072" s="1" t="s">
        <v>605</v>
      </c>
      <c r="R1072">
        <v>3505</v>
      </c>
      <c r="S1072">
        <v>5</v>
      </c>
      <c r="T1072">
        <v>0</v>
      </c>
      <c r="U1072">
        <v>701</v>
      </c>
      <c r="V1072" s="1" t="s">
        <v>73</v>
      </c>
      <c r="W1072" s="1" t="s">
        <v>164</v>
      </c>
    </row>
    <row r="1073" spans="1:23" x14ac:dyDescent="0.35">
      <c r="A1073">
        <v>5176</v>
      </c>
      <c r="B1073" s="1" t="s">
        <v>3076</v>
      </c>
      <c r="C1073" s="2">
        <v>43027</v>
      </c>
      <c r="D1073" s="2">
        <v>43032</v>
      </c>
      <c r="E1073" s="1" t="s">
        <v>42</v>
      </c>
      <c r="F1073" s="1" t="s">
        <v>1234</v>
      </c>
      <c r="G1073" s="1" t="s">
        <v>1235</v>
      </c>
      <c r="H1073" s="1" t="s">
        <v>27</v>
      </c>
      <c r="I1073" s="1" t="s">
        <v>28</v>
      </c>
      <c r="J1073" s="1" t="s">
        <v>3077</v>
      </c>
      <c r="K1073" s="1" t="s">
        <v>95</v>
      </c>
      <c r="L1073">
        <v>76706</v>
      </c>
      <c r="M1073" s="1" t="s">
        <v>96</v>
      </c>
      <c r="N1073" s="1" t="s">
        <v>2723</v>
      </c>
      <c r="O1073" s="1" t="s">
        <v>33</v>
      </c>
      <c r="P1073" s="1" t="s">
        <v>34</v>
      </c>
      <c r="Q1073" s="1" t="s">
        <v>2724</v>
      </c>
      <c r="R1073">
        <v>328</v>
      </c>
      <c r="S1073">
        <v>3</v>
      </c>
      <c r="T1073">
        <v>0.32</v>
      </c>
      <c r="U1073">
        <v>-92</v>
      </c>
      <c r="V1073" s="1" t="s">
        <v>61</v>
      </c>
      <c r="W1073" s="1" t="s">
        <v>51</v>
      </c>
    </row>
    <row r="1074" spans="1:23" x14ac:dyDescent="0.35">
      <c r="A1074">
        <v>5179</v>
      </c>
      <c r="B1074" s="1" t="s">
        <v>3078</v>
      </c>
      <c r="C1074" s="2">
        <v>42107</v>
      </c>
      <c r="D1074" s="2">
        <v>42113</v>
      </c>
      <c r="E1074" s="1" t="s">
        <v>42</v>
      </c>
      <c r="F1074" s="1" t="s">
        <v>1029</v>
      </c>
      <c r="G1074" s="1" t="s">
        <v>1030</v>
      </c>
      <c r="H1074" s="1" t="s">
        <v>93</v>
      </c>
      <c r="I1074" s="1" t="s">
        <v>28</v>
      </c>
      <c r="J1074" s="1" t="s">
        <v>55</v>
      </c>
      <c r="K1074" s="1" t="s">
        <v>56</v>
      </c>
      <c r="L1074">
        <v>90036</v>
      </c>
      <c r="M1074" s="1" t="s">
        <v>57</v>
      </c>
      <c r="N1074" s="1" t="s">
        <v>1545</v>
      </c>
      <c r="O1074" s="1" t="s">
        <v>33</v>
      </c>
      <c r="P1074" s="1" t="s">
        <v>59</v>
      </c>
      <c r="Q1074" s="1" t="s">
        <v>1546</v>
      </c>
      <c r="R1074">
        <v>38</v>
      </c>
      <c r="S1074">
        <v>2</v>
      </c>
      <c r="T1074">
        <v>0</v>
      </c>
      <c r="U1074">
        <v>16</v>
      </c>
      <c r="V1074" s="1" t="s">
        <v>132</v>
      </c>
      <c r="W1074" s="1" t="s">
        <v>116</v>
      </c>
    </row>
    <row r="1075" spans="1:23" x14ac:dyDescent="0.35">
      <c r="A1075">
        <v>5189</v>
      </c>
      <c r="B1075" s="1" t="s">
        <v>3079</v>
      </c>
      <c r="C1075" s="2">
        <v>42260</v>
      </c>
      <c r="D1075" s="2">
        <v>42265</v>
      </c>
      <c r="E1075" s="1" t="s">
        <v>42</v>
      </c>
      <c r="F1075" s="1" t="s">
        <v>846</v>
      </c>
      <c r="G1075" s="1" t="s">
        <v>847</v>
      </c>
      <c r="H1075" s="1" t="s">
        <v>27</v>
      </c>
      <c r="I1075" s="1" t="s">
        <v>28</v>
      </c>
      <c r="J1075" s="1" t="s">
        <v>350</v>
      </c>
      <c r="K1075" s="1" t="s">
        <v>113</v>
      </c>
      <c r="L1075">
        <v>47201</v>
      </c>
      <c r="M1075" s="1" t="s">
        <v>96</v>
      </c>
      <c r="N1075" s="1" t="s">
        <v>482</v>
      </c>
      <c r="O1075" s="1" t="s">
        <v>33</v>
      </c>
      <c r="P1075" s="1" t="s">
        <v>39</v>
      </c>
      <c r="Q1075" s="1" t="s">
        <v>483</v>
      </c>
      <c r="R1075">
        <v>1516</v>
      </c>
      <c r="S1075">
        <v>7</v>
      </c>
      <c r="T1075">
        <v>0</v>
      </c>
      <c r="U1075">
        <v>394</v>
      </c>
      <c r="V1075" s="1" t="s">
        <v>61</v>
      </c>
      <c r="W1075" s="1" t="s">
        <v>80</v>
      </c>
    </row>
    <row r="1076" spans="1:23" x14ac:dyDescent="0.35">
      <c r="A1076">
        <v>5193</v>
      </c>
      <c r="B1076" s="1" t="s">
        <v>3080</v>
      </c>
      <c r="C1076" s="2">
        <v>41971</v>
      </c>
      <c r="D1076" s="2">
        <v>41974</v>
      </c>
      <c r="E1076" s="1" t="s">
        <v>24</v>
      </c>
      <c r="F1076" s="1" t="s">
        <v>3081</v>
      </c>
      <c r="G1076" s="1" t="s">
        <v>3082</v>
      </c>
      <c r="H1076" s="1" t="s">
        <v>93</v>
      </c>
      <c r="I1076" s="1" t="s">
        <v>28</v>
      </c>
      <c r="J1076" s="1" t="s">
        <v>160</v>
      </c>
      <c r="K1076" s="1" t="s">
        <v>161</v>
      </c>
      <c r="L1076">
        <v>29203</v>
      </c>
      <c r="M1076" s="1" t="s">
        <v>31</v>
      </c>
      <c r="N1076" s="1" t="s">
        <v>221</v>
      </c>
      <c r="O1076" s="1" t="s">
        <v>33</v>
      </c>
      <c r="P1076" s="1" t="s">
        <v>59</v>
      </c>
      <c r="Q1076" s="1" t="s">
        <v>222</v>
      </c>
      <c r="R1076">
        <v>398</v>
      </c>
      <c r="S1076">
        <v>5</v>
      </c>
      <c r="T1076">
        <v>0</v>
      </c>
      <c r="U1076">
        <v>44</v>
      </c>
      <c r="V1076" s="1" t="s">
        <v>36</v>
      </c>
      <c r="W1076" s="1" t="s">
        <v>37</v>
      </c>
    </row>
    <row r="1077" spans="1:23" x14ac:dyDescent="0.35">
      <c r="A1077">
        <v>5203</v>
      </c>
      <c r="B1077" s="1" t="s">
        <v>3083</v>
      </c>
      <c r="C1077" s="2">
        <v>42231</v>
      </c>
      <c r="D1077" s="2">
        <v>42235</v>
      </c>
      <c r="E1077" s="1" t="s">
        <v>42</v>
      </c>
      <c r="F1077" s="1" t="s">
        <v>3084</v>
      </c>
      <c r="G1077" s="1" t="s">
        <v>3085</v>
      </c>
      <c r="H1077" s="1" t="s">
        <v>27</v>
      </c>
      <c r="I1077" s="1" t="s">
        <v>28</v>
      </c>
      <c r="J1077" s="1" t="s">
        <v>1473</v>
      </c>
      <c r="K1077" s="1" t="s">
        <v>56</v>
      </c>
      <c r="L1077">
        <v>94601</v>
      </c>
      <c r="M1077" s="1" t="s">
        <v>57</v>
      </c>
      <c r="N1077" s="1" t="s">
        <v>1207</v>
      </c>
      <c r="O1077" s="1" t="s">
        <v>33</v>
      </c>
      <c r="P1077" s="1" t="s">
        <v>59</v>
      </c>
      <c r="Q1077" s="1" t="s">
        <v>1208</v>
      </c>
      <c r="R1077">
        <v>104</v>
      </c>
      <c r="S1077">
        <v>7</v>
      </c>
      <c r="T1077">
        <v>0</v>
      </c>
      <c r="U1077">
        <v>28</v>
      </c>
      <c r="V1077" s="1" t="s">
        <v>86</v>
      </c>
      <c r="W1077" s="1" t="s">
        <v>256</v>
      </c>
    </row>
    <row r="1078" spans="1:23" x14ac:dyDescent="0.35">
      <c r="A1078">
        <v>5220</v>
      </c>
      <c r="B1078" s="1" t="s">
        <v>3086</v>
      </c>
      <c r="C1078" s="2">
        <v>42979</v>
      </c>
      <c r="D1078" s="2">
        <v>42979</v>
      </c>
      <c r="E1078" s="1" t="s">
        <v>428</v>
      </c>
      <c r="F1078" s="1" t="s">
        <v>621</v>
      </c>
      <c r="G1078" s="1" t="s">
        <v>622</v>
      </c>
      <c r="H1078" s="1" t="s">
        <v>27</v>
      </c>
      <c r="I1078" s="1" t="s">
        <v>28</v>
      </c>
      <c r="J1078" s="1" t="s">
        <v>291</v>
      </c>
      <c r="K1078" s="1" t="s">
        <v>292</v>
      </c>
      <c r="L1078">
        <v>48205</v>
      </c>
      <c r="M1078" s="1" t="s">
        <v>96</v>
      </c>
      <c r="N1078" s="1" t="s">
        <v>2197</v>
      </c>
      <c r="O1078" s="1" t="s">
        <v>33</v>
      </c>
      <c r="P1078" s="1" t="s">
        <v>39</v>
      </c>
      <c r="Q1078" s="1" t="s">
        <v>2198</v>
      </c>
      <c r="R1078">
        <v>498</v>
      </c>
      <c r="S1078">
        <v>7</v>
      </c>
      <c r="T1078">
        <v>0</v>
      </c>
      <c r="U1078">
        <v>135</v>
      </c>
      <c r="V1078" s="1" t="s">
        <v>433</v>
      </c>
      <c r="W1078" s="1" t="s">
        <v>80</v>
      </c>
    </row>
    <row r="1079" spans="1:23" x14ac:dyDescent="0.35">
      <c r="A1079">
        <v>5221</v>
      </c>
      <c r="B1079" s="1" t="s">
        <v>3087</v>
      </c>
      <c r="C1079" s="2">
        <v>41804</v>
      </c>
      <c r="D1079" s="2">
        <v>41810</v>
      </c>
      <c r="E1079" s="1" t="s">
        <v>42</v>
      </c>
      <c r="F1079" s="1" t="s">
        <v>3088</v>
      </c>
      <c r="G1079" s="1" t="s">
        <v>3089</v>
      </c>
      <c r="H1079" s="1" t="s">
        <v>103</v>
      </c>
      <c r="I1079" s="1" t="s">
        <v>28</v>
      </c>
      <c r="J1079" s="1" t="s">
        <v>291</v>
      </c>
      <c r="K1079" s="1" t="s">
        <v>292</v>
      </c>
      <c r="L1079">
        <v>48234</v>
      </c>
      <c r="M1079" s="1" t="s">
        <v>96</v>
      </c>
      <c r="N1079" s="1" t="s">
        <v>2715</v>
      </c>
      <c r="O1079" s="1" t="s">
        <v>33</v>
      </c>
      <c r="P1079" s="1" t="s">
        <v>34</v>
      </c>
      <c r="Q1079" s="1" t="s">
        <v>2716</v>
      </c>
      <c r="R1079">
        <v>213</v>
      </c>
      <c r="S1079">
        <v>3</v>
      </c>
      <c r="T1079">
        <v>0</v>
      </c>
      <c r="U1079">
        <v>57</v>
      </c>
      <c r="V1079" s="1" t="s">
        <v>132</v>
      </c>
      <c r="W1079" s="1" t="s">
        <v>62</v>
      </c>
    </row>
    <row r="1080" spans="1:23" x14ac:dyDescent="0.35">
      <c r="A1080">
        <v>5228</v>
      </c>
      <c r="B1080" s="1" t="s">
        <v>3090</v>
      </c>
      <c r="C1080" s="2">
        <v>42542</v>
      </c>
      <c r="D1080" s="2">
        <v>42547</v>
      </c>
      <c r="E1080" s="1" t="s">
        <v>42</v>
      </c>
      <c r="F1080" s="1" t="s">
        <v>1628</v>
      </c>
      <c r="G1080" s="1" t="s">
        <v>1629</v>
      </c>
      <c r="H1080" s="1" t="s">
        <v>27</v>
      </c>
      <c r="I1080" s="1" t="s">
        <v>28</v>
      </c>
      <c r="J1080" s="1" t="s">
        <v>176</v>
      </c>
      <c r="K1080" s="1" t="s">
        <v>123</v>
      </c>
      <c r="L1080">
        <v>10011</v>
      </c>
      <c r="M1080" s="1" t="s">
        <v>70</v>
      </c>
      <c r="N1080" s="1" t="s">
        <v>739</v>
      </c>
      <c r="O1080" s="1" t="s">
        <v>33</v>
      </c>
      <c r="P1080" s="1" t="s">
        <v>34</v>
      </c>
      <c r="Q1080" s="1" t="s">
        <v>740</v>
      </c>
      <c r="R1080">
        <v>354</v>
      </c>
      <c r="S1080">
        <v>2</v>
      </c>
      <c r="T1080">
        <v>0.2</v>
      </c>
      <c r="U1080">
        <v>-44</v>
      </c>
      <c r="V1080" s="1" t="s">
        <v>61</v>
      </c>
      <c r="W1080" s="1" t="s">
        <v>62</v>
      </c>
    </row>
    <row r="1081" spans="1:23" x14ac:dyDescent="0.35">
      <c r="A1081">
        <v>5231</v>
      </c>
      <c r="B1081" s="1" t="s">
        <v>3091</v>
      </c>
      <c r="C1081" s="2">
        <v>42813</v>
      </c>
      <c r="D1081" s="2">
        <v>42816</v>
      </c>
      <c r="E1081" s="1" t="s">
        <v>24</v>
      </c>
      <c r="F1081" s="1" t="s">
        <v>822</v>
      </c>
      <c r="G1081" s="1" t="s">
        <v>823</v>
      </c>
      <c r="H1081" s="1" t="s">
        <v>27</v>
      </c>
      <c r="I1081" s="1" t="s">
        <v>28</v>
      </c>
      <c r="J1081" s="1" t="s">
        <v>1136</v>
      </c>
      <c r="K1081" s="1" t="s">
        <v>56</v>
      </c>
      <c r="L1081">
        <v>93727</v>
      </c>
      <c r="M1081" s="1" t="s">
        <v>57</v>
      </c>
      <c r="N1081" s="1" t="s">
        <v>787</v>
      </c>
      <c r="O1081" s="1" t="s">
        <v>33</v>
      </c>
      <c r="P1081" s="1" t="s">
        <v>48</v>
      </c>
      <c r="Q1081" s="1" t="s">
        <v>788</v>
      </c>
      <c r="R1081">
        <v>697</v>
      </c>
      <c r="S1081">
        <v>5</v>
      </c>
      <c r="T1081">
        <v>0.2</v>
      </c>
      <c r="U1081">
        <v>9</v>
      </c>
      <c r="V1081" s="1" t="s">
        <v>36</v>
      </c>
      <c r="W1081" s="1" t="s">
        <v>198</v>
      </c>
    </row>
    <row r="1082" spans="1:23" x14ac:dyDescent="0.35">
      <c r="A1082">
        <v>5232</v>
      </c>
      <c r="B1082" s="1" t="s">
        <v>3091</v>
      </c>
      <c r="C1082" s="2">
        <v>42813</v>
      </c>
      <c r="D1082" s="2">
        <v>42816</v>
      </c>
      <c r="E1082" s="1" t="s">
        <v>24</v>
      </c>
      <c r="F1082" s="1" t="s">
        <v>822</v>
      </c>
      <c r="G1082" s="1" t="s">
        <v>823</v>
      </c>
      <c r="H1082" s="1" t="s">
        <v>27</v>
      </c>
      <c r="I1082" s="1" t="s">
        <v>28</v>
      </c>
      <c r="J1082" s="1" t="s">
        <v>1136</v>
      </c>
      <c r="K1082" s="1" t="s">
        <v>56</v>
      </c>
      <c r="L1082">
        <v>93727</v>
      </c>
      <c r="M1082" s="1" t="s">
        <v>57</v>
      </c>
      <c r="N1082" s="1" t="s">
        <v>2113</v>
      </c>
      <c r="O1082" s="1" t="s">
        <v>33</v>
      </c>
      <c r="P1082" s="1" t="s">
        <v>59</v>
      </c>
      <c r="Q1082" s="1" t="s">
        <v>2114</v>
      </c>
      <c r="R1082">
        <v>31</v>
      </c>
      <c r="S1082">
        <v>1</v>
      </c>
      <c r="T1082">
        <v>0</v>
      </c>
      <c r="U1082">
        <v>13</v>
      </c>
      <c r="V1082" s="1" t="s">
        <v>36</v>
      </c>
      <c r="W1082" s="1" t="s">
        <v>198</v>
      </c>
    </row>
    <row r="1083" spans="1:23" x14ac:dyDescent="0.35">
      <c r="A1083">
        <v>5234</v>
      </c>
      <c r="B1083" s="1" t="s">
        <v>3092</v>
      </c>
      <c r="C1083" s="2">
        <v>41930</v>
      </c>
      <c r="D1083" s="2">
        <v>41934</v>
      </c>
      <c r="E1083" s="1" t="s">
        <v>42</v>
      </c>
      <c r="F1083" s="1" t="s">
        <v>2167</v>
      </c>
      <c r="G1083" s="1" t="s">
        <v>2168</v>
      </c>
      <c r="H1083" s="1" t="s">
        <v>93</v>
      </c>
      <c r="I1083" s="1" t="s">
        <v>28</v>
      </c>
      <c r="J1083" s="1" t="s">
        <v>3093</v>
      </c>
      <c r="K1083" s="1" t="s">
        <v>1061</v>
      </c>
      <c r="L1083">
        <v>71854</v>
      </c>
      <c r="M1083" s="1" t="s">
        <v>31</v>
      </c>
      <c r="N1083" s="1" t="s">
        <v>3020</v>
      </c>
      <c r="O1083" s="1" t="s">
        <v>33</v>
      </c>
      <c r="P1083" s="1" t="s">
        <v>39</v>
      </c>
      <c r="Q1083" s="1" t="s">
        <v>3021</v>
      </c>
      <c r="R1083">
        <v>605</v>
      </c>
      <c r="S1083">
        <v>6</v>
      </c>
      <c r="T1083">
        <v>0</v>
      </c>
      <c r="U1083">
        <v>145</v>
      </c>
      <c r="V1083" s="1" t="s">
        <v>86</v>
      </c>
      <c r="W1083" s="1" t="s">
        <v>51</v>
      </c>
    </row>
    <row r="1084" spans="1:23" x14ac:dyDescent="0.35">
      <c r="A1084">
        <v>5235</v>
      </c>
      <c r="B1084" s="1" t="s">
        <v>3094</v>
      </c>
      <c r="C1084" s="2">
        <v>42969</v>
      </c>
      <c r="D1084" s="2">
        <v>42970</v>
      </c>
      <c r="E1084" s="1" t="s">
        <v>90</v>
      </c>
      <c r="F1084" s="1" t="s">
        <v>3095</v>
      </c>
      <c r="G1084" s="1" t="s">
        <v>3096</v>
      </c>
      <c r="H1084" s="1" t="s">
        <v>27</v>
      </c>
      <c r="I1084" s="1" t="s">
        <v>28</v>
      </c>
      <c r="J1084" s="1" t="s">
        <v>331</v>
      </c>
      <c r="K1084" s="1" t="s">
        <v>56</v>
      </c>
      <c r="L1084">
        <v>94110</v>
      </c>
      <c r="M1084" s="1" t="s">
        <v>57</v>
      </c>
      <c r="N1084" s="1" t="s">
        <v>196</v>
      </c>
      <c r="O1084" s="1" t="s">
        <v>33</v>
      </c>
      <c r="P1084" s="1" t="s">
        <v>48</v>
      </c>
      <c r="Q1084" s="1" t="s">
        <v>197</v>
      </c>
      <c r="R1084">
        <v>210</v>
      </c>
      <c r="S1084">
        <v>1</v>
      </c>
      <c r="T1084">
        <v>0.2</v>
      </c>
      <c r="U1084">
        <v>3</v>
      </c>
      <c r="V1084" s="1" t="s">
        <v>126</v>
      </c>
      <c r="W1084" s="1" t="s">
        <v>256</v>
      </c>
    </row>
    <row r="1085" spans="1:23" x14ac:dyDescent="0.35">
      <c r="A1085">
        <v>5237</v>
      </c>
      <c r="B1085" s="1" t="s">
        <v>3097</v>
      </c>
      <c r="C1085" s="2">
        <v>41902</v>
      </c>
      <c r="D1085" s="2">
        <v>41906</v>
      </c>
      <c r="E1085" s="1" t="s">
        <v>42</v>
      </c>
      <c r="F1085" s="1" t="s">
        <v>2645</v>
      </c>
      <c r="G1085" s="1" t="s">
        <v>2646</v>
      </c>
      <c r="H1085" s="1" t="s">
        <v>27</v>
      </c>
      <c r="I1085" s="1" t="s">
        <v>28</v>
      </c>
      <c r="J1085" s="1" t="s">
        <v>160</v>
      </c>
      <c r="K1085" s="1" t="s">
        <v>1092</v>
      </c>
      <c r="L1085">
        <v>21044</v>
      </c>
      <c r="M1085" s="1" t="s">
        <v>70</v>
      </c>
      <c r="N1085" s="1" t="s">
        <v>1088</v>
      </c>
      <c r="O1085" s="1" t="s">
        <v>33</v>
      </c>
      <c r="P1085" s="1" t="s">
        <v>59</v>
      </c>
      <c r="Q1085" s="1" t="s">
        <v>1089</v>
      </c>
      <c r="R1085">
        <v>164</v>
      </c>
      <c r="S1085">
        <v>3</v>
      </c>
      <c r="T1085">
        <v>0</v>
      </c>
      <c r="U1085">
        <v>51</v>
      </c>
      <c r="V1085" s="1" t="s">
        <v>86</v>
      </c>
      <c r="W1085" s="1" t="s">
        <v>80</v>
      </c>
    </row>
    <row r="1086" spans="1:23" x14ac:dyDescent="0.35">
      <c r="A1086">
        <v>5238</v>
      </c>
      <c r="B1086" s="1" t="s">
        <v>3097</v>
      </c>
      <c r="C1086" s="2">
        <v>41902</v>
      </c>
      <c r="D1086" s="2">
        <v>41906</v>
      </c>
      <c r="E1086" s="1" t="s">
        <v>42</v>
      </c>
      <c r="F1086" s="1" t="s">
        <v>2645</v>
      </c>
      <c r="G1086" s="1" t="s">
        <v>2646</v>
      </c>
      <c r="H1086" s="1" t="s">
        <v>27</v>
      </c>
      <c r="I1086" s="1" t="s">
        <v>28</v>
      </c>
      <c r="J1086" s="1" t="s">
        <v>160</v>
      </c>
      <c r="K1086" s="1" t="s">
        <v>1092</v>
      </c>
      <c r="L1086">
        <v>21044</v>
      </c>
      <c r="M1086" s="1" t="s">
        <v>70</v>
      </c>
      <c r="N1086" s="1" t="s">
        <v>545</v>
      </c>
      <c r="O1086" s="1" t="s">
        <v>33</v>
      </c>
      <c r="P1086" s="1" t="s">
        <v>34</v>
      </c>
      <c r="Q1086" s="1" t="s">
        <v>546</v>
      </c>
      <c r="R1086">
        <v>363</v>
      </c>
      <c r="S1086">
        <v>3</v>
      </c>
      <c r="T1086">
        <v>0</v>
      </c>
      <c r="U1086">
        <v>36</v>
      </c>
      <c r="V1086" s="1" t="s">
        <v>86</v>
      </c>
      <c r="W1086" s="1" t="s">
        <v>80</v>
      </c>
    </row>
    <row r="1087" spans="1:23" x14ac:dyDescent="0.35">
      <c r="A1087">
        <v>5245</v>
      </c>
      <c r="B1087" s="1" t="s">
        <v>3098</v>
      </c>
      <c r="C1087" s="2">
        <v>42584</v>
      </c>
      <c r="D1087" s="2">
        <v>42586</v>
      </c>
      <c r="E1087" s="1" t="s">
        <v>24</v>
      </c>
      <c r="F1087" s="1" t="s">
        <v>1859</v>
      </c>
      <c r="G1087" s="1" t="s">
        <v>1860</v>
      </c>
      <c r="H1087" s="1" t="s">
        <v>93</v>
      </c>
      <c r="I1087" s="1" t="s">
        <v>28</v>
      </c>
      <c r="J1087" s="1" t="s">
        <v>55</v>
      </c>
      <c r="K1087" s="1" t="s">
        <v>56</v>
      </c>
      <c r="L1087">
        <v>90032</v>
      </c>
      <c r="M1087" s="1" t="s">
        <v>57</v>
      </c>
      <c r="N1087" s="1" t="s">
        <v>3099</v>
      </c>
      <c r="O1087" s="1" t="s">
        <v>33</v>
      </c>
      <c r="P1087" s="1" t="s">
        <v>48</v>
      </c>
      <c r="Q1087" s="1" t="s">
        <v>3100</v>
      </c>
      <c r="R1087">
        <v>136</v>
      </c>
      <c r="S1087">
        <v>2</v>
      </c>
      <c r="T1087">
        <v>0.2</v>
      </c>
      <c r="U1087">
        <v>15</v>
      </c>
      <c r="V1087" s="1" t="s">
        <v>73</v>
      </c>
      <c r="W1087" s="1" t="s">
        <v>256</v>
      </c>
    </row>
    <row r="1088" spans="1:23" x14ac:dyDescent="0.35">
      <c r="A1088">
        <v>5255</v>
      </c>
      <c r="B1088" s="1" t="s">
        <v>3101</v>
      </c>
      <c r="C1088" s="2">
        <v>42068</v>
      </c>
      <c r="D1088" s="2">
        <v>42070</v>
      </c>
      <c r="E1088" s="1" t="s">
        <v>24</v>
      </c>
      <c r="F1088" s="1" t="s">
        <v>3102</v>
      </c>
      <c r="G1088" s="1" t="s">
        <v>3103</v>
      </c>
      <c r="H1088" s="1" t="s">
        <v>93</v>
      </c>
      <c r="I1088" s="1" t="s">
        <v>28</v>
      </c>
      <c r="J1088" s="1" t="s">
        <v>3104</v>
      </c>
      <c r="K1088" s="1" t="s">
        <v>69</v>
      </c>
      <c r="L1088">
        <v>18018</v>
      </c>
      <c r="M1088" s="1" t="s">
        <v>70</v>
      </c>
      <c r="N1088" s="1" t="s">
        <v>593</v>
      </c>
      <c r="O1088" s="1" t="s">
        <v>33</v>
      </c>
      <c r="P1088" s="1" t="s">
        <v>39</v>
      </c>
      <c r="Q1088" s="1" t="s">
        <v>594</v>
      </c>
      <c r="R1088">
        <v>99</v>
      </c>
      <c r="S1088">
        <v>2</v>
      </c>
      <c r="T1088">
        <v>0.3</v>
      </c>
      <c r="U1088">
        <v>-7</v>
      </c>
      <c r="V1088" s="1" t="s">
        <v>73</v>
      </c>
      <c r="W1088" s="1" t="s">
        <v>198</v>
      </c>
    </row>
    <row r="1089" spans="1:23" x14ac:dyDescent="0.35">
      <c r="A1089">
        <v>5256</v>
      </c>
      <c r="B1089" s="1" t="s">
        <v>3101</v>
      </c>
      <c r="C1089" s="2">
        <v>42068</v>
      </c>
      <c r="D1089" s="2">
        <v>42070</v>
      </c>
      <c r="E1089" s="1" t="s">
        <v>24</v>
      </c>
      <c r="F1089" s="1" t="s">
        <v>3102</v>
      </c>
      <c r="G1089" s="1" t="s">
        <v>3103</v>
      </c>
      <c r="H1089" s="1" t="s">
        <v>93</v>
      </c>
      <c r="I1089" s="1" t="s">
        <v>28</v>
      </c>
      <c r="J1089" s="1" t="s">
        <v>3104</v>
      </c>
      <c r="K1089" s="1" t="s">
        <v>69</v>
      </c>
      <c r="L1089">
        <v>18018</v>
      </c>
      <c r="M1089" s="1" t="s">
        <v>70</v>
      </c>
      <c r="N1089" s="1" t="s">
        <v>2284</v>
      </c>
      <c r="O1089" s="1" t="s">
        <v>33</v>
      </c>
      <c r="P1089" s="1" t="s">
        <v>59</v>
      </c>
      <c r="Q1089" s="1" t="s">
        <v>2285</v>
      </c>
      <c r="R1089">
        <v>34</v>
      </c>
      <c r="S1089">
        <v>2</v>
      </c>
      <c r="T1089">
        <v>0.2</v>
      </c>
      <c r="U1089">
        <v>-5</v>
      </c>
      <c r="V1089" s="1" t="s">
        <v>73</v>
      </c>
      <c r="W1089" s="1" t="s">
        <v>198</v>
      </c>
    </row>
    <row r="1090" spans="1:23" x14ac:dyDescent="0.35">
      <c r="A1090">
        <v>5263</v>
      </c>
      <c r="B1090" s="1" t="s">
        <v>3105</v>
      </c>
      <c r="C1090" s="2">
        <v>41889</v>
      </c>
      <c r="D1090" s="2">
        <v>41892</v>
      </c>
      <c r="E1090" s="1" t="s">
        <v>90</v>
      </c>
      <c r="F1090" s="1" t="s">
        <v>1227</v>
      </c>
      <c r="G1090" s="1" t="s">
        <v>1228</v>
      </c>
      <c r="H1090" s="1" t="s">
        <v>103</v>
      </c>
      <c r="I1090" s="1" t="s">
        <v>28</v>
      </c>
      <c r="J1090" s="1" t="s">
        <v>104</v>
      </c>
      <c r="K1090" s="1" t="s">
        <v>95</v>
      </c>
      <c r="L1090">
        <v>77036</v>
      </c>
      <c r="M1090" s="1" t="s">
        <v>96</v>
      </c>
      <c r="N1090" s="1" t="s">
        <v>925</v>
      </c>
      <c r="O1090" s="1" t="s">
        <v>33</v>
      </c>
      <c r="P1090" s="1" t="s">
        <v>48</v>
      </c>
      <c r="Q1090" s="1" t="s">
        <v>926</v>
      </c>
      <c r="R1090">
        <v>201</v>
      </c>
      <c r="S1090">
        <v>1</v>
      </c>
      <c r="T1090">
        <v>0.3</v>
      </c>
      <c r="U1090">
        <v>-23</v>
      </c>
      <c r="V1090" s="1" t="s">
        <v>36</v>
      </c>
      <c r="W1090" s="1" t="s">
        <v>80</v>
      </c>
    </row>
    <row r="1091" spans="1:23" x14ac:dyDescent="0.35">
      <c r="A1091">
        <v>5270</v>
      </c>
      <c r="B1091" s="1" t="s">
        <v>3106</v>
      </c>
      <c r="C1091" s="2">
        <v>42989</v>
      </c>
      <c r="D1091" s="2">
        <v>42989</v>
      </c>
      <c r="E1091" s="1" t="s">
        <v>428</v>
      </c>
      <c r="F1091" s="1" t="s">
        <v>690</v>
      </c>
      <c r="G1091" s="1" t="s">
        <v>691</v>
      </c>
      <c r="H1091" s="1" t="s">
        <v>27</v>
      </c>
      <c r="I1091" s="1" t="s">
        <v>28</v>
      </c>
      <c r="J1091" s="1" t="s">
        <v>331</v>
      </c>
      <c r="K1091" s="1" t="s">
        <v>56</v>
      </c>
      <c r="L1091">
        <v>94110</v>
      </c>
      <c r="M1091" s="1" t="s">
        <v>57</v>
      </c>
      <c r="N1091" s="1" t="s">
        <v>152</v>
      </c>
      <c r="O1091" s="1" t="s">
        <v>33</v>
      </c>
      <c r="P1091" s="1" t="s">
        <v>59</v>
      </c>
      <c r="Q1091" s="1" t="s">
        <v>153</v>
      </c>
      <c r="R1091">
        <v>32</v>
      </c>
      <c r="S1091">
        <v>4</v>
      </c>
      <c r="T1091">
        <v>0</v>
      </c>
      <c r="U1091">
        <v>12</v>
      </c>
      <c r="V1091" s="1" t="s">
        <v>433</v>
      </c>
      <c r="W1091" s="1" t="s">
        <v>80</v>
      </c>
    </row>
    <row r="1092" spans="1:23" x14ac:dyDescent="0.35">
      <c r="A1092">
        <v>5272</v>
      </c>
      <c r="B1092" s="1" t="s">
        <v>3107</v>
      </c>
      <c r="C1092" s="2">
        <v>42751</v>
      </c>
      <c r="D1092" s="2">
        <v>42751</v>
      </c>
      <c r="E1092" s="1" t="s">
        <v>428</v>
      </c>
      <c r="F1092" s="1" t="s">
        <v>2699</v>
      </c>
      <c r="G1092" s="1" t="s">
        <v>2700</v>
      </c>
      <c r="H1092" s="1" t="s">
        <v>93</v>
      </c>
      <c r="I1092" s="1" t="s">
        <v>28</v>
      </c>
      <c r="J1092" s="1" t="s">
        <v>55</v>
      </c>
      <c r="K1092" s="1" t="s">
        <v>56</v>
      </c>
      <c r="L1092">
        <v>90008</v>
      </c>
      <c r="M1092" s="1" t="s">
        <v>57</v>
      </c>
      <c r="N1092" s="1" t="s">
        <v>58</v>
      </c>
      <c r="O1092" s="1" t="s">
        <v>33</v>
      </c>
      <c r="P1092" s="1" t="s">
        <v>59</v>
      </c>
      <c r="Q1092" s="1" t="s">
        <v>60</v>
      </c>
      <c r="R1092">
        <v>28</v>
      </c>
      <c r="S1092">
        <v>4</v>
      </c>
      <c r="T1092">
        <v>0</v>
      </c>
      <c r="U1092">
        <v>8</v>
      </c>
      <c r="V1092" s="1" t="s">
        <v>433</v>
      </c>
      <c r="W1092" s="1" t="s">
        <v>172</v>
      </c>
    </row>
    <row r="1093" spans="1:23" x14ac:dyDescent="0.35">
      <c r="A1093">
        <v>5273</v>
      </c>
      <c r="B1093" s="1" t="s">
        <v>3107</v>
      </c>
      <c r="C1093" s="2">
        <v>42751</v>
      </c>
      <c r="D1093" s="2">
        <v>42751</v>
      </c>
      <c r="E1093" s="1" t="s">
        <v>428</v>
      </c>
      <c r="F1093" s="1" t="s">
        <v>2699</v>
      </c>
      <c r="G1093" s="1" t="s">
        <v>2700</v>
      </c>
      <c r="H1093" s="1" t="s">
        <v>93</v>
      </c>
      <c r="I1093" s="1" t="s">
        <v>28</v>
      </c>
      <c r="J1093" s="1" t="s">
        <v>55</v>
      </c>
      <c r="K1093" s="1" t="s">
        <v>56</v>
      </c>
      <c r="L1093">
        <v>90008</v>
      </c>
      <c r="M1093" s="1" t="s">
        <v>57</v>
      </c>
      <c r="N1093" s="1" t="s">
        <v>910</v>
      </c>
      <c r="O1093" s="1" t="s">
        <v>33</v>
      </c>
      <c r="P1093" s="1" t="s">
        <v>48</v>
      </c>
      <c r="Q1093" s="1" t="s">
        <v>911</v>
      </c>
      <c r="R1093">
        <v>400</v>
      </c>
      <c r="S1093">
        <v>7</v>
      </c>
      <c r="T1093">
        <v>0.2</v>
      </c>
      <c r="U1093">
        <v>-15</v>
      </c>
      <c r="V1093" s="1" t="s">
        <v>433</v>
      </c>
      <c r="W1093" s="1" t="s">
        <v>172</v>
      </c>
    </row>
    <row r="1094" spans="1:23" x14ac:dyDescent="0.35">
      <c r="A1094">
        <v>5275</v>
      </c>
      <c r="B1094" s="1" t="s">
        <v>3108</v>
      </c>
      <c r="C1094" s="2">
        <v>42315</v>
      </c>
      <c r="D1094" s="2">
        <v>42317</v>
      </c>
      <c r="E1094" s="1" t="s">
        <v>24</v>
      </c>
      <c r="F1094" s="1" t="s">
        <v>2920</v>
      </c>
      <c r="G1094" s="1" t="s">
        <v>2921</v>
      </c>
      <c r="H1094" s="1" t="s">
        <v>27</v>
      </c>
      <c r="I1094" s="1" t="s">
        <v>28</v>
      </c>
      <c r="J1094" s="1" t="s">
        <v>3034</v>
      </c>
      <c r="K1094" s="1" t="s">
        <v>3109</v>
      </c>
      <c r="L1094">
        <v>5408</v>
      </c>
      <c r="M1094" s="1" t="s">
        <v>70</v>
      </c>
      <c r="N1094" s="1" t="s">
        <v>583</v>
      </c>
      <c r="O1094" s="1" t="s">
        <v>33</v>
      </c>
      <c r="P1094" s="1" t="s">
        <v>39</v>
      </c>
      <c r="Q1094" s="1" t="s">
        <v>584</v>
      </c>
      <c r="R1094">
        <v>715</v>
      </c>
      <c r="S1094">
        <v>3</v>
      </c>
      <c r="T1094">
        <v>0</v>
      </c>
      <c r="U1094">
        <v>179</v>
      </c>
      <c r="V1094" s="1" t="s">
        <v>73</v>
      </c>
      <c r="W1094" s="1" t="s">
        <v>37</v>
      </c>
    </row>
    <row r="1095" spans="1:23" x14ac:dyDescent="0.35">
      <c r="A1095">
        <v>5278</v>
      </c>
      <c r="B1095" s="1" t="s">
        <v>3110</v>
      </c>
      <c r="C1095" s="2">
        <v>41895</v>
      </c>
      <c r="D1095" s="2">
        <v>41899</v>
      </c>
      <c r="E1095" s="1" t="s">
        <v>42</v>
      </c>
      <c r="F1095" s="1" t="s">
        <v>1823</v>
      </c>
      <c r="G1095" s="1" t="s">
        <v>1824</v>
      </c>
      <c r="H1095" s="1" t="s">
        <v>103</v>
      </c>
      <c r="I1095" s="1" t="s">
        <v>28</v>
      </c>
      <c r="J1095" s="1" t="s">
        <v>2551</v>
      </c>
      <c r="K1095" s="1" t="s">
        <v>95</v>
      </c>
      <c r="L1095">
        <v>79762</v>
      </c>
      <c r="M1095" s="1" t="s">
        <v>96</v>
      </c>
      <c r="N1095" s="1" t="s">
        <v>258</v>
      </c>
      <c r="O1095" s="1" t="s">
        <v>33</v>
      </c>
      <c r="P1095" s="1" t="s">
        <v>39</v>
      </c>
      <c r="Q1095" s="1" t="s">
        <v>259</v>
      </c>
      <c r="R1095">
        <v>340</v>
      </c>
      <c r="S1095">
        <v>6</v>
      </c>
      <c r="T1095">
        <v>0.3</v>
      </c>
      <c r="U1095">
        <v>-10</v>
      </c>
      <c r="V1095" s="1" t="s">
        <v>86</v>
      </c>
      <c r="W1095" s="1" t="s">
        <v>80</v>
      </c>
    </row>
    <row r="1096" spans="1:23" x14ac:dyDescent="0.35">
      <c r="A1096">
        <v>5282</v>
      </c>
      <c r="B1096" s="1" t="s">
        <v>3111</v>
      </c>
      <c r="C1096" s="2">
        <v>42252</v>
      </c>
      <c r="D1096" s="2">
        <v>42257</v>
      </c>
      <c r="E1096" s="1" t="s">
        <v>42</v>
      </c>
      <c r="F1096" s="1" t="s">
        <v>2620</v>
      </c>
      <c r="G1096" s="1" t="s">
        <v>2621</v>
      </c>
      <c r="H1096" s="1" t="s">
        <v>93</v>
      </c>
      <c r="I1096" s="1" t="s">
        <v>28</v>
      </c>
      <c r="J1096" s="1" t="s">
        <v>897</v>
      </c>
      <c r="K1096" s="1" t="s">
        <v>169</v>
      </c>
      <c r="L1096">
        <v>55901</v>
      </c>
      <c r="M1096" s="1" t="s">
        <v>96</v>
      </c>
      <c r="N1096" s="1" t="s">
        <v>114</v>
      </c>
      <c r="O1096" s="1" t="s">
        <v>33</v>
      </c>
      <c r="P1096" s="1" t="s">
        <v>59</v>
      </c>
      <c r="Q1096" s="1" t="s">
        <v>115</v>
      </c>
      <c r="R1096">
        <v>6</v>
      </c>
      <c r="S1096">
        <v>2</v>
      </c>
      <c r="T1096">
        <v>0</v>
      </c>
      <c r="U1096">
        <v>3</v>
      </c>
      <c r="V1096" s="1" t="s">
        <v>61</v>
      </c>
      <c r="W1096" s="1" t="s">
        <v>80</v>
      </c>
    </row>
    <row r="1097" spans="1:23" x14ac:dyDescent="0.35">
      <c r="A1097">
        <v>5288</v>
      </c>
      <c r="B1097" s="1" t="s">
        <v>3112</v>
      </c>
      <c r="C1097" s="2">
        <v>42860</v>
      </c>
      <c r="D1097" s="2">
        <v>42861</v>
      </c>
      <c r="E1097" s="1" t="s">
        <v>90</v>
      </c>
      <c r="F1097" s="1" t="s">
        <v>2189</v>
      </c>
      <c r="G1097" s="1" t="s">
        <v>2190</v>
      </c>
      <c r="H1097" s="1" t="s">
        <v>27</v>
      </c>
      <c r="I1097" s="1" t="s">
        <v>28</v>
      </c>
      <c r="J1097" s="1" t="s">
        <v>868</v>
      </c>
      <c r="K1097" s="1" t="s">
        <v>183</v>
      </c>
      <c r="L1097">
        <v>80027</v>
      </c>
      <c r="M1097" s="1" t="s">
        <v>57</v>
      </c>
      <c r="N1097" s="1" t="s">
        <v>1139</v>
      </c>
      <c r="O1097" s="1" t="s">
        <v>33</v>
      </c>
      <c r="P1097" s="1" t="s">
        <v>34</v>
      </c>
      <c r="Q1097" s="1" t="s">
        <v>1140</v>
      </c>
      <c r="R1097">
        <v>90</v>
      </c>
      <c r="S1097">
        <v>3</v>
      </c>
      <c r="T1097">
        <v>0.7</v>
      </c>
      <c r="U1097">
        <v>-153</v>
      </c>
      <c r="V1097" s="1" t="s">
        <v>126</v>
      </c>
      <c r="W1097" s="1" t="s">
        <v>164</v>
      </c>
    </row>
    <row r="1098" spans="1:23" x14ac:dyDescent="0.35">
      <c r="A1098">
        <v>5291</v>
      </c>
      <c r="B1098" s="1" t="s">
        <v>3113</v>
      </c>
      <c r="C1098" s="2">
        <v>41890</v>
      </c>
      <c r="D1098" s="2">
        <v>41897</v>
      </c>
      <c r="E1098" s="1" t="s">
        <v>42</v>
      </c>
      <c r="F1098" s="1" t="s">
        <v>1218</v>
      </c>
      <c r="G1098" s="1" t="s">
        <v>1219</v>
      </c>
      <c r="H1098" s="1" t="s">
        <v>27</v>
      </c>
      <c r="I1098" s="1" t="s">
        <v>28</v>
      </c>
      <c r="J1098" s="1" t="s">
        <v>104</v>
      </c>
      <c r="K1098" s="1" t="s">
        <v>95</v>
      </c>
      <c r="L1098">
        <v>77036</v>
      </c>
      <c r="M1098" s="1" t="s">
        <v>96</v>
      </c>
      <c r="N1098" s="1" t="s">
        <v>249</v>
      </c>
      <c r="O1098" s="1" t="s">
        <v>33</v>
      </c>
      <c r="P1098" s="1" t="s">
        <v>39</v>
      </c>
      <c r="Q1098" s="1" t="s">
        <v>250</v>
      </c>
      <c r="R1098">
        <v>967</v>
      </c>
      <c r="S1098">
        <v>5</v>
      </c>
      <c r="T1098">
        <v>0.3</v>
      </c>
      <c r="U1098">
        <v>-14</v>
      </c>
      <c r="V1098" s="1" t="s">
        <v>50</v>
      </c>
      <c r="W1098" s="1" t="s">
        <v>80</v>
      </c>
    </row>
    <row r="1099" spans="1:23" x14ac:dyDescent="0.35">
      <c r="A1099">
        <v>5294</v>
      </c>
      <c r="B1099" s="1" t="s">
        <v>3114</v>
      </c>
      <c r="C1099" s="2">
        <v>42364</v>
      </c>
      <c r="D1099" s="2">
        <v>42368</v>
      </c>
      <c r="E1099" s="1" t="s">
        <v>42</v>
      </c>
      <c r="F1099" s="1" t="s">
        <v>1375</v>
      </c>
      <c r="G1099" s="1" t="s">
        <v>1376</v>
      </c>
      <c r="H1099" s="1" t="s">
        <v>27</v>
      </c>
      <c r="I1099" s="1" t="s">
        <v>28</v>
      </c>
      <c r="J1099" s="1" t="s">
        <v>279</v>
      </c>
      <c r="K1099" s="1" t="s">
        <v>234</v>
      </c>
      <c r="L1099">
        <v>44256</v>
      </c>
      <c r="M1099" s="1" t="s">
        <v>70</v>
      </c>
      <c r="N1099" s="1" t="s">
        <v>1065</v>
      </c>
      <c r="O1099" s="1" t="s">
        <v>33</v>
      </c>
      <c r="P1099" s="1" t="s">
        <v>48</v>
      </c>
      <c r="Q1099" s="1" t="s">
        <v>1066</v>
      </c>
      <c r="R1099">
        <v>52</v>
      </c>
      <c r="S1099">
        <v>1</v>
      </c>
      <c r="T1099">
        <v>0.4</v>
      </c>
      <c r="U1099">
        <v>-15</v>
      </c>
      <c r="V1099" s="1" t="s">
        <v>86</v>
      </c>
      <c r="W1099" s="1" t="s">
        <v>99</v>
      </c>
    </row>
    <row r="1100" spans="1:23" x14ac:dyDescent="0.35">
      <c r="A1100">
        <v>5297</v>
      </c>
      <c r="B1100" s="1" t="s">
        <v>3115</v>
      </c>
      <c r="C1100" s="2">
        <v>42943</v>
      </c>
      <c r="D1100" s="2">
        <v>42947</v>
      </c>
      <c r="E1100" s="1" t="s">
        <v>42</v>
      </c>
      <c r="F1100" s="1" t="s">
        <v>3095</v>
      </c>
      <c r="G1100" s="1" t="s">
        <v>3096</v>
      </c>
      <c r="H1100" s="1" t="s">
        <v>27</v>
      </c>
      <c r="I1100" s="1" t="s">
        <v>28</v>
      </c>
      <c r="J1100" s="1" t="s">
        <v>1036</v>
      </c>
      <c r="K1100" s="1" t="s">
        <v>123</v>
      </c>
      <c r="L1100">
        <v>10701</v>
      </c>
      <c r="M1100" s="1" t="s">
        <v>70</v>
      </c>
      <c r="N1100" s="1" t="s">
        <v>1207</v>
      </c>
      <c r="O1100" s="1" t="s">
        <v>33</v>
      </c>
      <c r="P1100" s="1" t="s">
        <v>59</v>
      </c>
      <c r="Q1100" s="1" t="s">
        <v>1208</v>
      </c>
      <c r="R1100">
        <v>15</v>
      </c>
      <c r="S1100">
        <v>1</v>
      </c>
      <c r="T1100">
        <v>0</v>
      </c>
      <c r="U1100">
        <v>4</v>
      </c>
      <c r="V1100" s="1" t="s">
        <v>86</v>
      </c>
      <c r="W1100" s="1" t="s">
        <v>74</v>
      </c>
    </row>
    <row r="1101" spans="1:23" x14ac:dyDescent="0.35">
      <c r="A1101">
        <v>5301</v>
      </c>
      <c r="B1101" s="1" t="s">
        <v>3116</v>
      </c>
      <c r="C1101" s="2">
        <v>42520</v>
      </c>
      <c r="D1101" s="2">
        <v>42524</v>
      </c>
      <c r="E1101" s="1" t="s">
        <v>42</v>
      </c>
      <c r="F1101" s="1" t="s">
        <v>2579</v>
      </c>
      <c r="G1101" s="1" t="s">
        <v>2580</v>
      </c>
      <c r="H1101" s="1" t="s">
        <v>93</v>
      </c>
      <c r="I1101" s="1" t="s">
        <v>28</v>
      </c>
      <c r="J1101" s="1" t="s">
        <v>881</v>
      </c>
      <c r="K1101" s="1" t="s">
        <v>719</v>
      </c>
      <c r="L1101">
        <v>22153</v>
      </c>
      <c r="M1101" s="1" t="s">
        <v>31</v>
      </c>
      <c r="N1101" s="1" t="s">
        <v>1886</v>
      </c>
      <c r="O1101" s="1" t="s">
        <v>33</v>
      </c>
      <c r="P1101" s="1" t="s">
        <v>48</v>
      </c>
      <c r="Q1101" s="1" t="s">
        <v>1887</v>
      </c>
      <c r="R1101">
        <v>2276</v>
      </c>
      <c r="S1101">
        <v>10</v>
      </c>
      <c r="T1101">
        <v>0</v>
      </c>
      <c r="U1101">
        <v>387</v>
      </c>
      <c r="V1101" s="1" t="s">
        <v>86</v>
      </c>
      <c r="W1101" s="1" t="s">
        <v>164</v>
      </c>
    </row>
    <row r="1102" spans="1:23" x14ac:dyDescent="0.35">
      <c r="A1102">
        <v>5304</v>
      </c>
      <c r="B1102" s="1" t="s">
        <v>3117</v>
      </c>
      <c r="C1102" s="2">
        <v>41959</v>
      </c>
      <c r="D1102" s="2">
        <v>41963</v>
      </c>
      <c r="E1102" s="1" t="s">
        <v>42</v>
      </c>
      <c r="F1102" s="1" t="s">
        <v>3118</v>
      </c>
      <c r="G1102" s="1" t="s">
        <v>3119</v>
      </c>
      <c r="H1102" s="1" t="s">
        <v>27</v>
      </c>
      <c r="I1102" s="1" t="s">
        <v>28</v>
      </c>
      <c r="J1102" s="1" t="s">
        <v>516</v>
      </c>
      <c r="K1102" s="1" t="s">
        <v>137</v>
      </c>
      <c r="L1102">
        <v>62521</v>
      </c>
      <c r="M1102" s="1" t="s">
        <v>96</v>
      </c>
      <c r="N1102" s="1" t="s">
        <v>2011</v>
      </c>
      <c r="O1102" s="1" t="s">
        <v>33</v>
      </c>
      <c r="P1102" s="1" t="s">
        <v>39</v>
      </c>
      <c r="Q1102" s="1" t="s">
        <v>2012</v>
      </c>
      <c r="R1102">
        <v>37</v>
      </c>
      <c r="S1102">
        <v>2</v>
      </c>
      <c r="T1102">
        <v>0.3</v>
      </c>
      <c r="U1102">
        <v>-1</v>
      </c>
      <c r="V1102" s="1" t="s">
        <v>86</v>
      </c>
      <c r="W1102" s="1" t="s">
        <v>37</v>
      </c>
    </row>
    <row r="1103" spans="1:23" x14ac:dyDescent="0.35">
      <c r="A1103">
        <v>5305</v>
      </c>
      <c r="B1103" s="1" t="s">
        <v>3120</v>
      </c>
      <c r="C1103" s="2">
        <v>41903</v>
      </c>
      <c r="D1103" s="2">
        <v>41905</v>
      </c>
      <c r="E1103" s="1" t="s">
        <v>90</v>
      </c>
      <c r="F1103" s="1" t="s">
        <v>527</v>
      </c>
      <c r="G1103" s="1" t="s">
        <v>528</v>
      </c>
      <c r="H1103" s="1" t="s">
        <v>103</v>
      </c>
      <c r="I1103" s="1" t="s">
        <v>28</v>
      </c>
      <c r="J1103" s="1" t="s">
        <v>3121</v>
      </c>
      <c r="K1103" s="1" t="s">
        <v>95</v>
      </c>
      <c r="L1103">
        <v>75043</v>
      </c>
      <c r="M1103" s="1" t="s">
        <v>96</v>
      </c>
      <c r="N1103" s="1" t="s">
        <v>2143</v>
      </c>
      <c r="O1103" s="1" t="s">
        <v>33</v>
      </c>
      <c r="P1103" s="1" t="s">
        <v>59</v>
      </c>
      <c r="Q1103" s="1" t="s">
        <v>2144</v>
      </c>
      <c r="R1103">
        <v>9</v>
      </c>
      <c r="S1103">
        <v>2</v>
      </c>
      <c r="T1103">
        <v>0.6</v>
      </c>
      <c r="U1103">
        <v>-7</v>
      </c>
      <c r="V1103" s="1" t="s">
        <v>73</v>
      </c>
      <c r="W1103" s="1" t="s">
        <v>80</v>
      </c>
    </row>
    <row r="1104" spans="1:23" x14ac:dyDescent="0.35">
      <c r="A1104">
        <v>5306</v>
      </c>
      <c r="B1104" s="1" t="s">
        <v>3122</v>
      </c>
      <c r="C1104" s="2">
        <v>42421</v>
      </c>
      <c r="D1104" s="2">
        <v>42426</v>
      </c>
      <c r="E1104" s="1" t="s">
        <v>42</v>
      </c>
      <c r="F1104" s="1" t="s">
        <v>801</v>
      </c>
      <c r="G1104" s="1" t="s">
        <v>802</v>
      </c>
      <c r="H1104" s="1" t="s">
        <v>93</v>
      </c>
      <c r="I1104" s="1" t="s">
        <v>28</v>
      </c>
      <c r="J1104" s="1" t="s">
        <v>764</v>
      </c>
      <c r="K1104" s="1" t="s">
        <v>123</v>
      </c>
      <c r="L1104">
        <v>11572</v>
      </c>
      <c r="M1104" s="1" t="s">
        <v>70</v>
      </c>
      <c r="N1104" s="1" t="s">
        <v>177</v>
      </c>
      <c r="O1104" s="1" t="s">
        <v>33</v>
      </c>
      <c r="P1104" s="1" t="s">
        <v>59</v>
      </c>
      <c r="Q1104" s="1" t="s">
        <v>178</v>
      </c>
      <c r="R1104">
        <v>69</v>
      </c>
      <c r="S1104">
        <v>5</v>
      </c>
      <c r="T1104">
        <v>0</v>
      </c>
      <c r="U1104">
        <v>29</v>
      </c>
      <c r="V1104" s="1" t="s">
        <v>61</v>
      </c>
      <c r="W1104" s="1" t="s">
        <v>300</v>
      </c>
    </row>
    <row r="1105" spans="1:23" x14ac:dyDescent="0.35">
      <c r="A1105">
        <v>5309</v>
      </c>
      <c r="B1105" s="1" t="s">
        <v>3123</v>
      </c>
      <c r="C1105" s="2">
        <v>43058</v>
      </c>
      <c r="D1105" s="2">
        <v>43060</v>
      </c>
      <c r="E1105" s="1" t="s">
        <v>90</v>
      </c>
      <c r="F1105" s="1" t="s">
        <v>2574</v>
      </c>
      <c r="G1105" s="1" t="s">
        <v>2575</v>
      </c>
      <c r="H1105" s="1" t="s">
        <v>27</v>
      </c>
      <c r="I1105" s="1" t="s">
        <v>28</v>
      </c>
      <c r="J1105" s="1" t="s">
        <v>104</v>
      </c>
      <c r="K1105" s="1" t="s">
        <v>95</v>
      </c>
      <c r="L1105">
        <v>77095</v>
      </c>
      <c r="M1105" s="1" t="s">
        <v>96</v>
      </c>
      <c r="N1105" s="1" t="s">
        <v>1620</v>
      </c>
      <c r="O1105" s="1" t="s">
        <v>33</v>
      </c>
      <c r="P1105" s="1" t="s">
        <v>39</v>
      </c>
      <c r="Q1105" s="1" t="s">
        <v>1621</v>
      </c>
      <c r="R1105">
        <v>191</v>
      </c>
      <c r="S1105">
        <v>3</v>
      </c>
      <c r="T1105">
        <v>0.3</v>
      </c>
      <c r="U1105">
        <v>-46</v>
      </c>
      <c r="V1105" s="1" t="s">
        <v>73</v>
      </c>
      <c r="W1105" s="1" t="s">
        <v>37</v>
      </c>
    </row>
    <row r="1106" spans="1:23" x14ac:dyDescent="0.35">
      <c r="A1106">
        <v>5314</v>
      </c>
      <c r="B1106" s="1" t="s">
        <v>3124</v>
      </c>
      <c r="C1106" s="2">
        <v>42855</v>
      </c>
      <c r="D1106" s="2">
        <v>42860</v>
      </c>
      <c r="E1106" s="1" t="s">
        <v>42</v>
      </c>
      <c r="F1106" s="1" t="s">
        <v>400</v>
      </c>
      <c r="G1106" s="1" t="s">
        <v>401</v>
      </c>
      <c r="H1106" s="1" t="s">
        <v>93</v>
      </c>
      <c r="I1106" s="1" t="s">
        <v>28</v>
      </c>
      <c r="J1106" s="1" t="s">
        <v>331</v>
      </c>
      <c r="K1106" s="1" t="s">
        <v>56</v>
      </c>
      <c r="L1106">
        <v>94110</v>
      </c>
      <c r="M1106" s="1" t="s">
        <v>57</v>
      </c>
      <c r="N1106" s="1" t="s">
        <v>759</v>
      </c>
      <c r="O1106" s="1" t="s">
        <v>33</v>
      </c>
      <c r="P1106" s="1" t="s">
        <v>59</v>
      </c>
      <c r="Q1106" s="1" t="s">
        <v>760</v>
      </c>
      <c r="R1106">
        <v>65</v>
      </c>
      <c r="S1106">
        <v>2</v>
      </c>
      <c r="T1106">
        <v>0</v>
      </c>
      <c r="U1106">
        <v>21</v>
      </c>
      <c r="V1106" s="1" t="s">
        <v>61</v>
      </c>
      <c r="W1106" s="1" t="s">
        <v>116</v>
      </c>
    </row>
    <row r="1107" spans="1:23" x14ac:dyDescent="0.35">
      <c r="A1107">
        <v>5316</v>
      </c>
      <c r="B1107" s="1" t="s">
        <v>3125</v>
      </c>
      <c r="C1107" s="2">
        <v>42492</v>
      </c>
      <c r="D1107" s="2">
        <v>42498</v>
      </c>
      <c r="E1107" s="1" t="s">
        <v>42</v>
      </c>
      <c r="F1107" s="1" t="s">
        <v>2051</v>
      </c>
      <c r="G1107" s="1" t="s">
        <v>2052</v>
      </c>
      <c r="H1107" s="1" t="s">
        <v>27</v>
      </c>
      <c r="I1107" s="1" t="s">
        <v>28</v>
      </c>
      <c r="J1107" s="1" t="s">
        <v>2572</v>
      </c>
      <c r="K1107" s="1" t="s">
        <v>1039</v>
      </c>
      <c r="L1107">
        <v>27405</v>
      </c>
      <c r="M1107" s="1" t="s">
        <v>31</v>
      </c>
      <c r="N1107" s="1" t="s">
        <v>1006</v>
      </c>
      <c r="O1107" s="1" t="s">
        <v>33</v>
      </c>
      <c r="P1107" s="1" t="s">
        <v>39</v>
      </c>
      <c r="Q1107" s="1" t="s">
        <v>1007</v>
      </c>
      <c r="R1107">
        <v>187</v>
      </c>
      <c r="S1107">
        <v>9</v>
      </c>
      <c r="T1107">
        <v>0.2</v>
      </c>
      <c r="U1107">
        <v>12</v>
      </c>
      <c r="V1107" s="1" t="s">
        <v>132</v>
      </c>
      <c r="W1107" s="1" t="s">
        <v>164</v>
      </c>
    </row>
    <row r="1108" spans="1:23" x14ac:dyDescent="0.35">
      <c r="A1108">
        <v>5317</v>
      </c>
      <c r="B1108" s="1" t="s">
        <v>3126</v>
      </c>
      <c r="C1108" s="2">
        <v>43010</v>
      </c>
      <c r="D1108" s="2">
        <v>43013</v>
      </c>
      <c r="E1108" s="1" t="s">
        <v>90</v>
      </c>
      <c r="F1108" s="1" t="s">
        <v>2434</v>
      </c>
      <c r="G1108" s="1" t="s">
        <v>2435</v>
      </c>
      <c r="H1108" s="1" t="s">
        <v>103</v>
      </c>
      <c r="I1108" s="1" t="s">
        <v>28</v>
      </c>
      <c r="J1108" s="1" t="s">
        <v>3127</v>
      </c>
      <c r="K1108" s="1" t="s">
        <v>144</v>
      </c>
      <c r="L1108">
        <v>37918</v>
      </c>
      <c r="M1108" s="1" t="s">
        <v>31</v>
      </c>
      <c r="N1108" s="1" t="s">
        <v>1721</v>
      </c>
      <c r="O1108" s="1" t="s">
        <v>33</v>
      </c>
      <c r="P1108" s="1" t="s">
        <v>59</v>
      </c>
      <c r="Q1108" s="1" t="s">
        <v>1722</v>
      </c>
      <c r="R1108">
        <v>12</v>
      </c>
      <c r="S1108">
        <v>2</v>
      </c>
      <c r="T1108">
        <v>0.2</v>
      </c>
      <c r="U1108">
        <v>1</v>
      </c>
      <c r="V1108" s="1" t="s">
        <v>36</v>
      </c>
      <c r="W1108" s="1" t="s">
        <v>51</v>
      </c>
    </row>
    <row r="1109" spans="1:23" x14ac:dyDescent="0.35">
      <c r="A1109">
        <v>5318</v>
      </c>
      <c r="B1109" s="1" t="s">
        <v>3126</v>
      </c>
      <c r="C1109" s="2">
        <v>43010</v>
      </c>
      <c r="D1109" s="2">
        <v>43013</v>
      </c>
      <c r="E1109" s="1" t="s">
        <v>90</v>
      </c>
      <c r="F1109" s="1" t="s">
        <v>2434</v>
      </c>
      <c r="G1109" s="1" t="s">
        <v>2435</v>
      </c>
      <c r="H1109" s="1" t="s">
        <v>103</v>
      </c>
      <c r="I1109" s="1" t="s">
        <v>28</v>
      </c>
      <c r="J1109" s="1" t="s">
        <v>3127</v>
      </c>
      <c r="K1109" s="1" t="s">
        <v>144</v>
      </c>
      <c r="L1109">
        <v>37918</v>
      </c>
      <c r="M1109" s="1" t="s">
        <v>31</v>
      </c>
      <c r="N1109" s="1" t="s">
        <v>554</v>
      </c>
      <c r="O1109" s="1" t="s">
        <v>33</v>
      </c>
      <c r="P1109" s="1" t="s">
        <v>59</v>
      </c>
      <c r="Q1109" s="1" t="s">
        <v>3128</v>
      </c>
      <c r="R1109">
        <v>10</v>
      </c>
      <c r="S1109">
        <v>1</v>
      </c>
      <c r="T1109">
        <v>0.2</v>
      </c>
      <c r="U1109">
        <v>2</v>
      </c>
      <c r="V1109" s="1" t="s">
        <v>36</v>
      </c>
      <c r="W1109" s="1" t="s">
        <v>51</v>
      </c>
    </row>
    <row r="1110" spans="1:23" x14ac:dyDescent="0.35">
      <c r="A1110">
        <v>5321</v>
      </c>
      <c r="B1110" s="1" t="s">
        <v>3126</v>
      </c>
      <c r="C1110" s="2">
        <v>43010</v>
      </c>
      <c r="D1110" s="2">
        <v>43013</v>
      </c>
      <c r="E1110" s="1" t="s">
        <v>90</v>
      </c>
      <c r="F1110" s="1" t="s">
        <v>2434</v>
      </c>
      <c r="G1110" s="1" t="s">
        <v>2435</v>
      </c>
      <c r="H1110" s="1" t="s">
        <v>103</v>
      </c>
      <c r="I1110" s="1" t="s">
        <v>28</v>
      </c>
      <c r="J1110" s="1" t="s">
        <v>3127</v>
      </c>
      <c r="K1110" s="1" t="s">
        <v>144</v>
      </c>
      <c r="L1110">
        <v>37918</v>
      </c>
      <c r="M1110" s="1" t="s">
        <v>31</v>
      </c>
      <c r="N1110" s="1" t="s">
        <v>754</v>
      </c>
      <c r="O1110" s="1" t="s">
        <v>33</v>
      </c>
      <c r="P1110" s="1" t="s">
        <v>48</v>
      </c>
      <c r="Q1110" s="1" t="s">
        <v>755</v>
      </c>
      <c r="R1110">
        <v>2314</v>
      </c>
      <c r="S1110">
        <v>7</v>
      </c>
      <c r="T1110">
        <v>0.4</v>
      </c>
      <c r="U1110">
        <v>-1003</v>
      </c>
      <c r="V1110" s="1" t="s">
        <v>36</v>
      </c>
      <c r="W1110" s="1" t="s">
        <v>51</v>
      </c>
    </row>
    <row r="1111" spans="1:23" x14ac:dyDescent="0.35">
      <c r="A1111">
        <v>5323</v>
      </c>
      <c r="B1111" s="1" t="s">
        <v>3126</v>
      </c>
      <c r="C1111" s="2">
        <v>43010</v>
      </c>
      <c r="D1111" s="2">
        <v>43013</v>
      </c>
      <c r="E1111" s="1" t="s">
        <v>90</v>
      </c>
      <c r="F1111" s="1" t="s">
        <v>2434</v>
      </c>
      <c r="G1111" s="1" t="s">
        <v>2435</v>
      </c>
      <c r="H1111" s="1" t="s">
        <v>103</v>
      </c>
      <c r="I1111" s="1" t="s">
        <v>28</v>
      </c>
      <c r="J1111" s="1" t="s">
        <v>3127</v>
      </c>
      <c r="K1111" s="1" t="s">
        <v>144</v>
      </c>
      <c r="L1111">
        <v>37918</v>
      </c>
      <c r="M1111" s="1" t="s">
        <v>31</v>
      </c>
      <c r="N1111" s="1" t="s">
        <v>1131</v>
      </c>
      <c r="O1111" s="1" t="s">
        <v>33</v>
      </c>
      <c r="P1111" s="1" t="s">
        <v>59</v>
      </c>
      <c r="Q1111" s="1" t="s">
        <v>1132</v>
      </c>
      <c r="R1111">
        <v>20</v>
      </c>
      <c r="S1111">
        <v>2</v>
      </c>
      <c r="T1111">
        <v>0.2</v>
      </c>
      <c r="U1111">
        <v>6</v>
      </c>
      <c r="V1111" s="1" t="s">
        <v>36</v>
      </c>
      <c r="W1111" s="1" t="s">
        <v>51</v>
      </c>
    </row>
    <row r="1112" spans="1:23" x14ac:dyDescent="0.35">
      <c r="A1112">
        <v>5326</v>
      </c>
      <c r="B1112" s="1" t="s">
        <v>3129</v>
      </c>
      <c r="C1112" s="2">
        <v>42342</v>
      </c>
      <c r="D1112" s="2">
        <v>42347</v>
      </c>
      <c r="E1112" s="1" t="s">
        <v>42</v>
      </c>
      <c r="F1112" s="1" t="s">
        <v>950</v>
      </c>
      <c r="G1112" s="1" t="s">
        <v>951</v>
      </c>
      <c r="H1112" s="1" t="s">
        <v>27</v>
      </c>
      <c r="I1112" s="1" t="s">
        <v>28</v>
      </c>
      <c r="J1112" s="1" t="s">
        <v>2063</v>
      </c>
      <c r="K1112" s="1" t="s">
        <v>56</v>
      </c>
      <c r="L1112">
        <v>90712</v>
      </c>
      <c r="M1112" s="1" t="s">
        <v>57</v>
      </c>
      <c r="N1112" s="1" t="s">
        <v>1314</v>
      </c>
      <c r="O1112" s="1" t="s">
        <v>33</v>
      </c>
      <c r="P1112" s="1" t="s">
        <v>59</v>
      </c>
      <c r="Q1112" s="1" t="s">
        <v>1315</v>
      </c>
      <c r="R1112">
        <v>25</v>
      </c>
      <c r="S1112">
        <v>6</v>
      </c>
      <c r="T1112">
        <v>0</v>
      </c>
      <c r="U1112">
        <v>9</v>
      </c>
      <c r="V1112" s="1" t="s">
        <v>61</v>
      </c>
      <c r="W1112" s="1" t="s">
        <v>99</v>
      </c>
    </row>
    <row r="1113" spans="1:23" x14ac:dyDescent="0.35">
      <c r="A1113">
        <v>5331</v>
      </c>
      <c r="B1113" s="1" t="s">
        <v>3130</v>
      </c>
      <c r="C1113" s="2">
        <v>42617</v>
      </c>
      <c r="D1113" s="2">
        <v>42621</v>
      </c>
      <c r="E1113" s="1" t="s">
        <v>42</v>
      </c>
      <c r="F1113" s="1" t="s">
        <v>3131</v>
      </c>
      <c r="G1113" s="1" t="s">
        <v>3132</v>
      </c>
      <c r="H1113" s="1" t="s">
        <v>27</v>
      </c>
      <c r="I1113" s="1" t="s">
        <v>28</v>
      </c>
      <c r="J1113" s="1" t="s">
        <v>176</v>
      </c>
      <c r="K1113" s="1" t="s">
        <v>123</v>
      </c>
      <c r="L1113">
        <v>10011</v>
      </c>
      <c r="M1113" s="1" t="s">
        <v>70</v>
      </c>
      <c r="N1113" s="1" t="s">
        <v>1758</v>
      </c>
      <c r="O1113" s="1" t="s">
        <v>33</v>
      </c>
      <c r="P1113" s="1" t="s">
        <v>59</v>
      </c>
      <c r="Q1113" s="1" t="s">
        <v>1759</v>
      </c>
      <c r="R1113">
        <v>64</v>
      </c>
      <c r="S1113">
        <v>1</v>
      </c>
      <c r="T1113">
        <v>0</v>
      </c>
      <c r="U1113">
        <v>25</v>
      </c>
      <c r="V1113" s="1" t="s">
        <v>86</v>
      </c>
      <c r="W1113" s="1" t="s">
        <v>80</v>
      </c>
    </row>
    <row r="1114" spans="1:23" x14ac:dyDescent="0.35">
      <c r="A1114">
        <v>5334</v>
      </c>
      <c r="B1114" s="1" t="s">
        <v>3133</v>
      </c>
      <c r="C1114" s="2">
        <v>41877</v>
      </c>
      <c r="D1114" s="2">
        <v>41883</v>
      </c>
      <c r="E1114" s="1" t="s">
        <v>42</v>
      </c>
      <c r="F1114" s="1" t="s">
        <v>166</v>
      </c>
      <c r="G1114" s="1" t="s">
        <v>167</v>
      </c>
      <c r="H1114" s="1" t="s">
        <v>27</v>
      </c>
      <c r="I1114" s="1" t="s">
        <v>28</v>
      </c>
      <c r="J1114" s="1" t="s">
        <v>233</v>
      </c>
      <c r="K1114" s="1" t="s">
        <v>203</v>
      </c>
      <c r="L1114">
        <v>19711</v>
      </c>
      <c r="M1114" s="1" t="s">
        <v>70</v>
      </c>
      <c r="N1114" s="1" t="s">
        <v>2516</v>
      </c>
      <c r="O1114" s="1" t="s">
        <v>33</v>
      </c>
      <c r="P1114" s="1" t="s">
        <v>59</v>
      </c>
      <c r="Q1114" s="1" t="s">
        <v>2517</v>
      </c>
      <c r="R1114">
        <v>11</v>
      </c>
      <c r="S1114">
        <v>4</v>
      </c>
      <c r="T1114">
        <v>0</v>
      </c>
      <c r="U1114">
        <v>4</v>
      </c>
      <c r="V1114" s="1" t="s">
        <v>132</v>
      </c>
      <c r="W1114" s="1" t="s">
        <v>256</v>
      </c>
    </row>
    <row r="1115" spans="1:23" x14ac:dyDescent="0.35">
      <c r="A1115">
        <v>5355</v>
      </c>
      <c r="B1115" s="1" t="s">
        <v>3134</v>
      </c>
      <c r="C1115" s="2">
        <v>41772</v>
      </c>
      <c r="D1115" s="2">
        <v>41778</v>
      </c>
      <c r="E1115" s="1" t="s">
        <v>42</v>
      </c>
      <c r="F1115" s="1" t="s">
        <v>2374</v>
      </c>
      <c r="G1115" s="1" t="s">
        <v>2375</v>
      </c>
      <c r="H1115" s="1" t="s">
        <v>93</v>
      </c>
      <c r="I1115" s="1" t="s">
        <v>28</v>
      </c>
      <c r="J1115" s="1" t="s">
        <v>55</v>
      </c>
      <c r="K1115" s="1" t="s">
        <v>56</v>
      </c>
      <c r="L1115">
        <v>90004</v>
      </c>
      <c r="M1115" s="1" t="s">
        <v>57</v>
      </c>
      <c r="N1115" s="1" t="s">
        <v>1895</v>
      </c>
      <c r="O1115" s="1" t="s">
        <v>33</v>
      </c>
      <c r="P1115" s="1" t="s">
        <v>39</v>
      </c>
      <c r="Q1115" s="1" t="s">
        <v>1896</v>
      </c>
      <c r="R1115">
        <v>279</v>
      </c>
      <c r="S1115">
        <v>6</v>
      </c>
      <c r="T1115">
        <v>0.2</v>
      </c>
      <c r="U1115">
        <v>21</v>
      </c>
      <c r="V1115" s="1" t="s">
        <v>132</v>
      </c>
      <c r="W1115" s="1" t="s">
        <v>164</v>
      </c>
    </row>
    <row r="1116" spans="1:23" x14ac:dyDescent="0.35">
      <c r="A1116">
        <v>5361</v>
      </c>
      <c r="B1116" s="1" t="s">
        <v>3135</v>
      </c>
      <c r="C1116" s="2">
        <v>42839</v>
      </c>
      <c r="D1116" s="2">
        <v>42843</v>
      </c>
      <c r="E1116" s="1" t="s">
        <v>42</v>
      </c>
      <c r="F1116" s="1" t="s">
        <v>1941</v>
      </c>
      <c r="G1116" s="1" t="s">
        <v>1942</v>
      </c>
      <c r="H1116" s="1" t="s">
        <v>93</v>
      </c>
      <c r="I1116" s="1" t="s">
        <v>28</v>
      </c>
      <c r="J1116" s="1" t="s">
        <v>1914</v>
      </c>
      <c r="K1116" s="1" t="s">
        <v>1039</v>
      </c>
      <c r="L1116">
        <v>28314</v>
      </c>
      <c r="M1116" s="1" t="s">
        <v>31</v>
      </c>
      <c r="N1116" s="1" t="s">
        <v>1178</v>
      </c>
      <c r="O1116" s="1" t="s">
        <v>33</v>
      </c>
      <c r="P1116" s="1" t="s">
        <v>34</v>
      </c>
      <c r="Q1116" s="1" t="s">
        <v>1179</v>
      </c>
      <c r="R1116">
        <v>198</v>
      </c>
      <c r="S1116">
        <v>8</v>
      </c>
      <c r="T1116">
        <v>0.2</v>
      </c>
      <c r="U1116">
        <v>-32</v>
      </c>
      <c r="V1116" s="1" t="s">
        <v>86</v>
      </c>
      <c r="W1116" s="1" t="s">
        <v>116</v>
      </c>
    </row>
    <row r="1117" spans="1:23" x14ac:dyDescent="0.35">
      <c r="A1117">
        <v>5363</v>
      </c>
      <c r="B1117" s="1" t="s">
        <v>3136</v>
      </c>
      <c r="C1117" s="2">
        <v>42733</v>
      </c>
      <c r="D1117" s="2">
        <v>42737</v>
      </c>
      <c r="E1117" s="1" t="s">
        <v>42</v>
      </c>
      <c r="F1117" s="1" t="s">
        <v>827</v>
      </c>
      <c r="G1117" s="1" t="s">
        <v>828</v>
      </c>
      <c r="H1117" s="1" t="s">
        <v>27</v>
      </c>
      <c r="I1117" s="1" t="s">
        <v>28</v>
      </c>
      <c r="J1117" s="1" t="s">
        <v>3137</v>
      </c>
      <c r="K1117" s="1" t="s">
        <v>3138</v>
      </c>
      <c r="L1117">
        <v>67212</v>
      </c>
      <c r="M1117" s="1" t="s">
        <v>96</v>
      </c>
      <c r="N1117" s="1" t="s">
        <v>2412</v>
      </c>
      <c r="O1117" s="1" t="s">
        <v>33</v>
      </c>
      <c r="P1117" s="1" t="s">
        <v>59</v>
      </c>
      <c r="Q1117" s="1" t="s">
        <v>2413</v>
      </c>
      <c r="R1117">
        <v>71</v>
      </c>
      <c r="S1117">
        <v>6</v>
      </c>
      <c r="T1117">
        <v>0</v>
      </c>
      <c r="U1117">
        <v>24</v>
      </c>
      <c r="V1117" s="1" t="s">
        <v>86</v>
      </c>
      <c r="W1117" s="1" t="s">
        <v>99</v>
      </c>
    </row>
    <row r="1118" spans="1:23" x14ac:dyDescent="0.35">
      <c r="A1118">
        <v>5371</v>
      </c>
      <c r="B1118" s="1" t="s">
        <v>3139</v>
      </c>
      <c r="C1118" s="2">
        <v>42833</v>
      </c>
      <c r="D1118" s="2">
        <v>42837</v>
      </c>
      <c r="E1118" s="1" t="s">
        <v>42</v>
      </c>
      <c r="F1118" s="1" t="s">
        <v>3140</v>
      </c>
      <c r="G1118" s="1" t="s">
        <v>3141</v>
      </c>
      <c r="H1118" s="1" t="s">
        <v>93</v>
      </c>
      <c r="I1118" s="1" t="s">
        <v>28</v>
      </c>
      <c r="J1118" s="1" t="s">
        <v>3142</v>
      </c>
      <c r="K1118" s="1" t="s">
        <v>292</v>
      </c>
      <c r="L1118">
        <v>48237</v>
      </c>
      <c r="M1118" s="1" t="s">
        <v>96</v>
      </c>
      <c r="N1118" s="1" t="s">
        <v>1960</v>
      </c>
      <c r="O1118" s="1" t="s">
        <v>33</v>
      </c>
      <c r="P1118" s="1" t="s">
        <v>59</v>
      </c>
      <c r="Q1118" s="1" t="s">
        <v>1961</v>
      </c>
      <c r="R1118">
        <v>274</v>
      </c>
      <c r="S1118">
        <v>2</v>
      </c>
      <c r="T1118">
        <v>0</v>
      </c>
      <c r="U1118">
        <v>71</v>
      </c>
      <c r="V1118" s="1" t="s">
        <v>86</v>
      </c>
      <c r="W1118" s="1" t="s">
        <v>116</v>
      </c>
    </row>
    <row r="1119" spans="1:23" x14ac:dyDescent="0.35">
      <c r="A1119">
        <v>5372</v>
      </c>
      <c r="B1119" s="1" t="s">
        <v>3139</v>
      </c>
      <c r="C1119" s="2">
        <v>42833</v>
      </c>
      <c r="D1119" s="2">
        <v>42837</v>
      </c>
      <c r="E1119" s="1" t="s">
        <v>42</v>
      </c>
      <c r="F1119" s="1" t="s">
        <v>3140</v>
      </c>
      <c r="G1119" s="1" t="s">
        <v>3141</v>
      </c>
      <c r="H1119" s="1" t="s">
        <v>93</v>
      </c>
      <c r="I1119" s="1" t="s">
        <v>28</v>
      </c>
      <c r="J1119" s="1" t="s">
        <v>3142</v>
      </c>
      <c r="K1119" s="1" t="s">
        <v>292</v>
      </c>
      <c r="L1119">
        <v>48237</v>
      </c>
      <c r="M1119" s="1" t="s">
        <v>96</v>
      </c>
      <c r="N1119" s="1" t="s">
        <v>938</v>
      </c>
      <c r="O1119" s="1" t="s">
        <v>33</v>
      </c>
      <c r="P1119" s="1" t="s">
        <v>59</v>
      </c>
      <c r="Q1119" s="1" t="s">
        <v>939</v>
      </c>
      <c r="R1119">
        <v>307</v>
      </c>
      <c r="S1119">
        <v>3</v>
      </c>
      <c r="T1119">
        <v>0</v>
      </c>
      <c r="U1119">
        <v>80</v>
      </c>
      <c r="V1119" s="1" t="s">
        <v>86</v>
      </c>
      <c r="W1119" s="1" t="s">
        <v>116</v>
      </c>
    </row>
    <row r="1120" spans="1:23" x14ac:dyDescent="0.35">
      <c r="A1120">
        <v>5374</v>
      </c>
      <c r="B1120" s="1" t="s">
        <v>3143</v>
      </c>
      <c r="C1120" s="2">
        <v>42301</v>
      </c>
      <c r="D1120" s="2">
        <v>42307</v>
      </c>
      <c r="E1120" s="1" t="s">
        <v>42</v>
      </c>
      <c r="F1120" s="1" t="s">
        <v>3144</v>
      </c>
      <c r="G1120" s="1" t="s">
        <v>3145</v>
      </c>
      <c r="H1120" s="1" t="s">
        <v>93</v>
      </c>
      <c r="I1120" s="1" t="s">
        <v>28</v>
      </c>
      <c r="J1120" s="1" t="s">
        <v>104</v>
      </c>
      <c r="K1120" s="1" t="s">
        <v>95</v>
      </c>
      <c r="L1120">
        <v>77041</v>
      </c>
      <c r="M1120" s="1" t="s">
        <v>96</v>
      </c>
      <c r="N1120" s="1" t="s">
        <v>320</v>
      </c>
      <c r="O1120" s="1" t="s">
        <v>33</v>
      </c>
      <c r="P1120" s="1" t="s">
        <v>48</v>
      </c>
      <c r="Q1120" s="1" t="s">
        <v>321</v>
      </c>
      <c r="R1120">
        <v>347</v>
      </c>
      <c r="S1120">
        <v>7</v>
      </c>
      <c r="T1120">
        <v>0.3</v>
      </c>
      <c r="U1120">
        <v>-69</v>
      </c>
      <c r="V1120" s="1" t="s">
        <v>132</v>
      </c>
      <c r="W1120" s="1" t="s">
        <v>51</v>
      </c>
    </row>
    <row r="1121" spans="1:23" x14ac:dyDescent="0.35">
      <c r="A1121">
        <v>5395</v>
      </c>
      <c r="B1121" s="1" t="s">
        <v>3146</v>
      </c>
      <c r="C1121" s="2">
        <v>41962</v>
      </c>
      <c r="D1121" s="2">
        <v>41968</v>
      </c>
      <c r="E1121" s="1" t="s">
        <v>42</v>
      </c>
      <c r="F1121" s="1" t="s">
        <v>3147</v>
      </c>
      <c r="G1121" s="1" t="s">
        <v>3148</v>
      </c>
      <c r="H1121" s="1" t="s">
        <v>93</v>
      </c>
      <c r="I1121" s="1" t="s">
        <v>28</v>
      </c>
      <c r="J1121" s="1" t="s">
        <v>202</v>
      </c>
      <c r="K1121" s="1" t="s">
        <v>203</v>
      </c>
      <c r="L1121">
        <v>19805</v>
      </c>
      <c r="M1121" s="1" t="s">
        <v>70</v>
      </c>
      <c r="N1121" s="1" t="s">
        <v>1383</v>
      </c>
      <c r="O1121" s="1" t="s">
        <v>33</v>
      </c>
      <c r="P1121" s="1" t="s">
        <v>34</v>
      </c>
      <c r="Q1121" s="1" t="s">
        <v>1384</v>
      </c>
      <c r="R1121">
        <v>1026</v>
      </c>
      <c r="S1121">
        <v>6</v>
      </c>
      <c r="T1121">
        <v>0</v>
      </c>
      <c r="U1121">
        <v>236</v>
      </c>
      <c r="V1121" s="1" t="s">
        <v>132</v>
      </c>
      <c r="W1121" s="1" t="s">
        <v>37</v>
      </c>
    </row>
    <row r="1122" spans="1:23" x14ac:dyDescent="0.35">
      <c r="A1122">
        <v>5397</v>
      </c>
      <c r="B1122" s="1" t="s">
        <v>3149</v>
      </c>
      <c r="C1122" s="2">
        <v>42637</v>
      </c>
      <c r="D1122" s="2">
        <v>42637</v>
      </c>
      <c r="E1122" s="1" t="s">
        <v>428</v>
      </c>
      <c r="F1122" s="1" t="s">
        <v>2384</v>
      </c>
      <c r="G1122" s="1" t="s">
        <v>2385</v>
      </c>
      <c r="H1122" s="1" t="s">
        <v>93</v>
      </c>
      <c r="I1122" s="1" t="s">
        <v>28</v>
      </c>
      <c r="J1122" s="1" t="s">
        <v>331</v>
      </c>
      <c r="K1122" s="1" t="s">
        <v>56</v>
      </c>
      <c r="L1122">
        <v>94110</v>
      </c>
      <c r="M1122" s="1" t="s">
        <v>57</v>
      </c>
      <c r="N1122" s="1" t="s">
        <v>1837</v>
      </c>
      <c r="O1122" s="1" t="s">
        <v>33</v>
      </c>
      <c r="P1122" s="1" t="s">
        <v>59</v>
      </c>
      <c r="Q1122" s="1" t="s">
        <v>1838</v>
      </c>
      <c r="R1122">
        <v>63</v>
      </c>
      <c r="S1122">
        <v>5</v>
      </c>
      <c r="T1122">
        <v>0</v>
      </c>
      <c r="U1122">
        <v>23</v>
      </c>
      <c r="V1122" s="1" t="s">
        <v>433</v>
      </c>
      <c r="W1122" s="1" t="s">
        <v>80</v>
      </c>
    </row>
    <row r="1123" spans="1:23" x14ac:dyDescent="0.35">
      <c r="A1123">
        <v>5400</v>
      </c>
      <c r="B1123" s="1" t="s">
        <v>3150</v>
      </c>
      <c r="C1123" s="2">
        <v>42469</v>
      </c>
      <c r="D1123" s="2">
        <v>42474</v>
      </c>
      <c r="E1123" s="1" t="s">
        <v>42</v>
      </c>
      <c r="F1123" s="1" t="s">
        <v>2038</v>
      </c>
      <c r="G1123" s="1" t="s">
        <v>2039</v>
      </c>
      <c r="H1123" s="1" t="s">
        <v>27</v>
      </c>
      <c r="I1123" s="1" t="s">
        <v>28</v>
      </c>
      <c r="J1123" s="1" t="s">
        <v>55</v>
      </c>
      <c r="K1123" s="1" t="s">
        <v>56</v>
      </c>
      <c r="L1123">
        <v>90004</v>
      </c>
      <c r="M1123" s="1" t="s">
        <v>57</v>
      </c>
      <c r="N1123" s="1" t="s">
        <v>32</v>
      </c>
      <c r="O1123" s="1" t="s">
        <v>33</v>
      </c>
      <c r="P1123" s="1" t="s">
        <v>34</v>
      </c>
      <c r="Q1123" s="1" t="s">
        <v>35</v>
      </c>
      <c r="R1123">
        <v>557</v>
      </c>
      <c r="S1123">
        <v>5</v>
      </c>
      <c r="T1123">
        <v>0.15</v>
      </c>
      <c r="U1123">
        <v>7</v>
      </c>
      <c r="V1123" s="1" t="s">
        <v>61</v>
      </c>
      <c r="W1123" s="1" t="s">
        <v>116</v>
      </c>
    </row>
    <row r="1124" spans="1:23" x14ac:dyDescent="0.35">
      <c r="A1124">
        <v>5427</v>
      </c>
      <c r="B1124" s="1" t="s">
        <v>3151</v>
      </c>
      <c r="C1124" s="2">
        <v>42707</v>
      </c>
      <c r="D1124" s="2">
        <v>42710</v>
      </c>
      <c r="E1124" s="1" t="s">
        <v>90</v>
      </c>
      <c r="F1124" s="1" t="s">
        <v>1312</v>
      </c>
      <c r="G1124" s="1" t="s">
        <v>1313</v>
      </c>
      <c r="H1124" s="1" t="s">
        <v>27</v>
      </c>
      <c r="I1124" s="1" t="s">
        <v>28</v>
      </c>
      <c r="J1124" s="1" t="s">
        <v>55</v>
      </c>
      <c r="K1124" s="1" t="s">
        <v>56</v>
      </c>
      <c r="L1124">
        <v>90045</v>
      </c>
      <c r="M1124" s="1" t="s">
        <v>57</v>
      </c>
      <c r="N1124" s="1" t="s">
        <v>2651</v>
      </c>
      <c r="O1124" s="1" t="s">
        <v>33</v>
      </c>
      <c r="P1124" s="1" t="s">
        <v>59</v>
      </c>
      <c r="Q1124" s="1" t="s">
        <v>2652</v>
      </c>
      <c r="R1124">
        <v>112</v>
      </c>
      <c r="S1124">
        <v>6</v>
      </c>
      <c r="T1124">
        <v>0</v>
      </c>
      <c r="U1124">
        <v>51</v>
      </c>
      <c r="V1124" s="1" t="s">
        <v>36</v>
      </c>
      <c r="W1124" s="1" t="s">
        <v>99</v>
      </c>
    </row>
    <row r="1125" spans="1:23" x14ac:dyDescent="0.35">
      <c r="A1125">
        <v>5428</v>
      </c>
      <c r="B1125" s="1" t="s">
        <v>3152</v>
      </c>
      <c r="C1125" s="2">
        <v>42535</v>
      </c>
      <c r="D1125" s="2">
        <v>42535</v>
      </c>
      <c r="E1125" s="1" t="s">
        <v>428</v>
      </c>
      <c r="F1125" s="1" t="s">
        <v>3153</v>
      </c>
      <c r="G1125" s="1" t="s">
        <v>3154</v>
      </c>
      <c r="H1125" s="1" t="s">
        <v>103</v>
      </c>
      <c r="I1125" s="1" t="s">
        <v>28</v>
      </c>
      <c r="J1125" s="1" t="s">
        <v>55</v>
      </c>
      <c r="K1125" s="1" t="s">
        <v>56</v>
      </c>
      <c r="L1125">
        <v>90036</v>
      </c>
      <c r="M1125" s="1" t="s">
        <v>57</v>
      </c>
      <c r="N1125" s="1" t="s">
        <v>2625</v>
      </c>
      <c r="O1125" s="1" t="s">
        <v>33</v>
      </c>
      <c r="P1125" s="1" t="s">
        <v>34</v>
      </c>
      <c r="Q1125" s="1" t="s">
        <v>2626</v>
      </c>
      <c r="R1125">
        <v>599</v>
      </c>
      <c r="S1125">
        <v>5</v>
      </c>
      <c r="T1125">
        <v>0.15</v>
      </c>
      <c r="U1125">
        <v>35</v>
      </c>
      <c r="V1125" s="1" t="s">
        <v>433</v>
      </c>
      <c r="W1125" s="1" t="s">
        <v>62</v>
      </c>
    </row>
    <row r="1126" spans="1:23" x14ac:dyDescent="0.35">
      <c r="A1126">
        <v>5430</v>
      </c>
      <c r="B1126" s="1" t="s">
        <v>3155</v>
      </c>
      <c r="C1126" s="2">
        <v>41887</v>
      </c>
      <c r="D1126" s="2">
        <v>41889</v>
      </c>
      <c r="E1126" s="1" t="s">
        <v>90</v>
      </c>
      <c r="F1126" s="1" t="s">
        <v>2396</v>
      </c>
      <c r="G1126" s="1" t="s">
        <v>2397</v>
      </c>
      <c r="H1126" s="1" t="s">
        <v>27</v>
      </c>
      <c r="I1126" s="1" t="s">
        <v>28</v>
      </c>
      <c r="J1126" s="1" t="s">
        <v>792</v>
      </c>
      <c r="K1126" s="1" t="s">
        <v>46</v>
      </c>
      <c r="L1126">
        <v>33710</v>
      </c>
      <c r="M1126" s="1" t="s">
        <v>31</v>
      </c>
      <c r="N1126" s="1" t="s">
        <v>403</v>
      </c>
      <c r="O1126" s="1" t="s">
        <v>33</v>
      </c>
      <c r="P1126" s="1" t="s">
        <v>59</v>
      </c>
      <c r="Q1126" s="1" t="s">
        <v>404</v>
      </c>
      <c r="R1126">
        <v>32</v>
      </c>
      <c r="S1126">
        <v>2</v>
      </c>
      <c r="T1126">
        <v>0.2</v>
      </c>
      <c r="U1126">
        <v>2</v>
      </c>
      <c r="V1126" s="1" t="s">
        <v>73</v>
      </c>
      <c r="W1126" s="1" t="s">
        <v>80</v>
      </c>
    </row>
    <row r="1127" spans="1:23" x14ac:dyDescent="0.35">
      <c r="A1127">
        <v>5437</v>
      </c>
      <c r="B1127" s="1" t="s">
        <v>3156</v>
      </c>
      <c r="C1127" s="2">
        <v>41825</v>
      </c>
      <c r="D1127" s="2">
        <v>41828</v>
      </c>
      <c r="E1127" s="1" t="s">
        <v>90</v>
      </c>
      <c r="F1127" s="1" t="s">
        <v>3157</v>
      </c>
      <c r="G1127" s="1" t="s">
        <v>3158</v>
      </c>
      <c r="H1127" s="1" t="s">
        <v>93</v>
      </c>
      <c r="I1127" s="1" t="s">
        <v>28</v>
      </c>
      <c r="J1127" s="1" t="s">
        <v>3159</v>
      </c>
      <c r="K1127" s="1" t="s">
        <v>46</v>
      </c>
      <c r="L1127">
        <v>32137</v>
      </c>
      <c r="M1127" s="1" t="s">
        <v>31</v>
      </c>
      <c r="N1127" s="1" t="s">
        <v>1485</v>
      </c>
      <c r="O1127" s="1" t="s">
        <v>33</v>
      </c>
      <c r="P1127" s="1" t="s">
        <v>59</v>
      </c>
      <c r="Q1127" s="1" t="s">
        <v>1486</v>
      </c>
      <c r="R1127">
        <v>20</v>
      </c>
      <c r="S1127">
        <v>2</v>
      </c>
      <c r="T1127">
        <v>0.2</v>
      </c>
      <c r="U1127">
        <v>5</v>
      </c>
      <c r="V1127" s="1" t="s">
        <v>36</v>
      </c>
      <c r="W1127" s="1" t="s">
        <v>74</v>
      </c>
    </row>
    <row r="1128" spans="1:23" x14ac:dyDescent="0.35">
      <c r="A1128">
        <v>5439</v>
      </c>
      <c r="B1128" s="1" t="s">
        <v>3156</v>
      </c>
      <c r="C1128" s="2">
        <v>41825</v>
      </c>
      <c r="D1128" s="2">
        <v>41828</v>
      </c>
      <c r="E1128" s="1" t="s">
        <v>90</v>
      </c>
      <c r="F1128" s="1" t="s">
        <v>3157</v>
      </c>
      <c r="G1128" s="1" t="s">
        <v>3158</v>
      </c>
      <c r="H1128" s="1" t="s">
        <v>93</v>
      </c>
      <c r="I1128" s="1" t="s">
        <v>28</v>
      </c>
      <c r="J1128" s="1" t="s">
        <v>3159</v>
      </c>
      <c r="K1128" s="1" t="s">
        <v>46</v>
      </c>
      <c r="L1128">
        <v>32137</v>
      </c>
      <c r="M1128" s="1" t="s">
        <v>31</v>
      </c>
      <c r="N1128" s="1" t="s">
        <v>3160</v>
      </c>
      <c r="O1128" s="1" t="s">
        <v>33</v>
      </c>
      <c r="P1128" s="1" t="s">
        <v>59</v>
      </c>
      <c r="Q1128" s="1" t="s">
        <v>3161</v>
      </c>
      <c r="R1128">
        <v>213</v>
      </c>
      <c r="S1128">
        <v>3</v>
      </c>
      <c r="T1128">
        <v>0.2</v>
      </c>
      <c r="U1128">
        <v>16</v>
      </c>
      <c r="V1128" s="1" t="s">
        <v>36</v>
      </c>
      <c r="W1128" s="1" t="s">
        <v>74</v>
      </c>
    </row>
    <row r="1129" spans="1:23" x14ac:dyDescent="0.35">
      <c r="A1129">
        <v>5452</v>
      </c>
      <c r="B1129" s="1" t="s">
        <v>3162</v>
      </c>
      <c r="C1129" s="2">
        <v>41894</v>
      </c>
      <c r="D1129" s="2">
        <v>41901</v>
      </c>
      <c r="E1129" s="1" t="s">
        <v>42</v>
      </c>
      <c r="F1129" s="1" t="s">
        <v>3163</v>
      </c>
      <c r="G1129" s="1" t="s">
        <v>3164</v>
      </c>
      <c r="H1129" s="1" t="s">
        <v>103</v>
      </c>
      <c r="I1129" s="1" t="s">
        <v>28</v>
      </c>
      <c r="J1129" s="1" t="s">
        <v>3165</v>
      </c>
      <c r="K1129" s="1" t="s">
        <v>3138</v>
      </c>
      <c r="L1129">
        <v>66062</v>
      </c>
      <c r="M1129" s="1" t="s">
        <v>96</v>
      </c>
      <c r="N1129" s="1" t="s">
        <v>2321</v>
      </c>
      <c r="O1129" s="1" t="s">
        <v>33</v>
      </c>
      <c r="P1129" s="1" t="s">
        <v>59</v>
      </c>
      <c r="Q1129" s="1" t="s">
        <v>2322</v>
      </c>
      <c r="R1129">
        <v>41</v>
      </c>
      <c r="S1129">
        <v>2</v>
      </c>
      <c r="T1129">
        <v>0</v>
      </c>
      <c r="U1129">
        <v>13</v>
      </c>
      <c r="V1129" s="1" t="s">
        <v>50</v>
      </c>
      <c r="W1129" s="1" t="s">
        <v>80</v>
      </c>
    </row>
    <row r="1130" spans="1:23" x14ac:dyDescent="0.35">
      <c r="A1130">
        <v>5458</v>
      </c>
      <c r="B1130" s="1" t="s">
        <v>3166</v>
      </c>
      <c r="C1130" s="2">
        <v>43098</v>
      </c>
      <c r="D1130" s="2">
        <v>43102</v>
      </c>
      <c r="E1130" s="1" t="s">
        <v>42</v>
      </c>
      <c r="F1130" s="1" t="s">
        <v>266</v>
      </c>
      <c r="G1130" s="1" t="s">
        <v>267</v>
      </c>
      <c r="H1130" s="1" t="s">
        <v>27</v>
      </c>
      <c r="I1130" s="1" t="s">
        <v>28</v>
      </c>
      <c r="J1130" s="1" t="s">
        <v>848</v>
      </c>
      <c r="K1130" s="1" t="s">
        <v>195</v>
      </c>
      <c r="L1130">
        <v>98026</v>
      </c>
      <c r="M1130" s="1" t="s">
        <v>57</v>
      </c>
      <c r="N1130" s="1" t="s">
        <v>1593</v>
      </c>
      <c r="O1130" s="1" t="s">
        <v>33</v>
      </c>
      <c r="P1130" s="1" t="s">
        <v>59</v>
      </c>
      <c r="Q1130" s="1" t="s">
        <v>1594</v>
      </c>
      <c r="R1130">
        <v>68</v>
      </c>
      <c r="S1130">
        <v>2</v>
      </c>
      <c r="T1130">
        <v>0</v>
      </c>
      <c r="U1130">
        <v>21</v>
      </c>
      <c r="V1130" s="1" t="s">
        <v>86</v>
      </c>
      <c r="W1130" s="1" t="s">
        <v>99</v>
      </c>
    </row>
    <row r="1131" spans="1:23" x14ac:dyDescent="0.35">
      <c r="A1131">
        <v>5460</v>
      </c>
      <c r="B1131" s="1" t="s">
        <v>3167</v>
      </c>
      <c r="C1131" s="2">
        <v>42982</v>
      </c>
      <c r="D1131" s="2">
        <v>42984</v>
      </c>
      <c r="E1131" s="1" t="s">
        <v>24</v>
      </c>
      <c r="F1131" s="1" t="s">
        <v>494</v>
      </c>
      <c r="G1131" s="1" t="s">
        <v>495</v>
      </c>
      <c r="H1131" s="1" t="s">
        <v>27</v>
      </c>
      <c r="I1131" s="1" t="s">
        <v>28</v>
      </c>
      <c r="J1131" s="1" t="s">
        <v>331</v>
      </c>
      <c r="K1131" s="1" t="s">
        <v>56</v>
      </c>
      <c r="L1131">
        <v>94122</v>
      </c>
      <c r="M1131" s="1" t="s">
        <v>57</v>
      </c>
      <c r="N1131" s="1" t="s">
        <v>3168</v>
      </c>
      <c r="O1131" s="1" t="s">
        <v>33</v>
      </c>
      <c r="P1131" s="1" t="s">
        <v>48</v>
      </c>
      <c r="Q1131" s="1" t="s">
        <v>3169</v>
      </c>
      <c r="R1131">
        <v>1478</v>
      </c>
      <c r="S1131">
        <v>8</v>
      </c>
      <c r="T1131">
        <v>0.2</v>
      </c>
      <c r="U1131">
        <v>92</v>
      </c>
      <c r="V1131" s="1" t="s">
        <v>73</v>
      </c>
      <c r="W1131" s="1" t="s">
        <v>80</v>
      </c>
    </row>
    <row r="1132" spans="1:23" x14ac:dyDescent="0.35">
      <c r="A1132">
        <v>5462</v>
      </c>
      <c r="B1132" s="1" t="s">
        <v>3170</v>
      </c>
      <c r="C1132" s="2">
        <v>43006</v>
      </c>
      <c r="D1132" s="2">
        <v>43012</v>
      </c>
      <c r="E1132" s="1" t="s">
        <v>42</v>
      </c>
      <c r="F1132" s="1" t="s">
        <v>636</v>
      </c>
      <c r="G1132" s="1" t="s">
        <v>637</v>
      </c>
      <c r="H1132" s="1" t="s">
        <v>27</v>
      </c>
      <c r="I1132" s="1" t="s">
        <v>28</v>
      </c>
      <c r="J1132" s="1" t="s">
        <v>55</v>
      </c>
      <c r="K1132" s="1" t="s">
        <v>56</v>
      </c>
      <c r="L1132">
        <v>90032</v>
      </c>
      <c r="M1132" s="1" t="s">
        <v>57</v>
      </c>
      <c r="N1132" s="1" t="s">
        <v>114</v>
      </c>
      <c r="O1132" s="1" t="s">
        <v>33</v>
      </c>
      <c r="P1132" s="1" t="s">
        <v>59</v>
      </c>
      <c r="Q1132" s="1" t="s">
        <v>115</v>
      </c>
      <c r="R1132">
        <v>9</v>
      </c>
      <c r="S1132">
        <v>3</v>
      </c>
      <c r="T1132">
        <v>0</v>
      </c>
      <c r="U1132">
        <v>4</v>
      </c>
      <c r="V1132" s="1" t="s">
        <v>132</v>
      </c>
      <c r="W1132" s="1" t="s">
        <v>80</v>
      </c>
    </row>
    <row r="1133" spans="1:23" x14ac:dyDescent="0.35">
      <c r="A1133">
        <v>5466</v>
      </c>
      <c r="B1133" s="1" t="s">
        <v>3171</v>
      </c>
      <c r="C1133" s="2">
        <v>41658</v>
      </c>
      <c r="D1133" s="2">
        <v>41659</v>
      </c>
      <c r="E1133" s="1" t="s">
        <v>90</v>
      </c>
      <c r="F1133" s="1" t="s">
        <v>2640</v>
      </c>
      <c r="G1133" s="1" t="s">
        <v>2641</v>
      </c>
      <c r="H1133" s="1" t="s">
        <v>27</v>
      </c>
      <c r="I1133" s="1" t="s">
        <v>28</v>
      </c>
      <c r="J1133" s="1" t="s">
        <v>1951</v>
      </c>
      <c r="K1133" s="1" t="s">
        <v>523</v>
      </c>
      <c r="L1133">
        <v>85254</v>
      </c>
      <c r="M1133" s="1" t="s">
        <v>57</v>
      </c>
      <c r="N1133" s="1" t="s">
        <v>459</v>
      </c>
      <c r="O1133" s="1" t="s">
        <v>33</v>
      </c>
      <c r="P1133" s="1" t="s">
        <v>34</v>
      </c>
      <c r="Q1133" s="1" t="s">
        <v>460</v>
      </c>
      <c r="R1133">
        <v>181</v>
      </c>
      <c r="S1133">
        <v>5</v>
      </c>
      <c r="T1133">
        <v>0.7</v>
      </c>
      <c r="U1133">
        <v>-321</v>
      </c>
      <c r="V1133" s="1" t="s">
        <v>126</v>
      </c>
      <c r="W1133" s="1" t="s">
        <v>172</v>
      </c>
    </row>
    <row r="1134" spans="1:23" x14ac:dyDescent="0.35">
      <c r="A1134">
        <v>5468</v>
      </c>
      <c r="B1134" s="1" t="s">
        <v>3172</v>
      </c>
      <c r="C1134" s="2">
        <v>42530</v>
      </c>
      <c r="D1134" s="2">
        <v>42535</v>
      </c>
      <c r="E1134" s="1" t="s">
        <v>42</v>
      </c>
      <c r="F1134" s="1" t="s">
        <v>3173</v>
      </c>
      <c r="G1134" s="1" t="s">
        <v>3174</v>
      </c>
      <c r="H1134" s="1" t="s">
        <v>27</v>
      </c>
      <c r="I1134" s="1" t="s">
        <v>28</v>
      </c>
      <c r="J1134" s="1" t="s">
        <v>331</v>
      </c>
      <c r="K1134" s="1" t="s">
        <v>56</v>
      </c>
      <c r="L1134">
        <v>94109</v>
      </c>
      <c r="M1134" s="1" t="s">
        <v>57</v>
      </c>
      <c r="N1134" s="1" t="s">
        <v>71</v>
      </c>
      <c r="O1134" s="1" t="s">
        <v>33</v>
      </c>
      <c r="P1134" s="1" t="s">
        <v>39</v>
      </c>
      <c r="Q1134" s="1" t="s">
        <v>72</v>
      </c>
      <c r="R1134">
        <v>122</v>
      </c>
      <c r="S1134">
        <v>3</v>
      </c>
      <c r="T1134">
        <v>0.2</v>
      </c>
      <c r="U1134">
        <v>14</v>
      </c>
      <c r="V1134" s="1" t="s">
        <v>61</v>
      </c>
      <c r="W1134" s="1" t="s">
        <v>62</v>
      </c>
    </row>
    <row r="1135" spans="1:23" x14ac:dyDescent="0.35">
      <c r="A1135">
        <v>5469</v>
      </c>
      <c r="B1135" s="1" t="s">
        <v>3175</v>
      </c>
      <c r="C1135" s="2">
        <v>41908</v>
      </c>
      <c r="D1135" s="2">
        <v>41909</v>
      </c>
      <c r="E1135" s="1" t="s">
        <v>90</v>
      </c>
      <c r="F1135" s="1" t="s">
        <v>2274</v>
      </c>
      <c r="G1135" s="1" t="s">
        <v>2275</v>
      </c>
      <c r="H1135" s="1" t="s">
        <v>103</v>
      </c>
      <c r="I1135" s="1" t="s">
        <v>28</v>
      </c>
      <c r="J1135" s="1" t="s">
        <v>642</v>
      </c>
      <c r="K1135" s="1" t="s">
        <v>56</v>
      </c>
      <c r="L1135">
        <v>92105</v>
      </c>
      <c r="M1135" s="1" t="s">
        <v>57</v>
      </c>
      <c r="N1135" s="1" t="s">
        <v>38</v>
      </c>
      <c r="O1135" s="1" t="s">
        <v>33</v>
      </c>
      <c r="P1135" s="1" t="s">
        <v>39</v>
      </c>
      <c r="Q1135" s="1" t="s">
        <v>40</v>
      </c>
      <c r="R1135">
        <v>586</v>
      </c>
      <c r="S1135">
        <v>3</v>
      </c>
      <c r="T1135">
        <v>0.2</v>
      </c>
      <c r="U1135">
        <v>73</v>
      </c>
      <c r="V1135" s="1" t="s">
        <v>126</v>
      </c>
      <c r="W1135" s="1" t="s">
        <v>80</v>
      </c>
    </row>
    <row r="1136" spans="1:23" x14ac:dyDescent="0.35">
      <c r="A1136">
        <v>5472</v>
      </c>
      <c r="B1136" s="1" t="s">
        <v>3176</v>
      </c>
      <c r="C1136" s="2">
        <v>43088</v>
      </c>
      <c r="D1136" s="2">
        <v>43092</v>
      </c>
      <c r="E1136" s="1" t="s">
        <v>42</v>
      </c>
      <c r="F1136" s="1" t="s">
        <v>2387</v>
      </c>
      <c r="G1136" s="1" t="s">
        <v>2388</v>
      </c>
      <c r="H1136" s="1" t="s">
        <v>27</v>
      </c>
      <c r="I1136" s="1" t="s">
        <v>28</v>
      </c>
      <c r="J1136" s="1" t="s">
        <v>561</v>
      </c>
      <c r="K1136" s="1" t="s">
        <v>183</v>
      </c>
      <c r="L1136">
        <v>80134</v>
      </c>
      <c r="M1136" s="1" t="s">
        <v>57</v>
      </c>
      <c r="N1136" s="1" t="s">
        <v>2428</v>
      </c>
      <c r="O1136" s="1" t="s">
        <v>33</v>
      </c>
      <c r="P1136" s="1" t="s">
        <v>59</v>
      </c>
      <c r="Q1136" s="1" t="s">
        <v>2429</v>
      </c>
      <c r="R1136">
        <v>13</v>
      </c>
      <c r="S1136">
        <v>5</v>
      </c>
      <c r="T1136">
        <v>0.2</v>
      </c>
      <c r="U1136">
        <v>4</v>
      </c>
      <c r="V1136" s="1" t="s">
        <v>86</v>
      </c>
      <c r="W1136" s="1" t="s">
        <v>99</v>
      </c>
    </row>
    <row r="1137" spans="1:23" x14ac:dyDescent="0.35">
      <c r="A1137">
        <v>5474</v>
      </c>
      <c r="B1137" s="1" t="s">
        <v>3176</v>
      </c>
      <c r="C1137" s="2">
        <v>43088</v>
      </c>
      <c r="D1137" s="2">
        <v>43092</v>
      </c>
      <c r="E1137" s="1" t="s">
        <v>42</v>
      </c>
      <c r="F1137" s="1" t="s">
        <v>2387</v>
      </c>
      <c r="G1137" s="1" t="s">
        <v>2388</v>
      </c>
      <c r="H1137" s="1" t="s">
        <v>27</v>
      </c>
      <c r="I1137" s="1" t="s">
        <v>28</v>
      </c>
      <c r="J1137" s="1" t="s">
        <v>561</v>
      </c>
      <c r="K1137" s="1" t="s">
        <v>183</v>
      </c>
      <c r="L1137">
        <v>80134</v>
      </c>
      <c r="M1137" s="1" t="s">
        <v>57</v>
      </c>
      <c r="N1137" s="1" t="s">
        <v>1606</v>
      </c>
      <c r="O1137" s="1" t="s">
        <v>33</v>
      </c>
      <c r="P1137" s="1" t="s">
        <v>34</v>
      </c>
      <c r="Q1137" s="1" t="s">
        <v>1607</v>
      </c>
      <c r="R1137">
        <v>102</v>
      </c>
      <c r="S1137">
        <v>7</v>
      </c>
      <c r="T1137">
        <v>0.7</v>
      </c>
      <c r="U1137">
        <v>-184</v>
      </c>
      <c r="V1137" s="1" t="s">
        <v>86</v>
      </c>
      <c r="W1137" s="1" t="s">
        <v>99</v>
      </c>
    </row>
    <row r="1138" spans="1:23" x14ac:dyDescent="0.35">
      <c r="A1138">
        <v>5485</v>
      </c>
      <c r="B1138" s="1" t="s">
        <v>3177</v>
      </c>
      <c r="C1138" s="2">
        <v>42765</v>
      </c>
      <c r="D1138" s="2">
        <v>42770</v>
      </c>
      <c r="E1138" s="1" t="s">
        <v>42</v>
      </c>
      <c r="F1138" s="1" t="s">
        <v>76</v>
      </c>
      <c r="G1138" s="1" t="s">
        <v>77</v>
      </c>
      <c r="H1138" s="1" t="s">
        <v>27</v>
      </c>
      <c r="I1138" s="1" t="s">
        <v>28</v>
      </c>
      <c r="J1138" s="1" t="s">
        <v>1009</v>
      </c>
      <c r="K1138" s="1" t="s">
        <v>46</v>
      </c>
      <c r="L1138">
        <v>33142</v>
      </c>
      <c r="M1138" s="1" t="s">
        <v>31</v>
      </c>
      <c r="N1138" s="1" t="s">
        <v>3178</v>
      </c>
      <c r="O1138" s="1" t="s">
        <v>33</v>
      </c>
      <c r="P1138" s="1" t="s">
        <v>39</v>
      </c>
      <c r="Q1138" s="1" t="s">
        <v>3179</v>
      </c>
      <c r="R1138">
        <v>419</v>
      </c>
      <c r="S1138">
        <v>4</v>
      </c>
      <c r="T1138">
        <v>0.2</v>
      </c>
      <c r="U1138">
        <v>-68</v>
      </c>
      <c r="V1138" s="1" t="s">
        <v>61</v>
      </c>
      <c r="W1138" s="1" t="s">
        <v>172</v>
      </c>
    </row>
    <row r="1139" spans="1:23" x14ac:dyDescent="0.35">
      <c r="A1139">
        <v>5491</v>
      </c>
      <c r="B1139" s="1" t="s">
        <v>3180</v>
      </c>
      <c r="C1139" s="2">
        <v>42826</v>
      </c>
      <c r="D1139" s="2">
        <v>42829</v>
      </c>
      <c r="E1139" s="1" t="s">
        <v>24</v>
      </c>
      <c r="F1139" s="1" t="s">
        <v>1859</v>
      </c>
      <c r="G1139" s="1" t="s">
        <v>1860</v>
      </c>
      <c r="H1139" s="1" t="s">
        <v>93</v>
      </c>
      <c r="I1139" s="1" t="s">
        <v>28</v>
      </c>
      <c r="J1139" s="1" t="s">
        <v>609</v>
      </c>
      <c r="K1139" s="1" t="s">
        <v>46</v>
      </c>
      <c r="L1139">
        <v>32216</v>
      </c>
      <c r="M1139" s="1" t="s">
        <v>31</v>
      </c>
      <c r="N1139" s="1" t="s">
        <v>1620</v>
      </c>
      <c r="O1139" s="1" t="s">
        <v>33</v>
      </c>
      <c r="P1139" s="1" t="s">
        <v>39</v>
      </c>
      <c r="Q1139" s="1" t="s">
        <v>1621</v>
      </c>
      <c r="R1139">
        <v>218</v>
      </c>
      <c r="S1139">
        <v>3</v>
      </c>
      <c r="T1139">
        <v>0.2</v>
      </c>
      <c r="U1139">
        <v>-19</v>
      </c>
      <c r="V1139" s="1" t="s">
        <v>36</v>
      </c>
      <c r="W1139" s="1" t="s">
        <v>116</v>
      </c>
    </row>
    <row r="1140" spans="1:23" x14ac:dyDescent="0.35">
      <c r="A1140">
        <v>5495</v>
      </c>
      <c r="B1140" s="1" t="s">
        <v>3181</v>
      </c>
      <c r="C1140" s="2">
        <v>41971</v>
      </c>
      <c r="D1140" s="2">
        <v>41971</v>
      </c>
      <c r="E1140" s="1" t="s">
        <v>428</v>
      </c>
      <c r="F1140" s="1" t="s">
        <v>2599</v>
      </c>
      <c r="G1140" s="1" t="s">
        <v>2600</v>
      </c>
      <c r="H1140" s="1" t="s">
        <v>103</v>
      </c>
      <c r="I1140" s="1" t="s">
        <v>28</v>
      </c>
      <c r="J1140" s="1" t="s">
        <v>331</v>
      </c>
      <c r="K1140" s="1" t="s">
        <v>56</v>
      </c>
      <c r="L1140">
        <v>94122</v>
      </c>
      <c r="M1140" s="1" t="s">
        <v>57</v>
      </c>
      <c r="N1140" s="1" t="s">
        <v>1477</v>
      </c>
      <c r="O1140" s="1" t="s">
        <v>33</v>
      </c>
      <c r="P1140" s="1" t="s">
        <v>34</v>
      </c>
      <c r="Q1140" s="1" t="s">
        <v>1478</v>
      </c>
      <c r="R1140">
        <v>411</v>
      </c>
      <c r="S1140">
        <v>4</v>
      </c>
      <c r="T1140">
        <v>0.15</v>
      </c>
      <c r="U1140">
        <v>-5</v>
      </c>
      <c r="V1140" s="1" t="s">
        <v>433</v>
      </c>
      <c r="W1140" s="1" t="s">
        <v>37</v>
      </c>
    </row>
    <row r="1141" spans="1:23" x14ac:dyDescent="0.35">
      <c r="A1141">
        <v>5501</v>
      </c>
      <c r="B1141" s="1" t="s">
        <v>3182</v>
      </c>
      <c r="C1141" s="2">
        <v>42931</v>
      </c>
      <c r="D1141" s="2">
        <v>42934</v>
      </c>
      <c r="E1141" s="1" t="s">
        <v>24</v>
      </c>
      <c r="F1141" s="1" t="s">
        <v>1444</v>
      </c>
      <c r="G1141" s="1" t="s">
        <v>1445</v>
      </c>
      <c r="H1141" s="1" t="s">
        <v>27</v>
      </c>
      <c r="I1141" s="1" t="s">
        <v>28</v>
      </c>
      <c r="J1141" s="1" t="s">
        <v>176</v>
      </c>
      <c r="K1141" s="1" t="s">
        <v>123</v>
      </c>
      <c r="L1141">
        <v>10024</v>
      </c>
      <c r="M1141" s="1" t="s">
        <v>70</v>
      </c>
      <c r="N1141" s="1" t="s">
        <v>1750</v>
      </c>
      <c r="O1141" s="1" t="s">
        <v>33</v>
      </c>
      <c r="P1141" s="1" t="s">
        <v>39</v>
      </c>
      <c r="Q1141" s="1" t="s">
        <v>1751</v>
      </c>
      <c r="R1141">
        <v>664</v>
      </c>
      <c r="S1141">
        <v>6</v>
      </c>
      <c r="T1141">
        <v>0.1</v>
      </c>
      <c r="U1141">
        <v>89</v>
      </c>
      <c r="V1141" s="1" t="s">
        <v>36</v>
      </c>
      <c r="W1141" s="1" t="s">
        <v>74</v>
      </c>
    </row>
    <row r="1142" spans="1:23" x14ac:dyDescent="0.35">
      <c r="A1142">
        <v>5503</v>
      </c>
      <c r="B1142" s="1" t="s">
        <v>3183</v>
      </c>
      <c r="C1142" s="2">
        <v>43041</v>
      </c>
      <c r="D1142" s="2">
        <v>43045</v>
      </c>
      <c r="E1142" s="1" t="s">
        <v>42</v>
      </c>
      <c r="F1142" s="1" t="s">
        <v>3184</v>
      </c>
      <c r="G1142" s="1" t="s">
        <v>3185</v>
      </c>
      <c r="H1142" s="1" t="s">
        <v>93</v>
      </c>
      <c r="I1142" s="1" t="s">
        <v>28</v>
      </c>
      <c r="J1142" s="1" t="s">
        <v>68</v>
      </c>
      <c r="K1142" s="1" t="s">
        <v>69</v>
      </c>
      <c r="L1142">
        <v>19140</v>
      </c>
      <c r="M1142" s="1" t="s">
        <v>70</v>
      </c>
      <c r="N1142" s="1" t="s">
        <v>1983</v>
      </c>
      <c r="O1142" s="1" t="s">
        <v>33</v>
      </c>
      <c r="P1142" s="1" t="s">
        <v>59</v>
      </c>
      <c r="Q1142" s="1" t="s">
        <v>1984</v>
      </c>
      <c r="R1142">
        <v>3</v>
      </c>
      <c r="S1142">
        <v>1</v>
      </c>
      <c r="T1142">
        <v>0.2</v>
      </c>
      <c r="U1142">
        <v>1</v>
      </c>
      <c r="V1142" s="1" t="s">
        <v>86</v>
      </c>
      <c r="W1142" s="1" t="s">
        <v>37</v>
      </c>
    </row>
    <row r="1143" spans="1:23" x14ac:dyDescent="0.35">
      <c r="A1143">
        <v>5509</v>
      </c>
      <c r="B1143" s="1" t="s">
        <v>3186</v>
      </c>
      <c r="C1143" s="2">
        <v>42285</v>
      </c>
      <c r="D1143" s="2">
        <v>42289</v>
      </c>
      <c r="E1143" s="1" t="s">
        <v>42</v>
      </c>
      <c r="F1143" s="1" t="s">
        <v>1303</v>
      </c>
      <c r="G1143" s="1" t="s">
        <v>1304</v>
      </c>
      <c r="H1143" s="1" t="s">
        <v>27</v>
      </c>
      <c r="I1143" s="1" t="s">
        <v>28</v>
      </c>
      <c r="J1143" s="1" t="s">
        <v>331</v>
      </c>
      <c r="K1143" s="1" t="s">
        <v>56</v>
      </c>
      <c r="L1143">
        <v>94122</v>
      </c>
      <c r="M1143" s="1" t="s">
        <v>57</v>
      </c>
      <c r="N1143" s="1" t="s">
        <v>392</v>
      </c>
      <c r="O1143" s="1" t="s">
        <v>33</v>
      </c>
      <c r="P1143" s="1" t="s">
        <v>59</v>
      </c>
      <c r="Q1143" s="1" t="s">
        <v>393</v>
      </c>
      <c r="R1143">
        <v>146</v>
      </c>
      <c r="S1143">
        <v>5</v>
      </c>
      <c r="T1143">
        <v>0</v>
      </c>
      <c r="U1143">
        <v>63</v>
      </c>
      <c r="V1143" s="1" t="s">
        <v>86</v>
      </c>
      <c r="W1143" s="1" t="s">
        <v>51</v>
      </c>
    </row>
    <row r="1144" spans="1:23" x14ac:dyDescent="0.35">
      <c r="A1144">
        <v>5518</v>
      </c>
      <c r="B1144" s="1" t="s">
        <v>3187</v>
      </c>
      <c r="C1144" s="2">
        <v>43073</v>
      </c>
      <c r="D1144" s="2">
        <v>43078</v>
      </c>
      <c r="E1144" s="1" t="s">
        <v>42</v>
      </c>
      <c r="F1144" s="1" t="s">
        <v>3188</v>
      </c>
      <c r="G1144" s="1" t="s">
        <v>3189</v>
      </c>
      <c r="H1144" s="1" t="s">
        <v>93</v>
      </c>
      <c r="I1144" s="1" t="s">
        <v>28</v>
      </c>
      <c r="J1144" s="1" t="s">
        <v>68</v>
      </c>
      <c r="K1144" s="1" t="s">
        <v>69</v>
      </c>
      <c r="L1144">
        <v>19134</v>
      </c>
      <c r="M1144" s="1" t="s">
        <v>70</v>
      </c>
      <c r="N1144" s="1" t="s">
        <v>1105</v>
      </c>
      <c r="O1144" s="1" t="s">
        <v>33</v>
      </c>
      <c r="P1144" s="1" t="s">
        <v>39</v>
      </c>
      <c r="Q1144" s="1" t="s">
        <v>1106</v>
      </c>
      <c r="R1144">
        <v>240</v>
      </c>
      <c r="S1144">
        <v>10</v>
      </c>
      <c r="T1144">
        <v>0.3</v>
      </c>
      <c r="U1144">
        <v>-10</v>
      </c>
      <c r="V1144" s="1" t="s">
        <v>61</v>
      </c>
      <c r="W1144" s="1" t="s">
        <v>99</v>
      </c>
    </row>
    <row r="1145" spans="1:23" x14ac:dyDescent="0.35">
      <c r="A1145">
        <v>5519</v>
      </c>
      <c r="B1145" s="1" t="s">
        <v>3187</v>
      </c>
      <c r="C1145" s="2">
        <v>43073</v>
      </c>
      <c r="D1145" s="2">
        <v>43078</v>
      </c>
      <c r="E1145" s="1" t="s">
        <v>42</v>
      </c>
      <c r="F1145" s="1" t="s">
        <v>3188</v>
      </c>
      <c r="G1145" s="1" t="s">
        <v>3189</v>
      </c>
      <c r="H1145" s="1" t="s">
        <v>93</v>
      </c>
      <c r="I1145" s="1" t="s">
        <v>28</v>
      </c>
      <c r="J1145" s="1" t="s">
        <v>68</v>
      </c>
      <c r="K1145" s="1" t="s">
        <v>69</v>
      </c>
      <c r="L1145">
        <v>19134</v>
      </c>
      <c r="M1145" s="1" t="s">
        <v>70</v>
      </c>
      <c r="N1145" s="1" t="s">
        <v>1593</v>
      </c>
      <c r="O1145" s="1" t="s">
        <v>33</v>
      </c>
      <c r="P1145" s="1" t="s">
        <v>59</v>
      </c>
      <c r="Q1145" s="1" t="s">
        <v>1594</v>
      </c>
      <c r="R1145">
        <v>55</v>
      </c>
      <c r="S1145">
        <v>2</v>
      </c>
      <c r="T1145">
        <v>0.2</v>
      </c>
      <c r="U1145">
        <v>7</v>
      </c>
      <c r="V1145" s="1" t="s">
        <v>61</v>
      </c>
      <c r="W1145" s="1" t="s">
        <v>99</v>
      </c>
    </row>
    <row r="1146" spans="1:23" x14ac:dyDescent="0.35">
      <c r="A1146">
        <v>5540</v>
      </c>
      <c r="B1146" s="1" t="s">
        <v>3190</v>
      </c>
      <c r="C1146" s="2">
        <v>42877</v>
      </c>
      <c r="D1146" s="2">
        <v>42881</v>
      </c>
      <c r="E1146" s="1" t="s">
        <v>42</v>
      </c>
      <c r="F1146" s="1" t="s">
        <v>796</v>
      </c>
      <c r="G1146" s="1" t="s">
        <v>797</v>
      </c>
      <c r="H1146" s="1" t="s">
        <v>27</v>
      </c>
      <c r="I1146" s="1" t="s">
        <v>28</v>
      </c>
      <c r="J1146" s="1" t="s">
        <v>136</v>
      </c>
      <c r="K1146" s="1" t="s">
        <v>137</v>
      </c>
      <c r="L1146">
        <v>60653</v>
      </c>
      <c r="M1146" s="1" t="s">
        <v>96</v>
      </c>
      <c r="N1146" s="1" t="s">
        <v>145</v>
      </c>
      <c r="O1146" s="1" t="s">
        <v>33</v>
      </c>
      <c r="P1146" s="1" t="s">
        <v>39</v>
      </c>
      <c r="Q1146" s="1" t="s">
        <v>146</v>
      </c>
      <c r="R1146">
        <v>182</v>
      </c>
      <c r="S1146">
        <v>2</v>
      </c>
      <c r="T1146">
        <v>0.3</v>
      </c>
      <c r="U1146">
        <v>-55</v>
      </c>
      <c r="V1146" s="1" t="s">
        <v>86</v>
      </c>
      <c r="W1146" s="1" t="s">
        <v>164</v>
      </c>
    </row>
    <row r="1147" spans="1:23" x14ac:dyDescent="0.35">
      <c r="A1147">
        <v>5543</v>
      </c>
      <c r="B1147" s="1" t="s">
        <v>3191</v>
      </c>
      <c r="C1147" s="2">
        <v>42723</v>
      </c>
      <c r="D1147" s="2">
        <v>42729</v>
      </c>
      <c r="E1147" s="1" t="s">
        <v>42</v>
      </c>
      <c r="F1147" s="1" t="s">
        <v>2867</v>
      </c>
      <c r="G1147" s="1" t="s">
        <v>2868</v>
      </c>
      <c r="H1147" s="1" t="s">
        <v>93</v>
      </c>
      <c r="I1147" s="1" t="s">
        <v>28</v>
      </c>
      <c r="J1147" s="1" t="s">
        <v>1225</v>
      </c>
      <c r="K1147" s="1" t="s">
        <v>523</v>
      </c>
      <c r="L1147">
        <v>85705</v>
      </c>
      <c r="M1147" s="1" t="s">
        <v>57</v>
      </c>
      <c r="N1147" s="1" t="s">
        <v>3192</v>
      </c>
      <c r="O1147" s="1" t="s">
        <v>33</v>
      </c>
      <c r="P1147" s="1" t="s">
        <v>48</v>
      </c>
      <c r="Q1147" s="1" t="s">
        <v>3193</v>
      </c>
      <c r="R1147">
        <v>456</v>
      </c>
      <c r="S1147">
        <v>6</v>
      </c>
      <c r="T1147">
        <v>0.5</v>
      </c>
      <c r="U1147">
        <v>-219</v>
      </c>
      <c r="V1147" s="1" t="s">
        <v>132</v>
      </c>
      <c r="W1147" s="1" t="s">
        <v>99</v>
      </c>
    </row>
    <row r="1148" spans="1:23" x14ac:dyDescent="0.35">
      <c r="A1148">
        <v>5547</v>
      </c>
      <c r="B1148" s="1" t="s">
        <v>3194</v>
      </c>
      <c r="C1148" s="2">
        <v>42985</v>
      </c>
      <c r="D1148" s="2">
        <v>42986</v>
      </c>
      <c r="E1148" s="1" t="s">
        <v>90</v>
      </c>
      <c r="F1148" s="1" t="s">
        <v>2170</v>
      </c>
      <c r="G1148" s="1" t="s">
        <v>2171</v>
      </c>
      <c r="H1148" s="1" t="s">
        <v>27</v>
      </c>
      <c r="I1148" s="1" t="s">
        <v>28</v>
      </c>
      <c r="J1148" s="1" t="s">
        <v>3195</v>
      </c>
      <c r="K1148" s="1" t="s">
        <v>79</v>
      </c>
      <c r="L1148">
        <v>84020</v>
      </c>
      <c r="M1148" s="1" t="s">
        <v>57</v>
      </c>
      <c r="N1148" s="1" t="s">
        <v>2617</v>
      </c>
      <c r="O1148" s="1" t="s">
        <v>33</v>
      </c>
      <c r="P1148" s="1" t="s">
        <v>59</v>
      </c>
      <c r="Q1148" s="1" t="s">
        <v>2618</v>
      </c>
      <c r="R1148">
        <v>25</v>
      </c>
      <c r="S1148">
        <v>2</v>
      </c>
      <c r="T1148">
        <v>0</v>
      </c>
      <c r="U1148">
        <v>11</v>
      </c>
      <c r="V1148" s="1" t="s">
        <v>126</v>
      </c>
      <c r="W1148" s="1" t="s">
        <v>80</v>
      </c>
    </row>
    <row r="1149" spans="1:23" x14ac:dyDescent="0.35">
      <c r="A1149">
        <v>5555</v>
      </c>
      <c r="B1149" s="1" t="s">
        <v>3196</v>
      </c>
      <c r="C1149" s="2">
        <v>41955</v>
      </c>
      <c r="D1149" s="2">
        <v>41959</v>
      </c>
      <c r="E1149" s="1" t="s">
        <v>42</v>
      </c>
      <c r="F1149" s="1" t="s">
        <v>3197</v>
      </c>
      <c r="G1149" s="1" t="s">
        <v>3198</v>
      </c>
      <c r="H1149" s="1" t="s">
        <v>93</v>
      </c>
      <c r="I1149" s="1" t="s">
        <v>28</v>
      </c>
      <c r="J1149" s="1" t="s">
        <v>104</v>
      </c>
      <c r="K1149" s="1" t="s">
        <v>95</v>
      </c>
      <c r="L1149">
        <v>77036</v>
      </c>
      <c r="M1149" s="1" t="s">
        <v>96</v>
      </c>
      <c r="N1149" s="1" t="s">
        <v>1139</v>
      </c>
      <c r="O1149" s="1" t="s">
        <v>33</v>
      </c>
      <c r="P1149" s="1" t="s">
        <v>34</v>
      </c>
      <c r="Q1149" s="1" t="s">
        <v>1140</v>
      </c>
      <c r="R1149">
        <v>68</v>
      </c>
      <c r="S1149">
        <v>1</v>
      </c>
      <c r="T1149">
        <v>0.32</v>
      </c>
      <c r="U1149">
        <v>-13</v>
      </c>
      <c r="V1149" s="1" t="s">
        <v>86</v>
      </c>
      <c r="W1149" s="1" t="s">
        <v>37</v>
      </c>
    </row>
    <row r="1150" spans="1:23" x14ac:dyDescent="0.35">
      <c r="A1150">
        <v>5556</v>
      </c>
      <c r="B1150" s="1" t="s">
        <v>3199</v>
      </c>
      <c r="C1150" s="2">
        <v>43010</v>
      </c>
      <c r="D1150" s="2">
        <v>43014</v>
      </c>
      <c r="E1150" s="1" t="s">
        <v>24</v>
      </c>
      <c r="F1150" s="1" t="s">
        <v>1323</v>
      </c>
      <c r="G1150" s="1" t="s">
        <v>1324</v>
      </c>
      <c r="H1150" s="1" t="s">
        <v>93</v>
      </c>
      <c r="I1150" s="1" t="s">
        <v>28</v>
      </c>
      <c r="J1150" s="1" t="s">
        <v>1619</v>
      </c>
      <c r="K1150" s="1" t="s">
        <v>1279</v>
      </c>
      <c r="L1150">
        <v>36116</v>
      </c>
      <c r="M1150" s="1" t="s">
        <v>31</v>
      </c>
      <c r="N1150" s="1" t="s">
        <v>2393</v>
      </c>
      <c r="O1150" s="1" t="s">
        <v>33</v>
      </c>
      <c r="P1150" s="1" t="s">
        <v>59</v>
      </c>
      <c r="Q1150" s="1" t="s">
        <v>2394</v>
      </c>
      <c r="R1150">
        <v>10</v>
      </c>
      <c r="S1150">
        <v>2</v>
      </c>
      <c r="T1150">
        <v>0</v>
      </c>
      <c r="U1150">
        <v>3</v>
      </c>
      <c r="V1150" s="1" t="s">
        <v>86</v>
      </c>
      <c r="W1150" s="1" t="s">
        <v>51</v>
      </c>
    </row>
    <row r="1151" spans="1:23" x14ac:dyDescent="0.35">
      <c r="A1151">
        <v>5557</v>
      </c>
      <c r="B1151" s="1" t="s">
        <v>3200</v>
      </c>
      <c r="C1151" s="2">
        <v>42352</v>
      </c>
      <c r="D1151" s="2">
        <v>42356</v>
      </c>
      <c r="E1151" s="1" t="s">
        <v>42</v>
      </c>
      <c r="F1151" s="1" t="s">
        <v>2500</v>
      </c>
      <c r="G1151" s="1" t="s">
        <v>2501</v>
      </c>
      <c r="H1151" s="1" t="s">
        <v>93</v>
      </c>
      <c r="I1151" s="1" t="s">
        <v>28</v>
      </c>
      <c r="J1151" s="1" t="s">
        <v>480</v>
      </c>
      <c r="K1151" s="1" t="s">
        <v>481</v>
      </c>
      <c r="L1151">
        <v>39212</v>
      </c>
      <c r="M1151" s="1" t="s">
        <v>31</v>
      </c>
      <c r="N1151" s="1" t="s">
        <v>2014</v>
      </c>
      <c r="O1151" s="1" t="s">
        <v>33</v>
      </c>
      <c r="P1151" s="1" t="s">
        <v>59</v>
      </c>
      <c r="Q1151" s="1" t="s">
        <v>2015</v>
      </c>
      <c r="R1151">
        <v>6</v>
      </c>
      <c r="S1151">
        <v>2</v>
      </c>
      <c r="T1151">
        <v>0</v>
      </c>
      <c r="U1151">
        <v>2</v>
      </c>
      <c r="V1151" s="1" t="s">
        <v>86</v>
      </c>
      <c r="W1151" s="1" t="s">
        <v>99</v>
      </c>
    </row>
    <row r="1152" spans="1:23" x14ac:dyDescent="0.35">
      <c r="A1152">
        <v>5568</v>
      </c>
      <c r="B1152" s="1" t="s">
        <v>3201</v>
      </c>
      <c r="C1152" s="2">
        <v>42807</v>
      </c>
      <c r="D1152" s="2">
        <v>42807</v>
      </c>
      <c r="E1152" s="1" t="s">
        <v>428</v>
      </c>
      <c r="F1152" s="1" t="s">
        <v>3202</v>
      </c>
      <c r="G1152" s="1" t="s">
        <v>3203</v>
      </c>
      <c r="H1152" s="1" t="s">
        <v>103</v>
      </c>
      <c r="I1152" s="1" t="s">
        <v>28</v>
      </c>
      <c r="J1152" s="1" t="s">
        <v>136</v>
      </c>
      <c r="K1152" s="1" t="s">
        <v>137</v>
      </c>
      <c r="L1152">
        <v>60610</v>
      </c>
      <c r="M1152" s="1" t="s">
        <v>96</v>
      </c>
      <c r="N1152" s="1" t="s">
        <v>2576</v>
      </c>
      <c r="O1152" s="1" t="s">
        <v>33</v>
      </c>
      <c r="P1152" s="1" t="s">
        <v>39</v>
      </c>
      <c r="Q1152" s="1" t="s">
        <v>2577</v>
      </c>
      <c r="R1152">
        <v>90</v>
      </c>
      <c r="S1152">
        <v>1</v>
      </c>
      <c r="T1152">
        <v>0.3</v>
      </c>
      <c r="U1152">
        <v>-3</v>
      </c>
      <c r="V1152" s="1" t="s">
        <v>433</v>
      </c>
      <c r="W1152" s="1" t="s">
        <v>198</v>
      </c>
    </row>
    <row r="1153" spans="1:23" x14ac:dyDescent="0.35">
      <c r="A1153">
        <v>5577</v>
      </c>
      <c r="B1153" s="1" t="s">
        <v>3204</v>
      </c>
      <c r="C1153" s="2">
        <v>42716</v>
      </c>
      <c r="D1153" s="2">
        <v>42720</v>
      </c>
      <c r="E1153" s="1" t="s">
        <v>42</v>
      </c>
      <c r="F1153" s="1" t="s">
        <v>3205</v>
      </c>
      <c r="G1153" s="1" t="s">
        <v>3206</v>
      </c>
      <c r="H1153" s="1" t="s">
        <v>27</v>
      </c>
      <c r="I1153" s="1" t="s">
        <v>28</v>
      </c>
      <c r="J1153" s="1" t="s">
        <v>1188</v>
      </c>
      <c r="K1153" s="1" t="s">
        <v>56</v>
      </c>
      <c r="L1153">
        <v>91104</v>
      </c>
      <c r="M1153" s="1" t="s">
        <v>57</v>
      </c>
      <c r="N1153" s="1" t="s">
        <v>554</v>
      </c>
      <c r="O1153" s="1" t="s">
        <v>33</v>
      </c>
      <c r="P1153" s="1" t="s">
        <v>59</v>
      </c>
      <c r="Q1153" s="1" t="s">
        <v>555</v>
      </c>
      <c r="R1153">
        <v>384</v>
      </c>
      <c r="S1153">
        <v>6</v>
      </c>
      <c r="T1153">
        <v>0</v>
      </c>
      <c r="U1153">
        <v>123</v>
      </c>
      <c r="V1153" s="1" t="s">
        <v>86</v>
      </c>
      <c r="W1153" s="1" t="s">
        <v>99</v>
      </c>
    </row>
    <row r="1154" spans="1:23" x14ac:dyDescent="0.35">
      <c r="A1154">
        <v>5580</v>
      </c>
      <c r="B1154" s="1" t="s">
        <v>3207</v>
      </c>
      <c r="C1154" s="2">
        <v>42987</v>
      </c>
      <c r="D1154" s="2">
        <v>42992</v>
      </c>
      <c r="E1154" s="1" t="s">
        <v>24</v>
      </c>
      <c r="F1154" s="1" t="s">
        <v>2418</v>
      </c>
      <c r="G1154" s="1" t="s">
        <v>2419</v>
      </c>
      <c r="H1154" s="1" t="s">
        <v>27</v>
      </c>
      <c r="I1154" s="1" t="s">
        <v>28</v>
      </c>
      <c r="J1154" s="1" t="s">
        <v>55</v>
      </c>
      <c r="K1154" s="1" t="s">
        <v>56</v>
      </c>
      <c r="L1154">
        <v>90004</v>
      </c>
      <c r="M1154" s="1" t="s">
        <v>57</v>
      </c>
      <c r="N1154" s="1" t="s">
        <v>1659</v>
      </c>
      <c r="O1154" s="1" t="s">
        <v>33</v>
      </c>
      <c r="P1154" s="1" t="s">
        <v>39</v>
      </c>
      <c r="Q1154" s="1" t="s">
        <v>1660</v>
      </c>
      <c r="R1154">
        <v>244</v>
      </c>
      <c r="S1154">
        <v>5</v>
      </c>
      <c r="T1154">
        <v>0.2</v>
      </c>
      <c r="U1154">
        <v>-15</v>
      </c>
      <c r="V1154" s="1" t="s">
        <v>61</v>
      </c>
      <c r="W1154" s="1" t="s">
        <v>80</v>
      </c>
    </row>
    <row r="1155" spans="1:23" x14ac:dyDescent="0.35">
      <c r="A1155">
        <v>5582</v>
      </c>
      <c r="B1155" s="1" t="s">
        <v>3208</v>
      </c>
      <c r="C1155" s="2">
        <v>43012</v>
      </c>
      <c r="D1155" s="2">
        <v>43016</v>
      </c>
      <c r="E1155" s="1" t="s">
        <v>42</v>
      </c>
      <c r="F1155" s="1" t="s">
        <v>134</v>
      </c>
      <c r="G1155" s="1" t="s">
        <v>135</v>
      </c>
      <c r="H1155" s="1" t="s">
        <v>103</v>
      </c>
      <c r="I1155" s="1" t="s">
        <v>28</v>
      </c>
      <c r="J1155" s="1" t="s">
        <v>2525</v>
      </c>
      <c r="K1155" s="1" t="s">
        <v>1092</v>
      </c>
      <c r="L1155">
        <v>20735</v>
      </c>
      <c r="M1155" s="1" t="s">
        <v>70</v>
      </c>
      <c r="N1155" s="1" t="s">
        <v>1124</v>
      </c>
      <c r="O1155" s="1" t="s">
        <v>33</v>
      </c>
      <c r="P1155" s="1" t="s">
        <v>59</v>
      </c>
      <c r="Q1155" s="1" t="s">
        <v>1125</v>
      </c>
      <c r="R1155">
        <v>20</v>
      </c>
      <c r="S1155">
        <v>1</v>
      </c>
      <c r="T1155">
        <v>0</v>
      </c>
      <c r="U1155">
        <v>9</v>
      </c>
      <c r="V1155" s="1" t="s">
        <v>86</v>
      </c>
      <c r="W1155" s="1" t="s">
        <v>51</v>
      </c>
    </row>
    <row r="1156" spans="1:23" x14ac:dyDescent="0.35">
      <c r="A1156">
        <v>5584</v>
      </c>
      <c r="B1156" s="1" t="s">
        <v>3209</v>
      </c>
      <c r="C1156" s="2">
        <v>41988</v>
      </c>
      <c r="D1156" s="2">
        <v>41992</v>
      </c>
      <c r="E1156" s="1" t="s">
        <v>24</v>
      </c>
      <c r="F1156" s="1" t="s">
        <v>343</v>
      </c>
      <c r="G1156" s="1" t="s">
        <v>344</v>
      </c>
      <c r="H1156" s="1" t="s">
        <v>27</v>
      </c>
      <c r="I1156" s="1" t="s">
        <v>28</v>
      </c>
      <c r="J1156" s="1" t="s">
        <v>642</v>
      </c>
      <c r="K1156" s="1" t="s">
        <v>56</v>
      </c>
      <c r="L1156">
        <v>92037</v>
      </c>
      <c r="M1156" s="1" t="s">
        <v>57</v>
      </c>
      <c r="N1156" s="1" t="s">
        <v>2014</v>
      </c>
      <c r="O1156" s="1" t="s">
        <v>33</v>
      </c>
      <c r="P1156" s="1" t="s">
        <v>59</v>
      </c>
      <c r="Q1156" s="1" t="s">
        <v>2015</v>
      </c>
      <c r="R1156">
        <v>6</v>
      </c>
      <c r="S1156">
        <v>2</v>
      </c>
      <c r="T1156">
        <v>0</v>
      </c>
      <c r="U1156">
        <v>2</v>
      </c>
      <c r="V1156" s="1" t="s">
        <v>86</v>
      </c>
      <c r="W1156" s="1" t="s">
        <v>99</v>
      </c>
    </row>
    <row r="1157" spans="1:23" x14ac:dyDescent="0.35">
      <c r="A1157">
        <v>5592</v>
      </c>
      <c r="B1157" s="1" t="s">
        <v>3210</v>
      </c>
      <c r="C1157" s="2">
        <v>41925</v>
      </c>
      <c r="D1157" s="2">
        <v>41930</v>
      </c>
      <c r="E1157" s="1" t="s">
        <v>24</v>
      </c>
      <c r="F1157" s="1" t="s">
        <v>1397</v>
      </c>
      <c r="G1157" s="1" t="s">
        <v>1398</v>
      </c>
      <c r="H1157" s="1" t="s">
        <v>93</v>
      </c>
      <c r="I1157" s="1" t="s">
        <v>28</v>
      </c>
      <c r="J1157" s="1" t="s">
        <v>2063</v>
      </c>
      <c r="K1157" s="1" t="s">
        <v>365</v>
      </c>
      <c r="L1157">
        <v>8701</v>
      </c>
      <c r="M1157" s="1" t="s">
        <v>70</v>
      </c>
      <c r="N1157" s="1" t="s">
        <v>1031</v>
      </c>
      <c r="O1157" s="1" t="s">
        <v>33</v>
      </c>
      <c r="P1157" s="1" t="s">
        <v>39</v>
      </c>
      <c r="Q1157" s="1" t="s">
        <v>1032</v>
      </c>
      <c r="R1157">
        <v>246</v>
      </c>
      <c r="S1157">
        <v>2</v>
      </c>
      <c r="T1157">
        <v>0</v>
      </c>
      <c r="U1157">
        <v>27</v>
      </c>
      <c r="V1157" s="1" t="s">
        <v>61</v>
      </c>
      <c r="W1157" s="1" t="s">
        <v>51</v>
      </c>
    </row>
    <row r="1158" spans="1:23" x14ac:dyDescent="0.35">
      <c r="A1158">
        <v>5606</v>
      </c>
      <c r="B1158" s="1" t="s">
        <v>3211</v>
      </c>
      <c r="C1158" s="2">
        <v>42633</v>
      </c>
      <c r="D1158" s="2">
        <v>42638</v>
      </c>
      <c r="E1158" s="1" t="s">
        <v>42</v>
      </c>
      <c r="F1158" s="1" t="s">
        <v>1462</v>
      </c>
      <c r="G1158" s="1" t="s">
        <v>1463</v>
      </c>
      <c r="H1158" s="1" t="s">
        <v>93</v>
      </c>
      <c r="I1158" s="1" t="s">
        <v>28</v>
      </c>
      <c r="J1158" s="1" t="s">
        <v>2572</v>
      </c>
      <c r="K1158" s="1" t="s">
        <v>1039</v>
      </c>
      <c r="L1158">
        <v>27405</v>
      </c>
      <c r="M1158" s="1" t="s">
        <v>31</v>
      </c>
      <c r="N1158" s="1" t="s">
        <v>2143</v>
      </c>
      <c r="O1158" s="1" t="s">
        <v>33</v>
      </c>
      <c r="P1158" s="1" t="s">
        <v>59</v>
      </c>
      <c r="Q1158" s="1" t="s">
        <v>2144</v>
      </c>
      <c r="R1158">
        <v>17</v>
      </c>
      <c r="S1158">
        <v>2</v>
      </c>
      <c r="T1158">
        <v>0.2</v>
      </c>
      <c r="U1158">
        <v>1</v>
      </c>
      <c r="V1158" s="1" t="s">
        <v>61</v>
      </c>
      <c r="W1158" s="1" t="s">
        <v>80</v>
      </c>
    </row>
    <row r="1159" spans="1:23" x14ac:dyDescent="0.35">
      <c r="A1159">
        <v>5607</v>
      </c>
      <c r="B1159" s="1" t="s">
        <v>3211</v>
      </c>
      <c r="C1159" s="2">
        <v>42633</v>
      </c>
      <c r="D1159" s="2">
        <v>42638</v>
      </c>
      <c r="E1159" s="1" t="s">
        <v>42</v>
      </c>
      <c r="F1159" s="1" t="s">
        <v>1462</v>
      </c>
      <c r="G1159" s="1" t="s">
        <v>1463</v>
      </c>
      <c r="H1159" s="1" t="s">
        <v>93</v>
      </c>
      <c r="I1159" s="1" t="s">
        <v>28</v>
      </c>
      <c r="J1159" s="1" t="s">
        <v>2572</v>
      </c>
      <c r="K1159" s="1" t="s">
        <v>1039</v>
      </c>
      <c r="L1159">
        <v>27405</v>
      </c>
      <c r="M1159" s="1" t="s">
        <v>31</v>
      </c>
      <c r="N1159" s="1" t="s">
        <v>1031</v>
      </c>
      <c r="O1159" s="1" t="s">
        <v>33</v>
      </c>
      <c r="P1159" s="1" t="s">
        <v>39</v>
      </c>
      <c r="Q1159" s="1" t="s">
        <v>1032</v>
      </c>
      <c r="R1159">
        <v>98</v>
      </c>
      <c r="S1159">
        <v>1</v>
      </c>
      <c r="T1159">
        <v>0.2</v>
      </c>
      <c r="U1159">
        <v>-11</v>
      </c>
      <c r="V1159" s="1" t="s">
        <v>61</v>
      </c>
      <c r="W1159" s="1" t="s">
        <v>80</v>
      </c>
    </row>
    <row r="1160" spans="1:23" x14ac:dyDescent="0.35">
      <c r="A1160">
        <v>5618</v>
      </c>
      <c r="B1160" s="1" t="s">
        <v>3212</v>
      </c>
      <c r="C1160" s="2">
        <v>42916</v>
      </c>
      <c r="D1160" s="2">
        <v>42920</v>
      </c>
      <c r="E1160" s="1" t="s">
        <v>42</v>
      </c>
      <c r="F1160" s="1" t="s">
        <v>2219</v>
      </c>
      <c r="G1160" s="1" t="s">
        <v>2220</v>
      </c>
      <c r="H1160" s="1" t="s">
        <v>93</v>
      </c>
      <c r="I1160" s="1" t="s">
        <v>28</v>
      </c>
      <c r="J1160" s="1" t="s">
        <v>143</v>
      </c>
      <c r="K1160" s="1" t="s">
        <v>144</v>
      </c>
      <c r="L1160">
        <v>38109</v>
      </c>
      <c r="M1160" s="1" t="s">
        <v>31</v>
      </c>
      <c r="N1160" s="1" t="s">
        <v>1485</v>
      </c>
      <c r="O1160" s="1" t="s">
        <v>33</v>
      </c>
      <c r="P1160" s="1" t="s">
        <v>59</v>
      </c>
      <c r="Q1160" s="1" t="s">
        <v>1486</v>
      </c>
      <c r="R1160">
        <v>20</v>
      </c>
      <c r="S1160">
        <v>2</v>
      </c>
      <c r="T1160">
        <v>0.2</v>
      </c>
      <c r="U1160">
        <v>5</v>
      </c>
      <c r="V1160" s="1" t="s">
        <v>86</v>
      </c>
      <c r="W1160" s="1" t="s">
        <v>62</v>
      </c>
    </row>
    <row r="1161" spans="1:23" x14ac:dyDescent="0.35">
      <c r="A1161">
        <v>5622</v>
      </c>
      <c r="B1161" s="1" t="s">
        <v>3213</v>
      </c>
      <c r="C1161" s="2">
        <v>42638</v>
      </c>
      <c r="D1161" s="2">
        <v>42643</v>
      </c>
      <c r="E1161" s="1" t="s">
        <v>42</v>
      </c>
      <c r="F1161" s="1" t="s">
        <v>3214</v>
      </c>
      <c r="G1161" s="1" t="s">
        <v>3215</v>
      </c>
      <c r="H1161" s="1" t="s">
        <v>93</v>
      </c>
      <c r="I1161" s="1" t="s">
        <v>28</v>
      </c>
      <c r="J1161" s="1" t="s">
        <v>3216</v>
      </c>
      <c r="K1161" s="1" t="s">
        <v>241</v>
      </c>
      <c r="L1161">
        <v>54601</v>
      </c>
      <c r="M1161" s="1" t="s">
        <v>96</v>
      </c>
      <c r="N1161" s="1" t="s">
        <v>107</v>
      </c>
      <c r="O1161" s="1" t="s">
        <v>33</v>
      </c>
      <c r="P1161" s="1" t="s">
        <v>39</v>
      </c>
      <c r="Q1161" s="1" t="s">
        <v>108</v>
      </c>
      <c r="R1161">
        <v>202</v>
      </c>
      <c r="S1161">
        <v>2</v>
      </c>
      <c r="T1161">
        <v>0</v>
      </c>
      <c r="U1161">
        <v>50</v>
      </c>
      <c r="V1161" s="1" t="s">
        <v>61</v>
      </c>
      <c r="W1161" s="1" t="s">
        <v>80</v>
      </c>
    </row>
    <row r="1162" spans="1:23" x14ac:dyDescent="0.35">
      <c r="A1162">
        <v>5623</v>
      </c>
      <c r="B1162" s="1" t="s">
        <v>3213</v>
      </c>
      <c r="C1162" s="2">
        <v>42638</v>
      </c>
      <c r="D1162" s="2">
        <v>42643</v>
      </c>
      <c r="E1162" s="1" t="s">
        <v>42</v>
      </c>
      <c r="F1162" s="1" t="s">
        <v>3214</v>
      </c>
      <c r="G1162" s="1" t="s">
        <v>3215</v>
      </c>
      <c r="H1162" s="1" t="s">
        <v>93</v>
      </c>
      <c r="I1162" s="1" t="s">
        <v>28</v>
      </c>
      <c r="J1162" s="1" t="s">
        <v>3216</v>
      </c>
      <c r="K1162" s="1" t="s">
        <v>241</v>
      </c>
      <c r="L1162">
        <v>54601</v>
      </c>
      <c r="M1162" s="1" t="s">
        <v>96</v>
      </c>
      <c r="N1162" s="1" t="s">
        <v>2235</v>
      </c>
      <c r="O1162" s="1" t="s">
        <v>33</v>
      </c>
      <c r="P1162" s="1" t="s">
        <v>59</v>
      </c>
      <c r="Q1162" s="1" t="s">
        <v>2236</v>
      </c>
      <c r="R1162">
        <v>69</v>
      </c>
      <c r="S1162">
        <v>11</v>
      </c>
      <c r="T1162">
        <v>0</v>
      </c>
      <c r="U1162">
        <v>17</v>
      </c>
      <c r="V1162" s="1" t="s">
        <v>61</v>
      </c>
      <c r="W1162" s="1" t="s">
        <v>80</v>
      </c>
    </row>
    <row r="1163" spans="1:23" x14ac:dyDescent="0.35">
      <c r="A1163">
        <v>5626</v>
      </c>
      <c r="B1163" s="1" t="s">
        <v>3217</v>
      </c>
      <c r="C1163" s="2">
        <v>41911</v>
      </c>
      <c r="D1163" s="2">
        <v>41913</v>
      </c>
      <c r="E1163" s="1" t="s">
        <v>24</v>
      </c>
      <c r="F1163" s="1" t="s">
        <v>1243</v>
      </c>
      <c r="G1163" s="1" t="s">
        <v>1244</v>
      </c>
      <c r="H1163" s="1" t="s">
        <v>103</v>
      </c>
      <c r="I1163" s="1" t="s">
        <v>28</v>
      </c>
      <c r="J1163" s="1" t="s">
        <v>194</v>
      </c>
      <c r="K1163" s="1" t="s">
        <v>195</v>
      </c>
      <c r="L1163">
        <v>98115</v>
      </c>
      <c r="M1163" s="1" t="s">
        <v>57</v>
      </c>
      <c r="N1163" s="1" t="s">
        <v>114</v>
      </c>
      <c r="O1163" s="1" t="s">
        <v>33</v>
      </c>
      <c r="P1163" s="1" t="s">
        <v>59</v>
      </c>
      <c r="Q1163" s="1" t="s">
        <v>115</v>
      </c>
      <c r="R1163">
        <v>6</v>
      </c>
      <c r="S1163">
        <v>2</v>
      </c>
      <c r="T1163">
        <v>0</v>
      </c>
      <c r="U1163">
        <v>3</v>
      </c>
      <c r="V1163" s="1" t="s">
        <v>73</v>
      </c>
      <c r="W1163" s="1" t="s">
        <v>80</v>
      </c>
    </row>
    <row r="1164" spans="1:23" x14ac:dyDescent="0.35">
      <c r="A1164">
        <v>5627</v>
      </c>
      <c r="B1164" s="1" t="s">
        <v>3217</v>
      </c>
      <c r="C1164" s="2">
        <v>41911</v>
      </c>
      <c r="D1164" s="2">
        <v>41913</v>
      </c>
      <c r="E1164" s="1" t="s">
        <v>24</v>
      </c>
      <c r="F1164" s="1" t="s">
        <v>1243</v>
      </c>
      <c r="G1164" s="1" t="s">
        <v>1244</v>
      </c>
      <c r="H1164" s="1" t="s">
        <v>103</v>
      </c>
      <c r="I1164" s="1" t="s">
        <v>28</v>
      </c>
      <c r="J1164" s="1" t="s">
        <v>194</v>
      </c>
      <c r="K1164" s="1" t="s">
        <v>195</v>
      </c>
      <c r="L1164">
        <v>98115</v>
      </c>
      <c r="M1164" s="1" t="s">
        <v>57</v>
      </c>
      <c r="N1164" s="1" t="s">
        <v>1250</v>
      </c>
      <c r="O1164" s="1" t="s">
        <v>33</v>
      </c>
      <c r="P1164" s="1" t="s">
        <v>48</v>
      </c>
      <c r="Q1164" s="1" t="s">
        <v>1251</v>
      </c>
      <c r="R1164">
        <v>2349</v>
      </c>
      <c r="S1164">
        <v>9</v>
      </c>
      <c r="T1164">
        <v>0</v>
      </c>
      <c r="U1164">
        <v>399</v>
      </c>
      <c r="V1164" s="1" t="s">
        <v>73</v>
      </c>
      <c r="W1164" s="1" t="s">
        <v>80</v>
      </c>
    </row>
    <row r="1165" spans="1:23" x14ac:dyDescent="0.35">
      <c r="A1165">
        <v>5629</v>
      </c>
      <c r="B1165" s="1" t="s">
        <v>3218</v>
      </c>
      <c r="C1165" s="2">
        <v>42912</v>
      </c>
      <c r="D1165" s="2">
        <v>42917</v>
      </c>
      <c r="E1165" s="1" t="s">
        <v>42</v>
      </c>
      <c r="F1165" s="1" t="s">
        <v>335</v>
      </c>
      <c r="G1165" s="1" t="s">
        <v>336</v>
      </c>
      <c r="H1165" s="1" t="s">
        <v>93</v>
      </c>
      <c r="I1165" s="1" t="s">
        <v>28</v>
      </c>
      <c r="J1165" s="1" t="s">
        <v>1009</v>
      </c>
      <c r="K1165" s="1" t="s">
        <v>46</v>
      </c>
      <c r="L1165">
        <v>33180</v>
      </c>
      <c r="M1165" s="1" t="s">
        <v>31</v>
      </c>
      <c r="N1165" s="1" t="s">
        <v>3219</v>
      </c>
      <c r="O1165" s="1" t="s">
        <v>33</v>
      </c>
      <c r="P1165" s="1" t="s">
        <v>39</v>
      </c>
      <c r="Q1165" s="1" t="s">
        <v>3220</v>
      </c>
      <c r="R1165">
        <v>274</v>
      </c>
      <c r="S1165">
        <v>3</v>
      </c>
      <c r="T1165">
        <v>0.2</v>
      </c>
      <c r="U1165">
        <v>-14</v>
      </c>
      <c r="V1165" s="1" t="s">
        <v>61</v>
      </c>
      <c r="W1165" s="1" t="s">
        <v>62</v>
      </c>
    </row>
    <row r="1166" spans="1:23" x14ac:dyDescent="0.35">
      <c r="A1166">
        <v>5630</v>
      </c>
      <c r="B1166" s="1" t="s">
        <v>3221</v>
      </c>
      <c r="C1166" s="2">
        <v>42603</v>
      </c>
      <c r="D1166" s="2">
        <v>42605</v>
      </c>
      <c r="E1166" s="1" t="s">
        <v>24</v>
      </c>
      <c r="F1166" s="1" t="s">
        <v>674</v>
      </c>
      <c r="G1166" s="1" t="s">
        <v>675</v>
      </c>
      <c r="H1166" s="1" t="s">
        <v>103</v>
      </c>
      <c r="I1166" s="1" t="s">
        <v>28</v>
      </c>
      <c r="J1166" s="1" t="s">
        <v>68</v>
      </c>
      <c r="K1166" s="1" t="s">
        <v>69</v>
      </c>
      <c r="L1166">
        <v>19143</v>
      </c>
      <c r="M1166" s="1" t="s">
        <v>70</v>
      </c>
      <c r="N1166" s="1" t="s">
        <v>1287</v>
      </c>
      <c r="O1166" s="1" t="s">
        <v>33</v>
      </c>
      <c r="P1166" s="1" t="s">
        <v>48</v>
      </c>
      <c r="Q1166" s="1" t="s">
        <v>1288</v>
      </c>
      <c r="R1166">
        <v>815</v>
      </c>
      <c r="S1166">
        <v>9</v>
      </c>
      <c r="T1166">
        <v>0.4</v>
      </c>
      <c r="U1166">
        <v>-340</v>
      </c>
      <c r="V1166" s="1" t="s">
        <v>73</v>
      </c>
      <c r="W1166" s="1" t="s">
        <v>256</v>
      </c>
    </row>
    <row r="1167" spans="1:23" x14ac:dyDescent="0.35">
      <c r="A1167">
        <v>5632</v>
      </c>
      <c r="B1167" s="1" t="s">
        <v>3222</v>
      </c>
      <c r="C1167" s="2">
        <v>41681</v>
      </c>
      <c r="D1167" s="2">
        <v>41685</v>
      </c>
      <c r="E1167" s="1" t="s">
        <v>42</v>
      </c>
      <c r="F1167" s="1" t="s">
        <v>478</v>
      </c>
      <c r="G1167" s="1" t="s">
        <v>479</v>
      </c>
      <c r="H1167" s="1" t="s">
        <v>27</v>
      </c>
      <c r="I1167" s="1" t="s">
        <v>28</v>
      </c>
      <c r="J1167" s="1" t="s">
        <v>2123</v>
      </c>
      <c r="K1167" s="1" t="s">
        <v>719</v>
      </c>
      <c r="L1167">
        <v>23320</v>
      </c>
      <c r="M1167" s="1" t="s">
        <v>31</v>
      </c>
      <c r="N1167" s="1" t="s">
        <v>1331</v>
      </c>
      <c r="O1167" s="1" t="s">
        <v>33</v>
      </c>
      <c r="P1167" s="1" t="s">
        <v>48</v>
      </c>
      <c r="Q1167" s="1" t="s">
        <v>1332</v>
      </c>
      <c r="R1167">
        <v>1256</v>
      </c>
      <c r="S1167">
        <v>6</v>
      </c>
      <c r="T1167">
        <v>0</v>
      </c>
      <c r="U1167">
        <v>75</v>
      </c>
      <c r="V1167" s="1" t="s">
        <v>86</v>
      </c>
      <c r="W1167" s="1" t="s">
        <v>300</v>
      </c>
    </row>
    <row r="1168" spans="1:23" x14ac:dyDescent="0.35">
      <c r="A1168">
        <v>5638</v>
      </c>
      <c r="B1168" s="1" t="s">
        <v>3223</v>
      </c>
      <c r="C1168" s="2">
        <v>42820</v>
      </c>
      <c r="D1168" s="2">
        <v>42827</v>
      </c>
      <c r="E1168" s="1" t="s">
        <v>42</v>
      </c>
      <c r="F1168" s="1" t="s">
        <v>3224</v>
      </c>
      <c r="G1168" s="1" t="s">
        <v>3225</v>
      </c>
      <c r="H1168" s="1" t="s">
        <v>93</v>
      </c>
      <c r="I1168" s="1" t="s">
        <v>28</v>
      </c>
      <c r="J1168" s="1" t="s">
        <v>658</v>
      </c>
      <c r="K1168" s="1" t="s">
        <v>292</v>
      </c>
      <c r="L1168">
        <v>48126</v>
      </c>
      <c r="M1168" s="1" t="s">
        <v>96</v>
      </c>
      <c r="N1168" s="1" t="s">
        <v>3226</v>
      </c>
      <c r="O1168" s="1" t="s">
        <v>33</v>
      </c>
      <c r="P1168" s="1" t="s">
        <v>59</v>
      </c>
      <c r="Q1168" s="1" t="s">
        <v>3227</v>
      </c>
      <c r="R1168">
        <v>61</v>
      </c>
      <c r="S1168">
        <v>3</v>
      </c>
      <c r="T1168">
        <v>0</v>
      </c>
      <c r="U1168">
        <v>23</v>
      </c>
      <c r="V1168" s="1" t="s">
        <v>50</v>
      </c>
      <c r="W1168" s="1" t="s">
        <v>198</v>
      </c>
    </row>
    <row r="1169" spans="1:23" x14ac:dyDescent="0.35">
      <c r="A1169">
        <v>5639</v>
      </c>
      <c r="B1169" s="1" t="s">
        <v>3228</v>
      </c>
      <c r="C1169" s="2">
        <v>41994</v>
      </c>
      <c r="D1169" s="2">
        <v>42000</v>
      </c>
      <c r="E1169" s="1" t="s">
        <v>42</v>
      </c>
      <c r="F1169" s="1" t="s">
        <v>836</v>
      </c>
      <c r="G1169" s="1" t="s">
        <v>837</v>
      </c>
      <c r="H1169" s="1" t="s">
        <v>27</v>
      </c>
      <c r="I1169" s="1" t="s">
        <v>28</v>
      </c>
      <c r="J1169" s="1" t="s">
        <v>642</v>
      </c>
      <c r="K1169" s="1" t="s">
        <v>56</v>
      </c>
      <c r="L1169">
        <v>92024</v>
      </c>
      <c r="M1169" s="1" t="s">
        <v>57</v>
      </c>
      <c r="N1169" s="1" t="s">
        <v>249</v>
      </c>
      <c r="O1169" s="1" t="s">
        <v>33</v>
      </c>
      <c r="P1169" s="1" t="s">
        <v>39</v>
      </c>
      <c r="Q1169" s="1" t="s">
        <v>250</v>
      </c>
      <c r="R1169">
        <v>1326</v>
      </c>
      <c r="S1169">
        <v>6</v>
      </c>
      <c r="T1169">
        <v>0.2</v>
      </c>
      <c r="U1169">
        <v>149</v>
      </c>
      <c r="V1169" s="1" t="s">
        <v>132</v>
      </c>
      <c r="W1169" s="1" t="s">
        <v>99</v>
      </c>
    </row>
    <row r="1170" spans="1:23" x14ac:dyDescent="0.35">
      <c r="A1170">
        <v>5640</v>
      </c>
      <c r="B1170" s="1" t="s">
        <v>3228</v>
      </c>
      <c r="C1170" s="2">
        <v>41994</v>
      </c>
      <c r="D1170" s="2">
        <v>42000</v>
      </c>
      <c r="E1170" s="1" t="s">
        <v>42</v>
      </c>
      <c r="F1170" s="1" t="s">
        <v>836</v>
      </c>
      <c r="G1170" s="1" t="s">
        <v>837</v>
      </c>
      <c r="H1170" s="1" t="s">
        <v>27</v>
      </c>
      <c r="I1170" s="1" t="s">
        <v>28</v>
      </c>
      <c r="J1170" s="1" t="s">
        <v>642</v>
      </c>
      <c r="K1170" s="1" t="s">
        <v>56</v>
      </c>
      <c r="L1170">
        <v>92024</v>
      </c>
      <c r="M1170" s="1" t="s">
        <v>57</v>
      </c>
      <c r="N1170" s="1" t="s">
        <v>583</v>
      </c>
      <c r="O1170" s="1" t="s">
        <v>33</v>
      </c>
      <c r="P1170" s="1" t="s">
        <v>39</v>
      </c>
      <c r="Q1170" s="1" t="s">
        <v>584</v>
      </c>
      <c r="R1170">
        <v>572</v>
      </c>
      <c r="S1170">
        <v>3</v>
      </c>
      <c r="T1170">
        <v>0.2</v>
      </c>
      <c r="U1170">
        <v>36</v>
      </c>
      <c r="V1170" s="1" t="s">
        <v>132</v>
      </c>
      <c r="W1170" s="1" t="s">
        <v>99</v>
      </c>
    </row>
    <row r="1171" spans="1:23" x14ac:dyDescent="0.35">
      <c r="A1171">
        <v>5643</v>
      </c>
      <c r="B1171" s="1" t="s">
        <v>3229</v>
      </c>
      <c r="C1171" s="2">
        <v>42461</v>
      </c>
      <c r="D1171" s="2">
        <v>42465</v>
      </c>
      <c r="E1171" s="1" t="s">
        <v>24</v>
      </c>
      <c r="F1171" s="1" t="s">
        <v>2304</v>
      </c>
      <c r="G1171" s="1" t="s">
        <v>2305</v>
      </c>
      <c r="H1171" s="1" t="s">
        <v>103</v>
      </c>
      <c r="I1171" s="1" t="s">
        <v>28</v>
      </c>
      <c r="J1171" s="1" t="s">
        <v>350</v>
      </c>
      <c r="K1171" s="1" t="s">
        <v>670</v>
      </c>
      <c r="L1171">
        <v>31907</v>
      </c>
      <c r="M1171" s="1" t="s">
        <v>31</v>
      </c>
      <c r="N1171" s="1" t="s">
        <v>340</v>
      </c>
      <c r="O1171" s="1" t="s">
        <v>33</v>
      </c>
      <c r="P1171" s="1" t="s">
        <v>59</v>
      </c>
      <c r="Q1171" s="1" t="s">
        <v>341</v>
      </c>
      <c r="R1171">
        <v>7</v>
      </c>
      <c r="S1171">
        <v>4</v>
      </c>
      <c r="T1171">
        <v>0</v>
      </c>
      <c r="U1171">
        <v>3</v>
      </c>
      <c r="V1171" s="1" t="s">
        <v>86</v>
      </c>
      <c r="W1171" s="1" t="s">
        <v>116</v>
      </c>
    </row>
    <row r="1172" spans="1:23" x14ac:dyDescent="0.35">
      <c r="A1172">
        <v>5646</v>
      </c>
      <c r="B1172" s="1" t="s">
        <v>3230</v>
      </c>
      <c r="C1172" s="2">
        <v>42839</v>
      </c>
      <c r="D1172" s="2">
        <v>42844</v>
      </c>
      <c r="E1172" s="1" t="s">
        <v>42</v>
      </c>
      <c r="F1172" s="1" t="s">
        <v>1869</v>
      </c>
      <c r="G1172" s="1" t="s">
        <v>1870</v>
      </c>
      <c r="H1172" s="1" t="s">
        <v>93</v>
      </c>
      <c r="I1172" s="1" t="s">
        <v>28</v>
      </c>
      <c r="J1172" s="1" t="s">
        <v>3231</v>
      </c>
      <c r="K1172" s="1" t="s">
        <v>365</v>
      </c>
      <c r="L1172">
        <v>7960</v>
      </c>
      <c r="M1172" s="1" t="s">
        <v>70</v>
      </c>
      <c r="N1172" s="1" t="s">
        <v>1207</v>
      </c>
      <c r="O1172" s="1" t="s">
        <v>33</v>
      </c>
      <c r="P1172" s="1" t="s">
        <v>59</v>
      </c>
      <c r="Q1172" s="1" t="s">
        <v>1208</v>
      </c>
      <c r="R1172">
        <v>74</v>
      </c>
      <c r="S1172">
        <v>5</v>
      </c>
      <c r="T1172">
        <v>0</v>
      </c>
      <c r="U1172">
        <v>20</v>
      </c>
      <c r="V1172" s="1" t="s">
        <v>61</v>
      </c>
      <c r="W1172" s="1" t="s">
        <v>116</v>
      </c>
    </row>
    <row r="1173" spans="1:23" x14ac:dyDescent="0.35">
      <c r="A1173">
        <v>5647</v>
      </c>
      <c r="B1173" s="1" t="s">
        <v>3232</v>
      </c>
      <c r="C1173" s="2">
        <v>42008</v>
      </c>
      <c r="D1173" s="2">
        <v>42013</v>
      </c>
      <c r="E1173" s="1" t="s">
        <v>42</v>
      </c>
      <c r="F1173" s="1" t="s">
        <v>3144</v>
      </c>
      <c r="G1173" s="1" t="s">
        <v>3145</v>
      </c>
      <c r="H1173" s="1" t="s">
        <v>93</v>
      </c>
      <c r="I1173" s="1" t="s">
        <v>28</v>
      </c>
      <c r="J1173" s="1" t="s">
        <v>1980</v>
      </c>
      <c r="K1173" s="1" t="s">
        <v>719</v>
      </c>
      <c r="L1173">
        <v>22304</v>
      </c>
      <c r="M1173" s="1" t="s">
        <v>31</v>
      </c>
      <c r="N1173" s="1" t="s">
        <v>1293</v>
      </c>
      <c r="O1173" s="1" t="s">
        <v>33</v>
      </c>
      <c r="P1173" s="1" t="s">
        <v>59</v>
      </c>
      <c r="Q1173" s="1" t="s">
        <v>1294</v>
      </c>
      <c r="R1173">
        <v>192</v>
      </c>
      <c r="S1173">
        <v>14</v>
      </c>
      <c r="T1173">
        <v>0</v>
      </c>
      <c r="U1173">
        <v>69</v>
      </c>
      <c r="V1173" s="1" t="s">
        <v>61</v>
      </c>
      <c r="W1173" s="1" t="s">
        <v>172</v>
      </c>
    </row>
    <row r="1174" spans="1:23" x14ac:dyDescent="0.35">
      <c r="A1174">
        <v>5652</v>
      </c>
      <c r="B1174" s="1" t="s">
        <v>3233</v>
      </c>
      <c r="C1174" s="2">
        <v>42933</v>
      </c>
      <c r="D1174" s="2">
        <v>42935</v>
      </c>
      <c r="E1174" s="1" t="s">
        <v>24</v>
      </c>
      <c r="F1174" s="1" t="s">
        <v>790</v>
      </c>
      <c r="G1174" s="1" t="s">
        <v>791</v>
      </c>
      <c r="H1174" s="1" t="s">
        <v>93</v>
      </c>
      <c r="I1174" s="1" t="s">
        <v>28</v>
      </c>
      <c r="J1174" s="1" t="s">
        <v>3234</v>
      </c>
      <c r="K1174" s="1" t="s">
        <v>56</v>
      </c>
      <c r="L1174">
        <v>92307</v>
      </c>
      <c r="M1174" s="1" t="s">
        <v>57</v>
      </c>
      <c r="N1174" s="1" t="s">
        <v>263</v>
      </c>
      <c r="O1174" s="1" t="s">
        <v>33</v>
      </c>
      <c r="P1174" s="1" t="s">
        <v>34</v>
      </c>
      <c r="Q1174" s="1" t="s">
        <v>264</v>
      </c>
      <c r="R1174">
        <v>1194</v>
      </c>
      <c r="S1174">
        <v>5</v>
      </c>
      <c r="T1174">
        <v>0.15</v>
      </c>
      <c r="U1174">
        <v>211</v>
      </c>
      <c r="V1174" s="1" t="s">
        <v>73</v>
      </c>
      <c r="W1174" s="1" t="s">
        <v>74</v>
      </c>
    </row>
    <row r="1175" spans="1:23" x14ac:dyDescent="0.35">
      <c r="A1175">
        <v>5659</v>
      </c>
      <c r="B1175" s="1" t="s">
        <v>3235</v>
      </c>
      <c r="C1175" s="2">
        <v>42722</v>
      </c>
      <c r="D1175" s="2">
        <v>42725</v>
      </c>
      <c r="E1175" s="1" t="s">
        <v>90</v>
      </c>
      <c r="F1175" s="1" t="s">
        <v>1692</v>
      </c>
      <c r="G1175" s="1" t="s">
        <v>1693</v>
      </c>
      <c r="H1175" s="1" t="s">
        <v>103</v>
      </c>
      <c r="I1175" s="1" t="s">
        <v>28</v>
      </c>
      <c r="J1175" s="1" t="s">
        <v>3236</v>
      </c>
      <c r="K1175" s="1" t="s">
        <v>1520</v>
      </c>
      <c r="L1175">
        <v>97301</v>
      </c>
      <c r="M1175" s="1" t="s">
        <v>57</v>
      </c>
      <c r="N1175" s="1" t="s">
        <v>1287</v>
      </c>
      <c r="O1175" s="1" t="s">
        <v>33</v>
      </c>
      <c r="P1175" s="1" t="s">
        <v>48</v>
      </c>
      <c r="Q1175" s="1" t="s">
        <v>1288</v>
      </c>
      <c r="R1175">
        <v>377</v>
      </c>
      <c r="S1175">
        <v>5</v>
      </c>
      <c r="T1175">
        <v>0.5</v>
      </c>
      <c r="U1175">
        <v>-264</v>
      </c>
      <c r="V1175" s="1" t="s">
        <v>36</v>
      </c>
      <c r="W1175" s="1" t="s">
        <v>99</v>
      </c>
    </row>
    <row r="1176" spans="1:23" x14ac:dyDescent="0.35">
      <c r="A1176">
        <v>5662</v>
      </c>
      <c r="B1176" s="1" t="s">
        <v>3237</v>
      </c>
      <c r="C1176" s="2">
        <v>42637</v>
      </c>
      <c r="D1176" s="2">
        <v>42644</v>
      </c>
      <c r="E1176" s="1" t="s">
        <v>42</v>
      </c>
      <c r="F1176" s="1" t="s">
        <v>3007</v>
      </c>
      <c r="G1176" s="1" t="s">
        <v>3008</v>
      </c>
      <c r="H1176" s="1" t="s">
        <v>103</v>
      </c>
      <c r="I1176" s="1" t="s">
        <v>28</v>
      </c>
      <c r="J1176" s="1" t="s">
        <v>182</v>
      </c>
      <c r="K1176" s="1" t="s">
        <v>183</v>
      </c>
      <c r="L1176">
        <v>80013</v>
      </c>
      <c r="M1176" s="1" t="s">
        <v>57</v>
      </c>
      <c r="N1176" s="1" t="s">
        <v>376</v>
      </c>
      <c r="O1176" s="1" t="s">
        <v>33</v>
      </c>
      <c r="P1176" s="1" t="s">
        <v>59</v>
      </c>
      <c r="Q1176" s="1" t="s">
        <v>377</v>
      </c>
      <c r="R1176">
        <v>21</v>
      </c>
      <c r="S1176">
        <v>2</v>
      </c>
      <c r="T1176">
        <v>0.2</v>
      </c>
      <c r="U1176">
        <v>8</v>
      </c>
      <c r="V1176" s="1" t="s">
        <v>50</v>
      </c>
      <c r="W1176" s="1" t="s">
        <v>80</v>
      </c>
    </row>
    <row r="1177" spans="1:23" x14ac:dyDescent="0.35">
      <c r="A1177">
        <v>5671</v>
      </c>
      <c r="B1177" s="1" t="s">
        <v>3238</v>
      </c>
      <c r="C1177" s="2">
        <v>42164</v>
      </c>
      <c r="D1177" s="2">
        <v>42166</v>
      </c>
      <c r="E1177" s="1" t="s">
        <v>24</v>
      </c>
      <c r="F1177" s="1" t="s">
        <v>3239</v>
      </c>
      <c r="G1177" s="1" t="s">
        <v>3240</v>
      </c>
      <c r="H1177" s="1" t="s">
        <v>27</v>
      </c>
      <c r="I1177" s="1" t="s">
        <v>28</v>
      </c>
      <c r="J1177" s="1" t="s">
        <v>3241</v>
      </c>
      <c r="K1177" s="1" t="s">
        <v>2283</v>
      </c>
      <c r="L1177">
        <v>83201</v>
      </c>
      <c r="M1177" s="1" t="s">
        <v>57</v>
      </c>
      <c r="N1177" s="1" t="s">
        <v>3160</v>
      </c>
      <c r="O1177" s="1" t="s">
        <v>33</v>
      </c>
      <c r="P1177" s="1" t="s">
        <v>59</v>
      </c>
      <c r="Q1177" s="1" t="s">
        <v>3161</v>
      </c>
      <c r="R1177">
        <v>355</v>
      </c>
      <c r="S1177">
        <v>4</v>
      </c>
      <c r="T1177">
        <v>0</v>
      </c>
      <c r="U1177">
        <v>92</v>
      </c>
      <c r="V1177" s="1" t="s">
        <v>73</v>
      </c>
      <c r="W1177" s="1" t="s">
        <v>62</v>
      </c>
    </row>
    <row r="1178" spans="1:23" x14ac:dyDescent="0.35">
      <c r="A1178">
        <v>5678</v>
      </c>
      <c r="B1178" s="1" t="s">
        <v>3242</v>
      </c>
      <c r="C1178" s="2">
        <v>42002</v>
      </c>
      <c r="D1178" s="2">
        <v>42009</v>
      </c>
      <c r="E1178" s="1" t="s">
        <v>42</v>
      </c>
      <c r="F1178" s="1" t="s">
        <v>846</v>
      </c>
      <c r="G1178" s="1" t="s">
        <v>847</v>
      </c>
      <c r="H1178" s="1" t="s">
        <v>27</v>
      </c>
      <c r="I1178" s="1" t="s">
        <v>28</v>
      </c>
      <c r="J1178" s="1" t="s">
        <v>136</v>
      </c>
      <c r="K1178" s="1" t="s">
        <v>137</v>
      </c>
      <c r="L1178">
        <v>60610</v>
      </c>
      <c r="M1178" s="1" t="s">
        <v>96</v>
      </c>
      <c r="N1178" s="1" t="s">
        <v>2398</v>
      </c>
      <c r="O1178" s="1" t="s">
        <v>33</v>
      </c>
      <c r="P1178" s="1" t="s">
        <v>59</v>
      </c>
      <c r="Q1178" s="1" t="s">
        <v>2399</v>
      </c>
      <c r="R1178">
        <v>39</v>
      </c>
      <c r="S1178">
        <v>3</v>
      </c>
      <c r="T1178">
        <v>0.6</v>
      </c>
      <c r="U1178">
        <v>-51</v>
      </c>
      <c r="V1178" s="1" t="s">
        <v>50</v>
      </c>
      <c r="W1178" s="1" t="s">
        <v>99</v>
      </c>
    </row>
    <row r="1179" spans="1:23" x14ac:dyDescent="0.35">
      <c r="A1179">
        <v>5688</v>
      </c>
      <c r="B1179" s="1" t="s">
        <v>3243</v>
      </c>
      <c r="C1179" s="2">
        <v>41848</v>
      </c>
      <c r="D1179" s="2">
        <v>41848</v>
      </c>
      <c r="E1179" s="1" t="s">
        <v>428</v>
      </c>
      <c r="F1179" s="1" t="s">
        <v>1362</v>
      </c>
      <c r="G1179" s="1" t="s">
        <v>1363</v>
      </c>
      <c r="H1179" s="1" t="s">
        <v>27</v>
      </c>
      <c r="I1179" s="1" t="s">
        <v>28</v>
      </c>
      <c r="J1179" s="1" t="s">
        <v>3244</v>
      </c>
      <c r="K1179" s="1" t="s">
        <v>46</v>
      </c>
      <c r="L1179">
        <v>32712</v>
      </c>
      <c r="M1179" s="1" t="s">
        <v>31</v>
      </c>
      <c r="N1179" s="1" t="s">
        <v>1712</v>
      </c>
      <c r="O1179" s="1" t="s">
        <v>33</v>
      </c>
      <c r="P1179" s="1" t="s">
        <v>59</v>
      </c>
      <c r="Q1179" s="1" t="s">
        <v>1713</v>
      </c>
      <c r="R1179">
        <v>130</v>
      </c>
      <c r="S1179">
        <v>6</v>
      </c>
      <c r="T1179">
        <v>0.2</v>
      </c>
      <c r="U1179">
        <v>13</v>
      </c>
      <c r="V1179" s="1" t="s">
        <v>433</v>
      </c>
      <c r="W1179" s="1" t="s">
        <v>74</v>
      </c>
    </row>
    <row r="1180" spans="1:23" x14ac:dyDescent="0.35">
      <c r="A1180">
        <v>5690</v>
      </c>
      <c r="B1180" s="1" t="s">
        <v>3245</v>
      </c>
      <c r="C1180" s="2">
        <v>42364</v>
      </c>
      <c r="D1180" s="2">
        <v>42369</v>
      </c>
      <c r="E1180" s="1" t="s">
        <v>42</v>
      </c>
      <c r="F1180" s="1" t="s">
        <v>3246</v>
      </c>
      <c r="G1180" s="1" t="s">
        <v>3247</v>
      </c>
      <c r="H1180" s="1" t="s">
        <v>103</v>
      </c>
      <c r="I1180" s="1" t="s">
        <v>28</v>
      </c>
      <c r="J1180" s="1" t="s">
        <v>104</v>
      </c>
      <c r="K1180" s="1" t="s">
        <v>95</v>
      </c>
      <c r="L1180">
        <v>77070</v>
      </c>
      <c r="M1180" s="1" t="s">
        <v>96</v>
      </c>
      <c r="N1180" s="1" t="s">
        <v>3178</v>
      </c>
      <c r="O1180" s="1" t="s">
        <v>33</v>
      </c>
      <c r="P1180" s="1" t="s">
        <v>39</v>
      </c>
      <c r="Q1180" s="1" t="s">
        <v>3179</v>
      </c>
      <c r="R1180">
        <v>275</v>
      </c>
      <c r="S1180">
        <v>3</v>
      </c>
      <c r="T1180">
        <v>0.3</v>
      </c>
      <c r="U1180">
        <v>-90</v>
      </c>
      <c r="V1180" s="1" t="s">
        <v>61</v>
      </c>
      <c r="W1180" s="1" t="s">
        <v>99</v>
      </c>
    </row>
    <row r="1181" spans="1:23" x14ac:dyDescent="0.35">
      <c r="A1181">
        <v>5695</v>
      </c>
      <c r="B1181" s="1" t="s">
        <v>3248</v>
      </c>
      <c r="C1181" s="2">
        <v>42348</v>
      </c>
      <c r="D1181" s="2">
        <v>42354</v>
      </c>
      <c r="E1181" s="1" t="s">
        <v>42</v>
      </c>
      <c r="F1181" s="1" t="s">
        <v>978</v>
      </c>
      <c r="G1181" s="1" t="s">
        <v>979</v>
      </c>
      <c r="H1181" s="1" t="s">
        <v>93</v>
      </c>
      <c r="I1181" s="1" t="s">
        <v>28</v>
      </c>
      <c r="J1181" s="1" t="s">
        <v>2757</v>
      </c>
      <c r="K1181" s="1" t="s">
        <v>1092</v>
      </c>
      <c r="L1181">
        <v>21215</v>
      </c>
      <c r="M1181" s="1" t="s">
        <v>70</v>
      </c>
      <c r="N1181" s="1" t="s">
        <v>423</v>
      </c>
      <c r="O1181" s="1" t="s">
        <v>33</v>
      </c>
      <c r="P1181" s="1" t="s">
        <v>39</v>
      </c>
      <c r="Q1181" s="1" t="s">
        <v>424</v>
      </c>
      <c r="R1181">
        <v>543</v>
      </c>
      <c r="S1181">
        <v>3</v>
      </c>
      <c r="T1181">
        <v>0</v>
      </c>
      <c r="U1181">
        <v>141</v>
      </c>
      <c r="V1181" s="1" t="s">
        <v>132</v>
      </c>
      <c r="W1181" s="1" t="s">
        <v>99</v>
      </c>
    </row>
    <row r="1182" spans="1:23" x14ac:dyDescent="0.35">
      <c r="A1182">
        <v>5696</v>
      </c>
      <c r="B1182" s="1" t="s">
        <v>3249</v>
      </c>
      <c r="C1182" s="2">
        <v>42495</v>
      </c>
      <c r="D1182" s="2">
        <v>42497</v>
      </c>
      <c r="E1182" s="1" t="s">
        <v>24</v>
      </c>
      <c r="F1182" s="1" t="s">
        <v>3030</v>
      </c>
      <c r="G1182" s="1" t="s">
        <v>3031</v>
      </c>
      <c r="H1182" s="1" t="s">
        <v>27</v>
      </c>
      <c r="I1182" s="1" t="s">
        <v>28</v>
      </c>
      <c r="J1182" s="1" t="s">
        <v>331</v>
      </c>
      <c r="K1182" s="1" t="s">
        <v>56</v>
      </c>
      <c r="L1182">
        <v>94109</v>
      </c>
      <c r="M1182" s="1" t="s">
        <v>57</v>
      </c>
      <c r="N1182" s="1" t="s">
        <v>1252</v>
      </c>
      <c r="O1182" s="1" t="s">
        <v>33</v>
      </c>
      <c r="P1182" s="1" t="s">
        <v>48</v>
      </c>
      <c r="Q1182" s="1" t="s">
        <v>1253</v>
      </c>
      <c r="R1182">
        <v>71</v>
      </c>
      <c r="S1182">
        <v>2</v>
      </c>
      <c r="T1182">
        <v>0.2</v>
      </c>
      <c r="U1182">
        <v>-2</v>
      </c>
      <c r="V1182" s="1" t="s">
        <v>73</v>
      </c>
      <c r="W1182" s="1" t="s">
        <v>164</v>
      </c>
    </row>
    <row r="1183" spans="1:23" x14ac:dyDescent="0.35">
      <c r="A1183">
        <v>5704</v>
      </c>
      <c r="B1183" s="1" t="s">
        <v>3250</v>
      </c>
      <c r="C1183" s="2">
        <v>41987</v>
      </c>
      <c r="D1183" s="2">
        <v>41994</v>
      </c>
      <c r="E1183" s="1" t="s">
        <v>42</v>
      </c>
      <c r="F1183" s="1" t="s">
        <v>3251</v>
      </c>
      <c r="G1183" s="1" t="s">
        <v>3252</v>
      </c>
      <c r="H1183" s="1" t="s">
        <v>27</v>
      </c>
      <c r="I1183" s="1" t="s">
        <v>28</v>
      </c>
      <c r="J1183" s="1" t="s">
        <v>1773</v>
      </c>
      <c r="K1183" s="1" t="s">
        <v>234</v>
      </c>
      <c r="L1183">
        <v>43302</v>
      </c>
      <c r="M1183" s="1" t="s">
        <v>70</v>
      </c>
      <c r="N1183" s="1" t="s">
        <v>1886</v>
      </c>
      <c r="O1183" s="1" t="s">
        <v>33</v>
      </c>
      <c r="P1183" s="1" t="s">
        <v>48</v>
      </c>
      <c r="Q1183" s="1" t="s">
        <v>1887</v>
      </c>
      <c r="R1183">
        <v>137</v>
      </c>
      <c r="S1183">
        <v>1</v>
      </c>
      <c r="T1183">
        <v>0.4</v>
      </c>
      <c r="U1183">
        <v>-52</v>
      </c>
      <c r="V1183" s="1" t="s">
        <v>50</v>
      </c>
      <c r="W1183" s="1" t="s">
        <v>99</v>
      </c>
    </row>
    <row r="1184" spans="1:23" x14ac:dyDescent="0.35">
      <c r="A1184">
        <v>5708</v>
      </c>
      <c r="B1184" s="1" t="s">
        <v>3253</v>
      </c>
      <c r="C1184" s="2">
        <v>42132</v>
      </c>
      <c r="D1184" s="2">
        <v>42139</v>
      </c>
      <c r="E1184" s="1" t="s">
        <v>42</v>
      </c>
      <c r="F1184" s="1" t="s">
        <v>2238</v>
      </c>
      <c r="G1184" s="1" t="s">
        <v>2239</v>
      </c>
      <c r="H1184" s="1" t="s">
        <v>27</v>
      </c>
      <c r="I1184" s="1" t="s">
        <v>28</v>
      </c>
      <c r="J1184" s="1" t="s">
        <v>176</v>
      </c>
      <c r="K1184" s="1" t="s">
        <v>123</v>
      </c>
      <c r="L1184">
        <v>10024</v>
      </c>
      <c r="M1184" s="1" t="s">
        <v>70</v>
      </c>
      <c r="N1184" s="1" t="s">
        <v>946</v>
      </c>
      <c r="O1184" s="1" t="s">
        <v>33</v>
      </c>
      <c r="P1184" s="1" t="s">
        <v>59</v>
      </c>
      <c r="Q1184" s="1" t="s">
        <v>947</v>
      </c>
      <c r="R1184">
        <v>79</v>
      </c>
      <c r="S1184">
        <v>3</v>
      </c>
      <c r="T1184">
        <v>0</v>
      </c>
      <c r="U1184">
        <v>30</v>
      </c>
      <c r="V1184" s="1" t="s">
        <v>50</v>
      </c>
      <c r="W1184" s="1" t="s">
        <v>164</v>
      </c>
    </row>
    <row r="1185" spans="1:23" x14ac:dyDescent="0.35">
      <c r="A1185">
        <v>5710</v>
      </c>
      <c r="B1185" s="1" t="s">
        <v>3253</v>
      </c>
      <c r="C1185" s="2">
        <v>42132</v>
      </c>
      <c r="D1185" s="2">
        <v>42139</v>
      </c>
      <c r="E1185" s="1" t="s">
        <v>42</v>
      </c>
      <c r="F1185" s="1" t="s">
        <v>2238</v>
      </c>
      <c r="G1185" s="1" t="s">
        <v>2239</v>
      </c>
      <c r="H1185" s="1" t="s">
        <v>27</v>
      </c>
      <c r="I1185" s="1" t="s">
        <v>28</v>
      </c>
      <c r="J1185" s="1" t="s">
        <v>176</v>
      </c>
      <c r="K1185" s="1" t="s">
        <v>123</v>
      </c>
      <c r="L1185">
        <v>10024</v>
      </c>
      <c r="M1185" s="1" t="s">
        <v>70</v>
      </c>
      <c r="N1185" s="1" t="s">
        <v>593</v>
      </c>
      <c r="O1185" s="1" t="s">
        <v>33</v>
      </c>
      <c r="P1185" s="1" t="s">
        <v>39</v>
      </c>
      <c r="Q1185" s="1" t="s">
        <v>594</v>
      </c>
      <c r="R1185">
        <v>128</v>
      </c>
      <c r="S1185">
        <v>2</v>
      </c>
      <c r="T1185">
        <v>0.1</v>
      </c>
      <c r="U1185">
        <v>21</v>
      </c>
      <c r="V1185" s="1" t="s">
        <v>50</v>
      </c>
      <c r="W1185" s="1" t="s">
        <v>164</v>
      </c>
    </row>
    <row r="1186" spans="1:23" x14ac:dyDescent="0.35">
      <c r="A1186">
        <v>5731</v>
      </c>
      <c r="B1186" s="1" t="s">
        <v>3254</v>
      </c>
      <c r="C1186" s="2">
        <v>43077</v>
      </c>
      <c r="D1186" s="2">
        <v>43082</v>
      </c>
      <c r="E1186" s="1" t="s">
        <v>42</v>
      </c>
      <c r="F1186" s="1" t="s">
        <v>535</v>
      </c>
      <c r="G1186" s="1" t="s">
        <v>536</v>
      </c>
      <c r="H1186" s="1" t="s">
        <v>27</v>
      </c>
      <c r="I1186" s="1" t="s">
        <v>28</v>
      </c>
      <c r="J1186" s="1" t="s">
        <v>1488</v>
      </c>
      <c r="K1186" s="1" t="s">
        <v>241</v>
      </c>
      <c r="L1186">
        <v>53711</v>
      </c>
      <c r="M1186" s="1" t="s">
        <v>96</v>
      </c>
      <c r="N1186" s="1" t="s">
        <v>1479</v>
      </c>
      <c r="O1186" s="1" t="s">
        <v>33</v>
      </c>
      <c r="P1186" s="1" t="s">
        <v>34</v>
      </c>
      <c r="Q1186" s="1" t="s">
        <v>1480</v>
      </c>
      <c r="R1186">
        <v>460</v>
      </c>
      <c r="S1186">
        <v>4</v>
      </c>
      <c r="T1186">
        <v>0</v>
      </c>
      <c r="U1186">
        <v>41</v>
      </c>
      <c r="V1186" s="1" t="s">
        <v>61</v>
      </c>
      <c r="W1186" s="1" t="s">
        <v>99</v>
      </c>
    </row>
    <row r="1187" spans="1:23" x14ac:dyDescent="0.35">
      <c r="A1187">
        <v>5733</v>
      </c>
      <c r="B1187" s="1" t="s">
        <v>3255</v>
      </c>
      <c r="C1187" s="2">
        <v>42915</v>
      </c>
      <c r="D1187" s="2">
        <v>42918</v>
      </c>
      <c r="E1187" s="1" t="s">
        <v>90</v>
      </c>
      <c r="F1187" s="1" t="s">
        <v>335</v>
      </c>
      <c r="G1187" s="1" t="s">
        <v>336</v>
      </c>
      <c r="H1187" s="1" t="s">
        <v>93</v>
      </c>
      <c r="I1187" s="1" t="s">
        <v>28</v>
      </c>
      <c r="J1187" s="1" t="s">
        <v>3256</v>
      </c>
      <c r="K1187" s="1" t="s">
        <v>432</v>
      </c>
      <c r="L1187">
        <v>6460</v>
      </c>
      <c r="M1187" s="1" t="s">
        <v>70</v>
      </c>
      <c r="N1187" s="1" t="s">
        <v>2423</v>
      </c>
      <c r="O1187" s="1" t="s">
        <v>33</v>
      </c>
      <c r="P1187" s="1" t="s">
        <v>34</v>
      </c>
      <c r="Q1187" s="1" t="s">
        <v>2424</v>
      </c>
      <c r="R1187">
        <v>639</v>
      </c>
      <c r="S1187">
        <v>9</v>
      </c>
      <c r="T1187">
        <v>0</v>
      </c>
      <c r="U1187">
        <v>185</v>
      </c>
      <c r="V1187" s="1" t="s">
        <v>36</v>
      </c>
      <c r="W1187" s="1" t="s">
        <v>62</v>
      </c>
    </row>
    <row r="1188" spans="1:23" x14ac:dyDescent="0.35">
      <c r="A1188">
        <v>5735</v>
      </c>
      <c r="B1188" s="1" t="s">
        <v>3255</v>
      </c>
      <c r="C1188" s="2">
        <v>42915</v>
      </c>
      <c r="D1188" s="2">
        <v>42918</v>
      </c>
      <c r="E1188" s="1" t="s">
        <v>90</v>
      </c>
      <c r="F1188" s="1" t="s">
        <v>335</v>
      </c>
      <c r="G1188" s="1" t="s">
        <v>336</v>
      </c>
      <c r="H1188" s="1" t="s">
        <v>93</v>
      </c>
      <c r="I1188" s="1" t="s">
        <v>28</v>
      </c>
      <c r="J1188" s="1" t="s">
        <v>3256</v>
      </c>
      <c r="K1188" s="1" t="s">
        <v>432</v>
      </c>
      <c r="L1188">
        <v>6460</v>
      </c>
      <c r="M1188" s="1" t="s">
        <v>70</v>
      </c>
      <c r="N1188" s="1" t="s">
        <v>1271</v>
      </c>
      <c r="O1188" s="1" t="s">
        <v>33</v>
      </c>
      <c r="P1188" s="1" t="s">
        <v>59</v>
      </c>
      <c r="Q1188" s="1" t="s">
        <v>1272</v>
      </c>
      <c r="R1188">
        <v>25</v>
      </c>
      <c r="S1188">
        <v>2</v>
      </c>
      <c r="T1188">
        <v>0</v>
      </c>
      <c r="U1188">
        <v>9</v>
      </c>
      <c r="V1188" s="1" t="s">
        <v>36</v>
      </c>
      <c r="W1188" s="1" t="s">
        <v>62</v>
      </c>
    </row>
    <row r="1189" spans="1:23" x14ac:dyDescent="0.35">
      <c r="A1189">
        <v>5738</v>
      </c>
      <c r="B1189" s="1" t="s">
        <v>3257</v>
      </c>
      <c r="C1189" s="2">
        <v>41659</v>
      </c>
      <c r="D1189" s="2">
        <v>41664</v>
      </c>
      <c r="E1189" s="1" t="s">
        <v>42</v>
      </c>
      <c r="F1189" s="1" t="s">
        <v>1794</v>
      </c>
      <c r="G1189" s="1" t="s">
        <v>1795</v>
      </c>
      <c r="H1189" s="1" t="s">
        <v>27</v>
      </c>
      <c r="I1189" s="1" t="s">
        <v>28</v>
      </c>
      <c r="J1189" s="1" t="s">
        <v>55</v>
      </c>
      <c r="K1189" s="1" t="s">
        <v>56</v>
      </c>
      <c r="L1189">
        <v>90049</v>
      </c>
      <c r="M1189" s="1" t="s">
        <v>57</v>
      </c>
      <c r="N1189" s="1" t="s">
        <v>155</v>
      </c>
      <c r="O1189" s="1" t="s">
        <v>33</v>
      </c>
      <c r="P1189" s="1" t="s">
        <v>59</v>
      </c>
      <c r="Q1189" s="1" t="s">
        <v>156</v>
      </c>
      <c r="R1189">
        <v>19</v>
      </c>
      <c r="S1189">
        <v>2</v>
      </c>
      <c r="T1189">
        <v>0</v>
      </c>
      <c r="U1189">
        <v>6</v>
      </c>
      <c r="V1189" s="1" t="s">
        <v>61</v>
      </c>
      <c r="W1189" s="1" t="s">
        <v>172</v>
      </c>
    </row>
    <row r="1190" spans="1:23" x14ac:dyDescent="0.35">
      <c r="A1190">
        <v>5741</v>
      </c>
      <c r="B1190" s="1" t="s">
        <v>3258</v>
      </c>
      <c r="C1190" s="2">
        <v>42822</v>
      </c>
      <c r="D1190" s="2">
        <v>42825</v>
      </c>
      <c r="E1190" s="1" t="s">
        <v>90</v>
      </c>
      <c r="F1190" s="1" t="s">
        <v>3259</v>
      </c>
      <c r="G1190" s="1" t="s">
        <v>3260</v>
      </c>
      <c r="H1190" s="1" t="s">
        <v>93</v>
      </c>
      <c r="I1190" s="1" t="s">
        <v>28</v>
      </c>
      <c r="J1190" s="1" t="s">
        <v>1583</v>
      </c>
      <c r="K1190" s="1" t="s">
        <v>56</v>
      </c>
      <c r="L1190">
        <v>94533</v>
      </c>
      <c r="M1190" s="1" t="s">
        <v>57</v>
      </c>
      <c r="N1190" s="1" t="s">
        <v>946</v>
      </c>
      <c r="O1190" s="1" t="s">
        <v>33</v>
      </c>
      <c r="P1190" s="1" t="s">
        <v>59</v>
      </c>
      <c r="Q1190" s="1" t="s">
        <v>947</v>
      </c>
      <c r="R1190">
        <v>26</v>
      </c>
      <c r="S1190">
        <v>1</v>
      </c>
      <c r="T1190">
        <v>0</v>
      </c>
      <c r="U1190">
        <v>10</v>
      </c>
      <c r="V1190" s="1" t="s">
        <v>36</v>
      </c>
      <c r="W1190" s="1" t="s">
        <v>198</v>
      </c>
    </row>
    <row r="1191" spans="1:23" x14ac:dyDescent="0.35">
      <c r="A1191">
        <v>5746</v>
      </c>
      <c r="B1191" s="1" t="s">
        <v>3258</v>
      </c>
      <c r="C1191" s="2">
        <v>42822</v>
      </c>
      <c r="D1191" s="2">
        <v>42825</v>
      </c>
      <c r="E1191" s="1" t="s">
        <v>90</v>
      </c>
      <c r="F1191" s="1" t="s">
        <v>3259</v>
      </c>
      <c r="G1191" s="1" t="s">
        <v>3260</v>
      </c>
      <c r="H1191" s="1" t="s">
        <v>93</v>
      </c>
      <c r="I1191" s="1" t="s">
        <v>28</v>
      </c>
      <c r="J1191" s="1" t="s">
        <v>1583</v>
      </c>
      <c r="K1191" s="1" t="s">
        <v>56</v>
      </c>
      <c r="L1191">
        <v>94533</v>
      </c>
      <c r="M1191" s="1" t="s">
        <v>57</v>
      </c>
      <c r="N1191" s="1" t="s">
        <v>2014</v>
      </c>
      <c r="O1191" s="1" t="s">
        <v>33</v>
      </c>
      <c r="P1191" s="1" t="s">
        <v>59</v>
      </c>
      <c r="Q1191" s="1" t="s">
        <v>2015</v>
      </c>
      <c r="R1191">
        <v>22</v>
      </c>
      <c r="S1191">
        <v>7</v>
      </c>
      <c r="T1191">
        <v>0</v>
      </c>
      <c r="U1191">
        <v>7</v>
      </c>
      <c r="V1191" s="1" t="s">
        <v>36</v>
      </c>
      <c r="W1191" s="1" t="s">
        <v>198</v>
      </c>
    </row>
    <row r="1192" spans="1:23" x14ac:dyDescent="0.35">
      <c r="A1192">
        <v>5751</v>
      </c>
      <c r="B1192" s="1" t="s">
        <v>3261</v>
      </c>
      <c r="C1192" s="2">
        <v>41789</v>
      </c>
      <c r="D1192" s="2">
        <v>41795</v>
      </c>
      <c r="E1192" s="1" t="s">
        <v>42</v>
      </c>
      <c r="F1192" s="1" t="s">
        <v>3015</v>
      </c>
      <c r="G1192" s="1" t="s">
        <v>3016</v>
      </c>
      <c r="H1192" s="1" t="s">
        <v>27</v>
      </c>
      <c r="I1192" s="1" t="s">
        <v>28</v>
      </c>
      <c r="J1192" s="1" t="s">
        <v>3262</v>
      </c>
      <c r="K1192" s="1" t="s">
        <v>137</v>
      </c>
      <c r="L1192">
        <v>60089</v>
      </c>
      <c r="M1192" s="1" t="s">
        <v>96</v>
      </c>
      <c r="N1192" s="1" t="s">
        <v>63</v>
      </c>
      <c r="O1192" s="1" t="s">
        <v>33</v>
      </c>
      <c r="P1192" s="1" t="s">
        <v>48</v>
      </c>
      <c r="Q1192" s="1" t="s">
        <v>64</v>
      </c>
      <c r="R1192">
        <v>355</v>
      </c>
      <c r="S1192">
        <v>3</v>
      </c>
      <c r="T1192">
        <v>0.5</v>
      </c>
      <c r="U1192">
        <v>-185</v>
      </c>
      <c r="V1192" s="1" t="s">
        <v>132</v>
      </c>
      <c r="W1192" s="1" t="s">
        <v>164</v>
      </c>
    </row>
    <row r="1193" spans="1:23" x14ac:dyDescent="0.35">
      <c r="A1193">
        <v>5754</v>
      </c>
      <c r="B1193" s="1" t="s">
        <v>3263</v>
      </c>
      <c r="C1193" s="2">
        <v>42403</v>
      </c>
      <c r="D1193" s="2">
        <v>42410</v>
      </c>
      <c r="E1193" s="1" t="s">
        <v>42</v>
      </c>
      <c r="F1193" s="1" t="s">
        <v>2418</v>
      </c>
      <c r="G1193" s="1" t="s">
        <v>2419</v>
      </c>
      <c r="H1193" s="1" t="s">
        <v>27</v>
      </c>
      <c r="I1193" s="1" t="s">
        <v>28</v>
      </c>
      <c r="J1193" s="1" t="s">
        <v>638</v>
      </c>
      <c r="K1193" s="1" t="s">
        <v>30</v>
      </c>
      <c r="L1193">
        <v>40475</v>
      </c>
      <c r="M1193" s="1" t="s">
        <v>31</v>
      </c>
      <c r="N1193" s="1" t="s">
        <v>482</v>
      </c>
      <c r="O1193" s="1" t="s">
        <v>33</v>
      </c>
      <c r="P1193" s="1" t="s">
        <v>39</v>
      </c>
      <c r="Q1193" s="1" t="s">
        <v>483</v>
      </c>
      <c r="R1193">
        <v>866</v>
      </c>
      <c r="S1193">
        <v>4</v>
      </c>
      <c r="T1193">
        <v>0</v>
      </c>
      <c r="U1193">
        <v>225</v>
      </c>
      <c r="V1193" s="1" t="s">
        <v>50</v>
      </c>
      <c r="W1193" s="1" t="s">
        <v>300</v>
      </c>
    </row>
    <row r="1194" spans="1:23" x14ac:dyDescent="0.35">
      <c r="A1194">
        <v>5758</v>
      </c>
      <c r="B1194" s="1" t="s">
        <v>3264</v>
      </c>
      <c r="C1194" s="2">
        <v>42227</v>
      </c>
      <c r="D1194" s="2">
        <v>42232</v>
      </c>
      <c r="E1194" s="1" t="s">
        <v>42</v>
      </c>
      <c r="F1194" s="1" t="s">
        <v>3265</v>
      </c>
      <c r="G1194" s="1" t="s">
        <v>3266</v>
      </c>
      <c r="H1194" s="1" t="s">
        <v>27</v>
      </c>
      <c r="I1194" s="1" t="s">
        <v>28</v>
      </c>
      <c r="J1194" s="1" t="s">
        <v>2020</v>
      </c>
      <c r="K1194" s="1" t="s">
        <v>1039</v>
      </c>
      <c r="L1194">
        <v>27604</v>
      </c>
      <c r="M1194" s="1" t="s">
        <v>31</v>
      </c>
      <c r="N1194" s="1" t="s">
        <v>1314</v>
      </c>
      <c r="O1194" s="1" t="s">
        <v>33</v>
      </c>
      <c r="P1194" s="1" t="s">
        <v>59</v>
      </c>
      <c r="Q1194" s="1" t="s">
        <v>2025</v>
      </c>
      <c r="R1194">
        <v>46</v>
      </c>
      <c r="S1194">
        <v>3</v>
      </c>
      <c r="T1194">
        <v>0.2</v>
      </c>
      <c r="U1194">
        <v>12</v>
      </c>
      <c r="V1194" s="1" t="s">
        <v>61</v>
      </c>
      <c r="W1194" s="1" t="s">
        <v>256</v>
      </c>
    </row>
    <row r="1195" spans="1:23" x14ac:dyDescent="0.35">
      <c r="A1195">
        <v>5763</v>
      </c>
      <c r="B1195" s="1" t="s">
        <v>3267</v>
      </c>
      <c r="C1195" s="2">
        <v>42959</v>
      </c>
      <c r="D1195" s="2">
        <v>42962</v>
      </c>
      <c r="E1195" s="1" t="s">
        <v>90</v>
      </c>
      <c r="F1195" s="1" t="s">
        <v>2170</v>
      </c>
      <c r="G1195" s="1" t="s">
        <v>2171</v>
      </c>
      <c r="H1195" s="1" t="s">
        <v>27</v>
      </c>
      <c r="I1195" s="1" t="s">
        <v>28</v>
      </c>
      <c r="J1195" s="1" t="s">
        <v>3268</v>
      </c>
      <c r="K1195" s="1" t="s">
        <v>56</v>
      </c>
      <c r="L1195">
        <v>92630</v>
      </c>
      <c r="M1195" s="1" t="s">
        <v>57</v>
      </c>
      <c r="N1195" s="1" t="s">
        <v>1293</v>
      </c>
      <c r="O1195" s="1" t="s">
        <v>33</v>
      </c>
      <c r="P1195" s="1" t="s">
        <v>59</v>
      </c>
      <c r="Q1195" s="1" t="s">
        <v>1294</v>
      </c>
      <c r="R1195">
        <v>55</v>
      </c>
      <c r="S1195">
        <v>4</v>
      </c>
      <c r="T1195">
        <v>0</v>
      </c>
      <c r="U1195">
        <v>20</v>
      </c>
      <c r="V1195" s="1" t="s">
        <v>36</v>
      </c>
      <c r="W1195" s="1" t="s">
        <v>256</v>
      </c>
    </row>
    <row r="1196" spans="1:23" x14ac:dyDescent="0.35">
      <c r="A1196">
        <v>5764</v>
      </c>
      <c r="B1196" s="1" t="s">
        <v>3269</v>
      </c>
      <c r="C1196" s="2">
        <v>42311</v>
      </c>
      <c r="D1196" s="2">
        <v>42313</v>
      </c>
      <c r="E1196" s="1" t="s">
        <v>90</v>
      </c>
      <c r="F1196" s="1" t="s">
        <v>3270</v>
      </c>
      <c r="G1196" s="1" t="s">
        <v>3271</v>
      </c>
      <c r="H1196" s="1" t="s">
        <v>93</v>
      </c>
      <c r="I1196" s="1" t="s">
        <v>28</v>
      </c>
      <c r="J1196" s="1" t="s">
        <v>733</v>
      </c>
      <c r="K1196" s="1" t="s">
        <v>123</v>
      </c>
      <c r="L1196">
        <v>11561</v>
      </c>
      <c r="M1196" s="1" t="s">
        <v>70</v>
      </c>
      <c r="N1196" s="1" t="s">
        <v>2552</v>
      </c>
      <c r="O1196" s="1" t="s">
        <v>33</v>
      </c>
      <c r="P1196" s="1" t="s">
        <v>39</v>
      </c>
      <c r="Q1196" s="1" t="s">
        <v>2553</v>
      </c>
      <c r="R1196">
        <v>1449</v>
      </c>
      <c r="S1196">
        <v>10</v>
      </c>
      <c r="T1196">
        <v>0.1</v>
      </c>
      <c r="U1196">
        <v>209</v>
      </c>
      <c r="V1196" s="1" t="s">
        <v>73</v>
      </c>
      <c r="W1196" s="1" t="s">
        <v>37</v>
      </c>
    </row>
    <row r="1197" spans="1:23" x14ac:dyDescent="0.35">
      <c r="A1197">
        <v>5771</v>
      </c>
      <c r="B1197" s="1" t="s">
        <v>3272</v>
      </c>
      <c r="C1197" s="2">
        <v>42271</v>
      </c>
      <c r="D1197" s="2">
        <v>42275</v>
      </c>
      <c r="E1197" s="1" t="s">
        <v>42</v>
      </c>
      <c r="F1197" s="1" t="s">
        <v>3273</v>
      </c>
      <c r="G1197" s="1" t="s">
        <v>3274</v>
      </c>
      <c r="H1197" s="1" t="s">
        <v>93</v>
      </c>
      <c r="I1197" s="1" t="s">
        <v>28</v>
      </c>
      <c r="J1197" s="1" t="s">
        <v>55</v>
      </c>
      <c r="K1197" s="1" t="s">
        <v>56</v>
      </c>
      <c r="L1197">
        <v>90032</v>
      </c>
      <c r="M1197" s="1" t="s">
        <v>57</v>
      </c>
      <c r="N1197" s="1" t="s">
        <v>653</v>
      </c>
      <c r="O1197" s="1" t="s">
        <v>33</v>
      </c>
      <c r="P1197" s="1" t="s">
        <v>59</v>
      </c>
      <c r="Q1197" s="1" t="s">
        <v>654</v>
      </c>
      <c r="R1197">
        <v>15</v>
      </c>
      <c r="S1197">
        <v>3</v>
      </c>
      <c r="T1197">
        <v>0</v>
      </c>
      <c r="U1197">
        <v>5</v>
      </c>
      <c r="V1197" s="1" t="s">
        <v>86</v>
      </c>
      <c r="W1197" s="1" t="s">
        <v>80</v>
      </c>
    </row>
    <row r="1198" spans="1:23" x14ac:dyDescent="0.35">
      <c r="A1198">
        <v>5775</v>
      </c>
      <c r="B1198" s="1" t="s">
        <v>3275</v>
      </c>
      <c r="C1198" s="2">
        <v>42472</v>
      </c>
      <c r="D1198" s="2">
        <v>42476</v>
      </c>
      <c r="E1198" s="1" t="s">
        <v>42</v>
      </c>
      <c r="F1198" s="1" t="s">
        <v>1210</v>
      </c>
      <c r="G1198" s="1" t="s">
        <v>1211</v>
      </c>
      <c r="H1198" s="1" t="s">
        <v>27</v>
      </c>
      <c r="I1198" s="1" t="s">
        <v>28</v>
      </c>
      <c r="J1198" s="1" t="s">
        <v>55</v>
      </c>
      <c r="K1198" s="1" t="s">
        <v>56</v>
      </c>
      <c r="L1198">
        <v>90036</v>
      </c>
      <c r="M1198" s="1" t="s">
        <v>57</v>
      </c>
      <c r="N1198" s="1" t="s">
        <v>3219</v>
      </c>
      <c r="O1198" s="1" t="s">
        <v>33</v>
      </c>
      <c r="P1198" s="1" t="s">
        <v>39</v>
      </c>
      <c r="Q1198" s="1" t="s">
        <v>3220</v>
      </c>
      <c r="R1198">
        <v>638</v>
      </c>
      <c r="S1198">
        <v>7</v>
      </c>
      <c r="T1198">
        <v>0.2</v>
      </c>
      <c r="U1198">
        <v>-32</v>
      </c>
      <c r="V1198" s="1" t="s">
        <v>86</v>
      </c>
      <c r="W1198" s="1" t="s">
        <v>116</v>
      </c>
    </row>
    <row r="1199" spans="1:23" x14ac:dyDescent="0.35">
      <c r="A1199">
        <v>5780</v>
      </c>
      <c r="B1199" s="1" t="s">
        <v>3276</v>
      </c>
      <c r="C1199" s="2">
        <v>41954</v>
      </c>
      <c r="D1199" s="2">
        <v>41961</v>
      </c>
      <c r="E1199" s="1" t="s">
        <v>42</v>
      </c>
      <c r="F1199" s="1" t="s">
        <v>1068</v>
      </c>
      <c r="G1199" s="1" t="s">
        <v>1069</v>
      </c>
      <c r="H1199" s="1" t="s">
        <v>27</v>
      </c>
      <c r="I1199" s="1" t="s">
        <v>28</v>
      </c>
      <c r="J1199" s="1" t="s">
        <v>55</v>
      </c>
      <c r="K1199" s="1" t="s">
        <v>56</v>
      </c>
      <c r="L1199">
        <v>90008</v>
      </c>
      <c r="M1199" s="1" t="s">
        <v>57</v>
      </c>
      <c r="N1199" s="1" t="s">
        <v>1535</v>
      </c>
      <c r="O1199" s="1" t="s">
        <v>33</v>
      </c>
      <c r="P1199" s="1" t="s">
        <v>39</v>
      </c>
      <c r="Q1199" s="1" t="s">
        <v>1536</v>
      </c>
      <c r="R1199">
        <v>113</v>
      </c>
      <c r="S1199">
        <v>1</v>
      </c>
      <c r="T1199">
        <v>0.2</v>
      </c>
      <c r="U1199">
        <v>11</v>
      </c>
      <c r="V1199" s="1" t="s">
        <v>50</v>
      </c>
      <c r="W1199" s="1" t="s">
        <v>37</v>
      </c>
    </row>
    <row r="1200" spans="1:23" x14ac:dyDescent="0.35">
      <c r="A1200">
        <v>5785</v>
      </c>
      <c r="B1200" s="1" t="s">
        <v>3277</v>
      </c>
      <c r="C1200" s="2">
        <v>43010</v>
      </c>
      <c r="D1200" s="2">
        <v>43016</v>
      </c>
      <c r="E1200" s="1" t="s">
        <v>42</v>
      </c>
      <c r="F1200" s="1" t="s">
        <v>3278</v>
      </c>
      <c r="G1200" s="1" t="s">
        <v>3279</v>
      </c>
      <c r="H1200" s="1" t="s">
        <v>27</v>
      </c>
      <c r="I1200" s="1" t="s">
        <v>28</v>
      </c>
      <c r="J1200" s="1" t="s">
        <v>881</v>
      </c>
      <c r="K1200" s="1" t="s">
        <v>1520</v>
      </c>
      <c r="L1200">
        <v>97477</v>
      </c>
      <c r="M1200" s="1" t="s">
        <v>57</v>
      </c>
      <c r="N1200" s="1" t="s">
        <v>459</v>
      </c>
      <c r="O1200" s="1" t="s">
        <v>33</v>
      </c>
      <c r="P1200" s="1" t="s">
        <v>34</v>
      </c>
      <c r="Q1200" s="1" t="s">
        <v>460</v>
      </c>
      <c r="R1200">
        <v>218</v>
      </c>
      <c r="S1200">
        <v>6</v>
      </c>
      <c r="T1200">
        <v>0.7</v>
      </c>
      <c r="U1200">
        <v>-385</v>
      </c>
      <c r="V1200" s="1" t="s">
        <v>132</v>
      </c>
      <c r="W1200" s="1" t="s">
        <v>51</v>
      </c>
    </row>
    <row r="1201" spans="1:23" x14ac:dyDescent="0.35">
      <c r="A1201">
        <v>5789</v>
      </c>
      <c r="B1201" s="1" t="s">
        <v>3280</v>
      </c>
      <c r="C1201" s="2">
        <v>42835</v>
      </c>
      <c r="D1201" s="2">
        <v>42839</v>
      </c>
      <c r="E1201" s="1" t="s">
        <v>24</v>
      </c>
      <c r="F1201" s="1" t="s">
        <v>3281</v>
      </c>
      <c r="G1201" s="1" t="s">
        <v>3282</v>
      </c>
      <c r="H1201" s="1" t="s">
        <v>93</v>
      </c>
      <c r="I1201" s="1" t="s">
        <v>28</v>
      </c>
      <c r="J1201" s="1" t="s">
        <v>609</v>
      </c>
      <c r="K1201" s="1" t="s">
        <v>46</v>
      </c>
      <c r="L1201">
        <v>32216</v>
      </c>
      <c r="M1201" s="1" t="s">
        <v>31</v>
      </c>
      <c r="N1201" s="1" t="s">
        <v>2014</v>
      </c>
      <c r="O1201" s="1" t="s">
        <v>33</v>
      </c>
      <c r="P1201" s="1" t="s">
        <v>59</v>
      </c>
      <c r="Q1201" s="1" t="s">
        <v>2015</v>
      </c>
      <c r="R1201">
        <v>12</v>
      </c>
      <c r="S1201">
        <v>5</v>
      </c>
      <c r="T1201">
        <v>0.2</v>
      </c>
      <c r="U1201">
        <v>2</v>
      </c>
      <c r="V1201" s="1" t="s">
        <v>86</v>
      </c>
      <c r="W1201" s="1" t="s">
        <v>116</v>
      </c>
    </row>
    <row r="1202" spans="1:23" x14ac:dyDescent="0.35">
      <c r="A1202">
        <v>5792</v>
      </c>
      <c r="B1202" s="1" t="s">
        <v>3283</v>
      </c>
      <c r="C1202" s="2">
        <v>43007</v>
      </c>
      <c r="D1202" s="2">
        <v>43010</v>
      </c>
      <c r="E1202" s="1" t="s">
        <v>90</v>
      </c>
      <c r="F1202" s="1" t="s">
        <v>1121</v>
      </c>
      <c r="G1202" s="1" t="s">
        <v>1122</v>
      </c>
      <c r="H1202" s="1" t="s">
        <v>27</v>
      </c>
      <c r="I1202" s="1" t="s">
        <v>28</v>
      </c>
      <c r="J1202" s="1" t="s">
        <v>2088</v>
      </c>
      <c r="K1202" s="1" t="s">
        <v>56</v>
      </c>
      <c r="L1202">
        <v>93309</v>
      </c>
      <c r="M1202" s="1" t="s">
        <v>57</v>
      </c>
      <c r="N1202" s="1" t="s">
        <v>1220</v>
      </c>
      <c r="O1202" s="1" t="s">
        <v>33</v>
      </c>
      <c r="P1202" s="1" t="s">
        <v>39</v>
      </c>
      <c r="Q1202" s="1" t="s">
        <v>1221</v>
      </c>
      <c r="R1202">
        <v>73</v>
      </c>
      <c r="S1202">
        <v>1</v>
      </c>
      <c r="T1202">
        <v>0.2</v>
      </c>
      <c r="U1202">
        <v>0</v>
      </c>
      <c r="V1202" s="1" t="s">
        <v>36</v>
      </c>
      <c r="W1202" s="1" t="s">
        <v>80</v>
      </c>
    </row>
    <row r="1203" spans="1:23" x14ac:dyDescent="0.35">
      <c r="A1203">
        <v>5794</v>
      </c>
      <c r="B1203" s="1" t="s">
        <v>3283</v>
      </c>
      <c r="C1203" s="2">
        <v>43007</v>
      </c>
      <c r="D1203" s="2">
        <v>43010</v>
      </c>
      <c r="E1203" s="1" t="s">
        <v>90</v>
      </c>
      <c r="F1203" s="1" t="s">
        <v>1121</v>
      </c>
      <c r="G1203" s="1" t="s">
        <v>1122</v>
      </c>
      <c r="H1203" s="1" t="s">
        <v>27</v>
      </c>
      <c r="I1203" s="1" t="s">
        <v>28</v>
      </c>
      <c r="J1203" s="1" t="s">
        <v>2088</v>
      </c>
      <c r="K1203" s="1" t="s">
        <v>56</v>
      </c>
      <c r="L1203">
        <v>93309</v>
      </c>
      <c r="M1203" s="1" t="s">
        <v>57</v>
      </c>
      <c r="N1203" s="1" t="s">
        <v>87</v>
      </c>
      <c r="O1203" s="1" t="s">
        <v>33</v>
      </c>
      <c r="P1203" s="1" t="s">
        <v>59</v>
      </c>
      <c r="Q1203" s="1" t="s">
        <v>88</v>
      </c>
      <c r="R1203">
        <v>52</v>
      </c>
      <c r="S1203">
        <v>1</v>
      </c>
      <c r="T1203">
        <v>0</v>
      </c>
      <c r="U1203">
        <v>16</v>
      </c>
      <c r="V1203" s="1" t="s">
        <v>36</v>
      </c>
      <c r="W1203" s="1" t="s">
        <v>80</v>
      </c>
    </row>
    <row r="1204" spans="1:23" x14ac:dyDescent="0.35">
      <c r="A1204">
        <v>5797</v>
      </c>
      <c r="B1204" s="1" t="s">
        <v>3284</v>
      </c>
      <c r="C1204" s="2">
        <v>41911</v>
      </c>
      <c r="D1204" s="2">
        <v>41915</v>
      </c>
      <c r="E1204" s="1" t="s">
        <v>24</v>
      </c>
      <c r="F1204" s="1" t="s">
        <v>1199</v>
      </c>
      <c r="G1204" s="1" t="s">
        <v>1200</v>
      </c>
      <c r="H1204" s="1" t="s">
        <v>27</v>
      </c>
      <c r="I1204" s="1" t="s">
        <v>28</v>
      </c>
      <c r="J1204" s="1" t="s">
        <v>176</v>
      </c>
      <c r="K1204" s="1" t="s">
        <v>123</v>
      </c>
      <c r="L1204">
        <v>10011</v>
      </c>
      <c r="M1204" s="1" t="s">
        <v>70</v>
      </c>
      <c r="N1204" s="1" t="s">
        <v>235</v>
      </c>
      <c r="O1204" s="1" t="s">
        <v>33</v>
      </c>
      <c r="P1204" s="1" t="s">
        <v>59</v>
      </c>
      <c r="Q1204" s="1" t="s">
        <v>236</v>
      </c>
      <c r="R1204">
        <v>117</v>
      </c>
      <c r="S1204">
        <v>4</v>
      </c>
      <c r="T1204">
        <v>0</v>
      </c>
      <c r="U1204">
        <v>36</v>
      </c>
      <c r="V1204" s="1" t="s">
        <v>86</v>
      </c>
      <c r="W1204" s="1" t="s">
        <v>80</v>
      </c>
    </row>
    <row r="1205" spans="1:23" x14ac:dyDescent="0.35">
      <c r="A1205">
        <v>5800</v>
      </c>
      <c r="B1205" s="1" t="s">
        <v>3285</v>
      </c>
      <c r="C1205" s="2">
        <v>41871</v>
      </c>
      <c r="D1205" s="2">
        <v>41876</v>
      </c>
      <c r="E1205" s="1" t="s">
        <v>24</v>
      </c>
      <c r="F1205" s="1" t="s">
        <v>3286</v>
      </c>
      <c r="G1205" s="1" t="s">
        <v>3287</v>
      </c>
      <c r="H1205" s="1" t="s">
        <v>27</v>
      </c>
      <c r="I1205" s="1" t="s">
        <v>28</v>
      </c>
      <c r="J1205" s="1" t="s">
        <v>136</v>
      </c>
      <c r="K1205" s="1" t="s">
        <v>137</v>
      </c>
      <c r="L1205">
        <v>60610</v>
      </c>
      <c r="M1205" s="1" t="s">
        <v>96</v>
      </c>
      <c r="N1205" s="1" t="s">
        <v>2337</v>
      </c>
      <c r="O1205" s="1" t="s">
        <v>33</v>
      </c>
      <c r="P1205" s="1" t="s">
        <v>39</v>
      </c>
      <c r="Q1205" s="1" t="s">
        <v>2338</v>
      </c>
      <c r="R1205">
        <v>421</v>
      </c>
      <c r="S1205">
        <v>2</v>
      </c>
      <c r="T1205">
        <v>0.3</v>
      </c>
      <c r="U1205">
        <v>-6</v>
      </c>
      <c r="V1205" s="1" t="s">
        <v>61</v>
      </c>
      <c r="W1205" s="1" t="s">
        <v>256</v>
      </c>
    </row>
    <row r="1206" spans="1:23" x14ac:dyDescent="0.35">
      <c r="A1206">
        <v>5806</v>
      </c>
      <c r="B1206" s="1" t="s">
        <v>3288</v>
      </c>
      <c r="C1206" s="2">
        <v>43052</v>
      </c>
      <c r="D1206" s="2">
        <v>43058</v>
      </c>
      <c r="E1206" s="1" t="s">
        <v>42</v>
      </c>
      <c r="F1206" s="1" t="s">
        <v>2595</v>
      </c>
      <c r="G1206" s="1" t="s">
        <v>2596</v>
      </c>
      <c r="H1206" s="1" t="s">
        <v>93</v>
      </c>
      <c r="I1206" s="1" t="s">
        <v>28</v>
      </c>
      <c r="J1206" s="1" t="s">
        <v>1742</v>
      </c>
      <c r="K1206" s="1" t="s">
        <v>95</v>
      </c>
      <c r="L1206">
        <v>75220</v>
      </c>
      <c r="M1206" s="1" t="s">
        <v>96</v>
      </c>
      <c r="N1206" s="1" t="s">
        <v>901</v>
      </c>
      <c r="O1206" s="1" t="s">
        <v>33</v>
      </c>
      <c r="P1206" s="1" t="s">
        <v>34</v>
      </c>
      <c r="Q1206" s="1" t="s">
        <v>902</v>
      </c>
      <c r="R1206">
        <v>206</v>
      </c>
      <c r="S1206">
        <v>3</v>
      </c>
      <c r="T1206">
        <v>0.32</v>
      </c>
      <c r="U1206">
        <v>-27</v>
      </c>
      <c r="V1206" s="1" t="s">
        <v>132</v>
      </c>
      <c r="W1206" s="1" t="s">
        <v>37</v>
      </c>
    </row>
    <row r="1207" spans="1:23" x14ac:dyDescent="0.35">
      <c r="A1207">
        <v>5810</v>
      </c>
      <c r="B1207" s="1" t="s">
        <v>3289</v>
      </c>
      <c r="C1207" s="2">
        <v>42406</v>
      </c>
      <c r="D1207" s="2">
        <v>42411</v>
      </c>
      <c r="E1207" s="1" t="s">
        <v>42</v>
      </c>
      <c r="F1207" s="1" t="s">
        <v>581</v>
      </c>
      <c r="G1207" s="1" t="s">
        <v>582</v>
      </c>
      <c r="H1207" s="1" t="s">
        <v>93</v>
      </c>
      <c r="I1207" s="1" t="s">
        <v>28</v>
      </c>
      <c r="J1207" s="1" t="s">
        <v>2272</v>
      </c>
      <c r="K1207" s="1" t="s">
        <v>144</v>
      </c>
      <c r="L1207">
        <v>37421</v>
      </c>
      <c r="M1207" s="1" t="s">
        <v>31</v>
      </c>
      <c r="N1207" s="1" t="s">
        <v>599</v>
      </c>
      <c r="O1207" s="1" t="s">
        <v>33</v>
      </c>
      <c r="P1207" s="1" t="s">
        <v>59</v>
      </c>
      <c r="Q1207" s="1" t="s">
        <v>600</v>
      </c>
      <c r="R1207">
        <v>132</v>
      </c>
      <c r="S1207">
        <v>4</v>
      </c>
      <c r="T1207">
        <v>0.2</v>
      </c>
      <c r="U1207">
        <v>-18</v>
      </c>
      <c r="V1207" s="1" t="s">
        <v>61</v>
      </c>
      <c r="W1207" s="1" t="s">
        <v>300</v>
      </c>
    </row>
    <row r="1208" spans="1:23" x14ac:dyDescent="0.35">
      <c r="A1208">
        <v>5812</v>
      </c>
      <c r="B1208" s="1" t="s">
        <v>3290</v>
      </c>
      <c r="C1208" s="2">
        <v>42085</v>
      </c>
      <c r="D1208" s="2">
        <v>42089</v>
      </c>
      <c r="E1208" s="1" t="s">
        <v>42</v>
      </c>
      <c r="F1208" s="1" t="s">
        <v>678</v>
      </c>
      <c r="G1208" s="1" t="s">
        <v>679</v>
      </c>
      <c r="H1208" s="1" t="s">
        <v>93</v>
      </c>
      <c r="I1208" s="1" t="s">
        <v>28</v>
      </c>
      <c r="J1208" s="1" t="s">
        <v>642</v>
      </c>
      <c r="K1208" s="1" t="s">
        <v>56</v>
      </c>
      <c r="L1208">
        <v>92037</v>
      </c>
      <c r="M1208" s="1" t="s">
        <v>57</v>
      </c>
      <c r="N1208" s="1" t="s">
        <v>3291</v>
      </c>
      <c r="O1208" s="1" t="s">
        <v>33</v>
      </c>
      <c r="P1208" s="1" t="s">
        <v>59</v>
      </c>
      <c r="Q1208" s="1" t="s">
        <v>3292</v>
      </c>
      <c r="R1208">
        <v>92</v>
      </c>
      <c r="S1208">
        <v>2</v>
      </c>
      <c r="T1208">
        <v>0</v>
      </c>
      <c r="U1208">
        <v>16</v>
      </c>
      <c r="V1208" s="1" t="s">
        <v>86</v>
      </c>
      <c r="W1208" s="1" t="s">
        <v>198</v>
      </c>
    </row>
    <row r="1209" spans="1:23" x14ac:dyDescent="0.35">
      <c r="A1209">
        <v>5823</v>
      </c>
      <c r="B1209" s="1" t="s">
        <v>3293</v>
      </c>
      <c r="C1209" s="2">
        <v>42867</v>
      </c>
      <c r="D1209" s="2">
        <v>42873</v>
      </c>
      <c r="E1209" s="1" t="s">
        <v>42</v>
      </c>
      <c r="F1209" s="1" t="s">
        <v>2673</v>
      </c>
      <c r="G1209" s="1" t="s">
        <v>2674</v>
      </c>
      <c r="H1209" s="1" t="s">
        <v>93</v>
      </c>
      <c r="I1209" s="1" t="s">
        <v>28</v>
      </c>
      <c r="J1209" s="1" t="s">
        <v>331</v>
      </c>
      <c r="K1209" s="1" t="s">
        <v>56</v>
      </c>
      <c r="L1209">
        <v>94122</v>
      </c>
      <c r="M1209" s="1" t="s">
        <v>57</v>
      </c>
      <c r="N1209" s="1" t="s">
        <v>910</v>
      </c>
      <c r="O1209" s="1" t="s">
        <v>33</v>
      </c>
      <c r="P1209" s="1" t="s">
        <v>48</v>
      </c>
      <c r="Q1209" s="1" t="s">
        <v>911</v>
      </c>
      <c r="R1209">
        <v>285</v>
      </c>
      <c r="S1209">
        <v>5</v>
      </c>
      <c r="T1209">
        <v>0.2</v>
      </c>
      <c r="U1209">
        <v>-11</v>
      </c>
      <c r="V1209" s="1" t="s">
        <v>132</v>
      </c>
      <c r="W1209" s="1" t="s">
        <v>164</v>
      </c>
    </row>
    <row r="1210" spans="1:23" x14ac:dyDescent="0.35">
      <c r="A1210">
        <v>5827</v>
      </c>
      <c r="B1210" s="1" t="s">
        <v>3294</v>
      </c>
      <c r="C1210" s="2">
        <v>42981</v>
      </c>
      <c r="D1210" s="2">
        <v>42984</v>
      </c>
      <c r="E1210" s="1" t="s">
        <v>24</v>
      </c>
      <c r="F1210" s="1" t="s">
        <v>3295</v>
      </c>
      <c r="G1210" s="1" t="s">
        <v>3296</v>
      </c>
      <c r="H1210" s="1" t="s">
        <v>103</v>
      </c>
      <c r="I1210" s="1" t="s">
        <v>28</v>
      </c>
      <c r="J1210" s="1" t="s">
        <v>176</v>
      </c>
      <c r="K1210" s="1" t="s">
        <v>123</v>
      </c>
      <c r="L1210">
        <v>10035</v>
      </c>
      <c r="M1210" s="1" t="s">
        <v>70</v>
      </c>
      <c r="N1210" s="1" t="s">
        <v>3020</v>
      </c>
      <c r="O1210" s="1" t="s">
        <v>33</v>
      </c>
      <c r="P1210" s="1" t="s">
        <v>39</v>
      </c>
      <c r="Q1210" s="1" t="s">
        <v>3021</v>
      </c>
      <c r="R1210">
        <v>91</v>
      </c>
      <c r="S1210">
        <v>1</v>
      </c>
      <c r="T1210">
        <v>0.1</v>
      </c>
      <c r="U1210">
        <v>14</v>
      </c>
      <c r="V1210" s="1" t="s">
        <v>36</v>
      </c>
      <c r="W1210" s="1" t="s">
        <v>80</v>
      </c>
    </row>
    <row r="1211" spans="1:23" x14ac:dyDescent="0.35">
      <c r="A1211">
        <v>5828</v>
      </c>
      <c r="B1211" s="1" t="s">
        <v>3294</v>
      </c>
      <c r="C1211" s="2">
        <v>42981</v>
      </c>
      <c r="D1211" s="2">
        <v>42984</v>
      </c>
      <c r="E1211" s="1" t="s">
        <v>24</v>
      </c>
      <c r="F1211" s="1" t="s">
        <v>3295</v>
      </c>
      <c r="G1211" s="1" t="s">
        <v>3296</v>
      </c>
      <c r="H1211" s="1" t="s">
        <v>103</v>
      </c>
      <c r="I1211" s="1" t="s">
        <v>28</v>
      </c>
      <c r="J1211" s="1" t="s">
        <v>176</v>
      </c>
      <c r="K1211" s="1" t="s">
        <v>123</v>
      </c>
      <c r="L1211">
        <v>10035</v>
      </c>
      <c r="M1211" s="1" t="s">
        <v>70</v>
      </c>
      <c r="N1211" s="1" t="s">
        <v>298</v>
      </c>
      <c r="O1211" s="1" t="s">
        <v>33</v>
      </c>
      <c r="P1211" s="1" t="s">
        <v>39</v>
      </c>
      <c r="Q1211" s="1" t="s">
        <v>299</v>
      </c>
      <c r="R1211">
        <v>182</v>
      </c>
      <c r="S1211">
        <v>2</v>
      </c>
      <c r="T1211">
        <v>0.1</v>
      </c>
      <c r="U1211">
        <v>-8</v>
      </c>
      <c r="V1211" s="1" t="s">
        <v>36</v>
      </c>
      <c r="W1211" s="1" t="s">
        <v>80</v>
      </c>
    </row>
    <row r="1212" spans="1:23" x14ac:dyDescent="0.35">
      <c r="A1212">
        <v>5830</v>
      </c>
      <c r="B1212" s="1" t="s">
        <v>3297</v>
      </c>
      <c r="C1212" s="2">
        <v>42707</v>
      </c>
      <c r="D1212" s="2">
        <v>42711</v>
      </c>
      <c r="E1212" s="1" t="s">
        <v>42</v>
      </c>
      <c r="F1212" s="1" t="s">
        <v>1418</v>
      </c>
      <c r="G1212" s="1" t="s">
        <v>1419</v>
      </c>
      <c r="H1212" s="1" t="s">
        <v>27</v>
      </c>
      <c r="I1212" s="1" t="s">
        <v>28</v>
      </c>
      <c r="J1212" s="1" t="s">
        <v>638</v>
      </c>
      <c r="K1212" s="1" t="s">
        <v>113</v>
      </c>
      <c r="L1212">
        <v>47374</v>
      </c>
      <c r="M1212" s="1" t="s">
        <v>96</v>
      </c>
      <c r="N1212" s="1" t="s">
        <v>413</v>
      </c>
      <c r="O1212" s="1" t="s">
        <v>33</v>
      </c>
      <c r="P1212" s="1" t="s">
        <v>48</v>
      </c>
      <c r="Q1212" s="1" t="s">
        <v>414</v>
      </c>
      <c r="R1212">
        <v>582</v>
      </c>
      <c r="S1212">
        <v>2</v>
      </c>
      <c r="T1212">
        <v>0</v>
      </c>
      <c r="U1212">
        <v>105</v>
      </c>
      <c r="V1212" s="1" t="s">
        <v>86</v>
      </c>
      <c r="W1212" s="1" t="s">
        <v>99</v>
      </c>
    </row>
    <row r="1213" spans="1:23" x14ac:dyDescent="0.35">
      <c r="A1213">
        <v>5831</v>
      </c>
      <c r="B1213" s="1" t="s">
        <v>3297</v>
      </c>
      <c r="C1213" s="2">
        <v>42707</v>
      </c>
      <c r="D1213" s="2">
        <v>42711</v>
      </c>
      <c r="E1213" s="1" t="s">
        <v>42</v>
      </c>
      <c r="F1213" s="1" t="s">
        <v>1418</v>
      </c>
      <c r="G1213" s="1" t="s">
        <v>1419</v>
      </c>
      <c r="H1213" s="1" t="s">
        <v>27</v>
      </c>
      <c r="I1213" s="1" t="s">
        <v>28</v>
      </c>
      <c r="J1213" s="1" t="s">
        <v>638</v>
      </c>
      <c r="K1213" s="1" t="s">
        <v>113</v>
      </c>
      <c r="L1213">
        <v>47374</v>
      </c>
      <c r="M1213" s="1" t="s">
        <v>96</v>
      </c>
      <c r="N1213" s="1" t="s">
        <v>1516</v>
      </c>
      <c r="O1213" s="1" t="s">
        <v>33</v>
      </c>
      <c r="P1213" s="1" t="s">
        <v>39</v>
      </c>
      <c r="Q1213" s="1" t="s">
        <v>1517</v>
      </c>
      <c r="R1213">
        <v>30</v>
      </c>
      <c r="S1213">
        <v>1</v>
      </c>
      <c r="T1213">
        <v>0</v>
      </c>
      <c r="U1213">
        <v>8</v>
      </c>
      <c r="V1213" s="1" t="s">
        <v>86</v>
      </c>
      <c r="W1213" s="1" t="s">
        <v>99</v>
      </c>
    </row>
    <row r="1214" spans="1:23" x14ac:dyDescent="0.35">
      <c r="A1214">
        <v>5834</v>
      </c>
      <c r="B1214" s="1" t="s">
        <v>3298</v>
      </c>
      <c r="C1214" s="2">
        <v>42572</v>
      </c>
      <c r="D1214" s="2">
        <v>42577</v>
      </c>
      <c r="E1214" s="1" t="s">
        <v>42</v>
      </c>
      <c r="F1214" s="1" t="s">
        <v>1210</v>
      </c>
      <c r="G1214" s="1" t="s">
        <v>1211</v>
      </c>
      <c r="H1214" s="1" t="s">
        <v>27</v>
      </c>
      <c r="I1214" s="1" t="s">
        <v>28</v>
      </c>
      <c r="J1214" s="1" t="s">
        <v>512</v>
      </c>
      <c r="K1214" s="1" t="s">
        <v>1039</v>
      </c>
      <c r="L1214">
        <v>28027</v>
      </c>
      <c r="M1214" s="1" t="s">
        <v>31</v>
      </c>
      <c r="N1214" s="1" t="s">
        <v>1220</v>
      </c>
      <c r="O1214" s="1" t="s">
        <v>33</v>
      </c>
      <c r="P1214" s="1" t="s">
        <v>39</v>
      </c>
      <c r="Q1214" s="1" t="s">
        <v>1221</v>
      </c>
      <c r="R1214">
        <v>364</v>
      </c>
      <c r="S1214">
        <v>5</v>
      </c>
      <c r="T1214">
        <v>0.2</v>
      </c>
      <c r="U1214">
        <v>0</v>
      </c>
      <c r="V1214" s="1" t="s">
        <v>61</v>
      </c>
      <c r="W1214" s="1" t="s">
        <v>74</v>
      </c>
    </row>
    <row r="1215" spans="1:23" x14ac:dyDescent="0.35">
      <c r="A1215">
        <v>5841</v>
      </c>
      <c r="B1215" s="1" t="s">
        <v>3299</v>
      </c>
      <c r="C1215" s="2">
        <v>42269</v>
      </c>
      <c r="D1215" s="2">
        <v>42273</v>
      </c>
      <c r="E1215" s="1" t="s">
        <v>24</v>
      </c>
      <c r="F1215" s="1" t="s">
        <v>2488</v>
      </c>
      <c r="G1215" s="1" t="s">
        <v>2489</v>
      </c>
      <c r="H1215" s="1" t="s">
        <v>103</v>
      </c>
      <c r="I1215" s="1" t="s">
        <v>28</v>
      </c>
      <c r="J1215" s="1" t="s">
        <v>692</v>
      </c>
      <c r="K1215" s="1" t="s">
        <v>719</v>
      </c>
      <c r="L1215">
        <v>22204</v>
      </c>
      <c r="M1215" s="1" t="s">
        <v>31</v>
      </c>
      <c r="N1215" s="1" t="s">
        <v>1183</v>
      </c>
      <c r="O1215" s="1" t="s">
        <v>33</v>
      </c>
      <c r="P1215" s="1" t="s">
        <v>59</v>
      </c>
      <c r="Q1215" s="1" t="s">
        <v>1184</v>
      </c>
      <c r="R1215">
        <v>48</v>
      </c>
      <c r="S1215">
        <v>2</v>
      </c>
      <c r="T1215">
        <v>0</v>
      </c>
      <c r="U1215">
        <v>11</v>
      </c>
      <c r="V1215" s="1" t="s">
        <v>86</v>
      </c>
      <c r="W1215" s="1" t="s">
        <v>80</v>
      </c>
    </row>
    <row r="1216" spans="1:23" x14ac:dyDescent="0.35">
      <c r="A1216">
        <v>5844</v>
      </c>
      <c r="B1216" s="1" t="s">
        <v>3300</v>
      </c>
      <c r="C1216" s="2">
        <v>42325</v>
      </c>
      <c r="D1216" s="2">
        <v>42329</v>
      </c>
      <c r="E1216" s="1" t="s">
        <v>42</v>
      </c>
      <c r="F1216" s="1" t="s">
        <v>3301</v>
      </c>
      <c r="G1216" s="1" t="s">
        <v>3302</v>
      </c>
      <c r="H1216" s="1" t="s">
        <v>27</v>
      </c>
      <c r="I1216" s="1" t="s">
        <v>28</v>
      </c>
      <c r="J1216" s="1" t="s">
        <v>642</v>
      </c>
      <c r="K1216" s="1" t="s">
        <v>56</v>
      </c>
      <c r="L1216">
        <v>92105</v>
      </c>
      <c r="M1216" s="1" t="s">
        <v>57</v>
      </c>
      <c r="N1216" s="1" t="s">
        <v>2968</v>
      </c>
      <c r="O1216" s="1" t="s">
        <v>33</v>
      </c>
      <c r="P1216" s="1" t="s">
        <v>59</v>
      </c>
      <c r="Q1216" s="1" t="s">
        <v>2969</v>
      </c>
      <c r="R1216">
        <v>81</v>
      </c>
      <c r="S1216">
        <v>4</v>
      </c>
      <c r="T1216">
        <v>0</v>
      </c>
      <c r="U1216">
        <v>29</v>
      </c>
      <c r="V1216" s="1" t="s">
        <v>86</v>
      </c>
      <c r="W1216" s="1" t="s">
        <v>37</v>
      </c>
    </row>
    <row r="1217" spans="1:23" x14ac:dyDescent="0.35">
      <c r="A1217">
        <v>5847</v>
      </c>
      <c r="B1217" s="1" t="s">
        <v>3300</v>
      </c>
      <c r="C1217" s="2">
        <v>42325</v>
      </c>
      <c r="D1217" s="2">
        <v>42329</v>
      </c>
      <c r="E1217" s="1" t="s">
        <v>42</v>
      </c>
      <c r="F1217" s="1" t="s">
        <v>3301</v>
      </c>
      <c r="G1217" s="1" t="s">
        <v>3302</v>
      </c>
      <c r="H1217" s="1" t="s">
        <v>27</v>
      </c>
      <c r="I1217" s="1" t="s">
        <v>28</v>
      </c>
      <c r="J1217" s="1" t="s">
        <v>642</v>
      </c>
      <c r="K1217" s="1" t="s">
        <v>56</v>
      </c>
      <c r="L1217">
        <v>92105</v>
      </c>
      <c r="M1217" s="1" t="s">
        <v>57</v>
      </c>
      <c r="N1217" s="1" t="s">
        <v>1144</v>
      </c>
      <c r="O1217" s="1" t="s">
        <v>33</v>
      </c>
      <c r="P1217" s="1" t="s">
        <v>39</v>
      </c>
      <c r="Q1217" s="1" t="s">
        <v>1145</v>
      </c>
      <c r="R1217">
        <v>226</v>
      </c>
      <c r="S1217">
        <v>2</v>
      </c>
      <c r="T1217">
        <v>0.2</v>
      </c>
      <c r="U1217">
        <v>3</v>
      </c>
      <c r="V1217" s="1" t="s">
        <v>86</v>
      </c>
      <c r="W1217" s="1" t="s">
        <v>37</v>
      </c>
    </row>
    <row r="1218" spans="1:23" x14ac:dyDescent="0.35">
      <c r="A1218">
        <v>5848</v>
      </c>
      <c r="B1218" s="1" t="s">
        <v>3300</v>
      </c>
      <c r="C1218" s="2">
        <v>42325</v>
      </c>
      <c r="D1218" s="2">
        <v>42329</v>
      </c>
      <c r="E1218" s="1" t="s">
        <v>42</v>
      </c>
      <c r="F1218" s="1" t="s">
        <v>3301</v>
      </c>
      <c r="G1218" s="1" t="s">
        <v>3302</v>
      </c>
      <c r="H1218" s="1" t="s">
        <v>27</v>
      </c>
      <c r="I1218" s="1" t="s">
        <v>28</v>
      </c>
      <c r="J1218" s="1" t="s">
        <v>642</v>
      </c>
      <c r="K1218" s="1" t="s">
        <v>56</v>
      </c>
      <c r="L1218">
        <v>92105</v>
      </c>
      <c r="M1218" s="1" t="s">
        <v>57</v>
      </c>
      <c r="N1218" s="1" t="s">
        <v>1485</v>
      </c>
      <c r="O1218" s="1" t="s">
        <v>33</v>
      </c>
      <c r="P1218" s="1" t="s">
        <v>59</v>
      </c>
      <c r="Q1218" s="1" t="s">
        <v>1486</v>
      </c>
      <c r="R1218">
        <v>37</v>
      </c>
      <c r="S1218">
        <v>3</v>
      </c>
      <c r="T1218">
        <v>0</v>
      </c>
      <c r="U1218">
        <v>15</v>
      </c>
      <c r="V1218" s="1" t="s">
        <v>86</v>
      </c>
      <c r="W1218" s="1" t="s">
        <v>37</v>
      </c>
    </row>
    <row r="1219" spans="1:23" x14ac:dyDescent="0.35">
      <c r="A1219">
        <v>5853</v>
      </c>
      <c r="B1219" s="1" t="s">
        <v>3303</v>
      </c>
      <c r="C1219" s="2">
        <v>42318</v>
      </c>
      <c r="D1219" s="2">
        <v>42322</v>
      </c>
      <c r="E1219" s="1" t="s">
        <v>42</v>
      </c>
      <c r="F1219" s="1" t="s">
        <v>3304</v>
      </c>
      <c r="G1219" s="1" t="s">
        <v>3305</v>
      </c>
      <c r="H1219" s="1" t="s">
        <v>103</v>
      </c>
      <c r="I1219" s="1" t="s">
        <v>28</v>
      </c>
      <c r="J1219" s="1" t="s">
        <v>226</v>
      </c>
      <c r="K1219" s="1" t="s">
        <v>169</v>
      </c>
      <c r="L1219">
        <v>55113</v>
      </c>
      <c r="M1219" s="1" t="s">
        <v>96</v>
      </c>
      <c r="N1219" s="1" t="s">
        <v>318</v>
      </c>
      <c r="O1219" s="1" t="s">
        <v>33</v>
      </c>
      <c r="P1219" s="1" t="s">
        <v>59</v>
      </c>
      <c r="Q1219" s="1" t="s">
        <v>319</v>
      </c>
      <c r="R1219">
        <v>29</v>
      </c>
      <c r="S1219">
        <v>3</v>
      </c>
      <c r="T1219">
        <v>0</v>
      </c>
      <c r="U1219">
        <v>13</v>
      </c>
      <c r="V1219" s="1" t="s">
        <v>86</v>
      </c>
      <c r="W1219" s="1" t="s">
        <v>37</v>
      </c>
    </row>
    <row r="1220" spans="1:23" x14ac:dyDescent="0.35">
      <c r="A1220">
        <v>5858</v>
      </c>
      <c r="B1220" s="1" t="s">
        <v>3306</v>
      </c>
      <c r="C1220" s="2">
        <v>42221</v>
      </c>
      <c r="D1220" s="2">
        <v>42227</v>
      </c>
      <c r="E1220" s="1" t="s">
        <v>42</v>
      </c>
      <c r="F1220" s="1" t="s">
        <v>2579</v>
      </c>
      <c r="G1220" s="1" t="s">
        <v>2580</v>
      </c>
      <c r="H1220" s="1" t="s">
        <v>93</v>
      </c>
      <c r="I1220" s="1" t="s">
        <v>28</v>
      </c>
      <c r="J1220" s="1" t="s">
        <v>1742</v>
      </c>
      <c r="K1220" s="1" t="s">
        <v>95</v>
      </c>
      <c r="L1220">
        <v>75220</v>
      </c>
      <c r="M1220" s="1" t="s">
        <v>96</v>
      </c>
      <c r="N1220" s="1" t="s">
        <v>1721</v>
      </c>
      <c r="O1220" s="1" t="s">
        <v>33</v>
      </c>
      <c r="P1220" s="1" t="s">
        <v>59</v>
      </c>
      <c r="Q1220" s="1" t="s">
        <v>1722</v>
      </c>
      <c r="R1220">
        <v>15</v>
      </c>
      <c r="S1220">
        <v>5</v>
      </c>
      <c r="T1220">
        <v>0.6</v>
      </c>
      <c r="U1220">
        <v>-11</v>
      </c>
      <c r="V1220" s="1" t="s">
        <v>132</v>
      </c>
      <c r="W1220" s="1" t="s">
        <v>256</v>
      </c>
    </row>
    <row r="1221" spans="1:23" x14ac:dyDescent="0.35">
      <c r="A1221">
        <v>5859</v>
      </c>
      <c r="B1221" s="1" t="s">
        <v>3307</v>
      </c>
      <c r="C1221" s="2">
        <v>42981</v>
      </c>
      <c r="D1221" s="2">
        <v>42985</v>
      </c>
      <c r="E1221" s="1" t="s">
        <v>24</v>
      </c>
      <c r="F1221" s="1" t="s">
        <v>2840</v>
      </c>
      <c r="G1221" s="1" t="s">
        <v>2841</v>
      </c>
      <c r="H1221" s="1" t="s">
        <v>27</v>
      </c>
      <c r="I1221" s="1" t="s">
        <v>28</v>
      </c>
      <c r="J1221" s="1" t="s">
        <v>512</v>
      </c>
      <c r="K1221" s="1" t="s">
        <v>56</v>
      </c>
      <c r="L1221">
        <v>94521</v>
      </c>
      <c r="M1221" s="1" t="s">
        <v>57</v>
      </c>
      <c r="N1221" s="1" t="s">
        <v>2625</v>
      </c>
      <c r="O1221" s="1" t="s">
        <v>33</v>
      </c>
      <c r="P1221" s="1" t="s">
        <v>34</v>
      </c>
      <c r="Q1221" s="1" t="s">
        <v>2626</v>
      </c>
      <c r="R1221">
        <v>240</v>
      </c>
      <c r="S1221">
        <v>2</v>
      </c>
      <c r="T1221">
        <v>0.15</v>
      </c>
      <c r="U1221">
        <v>14</v>
      </c>
      <c r="V1221" s="1" t="s">
        <v>86</v>
      </c>
      <c r="W1221" s="1" t="s">
        <v>80</v>
      </c>
    </row>
    <row r="1222" spans="1:23" x14ac:dyDescent="0.35">
      <c r="A1222">
        <v>5860</v>
      </c>
      <c r="B1222" s="1" t="s">
        <v>3308</v>
      </c>
      <c r="C1222" s="2">
        <v>42309</v>
      </c>
      <c r="D1222" s="2">
        <v>42316</v>
      </c>
      <c r="E1222" s="1" t="s">
        <v>42</v>
      </c>
      <c r="F1222" s="1" t="s">
        <v>2073</v>
      </c>
      <c r="G1222" s="1" t="s">
        <v>2074</v>
      </c>
      <c r="H1222" s="1" t="s">
        <v>27</v>
      </c>
      <c r="I1222" s="1" t="s">
        <v>28</v>
      </c>
      <c r="J1222" s="1" t="s">
        <v>3309</v>
      </c>
      <c r="K1222" s="1" t="s">
        <v>1061</v>
      </c>
      <c r="L1222">
        <v>72032</v>
      </c>
      <c r="M1222" s="1" t="s">
        <v>31</v>
      </c>
      <c r="N1222" s="1" t="s">
        <v>1287</v>
      </c>
      <c r="O1222" s="1" t="s">
        <v>33</v>
      </c>
      <c r="P1222" s="1" t="s">
        <v>48</v>
      </c>
      <c r="Q1222" s="1" t="s">
        <v>1288</v>
      </c>
      <c r="R1222">
        <v>302</v>
      </c>
      <c r="S1222">
        <v>2</v>
      </c>
      <c r="T1222">
        <v>0</v>
      </c>
      <c r="U1222">
        <v>45</v>
      </c>
      <c r="V1222" s="1" t="s">
        <v>50</v>
      </c>
      <c r="W1222" s="1" t="s">
        <v>37</v>
      </c>
    </row>
    <row r="1223" spans="1:23" x14ac:dyDescent="0.35">
      <c r="A1223">
        <v>5867</v>
      </c>
      <c r="B1223" s="1" t="s">
        <v>3310</v>
      </c>
      <c r="C1223" s="2">
        <v>41856</v>
      </c>
      <c r="D1223" s="2">
        <v>41858</v>
      </c>
      <c r="E1223" s="1" t="s">
        <v>24</v>
      </c>
      <c r="F1223" s="1" t="s">
        <v>1812</v>
      </c>
      <c r="G1223" s="1" t="s">
        <v>1813</v>
      </c>
      <c r="H1223" s="1" t="s">
        <v>93</v>
      </c>
      <c r="I1223" s="1" t="s">
        <v>28</v>
      </c>
      <c r="J1223" s="1" t="s">
        <v>3311</v>
      </c>
      <c r="K1223" s="1" t="s">
        <v>432</v>
      </c>
      <c r="L1223">
        <v>6450</v>
      </c>
      <c r="M1223" s="1" t="s">
        <v>70</v>
      </c>
      <c r="N1223" s="1" t="s">
        <v>808</v>
      </c>
      <c r="O1223" s="1" t="s">
        <v>33</v>
      </c>
      <c r="P1223" s="1" t="s">
        <v>39</v>
      </c>
      <c r="Q1223" s="1" t="s">
        <v>809</v>
      </c>
      <c r="R1223">
        <v>1133</v>
      </c>
      <c r="S1223">
        <v>5</v>
      </c>
      <c r="T1223">
        <v>0</v>
      </c>
      <c r="U1223">
        <v>295</v>
      </c>
      <c r="V1223" s="1" t="s">
        <v>73</v>
      </c>
      <c r="W1223" s="1" t="s">
        <v>256</v>
      </c>
    </row>
    <row r="1224" spans="1:23" x14ac:dyDescent="0.35">
      <c r="A1224">
        <v>5870</v>
      </c>
      <c r="B1224" s="1" t="s">
        <v>3312</v>
      </c>
      <c r="C1224" s="2">
        <v>42681</v>
      </c>
      <c r="D1224" s="2">
        <v>42686</v>
      </c>
      <c r="E1224" s="1" t="s">
        <v>42</v>
      </c>
      <c r="F1224" s="1" t="s">
        <v>2202</v>
      </c>
      <c r="G1224" s="1" t="s">
        <v>2203</v>
      </c>
      <c r="H1224" s="1" t="s">
        <v>103</v>
      </c>
      <c r="I1224" s="1" t="s">
        <v>28</v>
      </c>
      <c r="J1224" s="1" t="s">
        <v>3313</v>
      </c>
      <c r="K1224" s="1" t="s">
        <v>3314</v>
      </c>
      <c r="L1224">
        <v>82001</v>
      </c>
      <c r="M1224" s="1" t="s">
        <v>57</v>
      </c>
      <c r="N1224" s="1" t="s">
        <v>562</v>
      </c>
      <c r="O1224" s="1" t="s">
        <v>33</v>
      </c>
      <c r="P1224" s="1" t="s">
        <v>39</v>
      </c>
      <c r="Q1224" s="1" t="s">
        <v>563</v>
      </c>
      <c r="R1224">
        <v>1603</v>
      </c>
      <c r="S1224">
        <v>4</v>
      </c>
      <c r="T1224">
        <v>0.2</v>
      </c>
      <c r="U1224">
        <v>100</v>
      </c>
      <c r="V1224" s="1" t="s">
        <v>61</v>
      </c>
      <c r="W1224" s="1" t="s">
        <v>37</v>
      </c>
    </row>
    <row r="1225" spans="1:23" x14ac:dyDescent="0.35">
      <c r="A1225">
        <v>5871</v>
      </c>
      <c r="B1225" s="1" t="s">
        <v>3315</v>
      </c>
      <c r="C1225" s="2">
        <v>42535</v>
      </c>
      <c r="D1225" s="2">
        <v>42535</v>
      </c>
      <c r="E1225" s="1" t="s">
        <v>428</v>
      </c>
      <c r="F1225" s="1" t="s">
        <v>506</v>
      </c>
      <c r="G1225" s="1" t="s">
        <v>507</v>
      </c>
      <c r="H1225" s="1" t="s">
        <v>93</v>
      </c>
      <c r="I1225" s="1" t="s">
        <v>28</v>
      </c>
      <c r="J1225" s="1" t="s">
        <v>3050</v>
      </c>
      <c r="K1225" s="1" t="s">
        <v>56</v>
      </c>
      <c r="L1225">
        <v>92804</v>
      </c>
      <c r="M1225" s="1" t="s">
        <v>57</v>
      </c>
      <c r="N1225" s="1" t="s">
        <v>3168</v>
      </c>
      <c r="O1225" s="1" t="s">
        <v>33</v>
      </c>
      <c r="P1225" s="1" t="s">
        <v>48</v>
      </c>
      <c r="Q1225" s="1" t="s">
        <v>3169</v>
      </c>
      <c r="R1225">
        <v>1293</v>
      </c>
      <c r="S1225">
        <v>7</v>
      </c>
      <c r="T1225">
        <v>0.2</v>
      </c>
      <c r="U1225">
        <v>81</v>
      </c>
      <c r="V1225" s="1" t="s">
        <v>433</v>
      </c>
      <c r="W1225" s="1" t="s">
        <v>62</v>
      </c>
    </row>
    <row r="1226" spans="1:23" x14ac:dyDescent="0.35">
      <c r="A1226">
        <v>5872</v>
      </c>
      <c r="B1226" s="1" t="s">
        <v>3316</v>
      </c>
      <c r="C1226" s="2">
        <v>42637</v>
      </c>
      <c r="D1226" s="2">
        <v>42641</v>
      </c>
      <c r="E1226" s="1" t="s">
        <v>42</v>
      </c>
      <c r="F1226" s="1" t="s">
        <v>2354</v>
      </c>
      <c r="G1226" s="1" t="s">
        <v>2355</v>
      </c>
      <c r="H1226" s="1" t="s">
        <v>27</v>
      </c>
      <c r="I1226" s="1" t="s">
        <v>28</v>
      </c>
      <c r="J1226" s="1" t="s">
        <v>214</v>
      </c>
      <c r="K1226" s="1" t="s">
        <v>113</v>
      </c>
      <c r="L1226">
        <v>47401</v>
      </c>
      <c r="M1226" s="1" t="s">
        <v>96</v>
      </c>
      <c r="N1226" s="1" t="s">
        <v>184</v>
      </c>
      <c r="O1226" s="1" t="s">
        <v>33</v>
      </c>
      <c r="P1226" s="1" t="s">
        <v>59</v>
      </c>
      <c r="Q1226" s="1" t="s">
        <v>185</v>
      </c>
      <c r="R1226">
        <v>128</v>
      </c>
      <c r="S1226">
        <v>3</v>
      </c>
      <c r="T1226">
        <v>0</v>
      </c>
      <c r="U1226">
        <v>22</v>
      </c>
      <c r="V1226" s="1" t="s">
        <v>86</v>
      </c>
      <c r="W1226" s="1" t="s">
        <v>80</v>
      </c>
    </row>
    <row r="1227" spans="1:23" x14ac:dyDescent="0.35">
      <c r="A1227">
        <v>5881</v>
      </c>
      <c r="B1227" s="1" t="s">
        <v>3317</v>
      </c>
      <c r="C1227" s="2">
        <v>42631</v>
      </c>
      <c r="D1227" s="2">
        <v>42635</v>
      </c>
      <c r="E1227" s="1" t="s">
        <v>42</v>
      </c>
      <c r="F1227" s="1" t="s">
        <v>1323</v>
      </c>
      <c r="G1227" s="1" t="s">
        <v>1324</v>
      </c>
      <c r="H1227" s="1" t="s">
        <v>93</v>
      </c>
      <c r="I1227" s="1" t="s">
        <v>28</v>
      </c>
      <c r="J1227" s="1" t="s">
        <v>642</v>
      </c>
      <c r="K1227" s="1" t="s">
        <v>56</v>
      </c>
      <c r="L1227">
        <v>92105</v>
      </c>
      <c r="M1227" s="1" t="s">
        <v>57</v>
      </c>
      <c r="N1227" s="1" t="s">
        <v>562</v>
      </c>
      <c r="O1227" s="1" t="s">
        <v>33</v>
      </c>
      <c r="P1227" s="1" t="s">
        <v>39</v>
      </c>
      <c r="Q1227" s="1" t="s">
        <v>563</v>
      </c>
      <c r="R1227">
        <v>802</v>
      </c>
      <c r="S1227">
        <v>2</v>
      </c>
      <c r="T1227">
        <v>0.2</v>
      </c>
      <c r="U1227">
        <v>50</v>
      </c>
      <c r="V1227" s="1" t="s">
        <v>86</v>
      </c>
      <c r="W1227" s="1" t="s">
        <v>80</v>
      </c>
    </row>
    <row r="1228" spans="1:23" x14ac:dyDescent="0.35">
      <c r="A1228">
        <v>5883</v>
      </c>
      <c r="B1228" s="1" t="s">
        <v>3317</v>
      </c>
      <c r="C1228" s="2">
        <v>42631</v>
      </c>
      <c r="D1228" s="2">
        <v>42635</v>
      </c>
      <c r="E1228" s="1" t="s">
        <v>42</v>
      </c>
      <c r="F1228" s="1" t="s">
        <v>1323</v>
      </c>
      <c r="G1228" s="1" t="s">
        <v>1324</v>
      </c>
      <c r="H1228" s="1" t="s">
        <v>93</v>
      </c>
      <c r="I1228" s="1" t="s">
        <v>28</v>
      </c>
      <c r="J1228" s="1" t="s">
        <v>642</v>
      </c>
      <c r="K1228" s="1" t="s">
        <v>56</v>
      </c>
      <c r="L1228">
        <v>92105</v>
      </c>
      <c r="M1228" s="1" t="s">
        <v>57</v>
      </c>
      <c r="N1228" s="1" t="s">
        <v>1031</v>
      </c>
      <c r="O1228" s="1" t="s">
        <v>33</v>
      </c>
      <c r="P1228" s="1" t="s">
        <v>39</v>
      </c>
      <c r="Q1228" s="1" t="s">
        <v>1032</v>
      </c>
      <c r="R1228">
        <v>886</v>
      </c>
      <c r="S1228">
        <v>9</v>
      </c>
      <c r="T1228">
        <v>0.2</v>
      </c>
      <c r="U1228">
        <v>-100</v>
      </c>
      <c r="V1228" s="1" t="s">
        <v>86</v>
      </c>
      <c r="W1228" s="1" t="s">
        <v>80</v>
      </c>
    </row>
    <row r="1229" spans="1:23" x14ac:dyDescent="0.35">
      <c r="A1229">
        <v>5884</v>
      </c>
      <c r="B1229" s="1" t="s">
        <v>3318</v>
      </c>
      <c r="C1229" s="2">
        <v>42442</v>
      </c>
      <c r="D1229" s="2">
        <v>42444</v>
      </c>
      <c r="E1229" s="1" t="s">
        <v>24</v>
      </c>
      <c r="F1229" s="1" t="s">
        <v>1601</v>
      </c>
      <c r="G1229" s="1" t="s">
        <v>1602</v>
      </c>
      <c r="H1229" s="1" t="s">
        <v>93</v>
      </c>
      <c r="I1229" s="1" t="s">
        <v>28</v>
      </c>
      <c r="J1229" s="1" t="s">
        <v>331</v>
      </c>
      <c r="K1229" s="1" t="s">
        <v>56</v>
      </c>
      <c r="L1229">
        <v>94109</v>
      </c>
      <c r="M1229" s="1" t="s">
        <v>57</v>
      </c>
      <c r="N1229" s="1" t="s">
        <v>475</v>
      </c>
      <c r="O1229" s="1" t="s">
        <v>33</v>
      </c>
      <c r="P1229" s="1" t="s">
        <v>59</v>
      </c>
      <c r="Q1229" s="1" t="s">
        <v>476</v>
      </c>
      <c r="R1229">
        <v>28</v>
      </c>
      <c r="S1229">
        <v>2</v>
      </c>
      <c r="T1229">
        <v>0</v>
      </c>
      <c r="U1229">
        <v>7</v>
      </c>
      <c r="V1229" s="1" t="s">
        <v>73</v>
      </c>
      <c r="W1229" s="1" t="s">
        <v>198</v>
      </c>
    </row>
    <row r="1230" spans="1:23" x14ac:dyDescent="0.35">
      <c r="A1230">
        <v>5898</v>
      </c>
      <c r="B1230" s="1" t="s">
        <v>3319</v>
      </c>
      <c r="C1230" s="2">
        <v>42463</v>
      </c>
      <c r="D1230" s="2">
        <v>42469</v>
      </c>
      <c r="E1230" s="1" t="s">
        <v>42</v>
      </c>
      <c r="F1230" s="1" t="s">
        <v>2270</v>
      </c>
      <c r="G1230" s="1" t="s">
        <v>2271</v>
      </c>
      <c r="H1230" s="1" t="s">
        <v>27</v>
      </c>
      <c r="I1230" s="1" t="s">
        <v>28</v>
      </c>
      <c r="J1230" s="1" t="s">
        <v>638</v>
      </c>
      <c r="K1230" s="1" t="s">
        <v>113</v>
      </c>
      <c r="L1230">
        <v>47374</v>
      </c>
      <c r="M1230" s="1" t="s">
        <v>96</v>
      </c>
      <c r="N1230" s="1" t="s">
        <v>170</v>
      </c>
      <c r="O1230" s="1" t="s">
        <v>33</v>
      </c>
      <c r="P1230" s="1" t="s">
        <v>59</v>
      </c>
      <c r="Q1230" s="1" t="s">
        <v>171</v>
      </c>
      <c r="R1230">
        <v>71</v>
      </c>
      <c r="S1230">
        <v>4</v>
      </c>
      <c r="T1230">
        <v>0</v>
      </c>
      <c r="U1230">
        <v>22</v>
      </c>
      <c r="V1230" s="1" t="s">
        <v>132</v>
      </c>
      <c r="W1230" s="1" t="s">
        <v>116</v>
      </c>
    </row>
    <row r="1231" spans="1:23" x14ac:dyDescent="0.35">
      <c r="A1231">
        <v>5902</v>
      </c>
      <c r="B1231" s="1" t="s">
        <v>3320</v>
      </c>
      <c r="C1231" s="2">
        <v>42701</v>
      </c>
      <c r="D1231" s="2">
        <v>42706</v>
      </c>
      <c r="E1231" s="1" t="s">
        <v>42</v>
      </c>
      <c r="F1231" s="1" t="s">
        <v>1366</v>
      </c>
      <c r="G1231" s="1" t="s">
        <v>1367</v>
      </c>
      <c r="H1231" s="1" t="s">
        <v>93</v>
      </c>
      <c r="I1231" s="1" t="s">
        <v>28</v>
      </c>
      <c r="J1231" s="1" t="s">
        <v>1943</v>
      </c>
      <c r="K1231" s="1" t="s">
        <v>365</v>
      </c>
      <c r="L1231">
        <v>7090</v>
      </c>
      <c r="M1231" s="1" t="s">
        <v>70</v>
      </c>
      <c r="N1231" s="1" t="s">
        <v>1580</v>
      </c>
      <c r="O1231" s="1" t="s">
        <v>33</v>
      </c>
      <c r="P1231" s="1" t="s">
        <v>59</v>
      </c>
      <c r="Q1231" s="1" t="s">
        <v>1581</v>
      </c>
      <c r="R1231">
        <v>32</v>
      </c>
      <c r="S1231">
        <v>3</v>
      </c>
      <c r="T1231">
        <v>0</v>
      </c>
      <c r="U1231">
        <v>10</v>
      </c>
      <c r="V1231" s="1" t="s">
        <v>61</v>
      </c>
      <c r="W1231" s="1" t="s">
        <v>37</v>
      </c>
    </row>
    <row r="1232" spans="1:23" x14ac:dyDescent="0.35">
      <c r="A1232">
        <v>5910</v>
      </c>
      <c r="B1232" s="1" t="s">
        <v>3321</v>
      </c>
      <c r="C1232" s="2">
        <v>42706</v>
      </c>
      <c r="D1232" s="2">
        <v>42711</v>
      </c>
      <c r="E1232" s="1" t="s">
        <v>42</v>
      </c>
      <c r="F1232" s="1" t="s">
        <v>2500</v>
      </c>
      <c r="G1232" s="1" t="s">
        <v>2501</v>
      </c>
      <c r="H1232" s="1" t="s">
        <v>93</v>
      </c>
      <c r="I1232" s="1" t="s">
        <v>28</v>
      </c>
      <c r="J1232" s="1" t="s">
        <v>1494</v>
      </c>
      <c r="K1232" s="1" t="s">
        <v>56</v>
      </c>
      <c r="L1232">
        <v>95123</v>
      </c>
      <c r="M1232" s="1" t="s">
        <v>57</v>
      </c>
      <c r="N1232" s="1" t="s">
        <v>2527</v>
      </c>
      <c r="O1232" s="1" t="s">
        <v>33</v>
      </c>
      <c r="P1232" s="1" t="s">
        <v>59</v>
      </c>
      <c r="Q1232" s="1" t="s">
        <v>2528</v>
      </c>
      <c r="R1232">
        <v>15</v>
      </c>
      <c r="S1232">
        <v>3</v>
      </c>
      <c r="T1232">
        <v>0</v>
      </c>
      <c r="U1232">
        <v>6</v>
      </c>
      <c r="V1232" s="1" t="s">
        <v>61</v>
      </c>
      <c r="W1232" s="1" t="s">
        <v>99</v>
      </c>
    </row>
    <row r="1233" spans="1:23" x14ac:dyDescent="0.35">
      <c r="A1233">
        <v>5916</v>
      </c>
      <c r="B1233" s="1" t="s">
        <v>3322</v>
      </c>
      <c r="C1233" s="2">
        <v>42264</v>
      </c>
      <c r="D1233" s="2">
        <v>42270</v>
      </c>
      <c r="E1233" s="1" t="s">
        <v>42</v>
      </c>
      <c r="F1233" s="1" t="s">
        <v>2615</v>
      </c>
      <c r="G1233" s="1" t="s">
        <v>2616</v>
      </c>
      <c r="H1233" s="1" t="s">
        <v>27</v>
      </c>
      <c r="I1233" s="1" t="s">
        <v>28</v>
      </c>
      <c r="J1233" s="1" t="s">
        <v>176</v>
      </c>
      <c r="K1233" s="1" t="s">
        <v>123</v>
      </c>
      <c r="L1233">
        <v>10035</v>
      </c>
      <c r="M1233" s="1" t="s">
        <v>70</v>
      </c>
      <c r="N1233" s="1" t="s">
        <v>1167</v>
      </c>
      <c r="O1233" s="1" t="s">
        <v>33</v>
      </c>
      <c r="P1233" s="1" t="s">
        <v>39</v>
      </c>
      <c r="Q1233" s="1" t="s">
        <v>1168</v>
      </c>
      <c r="R1233">
        <v>200</v>
      </c>
      <c r="S1233">
        <v>2</v>
      </c>
      <c r="T1233">
        <v>0.1</v>
      </c>
      <c r="U1233">
        <v>9</v>
      </c>
      <c r="V1233" s="1" t="s">
        <v>132</v>
      </c>
      <c r="W1233" s="1" t="s">
        <v>80</v>
      </c>
    </row>
    <row r="1234" spans="1:23" x14ac:dyDescent="0.35">
      <c r="A1234">
        <v>5918</v>
      </c>
      <c r="B1234" s="1" t="s">
        <v>3322</v>
      </c>
      <c r="C1234" s="2">
        <v>42264</v>
      </c>
      <c r="D1234" s="2">
        <v>42270</v>
      </c>
      <c r="E1234" s="1" t="s">
        <v>42</v>
      </c>
      <c r="F1234" s="1" t="s">
        <v>2615</v>
      </c>
      <c r="G1234" s="1" t="s">
        <v>2616</v>
      </c>
      <c r="H1234" s="1" t="s">
        <v>27</v>
      </c>
      <c r="I1234" s="1" t="s">
        <v>28</v>
      </c>
      <c r="J1234" s="1" t="s">
        <v>176</v>
      </c>
      <c r="K1234" s="1" t="s">
        <v>123</v>
      </c>
      <c r="L1234">
        <v>10035</v>
      </c>
      <c r="M1234" s="1" t="s">
        <v>70</v>
      </c>
      <c r="N1234" s="1" t="s">
        <v>84</v>
      </c>
      <c r="O1234" s="1" t="s">
        <v>33</v>
      </c>
      <c r="P1234" s="1" t="s">
        <v>34</v>
      </c>
      <c r="Q1234" s="1" t="s">
        <v>85</v>
      </c>
      <c r="R1234">
        <v>4229</v>
      </c>
      <c r="S1234">
        <v>6</v>
      </c>
      <c r="T1234">
        <v>0.2</v>
      </c>
      <c r="U1234">
        <v>159</v>
      </c>
      <c r="V1234" s="1" t="s">
        <v>132</v>
      </c>
      <c r="W1234" s="1" t="s">
        <v>80</v>
      </c>
    </row>
    <row r="1235" spans="1:23" x14ac:dyDescent="0.35">
      <c r="A1235">
        <v>5919</v>
      </c>
      <c r="B1235" s="1" t="s">
        <v>3322</v>
      </c>
      <c r="C1235" s="2">
        <v>42264</v>
      </c>
      <c r="D1235" s="2">
        <v>42270</v>
      </c>
      <c r="E1235" s="1" t="s">
        <v>42</v>
      </c>
      <c r="F1235" s="1" t="s">
        <v>2615</v>
      </c>
      <c r="G1235" s="1" t="s">
        <v>2616</v>
      </c>
      <c r="H1235" s="1" t="s">
        <v>27</v>
      </c>
      <c r="I1235" s="1" t="s">
        <v>28</v>
      </c>
      <c r="J1235" s="1" t="s">
        <v>176</v>
      </c>
      <c r="K1235" s="1" t="s">
        <v>123</v>
      </c>
      <c r="L1235">
        <v>10035</v>
      </c>
      <c r="M1235" s="1" t="s">
        <v>70</v>
      </c>
      <c r="N1235" s="1" t="s">
        <v>1698</v>
      </c>
      <c r="O1235" s="1" t="s">
        <v>33</v>
      </c>
      <c r="P1235" s="1" t="s">
        <v>34</v>
      </c>
      <c r="Q1235" s="1" t="s">
        <v>1699</v>
      </c>
      <c r="R1235">
        <v>2004</v>
      </c>
      <c r="S1235">
        <v>5</v>
      </c>
      <c r="T1235">
        <v>0.2</v>
      </c>
      <c r="U1235">
        <v>-25</v>
      </c>
      <c r="V1235" s="1" t="s">
        <v>132</v>
      </c>
      <c r="W1235" s="1" t="s">
        <v>80</v>
      </c>
    </row>
    <row r="1236" spans="1:23" x14ac:dyDescent="0.35">
      <c r="A1236">
        <v>5924</v>
      </c>
      <c r="B1236" s="1" t="s">
        <v>3323</v>
      </c>
      <c r="C1236" s="2">
        <v>42700</v>
      </c>
      <c r="D1236" s="2">
        <v>42704</v>
      </c>
      <c r="E1236" s="1" t="s">
        <v>24</v>
      </c>
      <c r="F1236" s="1" t="s">
        <v>447</v>
      </c>
      <c r="G1236" s="1" t="s">
        <v>448</v>
      </c>
      <c r="H1236" s="1" t="s">
        <v>93</v>
      </c>
      <c r="I1236" s="1" t="s">
        <v>28</v>
      </c>
      <c r="J1236" s="1" t="s">
        <v>176</v>
      </c>
      <c r="K1236" s="1" t="s">
        <v>123</v>
      </c>
      <c r="L1236">
        <v>10011</v>
      </c>
      <c r="M1236" s="1" t="s">
        <v>70</v>
      </c>
      <c r="N1236" s="1" t="s">
        <v>1250</v>
      </c>
      <c r="O1236" s="1" t="s">
        <v>33</v>
      </c>
      <c r="P1236" s="1" t="s">
        <v>48</v>
      </c>
      <c r="Q1236" s="1" t="s">
        <v>1251</v>
      </c>
      <c r="R1236">
        <v>313</v>
      </c>
      <c r="S1236">
        <v>2</v>
      </c>
      <c r="T1236">
        <v>0.4</v>
      </c>
      <c r="U1236">
        <v>-120</v>
      </c>
      <c r="V1236" s="1" t="s">
        <v>86</v>
      </c>
      <c r="W1236" s="1" t="s">
        <v>37</v>
      </c>
    </row>
    <row r="1237" spans="1:23" x14ac:dyDescent="0.35">
      <c r="A1237">
        <v>5927</v>
      </c>
      <c r="B1237" s="1" t="s">
        <v>3324</v>
      </c>
      <c r="C1237" s="2">
        <v>41737</v>
      </c>
      <c r="D1237" s="2">
        <v>41741</v>
      </c>
      <c r="E1237" s="1" t="s">
        <v>42</v>
      </c>
      <c r="F1237" s="1" t="s">
        <v>3325</v>
      </c>
      <c r="G1237" s="1" t="s">
        <v>3326</v>
      </c>
      <c r="H1237" s="1" t="s">
        <v>93</v>
      </c>
      <c r="I1237" s="1" t="s">
        <v>28</v>
      </c>
      <c r="J1237" s="1" t="s">
        <v>516</v>
      </c>
      <c r="K1237" s="1" t="s">
        <v>1279</v>
      </c>
      <c r="L1237">
        <v>35601</v>
      </c>
      <c r="M1237" s="1" t="s">
        <v>31</v>
      </c>
      <c r="N1237" s="1" t="s">
        <v>3192</v>
      </c>
      <c r="O1237" s="1" t="s">
        <v>33</v>
      </c>
      <c r="P1237" s="1" t="s">
        <v>48</v>
      </c>
      <c r="Q1237" s="1" t="s">
        <v>3193</v>
      </c>
      <c r="R1237">
        <v>1216</v>
      </c>
      <c r="S1237">
        <v>8</v>
      </c>
      <c r="T1237">
        <v>0</v>
      </c>
      <c r="U1237">
        <v>316</v>
      </c>
      <c r="V1237" s="1" t="s">
        <v>86</v>
      </c>
      <c r="W1237" s="1" t="s">
        <v>116</v>
      </c>
    </row>
    <row r="1238" spans="1:23" x14ac:dyDescent="0.35">
      <c r="A1238">
        <v>5929</v>
      </c>
      <c r="B1238" s="1" t="s">
        <v>3327</v>
      </c>
      <c r="C1238" s="2">
        <v>41923</v>
      </c>
      <c r="D1238" s="2">
        <v>41927</v>
      </c>
      <c r="E1238" s="1" t="s">
        <v>42</v>
      </c>
      <c r="F1238" s="1" t="s">
        <v>2924</v>
      </c>
      <c r="G1238" s="1" t="s">
        <v>2925</v>
      </c>
      <c r="H1238" s="1" t="s">
        <v>93</v>
      </c>
      <c r="I1238" s="1" t="s">
        <v>28</v>
      </c>
      <c r="J1238" s="1" t="s">
        <v>1914</v>
      </c>
      <c r="K1238" s="1" t="s">
        <v>1061</v>
      </c>
      <c r="L1238">
        <v>72701</v>
      </c>
      <c r="M1238" s="1" t="s">
        <v>31</v>
      </c>
      <c r="N1238" s="1" t="s">
        <v>1915</v>
      </c>
      <c r="O1238" s="1" t="s">
        <v>33</v>
      </c>
      <c r="P1238" s="1" t="s">
        <v>59</v>
      </c>
      <c r="Q1238" s="1" t="s">
        <v>1916</v>
      </c>
      <c r="R1238">
        <v>9</v>
      </c>
      <c r="S1238">
        <v>4</v>
      </c>
      <c r="T1238">
        <v>0</v>
      </c>
      <c r="U1238">
        <v>4</v>
      </c>
      <c r="V1238" s="1" t="s">
        <v>86</v>
      </c>
      <c r="W1238" s="1" t="s">
        <v>51</v>
      </c>
    </row>
    <row r="1239" spans="1:23" x14ac:dyDescent="0.35">
      <c r="A1239">
        <v>5930</v>
      </c>
      <c r="B1239" s="1" t="s">
        <v>3328</v>
      </c>
      <c r="C1239" s="2">
        <v>42923</v>
      </c>
      <c r="D1239" s="2">
        <v>42925</v>
      </c>
      <c r="E1239" s="1" t="s">
        <v>90</v>
      </c>
      <c r="F1239" s="1" t="s">
        <v>2870</v>
      </c>
      <c r="G1239" s="1" t="s">
        <v>2871</v>
      </c>
      <c r="H1239" s="1" t="s">
        <v>27</v>
      </c>
      <c r="I1239" s="1" t="s">
        <v>28</v>
      </c>
      <c r="J1239" s="1" t="s">
        <v>68</v>
      </c>
      <c r="K1239" s="1" t="s">
        <v>69</v>
      </c>
      <c r="L1239">
        <v>19120</v>
      </c>
      <c r="M1239" s="1" t="s">
        <v>70</v>
      </c>
      <c r="N1239" s="1" t="s">
        <v>863</v>
      </c>
      <c r="O1239" s="1" t="s">
        <v>33</v>
      </c>
      <c r="P1239" s="1" t="s">
        <v>34</v>
      </c>
      <c r="Q1239" s="1" t="s">
        <v>864</v>
      </c>
      <c r="R1239">
        <v>87</v>
      </c>
      <c r="S1239">
        <v>3</v>
      </c>
      <c r="T1239">
        <v>0.5</v>
      </c>
      <c r="U1239">
        <v>-45</v>
      </c>
      <c r="V1239" s="1" t="s">
        <v>73</v>
      </c>
      <c r="W1239" s="1" t="s">
        <v>74</v>
      </c>
    </row>
    <row r="1240" spans="1:23" x14ac:dyDescent="0.35">
      <c r="A1240">
        <v>5936</v>
      </c>
      <c r="B1240" s="1" t="s">
        <v>3329</v>
      </c>
      <c r="C1240" s="2">
        <v>42555</v>
      </c>
      <c r="D1240" s="2">
        <v>42555</v>
      </c>
      <c r="E1240" s="1" t="s">
        <v>428</v>
      </c>
      <c r="F1240" s="1" t="s">
        <v>674</v>
      </c>
      <c r="G1240" s="1" t="s">
        <v>675</v>
      </c>
      <c r="H1240" s="1" t="s">
        <v>103</v>
      </c>
      <c r="I1240" s="1" t="s">
        <v>28</v>
      </c>
      <c r="J1240" s="1" t="s">
        <v>194</v>
      </c>
      <c r="K1240" s="1" t="s">
        <v>195</v>
      </c>
      <c r="L1240">
        <v>98103</v>
      </c>
      <c r="M1240" s="1" t="s">
        <v>57</v>
      </c>
      <c r="N1240" s="1" t="s">
        <v>664</v>
      </c>
      <c r="O1240" s="1" t="s">
        <v>33</v>
      </c>
      <c r="P1240" s="1" t="s">
        <v>59</v>
      </c>
      <c r="Q1240" s="1" t="s">
        <v>665</v>
      </c>
      <c r="R1240">
        <v>25</v>
      </c>
      <c r="S1240">
        <v>5</v>
      </c>
      <c r="T1240">
        <v>0</v>
      </c>
      <c r="U1240">
        <v>9</v>
      </c>
      <c r="V1240" s="1" t="s">
        <v>433</v>
      </c>
      <c r="W1240" s="1" t="s">
        <v>74</v>
      </c>
    </row>
    <row r="1241" spans="1:23" x14ac:dyDescent="0.35">
      <c r="A1241">
        <v>5944</v>
      </c>
      <c r="B1241" s="1" t="s">
        <v>3330</v>
      </c>
      <c r="C1241" s="2">
        <v>41876</v>
      </c>
      <c r="D1241" s="2">
        <v>41880</v>
      </c>
      <c r="E1241" s="1" t="s">
        <v>42</v>
      </c>
      <c r="F1241" s="1" t="s">
        <v>485</v>
      </c>
      <c r="G1241" s="1" t="s">
        <v>486</v>
      </c>
      <c r="H1241" s="1" t="s">
        <v>93</v>
      </c>
      <c r="I1241" s="1" t="s">
        <v>28</v>
      </c>
      <c r="J1241" s="1" t="s">
        <v>55</v>
      </c>
      <c r="K1241" s="1" t="s">
        <v>56</v>
      </c>
      <c r="L1241">
        <v>90036</v>
      </c>
      <c r="M1241" s="1" t="s">
        <v>57</v>
      </c>
      <c r="N1241" s="1" t="s">
        <v>2161</v>
      </c>
      <c r="O1241" s="1" t="s">
        <v>33</v>
      </c>
      <c r="P1241" s="1" t="s">
        <v>59</v>
      </c>
      <c r="Q1241" s="1" t="s">
        <v>2162</v>
      </c>
      <c r="R1241">
        <v>6</v>
      </c>
      <c r="S1241">
        <v>1</v>
      </c>
      <c r="T1241">
        <v>0</v>
      </c>
      <c r="U1241">
        <v>3</v>
      </c>
      <c r="V1241" s="1" t="s">
        <v>86</v>
      </c>
      <c r="W1241" s="1" t="s">
        <v>256</v>
      </c>
    </row>
    <row r="1242" spans="1:23" x14ac:dyDescent="0.35">
      <c r="A1242">
        <v>5955</v>
      </c>
      <c r="B1242" s="1" t="s">
        <v>3331</v>
      </c>
      <c r="C1242" s="2">
        <v>41954</v>
      </c>
      <c r="D1242" s="2">
        <v>41958</v>
      </c>
      <c r="E1242" s="1" t="s">
        <v>24</v>
      </c>
      <c r="F1242" s="1" t="s">
        <v>3052</v>
      </c>
      <c r="G1242" s="1" t="s">
        <v>3053</v>
      </c>
      <c r="H1242" s="1" t="s">
        <v>93</v>
      </c>
      <c r="I1242" s="1" t="s">
        <v>28</v>
      </c>
      <c r="J1242" s="1" t="s">
        <v>3332</v>
      </c>
      <c r="K1242" s="1" t="s">
        <v>69</v>
      </c>
      <c r="L1242">
        <v>19601</v>
      </c>
      <c r="M1242" s="1" t="s">
        <v>70</v>
      </c>
      <c r="N1242" s="1" t="s">
        <v>2132</v>
      </c>
      <c r="O1242" s="1" t="s">
        <v>33</v>
      </c>
      <c r="P1242" s="1" t="s">
        <v>59</v>
      </c>
      <c r="Q1242" s="1" t="s">
        <v>2133</v>
      </c>
      <c r="R1242">
        <v>24</v>
      </c>
      <c r="S1242">
        <v>2</v>
      </c>
      <c r="T1242">
        <v>0.2</v>
      </c>
      <c r="U1242">
        <v>8</v>
      </c>
      <c r="V1242" s="1" t="s">
        <v>86</v>
      </c>
      <c r="W1242" s="1" t="s">
        <v>37</v>
      </c>
    </row>
    <row r="1243" spans="1:23" x14ac:dyDescent="0.35">
      <c r="A1243">
        <v>5956</v>
      </c>
      <c r="B1243" s="1" t="s">
        <v>3331</v>
      </c>
      <c r="C1243" s="2">
        <v>41954</v>
      </c>
      <c r="D1243" s="2">
        <v>41958</v>
      </c>
      <c r="E1243" s="1" t="s">
        <v>24</v>
      </c>
      <c r="F1243" s="1" t="s">
        <v>3052</v>
      </c>
      <c r="G1243" s="1" t="s">
        <v>3053</v>
      </c>
      <c r="H1243" s="1" t="s">
        <v>93</v>
      </c>
      <c r="I1243" s="1" t="s">
        <v>28</v>
      </c>
      <c r="J1243" s="1" t="s">
        <v>3332</v>
      </c>
      <c r="K1243" s="1" t="s">
        <v>69</v>
      </c>
      <c r="L1243">
        <v>19601</v>
      </c>
      <c r="M1243" s="1" t="s">
        <v>70</v>
      </c>
      <c r="N1243" s="1" t="s">
        <v>105</v>
      </c>
      <c r="O1243" s="1" t="s">
        <v>33</v>
      </c>
      <c r="P1243" s="1" t="s">
        <v>34</v>
      </c>
      <c r="Q1243" s="1" t="s">
        <v>106</v>
      </c>
      <c r="R1243">
        <v>522</v>
      </c>
      <c r="S1243">
        <v>4</v>
      </c>
      <c r="T1243">
        <v>0.5</v>
      </c>
      <c r="U1243">
        <v>-251</v>
      </c>
      <c r="V1243" s="1" t="s">
        <v>86</v>
      </c>
      <c r="W1243" s="1" t="s">
        <v>37</v>
      </c>
    </row>
    <row r="1244" spans="1:23" x14ac:dyDescent="0.35">
      <c r="A1244">
        <v>5960</v>
      </c>
      <c r="B1244" s="1" t="s">
        <v>3333</v>
      </c>
      <c r="C1244" s="2">
        <v>42441</v>
      </c>
      <c r="D1244" s="2">
        <v>42444</v>
      </c>
      <c r="E1244" s="1" t="s">
        <v>24</v>
      </c>
      <c r="F1244" s="1" t="s">
        <v>447</v>
      </c>
      <c r="G1244" s="1" t="s">
        <v>448</v>
      </c>
      <c r="H1244" s="1" t="s">
        <v>93</v>
      </c>
      <c r="I1244" s="1" t="s">
        <v>28</v>
      </c>
      <c r="J1244" s="1" t="s">
        <v>331</v>
      </c>
      <c r="K1244" s="1" t="s">
        <v>56</v>
      </c>
      <c r="L1244">
        <v>94109</v>
      </c>
      <c r="M1244" s="1" t="s">
        <v>57</v>
      </c>
      <c r="N1244" s="1" t="s">
        <v>798</v>
      </c>
      <c r="O1244" s="1" t="s">
        <v>33</v>
      </c>
      <c r="P1244" s="1" t="s">
        <v>39</v>
      </c>
      <c r="Q1244" s="1" t="s">
        <v>799</v>
      </c>
      <c r="R1244">
        <v>770</v>
      </c>
      <c r="S1244">
        <v>3</v>
      </c>
      <c r="T1244">
        <v>0.2</v>
      </c>
      <c r="U1244">
        <v>77</v>
      </c>
      <c r="V1244" s="1" t="s">
        <v>36</v>
      </c>
      <c r="W1244" s="1" t="s">
        <v>198</v>
      </c>
    </row>
    <row r="1245" spans="1:23" x14ac:dyDescent="0.35">
      <c r="A1245">
        <v>5961</v>
      </c>
      <c r="B1245" s="1" t="s">
        <v>3334</v>
      </c>
      <c r="C1245" s="2">
        <v>42775</v>
      </c>
      <c r="D1245" s="2">
        <v>42780</v>
      </c>
      <c r="E1245" s="1" t="s">
        <v>24</v>
      </c>
      <c r="F1245" s="1" t="s">
        <v>1397</v>
      </c>
      <c r="G1245" s="1" t="s">
        <v>1398</v>
      </c>
      <c r="H1245" s="1" t="s">
        <v>93</v>
      </c>
      <c r="I1245" s="1" t="s">
        <v>28</v>
      </c>
      <c r="J1245" s="1" t="s">
        <v>55</v>
      </c>
      <c r="K1245" s="1" t="s">
        <v>56</v>
      </c>
      <c r="L1245">
        <v>90045</v>
      </c>
      <c r="M1245" s="1" t="s">
        <v>57</v>
      </c>
      <c r="N1245" s="1" t="s">
        <v>1661</v>
      </c>
      <c r="O1245" s="1" t="s">
        <v>33</v>
      </c>
      <c r="P1245" s="1" t="s">
        <v>59</v>
      </c>
      <c r="Q1245" s="1" t="s">
        <v>1662</v>
      </c>
      <c r="R1245">
        <v>21</v>
      </c>
      <c r="S1245">
        <v>4</v>
      </c>
      <c r="T1245">
        <v>0</v>
      </c>
      <c r="U1245">
        <v>7</v>
      </c>
      <c r="V1245" s="1" t="s">
        <v>61</v>
      </c>
      <c r="W1245" s="1" t="s">
        <v>300</v>
      </c>
    </row>
    <row r="1246" spans="1:23" x14ac:dyDescent="0.35">
      <c r="A1246">
        <v>5972</v>
      </c>
      <c r="B1246" s="1" t="s">
        <v>3335</v>
      </c>
      <c r="C1246" s="2">
        <v>41840</v>
      </c>
      <c r="D1246" s="2">
        <v>41842</v>
      </c>
      <c r="E1246" s="1" t="s">
        <v>90</v>
      </c>
      <c r="F1246" s="1" t="s">
        <v>2056</v>
      </c>
      <c r="G1246" s="1" t="s">
        <v>2057</v>
      </c>
      <c r="H1246" s="1" t="s">
        <v>27</v>
      </c>
      <c r="I1246" s="1" t="s">
        <v>28</v>
      </c>
      <c r="J1246" s="1" t="s">
        <v>642</v>
      </c>
      <c r="K1246" s="1" t="s">
        <v>56</v>
      </c>
      <c r="L1246">
        <v>92105</v>
      </c>
      <c r="M1246" s="1" t="s">
        <v>57</v>
      </c>
      <c r="N1246" s="1" t="s">
        <v>779</v>
      </c>
      <c r="O1246" s="1" t="s">
        <v>33</v>
      </c>
      <c r="P1246" s="1" t="s">
        <v>59</v>
      </c>
      <c r="Q1246" s="1" t="s">
        <v>780</v>
      </c>
      <c r="R1246">
        <v>43</v>
      </c>
      <c r="S1246">
        <v>3</v>
      </c>
      <c r="T1246">
        <v>0</v>
      </c>
      <c r="U1246">
        <v>15</v>
      </c>
      <c r="V1246" s="1" t="s">
        <v>73</v>
      </c>
      <c r="W1246" s="1" t="s">
        <v>74</v>
      </c>
    </row>
    <row r="1247" spans="1:23" x14ac:dyDescent="0.35">
      <c r="A1247">
        <v>5973</v>
      </c>
      <c r="B1247" s="1" t="s">
        <v>3336</v>
      </c>
      <c r="C1247" s="2">
        <v>42772</v>
      </c>
      <c r="D1247" s="2">
        <v>42777</v>
      </c>
      <c r="E1247" s="1" t="s">
        <v>42</v>
      </c>
      <c r="F1247" s="1" t="s">
        <v>3337</v>
      </c>
      <c r="G1247" s="1" t="s">
        <v>3338</v>
      </c>
      <c r="H1247" s="1" t="s">
        <v>27</v>
      </c>
      <c r="I1247" s="1" t="s">
        <v>28</v>
      </c>
      <c r="J1247" s="1" t="s">
        <v>176</v>
      </c>
      <c r="K1247" s="1" t="s">
        <v>123</v>
      </c>
      <c r="L1247">
        <v>10024</v>
      </c>
      <c r="M1247" s="1" t="s">
        <v>70</v>
      </c>
      <c r="N1247" s="1" t="s">
        <v>1002</v>
      </c>
      <c r="O1247" s="1" t="s">
        <v>33</v>
      </c>
      <c r="P1247" s="1" t="s">
        <v>34</v>
      </c>
      <c r="Q1247" s="1" t="s">
        <v>1003</v>
      </c>
      <c r="R1247">
        <v>241</v>
      </c>
      <c r="S1247">
        <v>1</v>
      </c>
      <c r="T1247">
        <v>0.2</v>
      </c>
      <c r="U1247">
        <v>30</v>
      </c>
      <c r="V1247" s="1" t="s">
        <v>61</v>
      </c>
      <c r="W1247" s="1" t="s">
        <v>300</v>
      </c>
    </row>
    <row r="1248" spans="1:23" x14ac:dyDescent="0.35">
      <c r="A1248">
        <v>5979</v>
      </c>
      <c r="B1248" s="1" t="s">
        <v>3339</v>
      </c>
      <c r="C1248" s="2">
        <v>41889</v>
      </c>
      <c r="D1248" s="2">
        <v>41895</v>
      </c>
      <c r="E1248" s="1" t="s">
        <v>42</v>
      </c>
      <c r="F1248" s="1" t="s">
        <v>674</v>
      </c>
      <c r="G1248" s="1" t="s">
        <v>675</v>
      </c>
      <c r="H1248" s="1" t="s">
        <v>103</v>
      </c>
      <c r="I1248" s="1" t="s">
        <v>28</v>
      </c>
      <c r="J1248" s="1" t="s">
        <v>2024</v>
      </c>
      <c r="K1248" s="1" t="s">
        <v>1525</v>
      </c>
      <c r="L1248">
        <v>74133</v>
      </c>
      <c r="M1248" s="1" t="s">
        <v>96</v>
      </c>
      <c r="N1248" s="1" t="s">
        <v>1262</v>
      </c>
      <c r="O1248" s="1" t="s">
        <v>33</v>
      </c>
      <c r="P1248" s="1" t="s">
        <v>48</v>
      </c>
      <c r="Q1248" s="1" t="s">
        <v>1066</v>
      </c>
      <c r="R1248">
        <v>430</v>
      </c>
      <c r="S1248">
        <v>5</v>
      </c>
      <c r="T1248">
        <v>0</v>
      </c>
      <c r="U1248">
        <v>112</v>
      </c>
      <c r="V1248" s="1" t="s">
        <v>132</v>
      </c>
      <c r="W1248" s="1" t="s">
        <v>80</v>
      </c>
    </row>
    <row r="1249" spans="1:23" x14ac:dyDescent="0.35">
      <c r="A1249">
        <v>5981</v>
      </c>
      <c r="B1249" s="1" t="s">
        <v>3339</v>
      </c>
      <c r="C1249" s="2">
        <v>41889</v>
      </c>
      <c r="D1249" s="2">
        <v>41895</v>
      </c>
      <c r="E1249" s="1" t="s">
        <v>42</v>
      </c>
      <c r="F1249" s="1" t="s">
        <v>674</v>
      </c>
      <c r="G1249" s="1" t="s">
        <v>675</v>
      </c>
      <c r="H1249" s="1" t="s">
        <v>103</v>
      </c>
      <c r="I1249" s="1" t="s">
        <v>28</v>
      </c>
      <c r="J1249" s="1" t="s">
        <v>2024</v>
      </c>
      <c r="K1249" s="1" t="s">
        <v>1525</v>
      </c>
      <c r="L1249">
        <v>74133</v>
      </c>
      <c r="M1249" s="1" t="s">
        <v>96</v>
      </c>
      <c r="N1249" s="1" t="s">
        <v>258</v>
      </c>
      <c r="O1249" s="1" t="s">
        <v>33</v>
      </c>
      <c r="P1249" s="1" t="s">
        <v>39</v>
      </c>
      <c r="Q1249" s="1" t="s">
        <v>259</v>
      </c>
      <c r="R1249">
        <v>162</v>
      </c>
      <c r="S1249">
        <v>2</v>
      </c>
      <c r="T1249">
        <v>0</v>
      </c>
      <c r="U1249">
        <v>45</v>
      </c>
      <c r="V1249" s="1" t="s">
        <v>132</v>
      </c>
      <c r="W1249" s="1" t="s">
        <v>80</v>
      </c>
    </row>
    <row r="1250" spans="1:23" x14ac:dyDescent="0.35">
      <c r="A1250">
        <v>5985</v>
      </c>
      <c r="B1250" s="1" t="s">
        <v>3340</v>
      </c>
      <c r="C1250" s="2">
        <v>42570</v>
      </c>
      <c r="D1250" s="2">
        <v>42576</v>
      </c>
      <c r="E1250" s="1" t="s">
        <v>42</v>
      </c>
      <c r="F1250" s="1" t="s">
        <v>1633</v>
      </c>
      <c r="G1250" s="1" t="s">
        <v>1634</v>
      </c>
      <c r="H1250" s="1" t="s">
        <v>27</v>
      </c>
      <c r="I1250" s="1" t="s">
        <v>28</v>
      </c>
      <c r="J1250" s="1" t="s">
        <v>3341</v>
      </c>
      <c r="K1250" s="1" t="s">
        <v>481</v>
      </c>
      <c r="L1250">
        <v>39401</v>
      </c>
      <c r="M1250" s="1" t="s">
        <v>31</v>
      </c>
      <c r="N1250" s="1" t="s">
        <v>2113</v>
      </c>
      <c r="O1250" s="1" t="s">
        <v>33</v>
      </c>
      <c r="P1250" s="1" t="s">
        <v>59</v>
      </c>
      <c r="Q1250" s="1" t="s">
        <v>2114</v>
      </c>
      <c r="R1250">
        <v>186</v>
      </c>
      <c r="S1250">
        <v>6</v>
      </c>
      <c r="T1250">
        <v>0</v>
      </c>
      <c r="U1250">
        <v>76</v>
      </c>
      <c r="V1250" s="1" t="s">
        <v>132</v>
      </c>
      <c r="W1250" s="1" t="s">
        <v>74</v>
      </c>
    </row>
    <row r="1251" spans="1:23" x14ac:dyDescent="0.35">
      <c r="A1251">
        <v>5990</v>
      </c>
      <c r="B1251" s="1" t="s">
        <v>3340</v>
      </c>
      <c r="C1251" s="2">
        <v>42570</v>
      </c>
      <c r="D1251" s="2">
        <v>42576</v>
      </c>
      <c r="E1251" s="1" t="s">
        <v>42</v>
      </c>
      <c r="F1251" s="1" t="s">
        <v>1633</v>
      </c>
      <c r="G1251" s="1" t="s">
        <v>1634</v>
      </c>
      <c r="H1251" s="1" t="s">
        <v>27</v>
      </c>
      <c r="I1251" s="1" t="s">
        <v>28</v>
      </c>
      <c r="J1251" s="1" t="s">
        <v>3341</v>
      </c>
      <c r="K1251" s="1" t="s">
        <v>481</v>
      </c>
      <c r="L1251">
        <v>39401</v>
      </c>
      <c r="M1251" s="1" t="s">
        <v>31</v>
      </c>
      <c r="N1251" s="1" t="s">
        <v>2818</v>
      </c>
      <c r="O1251" s="1" t="s">
        <v>33</v>
      </c>
      <c r="P1251" s="1" t="s">
        <v>34</v>
      </c>
      <c r="Q1251" s="1" t="s">
        <v>2819</v>
      </c>
      <c r="R1251">
        <v>505</v>
      </c>
      <c r="S1251">
        <v>5</v>
      </c>
      <c r="T1251">
        <v>0</v>
      </c>
      <c r="U1251">
        <v>126</v>
      </c>
      <c r="V1251" s="1" t="s">
        <v>132</v>
      </c>
      <c r="W1251" s="1" t="s">
        <v>74</v>
      </c>
    </row>
    <row r="1252" spans="1:23" x14ac:dyDescent="0.35">
      <c r="A1252">
        <v>5993</v>
      </c>
      <c r="B1252" s="1" t="s">
        <v>3342</v>
      </c>
      <c r="C1252" s="2">
        <v>42993</v>
      </c>
      <c r="D1252" s="2">
        <v>42999</v>
      </c>
      <c r="E1252" s="1" t="s">
        <v>42</v>
      </c>
      <c r="F1252" s="1" t="s">
        <v>2951</v>
      </c>
      <c r="G1252" s="1" t="s">
        <v>2952</v>
      </c>
      <c r="H1252" s="1" t="s">
        <v>27</v>
      </c>
      <c r="I1252" s="1" t="s">
        <v>28</v>
      </c>
      <c r="J1252" s="1" t="s">
        <v>55</v>
      </c>
      <c r="K1252" s="1" t="s">
        <v>56</v>
      </c>
      <c r="L1252">
        <v>90049</v>
      </c>
      <c r="M1252" s="1" t="s">
        <v>57</v>
      </c>
      <c r="N1252" s="1" t="s">
        <v>491</v>
      </c>
      <c r="O1252" s="1" t="s">
        <v>33</v>
      </c>
      <c r="P1252" s="1" t="s">
        <v>39</v>
      </c>
      <c r="Q1252" s="1" t="s">
        <v>492</v>
      </c>
      <c r="R1252">
        <v>185</v>
      </c>
      <c r="S1252">
        <v>3</v>
      </c>
      <c r="T1252">
        <v>0.2</v>
      </c>
      <c r="U1252">
        <v>-21</v>
      </c>
      <c r="V1252" s="1" t="s">
        <v>132</v>
      </c>
      <c r="W1252" s="1" t="s">
        <v>80</v>
      </c>
    </row>
    <row r="1253" spans="1:23" x14ac:dyDescent="0.35">
      <c r="A1253">
        <v>5996</v>
      </c>
      <c r="B1253" s="1" t="s">
        <v>3343</v>
      </c>
      <c r="C1253" s="2">
        <v>42715</v>
      </c>
      <c r="D1253" s="2">
        <v>42715</v>
      </c>
      <c r="E1253" s="1" t="s">
        <v>428</v>
      </c>
      <c r="F1253" s="1" t="s">
        <v>1041</v>
      </c>
      <c r="G1253" s="1" t="s">
        <v>1042</v>
      </c>
      <c r="H1253" s="1" t="s">
        <v>93</v>
      </c>
      <c r="I1253" s="1" t="s">
        <v>28</v>
      </c>
      <c r="J1253" s="1" t="s">
        <v>350</v>
      </c>
      <c r="K1253" s="1" t="s">
        <v>234</v>
      </c>
      <c r="L1253">
        <v>43229</v>
      </c>
      <c r="M1253" s="1" t="s">
        <v>70</v>
      </c>
      <c r="N1253" s="1" t="s">
        <v>2581</v>
      </c>
      <c r="O1253" s="1" t="s">
        <v>33</v>
      </c>
      <c r="P1253" s="1" t="s">
        <v>39</v>
      </c>
      <c r="Q1253" s="1" t="s">
        <v>2582</v>
      </c>
      <c r="R1253">
        <v>458</v>
      </c>
      <c r="S1253">
        <v>5</v>
      </c>
      <c r="T1253">
        <v>0.3</v>
      </c>
      <c r="U1253">
        <v>-138</v>
      </c>
      <c r="V1253" s="1" t="s">
        <v>433</v>
      </c>
      <c r="W1253" s="1" t="s">
        <v>99</v>
      </c>
    </row>
    <row r="1254" spans="1:23" x14ac:dyDescent="0.35">
      <c r="A1254">
        <v>5998</v>
      </c>
      <c r="B1254" s="1" t="s">
        <v>3343</v>
      </c>
      <c r="C1254" s="2">
        <v>42715</v>
      </c>
      <c r="D1254" s="2">
        <v>42715</v>
      </c>
      <c r="E1254" s="1" t="s">
        <v>428</v>
      </c>
      <c r="F1254" s="1" t="s">
        <v>1041</v>
      </c>
      <c r="G1254" s="1" t="s">
        <v>1042</v>
      </c>
      <c r="H1254" s="1" t="s">
        <v>93</v>
      </c>
      <c r="I1254" s="1" t="s">
        <v>28</v>
      </c>
      <c r="J1254" s="1" t="s">
        <v>350</v>
      </c>
      <c r="K1254" s="1" t="s">
        <v>234</v>
      </c>
      <c r="L1254">
        <v>43229</v>
      </c>
      <c r="M1254" s="1" t="s">
        <v>70</v>
      </c>
      <c r="N1254" s="1" t="s">
        <v>1237</v>
      </c>
      <c r="O1254" s="1" t="s">
        <v>33</v>
      </c>
      <c r="P1254" s="1" t="s">
        <v>48</v>
      </c>
      <c r="Q1254" s="1" t="s">
        <v>1238</v>
      </c>
      <c r="R1254">
        <v>329</v>
      </c>
      <c r="S1254">
        <v>3</v>
      </c>
      <c r="T1254">
        <v>0.4</v>
      </c>
      <c r="U1254">
        <v>-148</v>
      </c>
      <c r="V1254" s="1" t="s">
        <v>433</v>
      </c>
      <c r="W1254" s="1" t="s">
        <v>99</v>
      </c>
    </row>
    <row r="1255" spans="1:23" x14ac:dyDescent="0.35">
      <c r="A1255">
        <v>5999</v>
      </c>
      <c r="B1255" s="1" t="s">
        <v>3344</v>
      </c>
      <c r="C1255" s="2">
        <v>41983</v>
      </c>
      <c r="D1255" s="2">
        <v>41987</v>
      </c>
      <c r="E1255" s="1" t="s">
        <v>42</v>
      </c>
      <c r="F1255" s="1" t="s">
        <v>2027</v>
      </c>
      <c r="G1255" s="1" t="s">
        <v>2028</v>
      </c>
      <c r="H1255" s="1" t="s">
        <v>93</v>
      </c>
      <c r="I1255" s="1" t="s">
        <v>28</v>
      </c>
      <c r="J1255" s="1" t="s">
        <v>3345</v>
      </c>
      <c r="K1255" s="1" t="s">
        <v>2283</v>
      </c>
      <c r="L1255">
        <v>83605</v>
      </c>
      <c r="M1255" s="1" t="s">
        <v>57</v>
      </c>
      <c r="N1255" s="1" t="s">
        <v>1144</v>
      </c>
      <c r="O1255" s="1" t="s">
        <v>33</v>
      </c>
      <c r="P1255" s="1" t="s">
        <v>39</v>
      </c>
      <c r="Q1255" s="1" t="s">
        <v>1145</v>
      </c>
      <c r="R1255">
        <v>338</v>
      </c>
      <c r="S1255">
        <v>3</v>
      </c>
      <c r="T1255">
        <v>0.2</v>
      </c>
      <c r="U1255">
        <v>4</v>
      </c>
      <c r="V1255" s="1" t="s">
        <v>86</v>
      </c>
      <c r="W1255" s="1" t="s">
        <v>99</v>
      </c>
    </row>
    <row r="1256" spans="1:23" x14ac:dyDescent="0.35">
      <c r="A1256">
        <v>6002</v>
      </c>
      <c r="B1256" s="1" t="s">
        <v>3346</v>
      </c>
      <c r="C1256" s="2">
        <v>41986</v>
      </c>
      <c r="D1256" s="2">
        <v>41990</v>
      </c>
      <c r="E1256" s="1" t="s">
        <v>42</v>
      </c>
      <c r="F1256" s="1" t="s">
        <v>1715</v>
      </c>
      <c r="G1256" s="1" t="s">
        <v>1716</v>
      </c>
      <c r="H1256" s="1" t="s">
        <v>93</v>
      </c>
      <c r="I1256" s="1" t="s">
        <v>28</v>
      </c>
      <c r="J1256" s="1" t="s">
        <v>522</v>
      </c>
      <c r="K1256" s="1" t="s">
        <v>523</v>
      </c>
      <c r="L1256">
        <v>85023</v>
      </c>
      <c r="M1256" s="1" t="s">
        <v>57</v>
      </c>
      <c r="N1256" s="1" t="s">
        <v>1511</v>
      </c>
      <c r="O1256" s="1" t="s">
        <v>33</v>
      </c>
      <c r="P1256" s="1" t="s">
        <v>59</v>
      </c>
      <c r="Q1256" s="1" t="s">
        <v>1512</v>
      </c>
      <c r="R1256">
        <v>88</v>
      </c>
      <c r="S1256">
        <v>3</v>
      </c>
      <c r="T1256">
        <v>0.2</v>
      </c>
      <c r="U1256">
        <v>8</v>
      </c>
      <c r="V1256" s="1" t="s">
        <v>86</v>
      </c>
      <c r="W1256" s="1" t="s">
        <v>99</v>
      </c>
    </row>
    <row r="1257" spans="1:23" x14ac:dyDescent="0.35">
      <c r="A1257">
        <v>6005</v>
      </c>
      <c r="B1257" s="1" t="s">
        <v>3347</v>
      </c>
      <c r="C1257" s="2">
        <v>42985</v>
      </c>
      <c r="D1257" s="2">
        <v>42989</v>
      </c>
      <c r="E1257" s="1" t="s">
        <v>42</v>
      </c>
      <c r="F1257" s="1" t="s">
        <v>3348</v>
      </c>
      <c r="G1257" s="1" t="s">
        <v>3349</v>
      </c>
      <c r="H1257" s="1" t="s">
        <v>27</v>
      </c>
      <c r="I1257" s="1" t="s">
        <v>28</v>
      </c>
      <c r="J1257" s="1" t="s">
        <v>55</v>
      </c>
      <c r="K1257" s="1" t="s">
        <v>56</v>
      </c>
      <c r="L1257">
        <v>90004</v>
      </c>
      <c r="M1257" s="1" t="s">
        <v>57</v>
      </c>
      <c r="N1257" s="1" t="s">
        <v>805</v>
      </c>
      <c r="O1257" s="1" t="s">
        <v>33</v>
      </c>
      <c r="P1257" s="1" t="s">
        <v>59</v>
      </c>
      <c r="Q1257" s="1" t="s">
        <v>806</v>
      </c>
      <c r="R1257">
        <v>20</v>
      </c>
      <c r="S1257">
        <v>4</v>
      </c>
      <c r="T1257">
        <v>0</v>
      </c>
      <c r="U1257">
        <v>8</v>
      </c>
      <c r="V1257" s="1" t="s">
        <v>86</v>
      </c>
      <c r="W1257" s="1" t="s">
        <v>80</v>
      </c>
    </row>
    <row r="1258" spans="1:23" x14ac:dyDescent="0.35">
      <c r="A1258">
        <v>6006</v>
      </c>
      <c r="B1258" s="1" t="s">
        <v>3350</v>
      </c>
      <c r="C1258" s="2">
        <v>42310</v>
      </c>
      <c r="D1258" s="2">
        <v>42315</v>
      </c>
      <c r="E1258" s="1" t="s">
        <v>42</v>
      </c>
      <c r="F1258" s="1" t="s">
        <v>3351</v>
      </c>
      <c r="G1258" s="1" t="s">
        <v>3352</v>
      </c>
      <c r="H1258" s="1" t="s">
        <v>27</v>
      </c>
      <c r="I1258" s="1" t="s">
        <v>28</v>
      </c>
      <c r="J1258" s="1" t="s">
        <v>122</v>
      </c>
      <c r="K1258" s="1" t="s">
        <v>123</v>
      </c>
      <c r="L1258">
        <v>12180</v>
      </c>
      <c r="M1258" s="1" t="s">
        <v>70</v>
      </c>
      <c r="N1258" s="1" t="s">
        <v>2431</v>
      </c>
      <c r="O1258" s="1" t="s">
        <v>33</v>
      </c>
      <c r="P1258" s="1" t="s">
        <v>39</v>
      </c>
      <c r="Q1258" s="1" t="s">
        <v>2432</v>
      </c>
      <c r="R1258">
        <v>110</v>
      </c>
      <c r="S1258">
        <v>2</v>
      </c>
      <c r="T1258">
        <v>0.1</v>
      </c>
      <c r="U1258">
        <v>9</v>
      </c>
      <c r="V1258" s="1" t="s">
        <v>61</v>
      </c>
      <c r="W1258" s="1" t="s">
        <v>37</v>
      </c>
    </row>
    <row r="1259" spans="1:23" x14ac:dyDescent="0.35">
      <c r="A1259">
        <v>6008</v>
      </c>
      <c r="B1259" s="1" t="s">
        <v>3353</v>
      </c>
      <c r="C1259" s="2">
        <v>42826</v>
      </c>
      <c r="D1259" s="2">
        <v>42828</v>
      </c>
      <c r="E1259" s="1" t="s">
        <v>90</v>
      </c>
      <c r="F1259" s="1" t="s">
        <v>1083</v>
      </c>
      <c r="G1259" s="1" t="s">
        <v>1084</v>
      </c>
      <c r="H1259" s="1" t="s">
        <v>93</v>
      </c>
      <c r="I1259" s="1" t="s">
        <v>28</v>
      </c>
      <c r="J1259" s="1" t="s">
        <v>857</v>
      </c>
      <c r="K1259" s="1" t="s">
        <v>161</v>
      </c>
      <c r="L1259">
        <v>29501</v>
      </c>
      <c r="M1259" s="1" t="s">
        <v>31</v>
      </c>
      <c r="N1259" s="1" t="s">
        <v>184</v>
      </c>
      <c r="O1259" s="1" t="s">
        <v>33</v>
      </c>
      <c r="P1259" s="1" t="s">
        <v>59</v>
      </c>
      <c r="Q1259" s="1" t="s">
        <v>185</v>
      </c>
      <c r="R1259">
        <v>128</v>
      </c>
      <c r="S1259">
        <v>3</v>
      </c>
      <c r="T1259">
        <v>0</v>
      </c>
      <c r="U1259">
        <v>22</v>
      </c>
      <c r="V1259" s="1" t="s">
        <v>73</v>
      </c>
      <c r="W1259" s="1" t="s">
        <v>116</v>
      </c>
    </row>
    <row r="1260" spans="1:23" x14ac:dyDescent="0.35">
      <c r="A1260">
        <v>6016</v>
      </c>
      <c r="B1260" s="1" t="s">
        <v>3354</v>
      </c>
      <c r="C1260" s="2">
        <v>41735</v>
      </c>
      <c r="D1260" s="2">
        <v>41741</v>
      </c>
      <c r="E1260" s="1" t="s">
        <v>42</v>
      </c>
      <c r="F1260" s="1" t="s">
        <v>2205</v>
      </c>
      <c r="G1260" s="1" t="s">
        <v>2206</v>
      </c>
      <c r="H1260" s="1" t="s">
        <v>93</v>
      </c>
      <c r="I1260" s="1" t="s">
        <v>28</v>
      </c>
      <c r="J1260" s="1" t="s">
        <v>55</v>
      </c>
      <c r="K1260" s="1" t="s">
        <v>56</v>
      </c>
      <c r="L1260">
        <v>90049</v>
      </c>
      <c r="M1260" s="1" t="s">
        <v>57</v>
      </c>
      <c r="N1260" s="1" t="s">
        <v>3291</v>
      </c>
      <c r="O1260" s="1" t="s">
        <v>33</v>
      </c>
      <c r="P1260" s="1" t="s">
        <v>59</v>
      </c>
      <c r="Q1260" s="1" t="s">
        <v>3292</v>
      </c>
      <c r="R1260">
        <v>92</v>
      </c>
      <c r="S1260">
        <v>2</v>
      </c>
      <c r="T1260">
        <v>0</v>
      </c>
      <c r="U1260">
        <v>16</v>
      </c>
      <c r="V1260" s="1" t="s">
        <v>132</v>
      </c>
      <c r="W1260" s="1" t="s">
        <v>116</v>
      </c>
    </row>
    <row r="1261" spans="1:23" x14ac:dyDescent="0.35">
      <c r="A1261">
        <v>6017</v>
      </c>
      <c r="B1261" s="1" t="s">
        <v>3354</v>
      </c>
      <c r="C1261" s="2">
        <v>41735</v>
      </c>
      <c r="D1261" s="2">
        <v>41741</v>
      </c>
      <c r="E1261" s="1" t="s">
        <v>42</v>
      </c>
      <c r="F1261" s="1" t="s">
        <v>2205</v>
      </c>
      <c r="G1261" s="1" t="s">
        <v>2206</v>
      </c>
      <c r="H1261" s="1" t="s">
        <v>93</v>
      </c>
      <c r="I1261" s="1" t="s">
        <v>28</v>
      </c>
      <c r="J1261" s="1" t="s">
        <v>55</v>
      </c>
      <c r="K1261" s="1" t="s">
        <v>56</v>
      </c>
      <c r="L1261">
        <v>90049</v>
      </c>
      <c r="M1261" s="1" t="s">
        <v>57</v>
      </c>
      <c r="N1261" s="1" t="s">
        <v>382</v>
      </c>
      <c r="O1261" s="1" t="s">
        <v>33</v>
      </c>
      <c r="P1261" s="1" t="s">
        <v>59</v>
      </c>
      <c r="Q1261" s="1" t="s">
        <v>383</v>
      </c>
      <c r="R1261">
        <v>33</v>
      </c>
      <c r="S1261">
        <v>7</v>
      </c>
      <c r="T1261">
        <v>0</v>
      </c>
      <c r="U1261">
        <v>13</v>
      </c>
      <c r="V1261" s="1" t="s">
        <v>132</v>
      </c>
      <c r="W1261" s="1" t="s">
        <v>116</v>
      </c>
    </row>
    <row r="1262" spans="1:23" x14ac:dyDescent="0.35">
      <c r="A1262">
        <v>6031</v>
      </c>
      <c r="B1262" s="1" t="s">
        <v>3355</v>
      </c>
      <c r="C1262" s="2">
        <v>42922</v>
      </c>
      <c r="D1262" s="2">
        <v>42922</v>
      </c>
      <c r="E1262" s="1" t="s">
        <v>428</v>
      </c>
      <c r="F1262" s="1" t="s">
        <v>2786</v>
      </c>
      <c r="G1262" s="1" t="s">
        <v>2787</v>
      </c>
      <c r="H1262" s="1" t="s">
        <v>27</v>
      </c>
      <c r="I1262" s="1" t="s">
        <v>28</v>
      </c>
      <c r="J1262" s="1" t="s">
        <v>1009</v>
      </c>
      <c r="K1262" s="1" t="s">
        <v>46</v>
      </c>
      <c r="L1262">
        <v>33142</v>
      </c>
      <c r="M1262" s="1" t="s">
        <v>31</v>
      </c>
      <c r="N1262" s="1" t="s">
        <v>1588</v>
      </c>
      <c r="O1262" s="1" t="s">
        <v>33</v>
      </c>
      <c r="P1262" s="1" t="s">
        <v>39</v>
      </c>
      <c r="Q1262" s="1" t="s">
        <v>1589</v>
      </c>
      <c r="R1262">
        <v>239</v>
      </c>
      <c r="S1262">
        <v>1</v>
      </c>
      <c r="T1262">
        <v>0.2</v>
      </c>
      <c r="U1262">
        <v>24</v>
      </c>
      <c r="V1262" s="1" t="s">
        <v>433</v>
      </c>
      <c r="W1262" s="1" t="s">
        <v>74</v>
      </c>
    </row>
    <row r="1263" spans="1:23" x14ac:dyDescent="0.35">
      <c r="A1263">
        <v>6032</v>
      </c>
      <c r="B1263" s="1" t="s">
        <v>3356</v>
      </c>
      <c r="C1263" s="2">
        <v>42729</v>
      </c>
      <c r="D1263" s="2">
        <v>42736</v>
      </c>
      <c r="E1263" s="1" t="s">
        <v>42</v>
      </c>
      <c r="F1263" s="1" t="s">
        <v>2090</v>
      </c>
      <c r="G1263" s="1" t="s">
        <v>2091</v>
      </c>
      <c r="H1263" s="1" t="s">
        <v>93</v>
      </c>
      <c r="I1263" s="1" t="s">
        <v>28</v>
      </c>
      <c r="J1263" s="1" t="s">
        <v>3357</v>
      </c>
      <c r="K1263" s="1" t="s">
        <v>887</v>
      </c>
      <c r="L1263">
        <v>3060</v>
      </c>
      <c r="M1263" s="1" t="s">
        <v>70</v>
      </c>
      <c r="N1263" s="1" t="s">
        <v>1661</v>
      </c>
      <c r="O1263" s="1" t="s">
        <v>33</v>
      </c>
      <c r="P1263" s="1" t="s">
        <v>59</v>
      </c>
      <c r="Q1263" s="1" t="s">
        <v>1662</v>
      </c>
      <c r="R1263">
        <v>21</v>
      </c>
      <c r="S1263">
        <v>4</v>
      </c>
      <c r="T1263">
        <v>0</v>
      </c>
      <c r="U1263">
        <v>7</v>
      </c>
      <c r="V1263" s="1" t="s">
        <v>50</v>
      </c>
      <c r="W1263" s="1" t="s">
        <v>99</v>
      </c>
    </row>
    <row r="1264" spans="1:23" x14ac:dyDescent="0.35">
      <c r="A1264">
        <v>6034</v>
      </c>
      <c r="B1264" s="1" t="s">
        <v>3358</v>
      </c>
      <c r="C1264" s="2">
        <v>42352</v>
      </c>
      <c r="D1264" s="2">
        <v>42356</v>
      </c>
      <c r="E1264" s="1" t="s">
        <v>42</v>
      </c>
      <c r="F1264" s="1" t="s">
        <v>1243</v>
      </c>
      <c r="G1264" s="1" t="s">
        <v>1244</v>
      </c>
      <c r="H1264" s="1" t="s">
        <v>103</v>
      </c>
      <c r="I1264" s="1" t="s">
        <v>28</v>
      </c>
      <c r="J1264" s="1" t="s">
        <v>55</v>
      </c>
      <c r="K1264" s="1" t="s">
        <v>56</v>
      </c>
      <c r="L1264">
        <v>90036</v>
      </c>
      <c r="M1264" s="1" t="s">
        <v>57</v>
      </c>
      <c r="N1264" s="1" t="s">
        <v>2393</v>
      </c>
      <c r="O1264" s="1" t="s">
        <v>33</v>
      </c>
      <c r="P1264" s="1" t="s">
        <v>59</v>
      </c>
      <c r="Q1264" s="1" t="s">
        <v>2394</v>
      </c>
      <c r="R1264">
        <v>15</v>
      </c>
      <c r="S1264">
        <v>3</v>
      </c>
      <c r="T1264">
        <v>0</v>
      </c>
      <c r="U1264">
        <v>5</v>
      </c>
      <c r="V1264" s="1" t="s">
        <v>86</v>
      </c>
      <c r="W1264" s="1" t="s">
        <v>99</v>
      </c>
    </row>
    <row r="1265" spans="1:23" x14ac:dyDescent="0.35">
      <c r="A1265">
        <v>6037</v>
      </c>
      <c r="B1265" s="1" t="s">
        <v>3359</v>
      </c>
      <c r="C1265" s="2">
        <v>42617</v>
      </c>
      <c r="D1265" s="2">
        <v>42621</v>
      </c>
      <c r="E1265" s="1" t="s">
        <v>42</v>
      </c>
      <c r="F1265" s="1" t="s">
        <v>2696</v>
      </c>
      <c r="G1265" s="1" t="s">
        <v>2697</v>
      </c>
      <c r="H1265" s="1" t="s">
        <v>27</v>
      </c>
      <c r="I1265" s="1" t="s">
        <v>28</v>
      </c>
      <c r="J1265" s="1" t="s">
        <v>3360</v>
      </c>
      <c r="K1265" s="1" t="s">
        <v>30</v>
      </c>
      <c r="L1265">
        <v>40324</v>
      </c>
      <c r="M1265" s="1" t="s">
        <v>31</v>
      </c>
      <c r="N1265" s="1" t="s">
        <v>488</v>
      </c>
      <c r="O1265" s="1" t="s">
        <v>33</v>
      </c>
      <c r="P1265" s="1" t="s">
        <v>59</v>
      </c>
      <c r="Q1265" s="1" t="s">
        <v>489</v>
      </c>
      <c r="R1265">
        <v>43</v>
      </c>
      <c r="S1265">
        <v>3</v>
      </c>
      <c r="T1265">
        <v>0</v>
      </c>
      <c r="U1265">
        <v>17</v>
      </c>
      <c r="V1265" s="1" t="s">
        <v>86</v>
      </c>
      <c r="W1265" s="1" t="s">
        <v>80</v>
      </c>
    </row>
    <row r="1266" spans="1:23" x14ac:dyDescent="0.35">
      <c r="A1266">
        <v>6043</v>
      </c>
      <c r="B1266" s="1" t="s">
        <v>3361</v>
      </c>
      <c r="C1266" s="2">
        <v>42404</v>
      </c>
      <c r="D1266" s="2">
        <v>42408</v>
      </c>
      <c r="E1266" s="1" t="s">
        <v>42</v>
      </c>
      <c r="F1266" s="1" t="s">
        <v>82</v>
      </c>
      <c r="G1266" s="1" t="s">
        <v>83</v>
      </c>
      <c r="H1266" s="1" t="s">
        <v>27</v>
      </c>
      <c r="I1266" s="1" t="s">
        <v>28</v>
      </c>
      <c r="J1266" s="1" t="s">
        <v>3362</v>
      </c>
      <c r="K1266" s="1" t="s">
        <v>523</v>
      </c>
      <c r="L1266">
        <v>85635</v>
      </c>
      <c r="M1266" s="1" t="s">
        <v>57</v>
      </c>
      <c r="N1266" s="1" t="s">
        <v>1454</v>
      </c>
      <c r="O1266" s="1" t="s">
        <v>33</v>
      </c>
      <c r="P1266" s="1" t="s">
        <v>59</v>
      </c>
      <c r="Q1266" s="1" t="s">
        <v>1455</v>
      </c>
      <c r="R1266">
        <v>14</v>
      </c>
      <c r="S1266">
        <v>2</v>
      </c>
      <c r="T1266">
        <v>0.2</v>
      </c>
      <c r="U1266">
        <v>4</v>
      </c>
      <c r="V1266" s="1" t="s">
        <v>86</v>
      </c>
      <c r="W1266" s="1" t="s">
        <v>300</v>
      </c>
    </row>
    <row r="1267" spans="1:23" x14ac:dyDescent="0.35">
      <c r="A1267">
        <v>6044</v>
      </c>
      <c r="B1267" s="1" t="s">
        <v>3363</v>
      </c>
      <c r="C1267" s="2">
        <v>42874</v>
      </c>
      <c r="D1267" s="2">
        <v>42879</v>
      </c>
      <c r="E1267" s="1" t="s">
        <v>24</v>
      </c>
      <c r="F1267" s="1" t="s">
        <v>1559</v>
      </c>
      <c r="G1267" s="1" t="s">
        <v>1560</v>
      </c>
      <c r="H1267" s="1" t="s">
        <v>93</v>
      </c>
      <c r="I1267" s="1" t="s">
        <v>28</v>
      </c>
      <c r="J1267" s="1" t="s">
        <v>3127</v>
      </c>
      <c r="K1267" s="1" t="s">
        <v>144</v>
      </c>
      <c r="L1267">
        <v>37918</v>
      </c>
      <c r="M1267" s="1" t="s">
        <v>31</v>
      </c>
      <c r="N1267" s="1" t="s">
        <v>671</v>
      </c>
      <c r="O1267" s="1" t="s">
        <v>33</v>
      </c>
      <c r="P1267" s="1" t="s">
        <v>39</v>
      </c>
      <c r="Q1267" s="1" t="s">
        <v>672</v>
      </c>
      <c r="R1267">
        <v>314</v>
      </c>
      <c r="S1267">
        <v>3</v>
      </c>
      <c r="T1267">
        <v>0.2</v>
      </c>
      <c r="U1267">
        <v>-35</v>
      </c>
      <c r="V1267" s="1" t="s">
        <v>61</v>
      </c>
      <c r="W1267" s="1" t="s">
        <v>164</v>
      </c>
    </row>
    <row r="1268" spans="1:23" x14ac:dyDescent="0.35">
      <c r="A1268">
        <v>6046</v>
      </c>
      <c r="B1268" s="1" t="s">
        <v>3364</v>
      </c>
      <c r="C1268" s="2">
        <v>42250</v>
      </c>
      <c r="D1268" s="2">
        <v>42255</v>
      </c>
      <c r="E1268" s="1" t="s">
        <v>42</v>
      </c>
      <c r="F1268" s="1" t="s">
        <v>2061</v>
      </c>
      <c r="G1268" s="1" t="s">
        <v>2062</v>
      </c>
      <c r="H1268" s="1" t="s">
        <v>93</v>
      </c>
      <c r="I1268" s="1" t="s">
        <v>28</v>
      </c>
      <c r="J1268" s="1" t="s">
        <v>1225</v>
      </c>
      <c r="K1268" s="1" t="s">
        <v>523</v>
      </c>
      <c r="L1268">
        <v>85705</v>
      </c>
      <c r="M1268" s="1" t="s">
        <v>57</v>
      </c>
      <c r="N1268" s="1" t="s">
        <v>1403</v>
      </c>
      <c r="O1268" s="1" t="s">
        <v>33</v>
      </c>
      <c r="P1268" s="1" t="s">
        <v>59</v>
      </c>
      <c r="Q1268" s="1" t="s">
        <v>1404</v>
      </c>
      <c r="R1268">
        <v>238</v>
      </c>
      <c r="S1268">
        <v>3</v>
      </c>
      <c r="T1268">
        <v>0.2</v>
      </c>
      <c r="U1268">
        <v>89</v>
      </c>
      <c r="V1268" s="1" t="s">
        <v>61</v>
      </c>
      <c r="W1268" s="1" t="s">
        <v>80</v>
      </c>
    </row>
    <row r="1269" spans="1:23" x14ac:dyDescent="0.35">
      <c r="A1269">
        <v>6047</v>
      </c>
      <c r="B1269" s="1" t="s">
        <v>3365</v>
      </c>
      <c r="C1269" s="2">
        <v>42530</v>
      </c>
      <c r="D1269" s="2">
        <v>42537</v>
      </c>
      <c r="E1269" s="1" t="s">
        <v>42</v>
      </c>
      <c r="F1269" s="1" t="s">
        <v>3366</v>
      </c>
      <c r="G1269" s="1" t="s">
        <v>3367</v>
      </c>
      <c r="H1269" s="1" t="s">
        <v>103</v>
      </c>
      <c r="I1269" s="1" t="s">
        <v>28</v>
      </c>
      <c r="J1269" s="1" t="s">
        <v>168</v>
      </c>
      <c r="K1269" s="1" t="s">
        <v>169</v>
      </c>
      <c r="L1269">
        <v>55407</v>
      </c>
      <c r="M1269" s="1" t="s">
        <v>96</v>
      </c>
      <c r="N1269" s="1" t="s">
        <v>3168</v>
      </c>
      <c r="O1269" s="1" t="s">
        <v>33</v>
      </c>
      <c r="P1269" s="1" t="s">
        <v>48</v>
      </c>
      <c r="Q1269" s="1" t="s">
        <v>3169</v>
      </c>
      <c r="R1269">
        <v>693</v>
      </c>
      <c r="S1269">
        <v>3</v>
      </c>
      <c r="T1269">
        <v>0</v>
      </c>
      <c r="U1269">
        <v>173</v>
      </c>
      <c r="V1269" s="1" t="s">
        <v>50</v>
      </c>
      <c r="W1269" s="1" t="s">
        <v>62</v>
      </c>
    </row>
    <row r="1270" spans="1:23" x14ac:dyDescent="0.35">
      <c r="A1270">
        <v>6054</v>
      </c>
      <c r="B1270" s="1" t="s">
        <v>3368</v>
      </c>
      <c r="C1270" s="2">
        <v>42636</v>
      </c>
      <c r="D1270" s="2">
        <v>42639</v>
      </c>
      <c r="E1270" s="1" t="s">
        <v>24</v>
      </c>
      <c r="F1270" s="1" t="s">
        <v>527</v>
      </c>
      <c r="G1270" s="1" t="s">
        <v>528</v>
      </c>
      <c r="H1270" s="1" t="s">
        <v>103</v>
      </c>
      <c r="I1270" s="1" t="s">
        <v>28</v>
      </c>
      <c r="J1270" s="1" t="s">
        <v>818</v>
      </c>
      <c r="K1270" s="1" t="s">
        <v>234</v>
      </c>
      <c r="L1270">
        <v>43130</v>
      </c>
      <c r="M1270" s="1" t="s">
        <v>70</v>
      </c>
      <c r="N1270" s="1" t="s">
        <v>2192</v>
      </c>
      <c r="O1270" s="1" t="s">
        <v>33</v>
      </c>
      <c r="P1270" s="1" t="s">
        <v>59</v>
      </c>
      <c r="Q1270" s="1" t="s">
        <v>2193</v>
      </c>
      <c r="R1270">
        <v>28</v>
      </c>
      <c r="S1270">
        <v>4</v>
      </c>
      <c r="T1270">
        <v>0.2</v>
      </c>
      <c r="U1270">
        <v>8</v>
      </c>
      <c r="V1270" s="1" t="s">
        <v>36</v>
      </c>
      <c r="W1270" s="1" t="s">
        <v>80</v>
      </c>
    </row>
    <row r="1271" spans="1:23" x14ac:dyDescent="0.35">
      <c r="A1271">
        <v>6068</v>
      </c>
      <c r="B1271" s="1" t="s">
        <v>3369</v>
      </c>
      <c r="C1271" s="2">
        <v>42875</v>
      </c>
      <c r="D1271" s="2">
        <v>42879</v>
      </c>
      <c r="E1271" s="1" t="s">
        <v>42</v>
      </c>
      <c r="F1271" s="1" t="s">
        <v>885</v>
      </c>
      <c r="G1271" s="1" t="s">
        <v>886</v>
      </c>
      <c r="H1271" s="1" t="s">
        <v>103</v>
      </c>
      <c r="I1271" s="1" t="s">
        <v>28</v>
      </c>
      <c r="J1271" s="1" t="s">
        <v>2063</v>
      </c>
      <c r="K1271" s="1" t="s">
        <v>56</v>
      </c>
      <c r="L1271">
        <v>90712</v>
      </c>
      <c r="M1271" s="1" t="s">
        <v>57</v>
      </c>
      <c r="N1271" s="1" t="s">
        <v>513</v>
      </c>
      <c r="O1271" s="1" t="s">
        <v>33</v>
      </c>
      <c r="P1271" s="1" t="s">
        <v>39</v>
      </c>
      <c r="Q1271" s="1" t="s">
        <v>514</v>
      </c>
      <c r="R1271">
        <v>518</v>
      </c>
      <c r="S1271">
        <v>8</v>
      </c>
      <c r="T1271">
        <v>0.2</v>
      </c>
      <c r="U1271">
        <v>-97</v>
      </c>
      <c r="V1271" s="1" t="s">
        <v>86</v>
      </c>
      <c r="W1271" s="1" t="s">
        <v>164</v>
      </c>
    </row>
    <row r="1272" spans="1:23" x14ac:dyDescent="0.35">
      <c r="A1272">
        <v>6069</v>
      </c>
      <c r="B1272" s="1" t="s">
        <v>3369</v>
      </c>
      <c r="C1272" s="2">
        <v>42875</v>
      </c>
      <c r="D1272" s="2">
        <v>42879</v>
      </c>
      <c r="E1272" s="1" t="s">
        <v>42</v>
      </c>
      <c r="F1272" s="1" t="s">
        <v>885</v>
      </c>
      <c r="G1272" s="1" t="s">
        <v>886</v>
      </c>
      <c r="H1272" s="1" t="s">
        <v>103</v>
      </c>
      <c r="I1272" s="1" t="s">
        <v>28</v>
      </c>
      <c r="J1272" s="1" t="s">
        <v>2063</v>
      </c>
      <c r="K1272" s="1" t="s">
        <v>56</v>
      </c>
      <c r="L1272">
        <v>90712</v>
      </c>
      <c r="M1272" s="1" t="s">
        <v>57</v>
      </c>
      <c r="N1272" s="1" t="s">
        <v>980</v>
      </c>
      <c r="O1272" s="1" t="s">
        <v>33</v>
      </c>
      <c r="P1272" s="1" t="s">
        <v>59</v>
      </c>
      <c r="Q1272" s="1" t="s">
        <v>981</v>
      </c>
      <c r="R1272">
        <v>7</v>
      </c>
      <c r="S1272">
        <v>1</v>
      </c>
      <c r="T1272">
        <v>0</v>
      </c>
      <c r="U1272">
        <v>3</v>
      </c>
      <c r="V1272" s="1" t="s">
        <v>86</v>
      </c>
      <c r="W1272" s="1" t="s">
        <v>164</v>
      </c>
    </row>
    <row r="1273" spans="1:23" x14ac:dyDescent="0.35">
      <c r="A1273">
        <v>6080</v>
      </c>
      <c r="B1273" s="1" t="s">
        <v>3370</v>
      </c>
      <c r="C1273" s="2">
        <v>42614</v>
      </c>
      <c r="D1273" s="2">
        <v>42620</v>
      </c>
      <c r="E1273" s="1" t="s">
        <v>42</v>
      </c>
      <c r="F1273" s="1" t="s">
        <v>1121</v>
      </c>
      <c r="G1273" s="1" t="s">
        <v>1122</v>
      </c>
      <c r="H1273" s="1" t="s">
        <v>27</v>
      </c>
      <c r="I1273" s="1" t="s">
        <v>28</v>
      </c>
      <c r="J1273" s="1" t="s">
        <v>176</v>
      </c>
      <c r="K1273" s="1" t="s">
        <v>123</v>
      </c>
      <c r="L1273">
        <v>10011</v>
      </c>
      <c r="M1273" s="1" t="s">
        <v>70</v>
      </c>
      <c r="N1273" s="1" t="s">
        <v>554</v>
      </c>
      <c r="O1273" s="1" t="s">
        <v>33</v>
      </c>
      <c r="P1273" s="1" t="s">
        <v>59</v>
      </c>
      <c r="Q1273" s="1" t="s">
        <v>555</v>
      </c>
      <c r="R1273">
        <v>192</v>
      </c>
      <c r="S1273">
        <v>3</v>
      </c>
      <c r="T1273">
        <v>0</v>
      </c>
      <c r="U1273">
        <v>61</v>
      </c>
      <c r="V1273" s="1" t="s">
        <v>132</v>
      </c>
      <c r="W1273" s="1" t="s">
        <v>80</v>
      </c>
    </row>
    <row r="1274" spans="1:23" x14ac:dyDescent="0.35">
      <c r="A1274">
        <v>6082</v>
      </c>
      <c r="B1274" s="1" t="s">
        <v>3371</v>
      </c>
      <c r="C1274" s="2">
        <v>41688</v>
      </c>
      <c r="D1274" s="2">
        <v>41688</v>
      </c>
      <c r="E1274" s="1" t="s">
        <v>428</v>
      </c>
      <c r="F1274" s="1" t="s">
        <v>501</v>
      </c>
      <c r="G1274" s="1" t="s">
        <v>502</v>
      </c>
      <c r="H1274" s="1" t="s">
        <v>27</v>
      </c>
      <c r="I1274" s="1" t="s">
        <v>28</v>
      </c>
      <c r="J1274" s="1" t="s">
        <v>3372</v>
      </c>
      <c r="K1274" s="1" t="s">
        <v>95</v>
      </c>
      <c r="L1274">
        <v>79424</v>
      </c>
      <c r="M1274" s="1" t="s">
        <v>96</v>
      </c>
      <c r="N1274" s="1" t="s">
        <v>2617</v>
      </c>
      <c r="O1274" s="1" t="s">
        <v>33</v>
      </c>
      <c r="P1274" s="1" t="s">
        <v>59</v>
      </c>
      <c r="Q1274" s="1" t="s">
        <v>2618</v>
      </c>
      <c r="R1274">
        <v>25</v>
      </c>
      <c r="S1274">
        <v>5</v>
      </c>
      <c r="T1274">
        <v>0.6</v>
      </c>
      <c r="U1274">
        <v>-11</v>
      </c>
      <c r="V1274" s="1" t="s">
        <v>433</v>
      </c>
      <c r="W1274" s="1" t="s">
        <v>300</v>
      </c>
    </row>
    <row r="1275" spans="1:23" x14ac:dyDescent="0.35">
      <c r="A1275">
        <v>6088</v>
      </c>
      <c r="B1275" s="1" t="s">
        <v>3373</v>
      </c>
      <c r="C1275" s="2">
        <v>42352</v>
      </c>
      <c r="D1275" s="2">
        <v>42356</v>
      </c>
      <c r="E1275" s="1" t="s">
        <v>42</v>
      </c>
      <c r="F1275" s="1" t="s">
        <v>1049</v>
      </c>
      <c r="G1275" s="1" t="s">
        <v>1050</v>
      </c>
      <c r="H1275" s="1" t="s">
        <v>27</v>
      </c>
      <c r="I1275" s="1" t="s">
        <v>28</v>
      </c>
      <c r="J1275" s="1" t="s">
        <v>553</v>
      </c>
      <c r="K1275" s="1" t="s">
        <v>56</v>
      </c>
      <c r="L1275">
        <v>92627</v>
      </c>
      <c r="M1275" s="1" t="s">
        <v>57</v>
      </c>
      <c r="N1275" s="1" t="s">
        <v>318</v>
      </c>
      <c r="O1275" s="1" t="s">
        <v>33</v>
      </c>
      <c r="P1275" s="1" t="s">
        <v>59</v>
      </c>
      <c r="Q1275" s="1" t="s">
        <v>319</v>
      </c>
      <c r="R1275">
        <v>29</v>
      </c>
      <c r="S1275">
        <v>3</v>
      </c>
      <c r="T1275">
        <v>0</v>
      </c>
      <c r="U1275">
        <v>13</v>
      </c>
      <c r="V1275" s="1" t="s">
        <v>86</v>
      </c>
      <c r="W1275" s="1" t="s">
        <v>99</v>
      </c>
    </row>
    <row r="1276" spans="1:23" x14ac:dyDescent="0.35">
      <c r="A1276">
        <v>6091</v>
      </c>
      <c r="B1276" s="1" t="s">
        <v>3374</v>
      </c>
      <c r="C1276" s="2">
        <v>42998</v>
      </c>
      <c r="D1276" s="2">
        <v>43004</v>
      </c>
      <c r="E1276" s="1" t="s">
        <v>42</v>
      </c>
      <c r="F1276" s="1" t="s">
        <v>742</v>
      </c>
      <c r="G1276" s="1" t="s">
        <v>743</v>
      </c>
      <c r="H1276" s="1" t="s">
        <v>27</v>
      </c>
      <c r="I1276" s="1" t="s">
        <v>28</v>
      </c>
      <c r="J1276" s="1" t="s">
        <v>176</v>
      </c>
      <c r="K1276" s="1" t="s">
        <v>123</v>
      </c>
      <c r="L1276">
        <v>10035</v>
      </c>
      <c r="M1276" s="1" t="s">
        <v>70</v>
      </c>
      <c r="N1276" s="1" t="s">
        <v>1189</v>
      </c>
      <c r="O1276" s="1" t="s">
        <v>33</v>
      </c>
      <c r="P1276" s="1" t="s">
        <v>39</v>
      </c>
      <c r="Q1276" s="1" t="s">
        <v>1190</v>
      </c>
      <c r="R1276">
        <v>273</v>
      </c>
      <c r="S1276">
        <v>3</v>
      </c>
      <c r="T1276">
        <v>0.1</v>
      </c>
      <c r="U1276">
        <v>18</v>
      </c>
      <c r="V1276" s="1" t="s">
        <v>132</v>
      </c>
      <c r="W1276" s="1" t="s">
        <v>80</v>
      </c>
    </row>
    <row r="1277" spans="1:23" x14ac:dyDescent="0.35">
      <c r="A1277">
        <v>6097</v>
      </c>
      <c r="B1277" s="1" t="s">
        <v>3374</v>
      </c>
      <c r="C1277" s="2">
        <v>42998</v>
      </c>
      <c r="D1277" s="2">
        <v>43004</v>
      </c>
      <c r="E1277" s="1" t="s">
        <v>42</v>
      </c>
      <c r="F1277" s="1" t="s">
        <v>742</v>
      </c>
      <c r="G1277" s="1" t="s">
        <v>743</v>
      </c>
      <c r="H1277" s="1" t="s">
        <v>27</v>
      </c>
      <c r="I1277" s="1" t="s">
        <v>28</v>
      </c>
      <c r="J1277" s="1" t="s">
        <v>176</v>
      </c>
      <c r="K1277" s="1" t="s">
        <v>123</v>
      </c>
      <c r="L1277">
        <v>10035</v>
      </c>
      <c r="M1277" s="1" t="s">
        <v>70</v>
      </c>
      <c r="N1277" s="1" t="s">
        <v>117</v>
      </c>
      <c r="O1277" s="1" t="s">
        <v>33</v>
      </c>
      <c r="P1277" s="1" t="s">
        <v>39</v>
      </c>
      <c r="Q1277" s="1" t="s">
        <v>118</v>
      </c>
      <c r="R1277">
        <v>81</v>
      </c>
      <c r="S1277">
        <v>1</v>
      </c>
      <c r="T1277">
        <v>0.1</v>
      </c>
      <c r="U1277">
        <v>8</v>
      </c>
      <c r="V1277" s="1" t="s">
        <v>132</v>
      </c>
      <c r="W1277" s="1" t="s">
        <v>80</v>
      </c>
    </row>
    <row r="1278" spans="1:23" x14ac:dyDescent="0.35">
      <c r="A1278">
        <v>6100</v>
      </c>
      <c r="B1278" s="1" t="s">
        <v>3374</v>
      </c>
      <c r="C1278" s="2">
        <v>42998</v>
      </c>
      <c r="D1278" s="2">
        <v>43004</v>
      </c>
      <c r="E1278" s="1" t="s">
        <v>42</v>
      </c>
      <c r="F1278" s="1" t="s">
        <v>742</v>
      </c>
      <c r="G1278" s="1" t="s">
        <v>743</v>
      </c>
      <c r="H1278" s="1" t="s">
        <v>27</v>
      </c>
      <c r="I1278" s="1" t="s">
        <v>28</v>
      </c>
      <c r="J1278" s="1" t="s">
        <v>176</v>
      </c>
      <c r="K1278" s="1" t="s">
        <v>123</v>
      </c>
      <c r="L1278">
        <v>10035</v>
      </c>
      <c r="M1278" s="1" t="s">
        <v>70</v>
      </c>
      <c r="N1278" s="1" t="s">
        <v>384</v>
      </c>
      <c r="O1278" s="1" t="s">
        <v>33</v>
      </c>
      <c r="P1278" s="1" t="s">
        <v>39</v>
      </c>
      <c r="Q1278" s="1" t="s">
        <v>385</v>
      </c>
      <c r="R1278">
        <v>2888</v>
      </c>
      <c r="S1278">
        <v>11</v>
      </c>
      <c r="T1278">
        <v>0.1</v>
      </c>
      <c r="U1278">
        <v>610</v>
      </c>
      <c r="V1278" s="1" t="s">
        <v>132</v>
      </c>
      <c r="W1278" s="1" t="s">
        <v>80</v>
      </c>
    </row>
    <row r="1279" spans="1:23" x14ac:dyDescent="0.35">
      <c r="A1279">
        <v>6102</v>
      </c>
      <c r="B1279" s="1" t="s">
        <v>3374</v>
      </c>
      <c r="C1279" s="2">
        <v>42998</v>
      </c>
      <c r="D1279" s="2">
        <v>43004</v>
      </c>
      <c r="E1279" s="1" t="s">
        <v>42</v>
      </c>
      <c r="F1279" s="1" t="s">
        <v>742</v>
      </c>
      <c r="G1279" s="1" t="s">
        <v>743</v>
      </c>
      <c r="H1279" s="1" t="s">
        <v>27</v>
      </c>
      <c r="I1279" s="1" t="s">
        <v>28</v>
      </c>
      <c r="J1279" s="1" t="s">
        <v>176</v>
      </c>
      <c r="K1279" s="1" t="s">
        <v>123</v>
      </c>
      <c r="L1279">
        <v>10035</v>
      </c>
      <c r="M1279" s="1" t="s">
        <v>70</v>
      </c>
      <c r="N1279" s="1" t="s">
        <v>562</v>
      </c>
      <c r="O1279" s="1" t="s">
        <v>33</v>
      </c>
      <c r="P1279" s="1" t="s">
        <v>39</v>
      </c>
      <c r="Q1279" s="1" t="s">
        <v>563</v>
      </c>
      <c r="R1279">
        <v>2254</v>
      </c>
      <c r="S1279">
        <v>5</v>
      </c>
      <c r="T1279">
        <v>0.1</v>
      </c>
      <c r="U1279">
        <v>376</v>
      </c>
      <c r="V1279" s="1" t="s">
        <v>132</v>
      </c>
      <c r="W1279" s="1" t="s">
        <v>80</v>
      </c>
    </row>
    <row r="1280" spans="1:23" x14ac:dyDescent="0.35">
      <c r="A1280">
        <v>6105</v>
      </c>
      <c r="B1280" s="1" t="s">
        <v>3375</v>
      </c>
      <c r="C1280" s="2">
        <v>42969</v>
      </c>
      <c r="D1280" s="2">
        <v>42971</v>
      </c>
      <c r="E1280" s="1" t="s">
        <v>90</v>
      </c>
      <c r="F1280" s="1" t="s">
        <v>2434</v>
      </c>
      <c r="G1280" s="1" t="s">
        <v>2435</v>
      </c>
      <c r="H1280" s="1" t="s">
        <v>103</v>
      </c>
      <c r="I1280" s="1" t="s">
        <v>28</v>
      </c>
      <c r="J1280" s="1" t="s">
        <v>68</v>
      </c>
      <c r="K1280" s="1" t="s">
        <v>69</v>
      </c>
      <c r="L1280">
        <v>19143</v>
      </c>
      <c r="M1280" s="1" t="s">
        <v>70</v>
      </c>
      <c r="N1280" s="1" t="s">
        <v>918</v>
      </c>
      <c r="O1280" s="1" t="s">
        <v>33</v>
      </c>
      <c r="P1280" s="1" t="s">
        <v>48</v>
      </c>
      <c r="Q1280" s="1" t="s">
        <v>919</v>
      </c>
      <c r="R1280">
        <v>315</v>
      </c>
      <c r="S1280">
        <v>2</v>
      </c>
      <c r="T1280">
        <v>0.4</v>
      </c>
      <c r="U1280">
        <v>-84</v>
      </c>
      <c r="V1280" s="1" t="s">
        <v>73</v>
      </c>
      <c r="W1280" s="1" t="s">
        <v>256</v>
      </c>
    </row>
    <row r="1281" spans="1:23" x14ac:dyDescent="0.35">
      <c r="A1281">
        <v>6111</v>
      </c>
      <c r="B1281" s="1" t="s">
        <v>3376</v>
      </c>
      <c r="C1281" s="2">
        <v>42686</v>
      </c>
      <c r="D1281" s="2">
        <v>42690</v>
      </c>
      <c r="E1281" s="1" t="s">
        <v>42</v>
      </c>
      <c r="F1281" s="1" t="s">
        <v>3377</v>
      </c>
      <c r="G1281" s="1" t="s">
        <v>3378</v>
      </c>
      <c r="H1281" s="1" t="s">
        <v>27</v>
      </c>
      <c r="I1281" s="1" t="s">
        <v>28</v>
      </c>
      <c r="J1281" s="1" t="s">
        <v>2987</v>
      </c>
      <c r="K1281" s="1" t="s">
        <v>234</v>
      </c>
      <c r="L1281">
        <v>44134</v>
      </c>
      <c r="M1281" s="1" t="s">
        <v>70</v>
      </c>
      <c r="N1281" s="1" t="s">
        <v>2337</v>
      </c>
      <c r="O1281" s="1" t="s">
        <v>33</v>
      </c>
      <c r="P1281" s="1" t="s">
        <v>39</v>
      </c>
      <c r="Q1281" s="1" t="s">
        <v>2338</v>
      </c>
      <c r="R1281">
        <v>1475</v>
      </c>
      <c r="S1281">
        <v>7</v>
      </c>
      <c r="T1281">
        <v>0.3</v>
      </c>
      <c r="U1281">
        <v>-21</v>
      </c>
      <c r="V1281" s="1" t="s">
        <v>86</v>
      </c>
      <c r="W1281" s="1" t="s">
        <v>37</v>
      </c>
    </row>
    <row r="1282" spans="1:23" x14ac:dyDescent="0.35">
      <c r="A1282">
        <v>6114</v>
      </c>
      <c r="B1282" s="1" t="s">
        <v>3376</v>
      </c>
      <c r="C1282" s="2">
        <v>42686</v>
      </c>
      <c r="D1282" s="2">
        <v>42690</v>
      </c>
      <c r="E1282" s="1" t="s">
        <v>42</v>
      </c>
      <c r="F1282" s="1" t="s">
        <v>3377</v>
      </c>
      <c r="G1282" s="1" t="s">
        <v>3378</v>
      </c>
      <c r="H1282" s="1" t="s">
        <v>27</v>
      </c>
      <c r="I1282" s="1" t="s">
        <v>28</v>
      </c>
      <c r="J1282" s="1" t="s">
        <v>2987</v>
      </c>
      <c r="K1282" s="1" t="s">
        <v>234</v>
      </c>
      <c r="L1282">
        <v>44134</v>
      </c>
      <c r="M1282" s="1" t="s">
        <v>70</v>
      </c>
      <c r="N1282" s="1" t="s">
        <v>38</v>
      </c>
      <c r="O1282" s="1" t="s">
        <v>33</v>
      </c>
      <c r="P1282" s="1" t="s">
        <v>39</v>
      </c>
      <c r="Q1282" s="1" t="s">
        <v>40</v>
      </c>
      <c r="R1282">
        <v>1537</v>
      </c>
      <c r="S1282">
        <v>9</v>
      </c>
      <c r="T1282">
        <v>0.3</v>
      </c>
      <c r="U1282">
        <v>0</v>
      </c>
      <c r="V1282" s="1" t="s">
        <v>86</v>
      </c>
      <c r="W1282" s="1" t="s">
        <v>37</v>
      </c>
    </row>
    <row r="1283" spans="1:23" x14ac:dyDescent="0.35">
      <c r="A1283">
        <v>6115</v>
      </c>
      <c r="B1283" s="1" t="s">
        <v>3376</v>
      </c>
      <c r="C1283" s="2">
        <v>42686</v>
      </c>
      <c r="D1283" s="2">
        <v>42690</v>
      </c>
      <c r="E1283" s="1" t="s">
        <v>42</v>
      </c>
      <c r="F1283" s="1" t="s">
        <v>3377</v>
      </c>
      <c r="G1283" s="1" t="s">
        <v>3378</v>
      </c>
      <c r="H1283" s="1" t="s">
        <v>27</v>
      </c>
      <c r="I1283" s="1" t="s">
        <v>28</v>
      </c>
      <c r="J1283" s="1" t="s">
        <v>2987</v>
      </c>
      <c r="K1283" s="1" t="s">
        <v>234</v>
      </c>
      <c r="L1283">
        <v>44134</v>
      </c>
      <c r="M1283" s="1" t="s">
        <v>70</v>
      </c>
      <c r="N1283" s="1" t="s">
        <v>798</v>
      </c>
      <c r="O1283" s="1" t="s">
        <v>33</v>
      </c>
      <c r="P1283" s="1" t="s">
        <v>39</v>
      </c>
      <c r="Q1283" s="1" t="s">
        <v>799</v>
      </c>
      <c r="R1283">
        <v>449</v>
      </c>
      <c r="S1283">
        <v>2</v>
      </c>
      <c r="T1283">
        <v>0.3</v>
      </c>
      <c r="U1283">
        <v>-13</v>
      </c>
      <c r="V1283" s="1" t="s">
        <v>86</v>
      </c>
      <c r="W1283" s="1" t="s">
        <v>37</v>
      </c>
    </row>
    <row r="1284" spans="1:23" x14ac:dyDescent="0.35">
      <c r="A1284">
        <v>6121</v>
      </c>
      <c r="B1284" s="1" t="s">
        <v>3379</v>
      </c>
      <c r="C1284" s="2">
        <v>42997</v>
      </c>
      <c r="D1284" s="2">
        <v>43003</v>
      </c>
      <c r="E1284" s="1" t="s">
        <v>42</v>
      </c>
      <c r="F1284" s="1" t="s">
        <v>3380</v>
      </c>
      <c r="G1284" s="1" t="s">
        <v>3381</v>
      </c>
      <c r="H1284" s="1" t="s">
        <v>93</v>
      </c>
      <c r="I1284" s="1" t="s">
        <v>28</v>
      </c>
      <c r="J1284" s="1" t="s">
        <v>881</v>
      </c>
      <c r="K1284" s="1" t="s">
        <v>1520</v>
      </c>
      <c r="L1284">
        <v>97477</v>
      </c>
      <c r="M1284" s="1" t="s">
        <v>57</v>
      </c>
      <c r="N1284" s="1" t="s">
        <v>554</v>
      </c>
      <c r="O1284" s="1" t="s">
        <v>33</v>
      </c>
      <c r="P1284" s="1" t="s">
        <v>59</v>
      </c>
      <c r="Q1284" s="1" t="s">
        <v>555</v>
      </c>
      <c r="R1284">
        <v>409</v>
      </c>
      <c r="S1284">
        <v>8</v>
      </c>
      <c r="T1284">
        <v>0.2</v>
      </c>
      <c r="U1284">
        <v>61</v>
      </c>
      <c r="V1284" s="1" t="s">
        <v>132</v>
      </c>
      <c r="W1284" s="1" t="s">
        <v>80</v>
      </c>
    </row>
    <row r="1285" spans="1:23" x14ac:dyDescent="0.35">
      <c r="A1285">
        <v>6122</v>
      </c>
      <c r="B1285" s="1" t="s">
        <v>3379</v>
      </c>
      <c r="C1285" s="2">
        <v>42997</v>
      </c>
      <c r="D1285" s="2">
        <v>43003</v>
      </c>
      <c r="E1285" s="1" t="s">
        <v>42</v>
      </c>
      <c r="F1285" s="1" t="s">
        <v>3380</v>
      </c>
      <c r="G1285" s="1" t="s">
        <v>3381</v>
      </c>
      <c r="H1285" s="1" t="s">
        <v>93</v>
      </c>
      <c r="I1285" s="1" t="s">
        <v>28</v>
      </c>
      <c r="J1285" s="1" t="s">
        <v>881</v>
      </c>
      <c r="K1285" s="1" t="s">
        <v>1520</v>
      </c>
      <c r="L1285">
        <v>97477</v>
      </c>
      <c r="M1285" s="1" t="s">
        <v>57</v>
      </c>
      <c r="N1285" s="1" t="s">
        <v>459</v>
      </c>
      <c r="O1285" s="1" t="s">
        <v>33</v>
      </c>
      <c r="P1285" s="1" t="s">
        <v>34</v>
      </c>
      <c r="Q1285" s="1" t="s">
        <v>460</v>
      </c>
      <c r="R1285">
        <v>73</v>
      </c>
      <c r="S1285">
        <v>2</v>
      </c>
      <c r="T1285">
        <v>0.7</v>
      </c>
      <c r="U1285">
        <v>-128</v>
      </c>
      <c r="V1285" s="1" t="s">
        <v>132</v>
      </c>
      <c r="W1285" s="1" t="s">
        <v>80</v>
      </c>
    </row>
    <row r="1286" spans="1:23" x14ac:dyDescent="0.35">
      <c r="A1286">
        <v>6128</v>
      </c>
      <c r="B1286" s="1" t="s">
        <v>3382</v>
      </c>
      <c r="C1286" s="2">
        <v>42460</v>
      </c>
      <c r="D1286" s="2">
        <v>42466</v>
      </c>
      <c r="E1286" s="1" t="s">
        <v>42</v>
      </c>
      <c r="F1286" s="1" t="s">
        <v>1850</v>
      </c>
      <c r="G1286" s="1" t="s">
        <v>1851</v>
      </c>
      <c r="H1286" s="1" t="s">
        <v>27</v>
      </c>
      <c r="I1286" s="1" t="s">
        <v>28</v>
      </c>
      <c r="J1286" s="1" t="s">
        <v>176</v>
      </c>
      <c r="K1286" s="1" t="s">
        <v>123</v>
      </c>
      <c r="L1286">
        <v>10009</v>
      </c>
      <c r="M1286" s="1" t="s">
        <v>70</v>
      </c>
      <c r="N1286" s="1" t="s">
        <v>254</v>
      </c>
      <c r="O1286" s="1" t="s">
        <v>33</v>
      </c>
      <c r="P1286" s="1" t="s">
        <v>39</v>
      </c>
      <c r="Q1286" s="1" t="s">
        <v>255</v>
      </c>
      <c r="R1286">
        <v>328</v>
      </c>
      <c r="S1286">
        <v>6</v>
      </c>
      <c r="T1286">
        <v>0.1</v>
      </c>
      <c r="U1286">
        <v>55</v>
      </c>
      <c r="V1286" s="1" t="s">
        <v>132</v>
      </c>
      <c r="W1286" s="1" t="s">
        <v>198</v>
      </c>
    </row>
    <row r="1287" spans="1:23" x14ac:dyDescent="0.35">
      <c r="A1287">
        <v>6132</v>
      </c>
      <c r="B1287" s="1" t="s">
        <v>3383</v>
      </c>
      <c r="C1287" s="2">
        <v>42000</v>
      </c>
      <c r="D1287" s="2">
        <v>42004</v>
      </c>
      <c r="E1287" s="1" t="s">
        <v>42</v>
      </c>
      <c r="F1287" s="1" t="s">
        <v>3384</v>
      </c>
      <c r="G1287" s="1" t="s">
        <v>3385</v>
      </c>
      <c r="H1287" s="1" t="s">
        <v>103</v>
      </c>
      <c r="I1287" s="1" t="s">
        <v>28</v>
      </c>
      <c r="J1287" s="1" t="s">
        <v>176</v>
      </c>
      <c r="K1287" s="1" t="s">
        <v>123</v>
      </c>
      <c r="L1287">
        <v>10011</v>
      </c>
      <c r="M1287" s="1" t="s">
        <v>70</v>
      </c>
      <c r="N1287" s="1" t="s">
        <v>301</v>
      </c>
      <c r="O1287" s="1" t="s">
        <v>33</v>
      </c>
      <c r="P1287" s="1" t="s">
        <v>39</v>
      </c>
      <c r="Q1287" s="1" t="s">
        <v>302</v>
      </c>
      <c r="R1287">
        <v>767</v>
      </c>
      <c r="S1287">
        <v>14</v>
      </c>
      <c r="T1287">
        <v>0.1</v>
      </c>
      <c r="U1287">
        <v>162</v>
      </c>
      <c r="V1287" s="1" t="s">
        <v>86</v>
      </c>
      <c r="W1287" s="1" t="s">
        <v>99</v>
      </c>
    </row>
    <row r="1288" spans="1:23" x14ac:dyDescent="0.35">
      <c r="A1288">
        <v>6134</v>
      </c>
      <c r="B1288" s="1" t="s">
        <v>3386</v>
      </c>
      <c r="C1288" s="2">
        <v>42598</v>
      </c>
      <c r="D1288" s="2">
        <v>42601</v>
      </c>
      <c r="E1288" s="1" t="s">
        <v>90</v>
      </c>
      <c r="F1288" s="1" t="s">
        <v>3387</v>
      </c>
      <c r="G1288" s="1" t="s">
        <v>3388</v>
      </c>
      <c r="H1288" s="1" t="s">
        <v>93</v>
      </c>
      <c r="I1288" s="1" t="s">
        <v>28</v>
      </c>
      <c r="J1288" s="1" t="s">
        <v>55</v>
      </c>
      <c r="K1288" s="1" t="s">
        <v>56</v>
      </c>
      <c r="L1288">
        <v>90045</v>
      </c>
      <c r="M1288" s="1" t="s">
        <v>57</v>
      </c>
      <c r="N1288" s="1" t="s">
        <v>2409</v>
      </c>
      <c r="O1288" s="1" t="s">
        <v>33</v>
      </c>
      <c r="P1288" s="1" t="s">
        <v>48</v>
      </c>
      <c r="Q1288" s="1" t="s">
        <v>2410</v>
      </c>
      <c r="R1288">
        <v>161</v>
      </c>
      <c r="S1288">
        <v>2</v>
      </c>
      <c r="T1288">
        <v>0.2</v>
      </c>
      <c r="U1288">
        <v>12</v>
      </c>
      <c r="V1288" s="1" t="s">
        <v>36</v>
      </c>
      <c r="W1288" s="1" t="s">
        <v>256</v>
      </c>
    </row>
    <row r="1289" spans="1:23" x14ac:dyDescent="0.35">
      <c r="A1289">
        <v>6139</v>
      </c>
      <c r="B1289" s="1" t="s">
        <v>3389</v>
      </c>
      <c r="C1289" s="2">
        <v>41728</v>
      </c>
      <c r="D1289" s="2">
        <v>41733</v>
      </c>
      <c r="E1289" s="1" t="s">
        <v>42</v>
      </c>
      <c r="F1289" s="1" t="s">
        <v>870</v>
      </c>
      <c r="G1289" s="1" t="s">
        <v>871</v>
      </c>
      <c r="H1289" s="1" t="s">
        <v>27</v>
      </c>
      <c r="I1289" s="1" t="s">
        <v>28</v>
      </c>
      <c r="J1289" s="1" t="s">
        <v>331</v>
      </c>
      <c r="K1289" s="1" t="s">
        <v>56</v>
      </c>
      <c r="L1289">
        <v>94110</v>
      </c>
      <c r="M1289" s="1" t="s">
        <v>57</v>
      </c>
      <c r="N1289" s="1" t="s">
        <v>545</v>
      </c>
      <c r="O1289" s="1" t="s">
        <v>33</v>
      </c>
      <c r="P1289" s="1" t="s">
        <v>34</v>
      </c>
      <c r="Q1289" s="1" t="s">
        <v>546</v>
      </c>
      <c r="R1289">
        <v>206</v>
      </c>
      <c r="S1289">
        <v>2</v>
      </c>
      <c r="T1289">
        <v>0.15</v>
      </c>
      <c r="U1289">
        <v>-12</v>
      </c>
      <c r="V1289" s="1" t="s">
        <v>61</v>
      </c>
      <c r="W1289" s="1" t="s">
        <v>198</v>
      </c>
    </row>
    <row r="1290" spans="1:23" x14ac:dyDescent="0.35">
      <c r="A1290">
        <v>6150</v>
      </c>
      <c r="B1290" s="1" t="s">
        <v>3390</v>
      </c>
      <c r="C1290" s="2">
        <v>43097</v>
      </c>
      <c r="D1290" s="2">
        <v>43100</v>
      </c>
      <c r="E1290" s="1" t="s">
        <v>90</v>
      </c>
      <c r="F1290" s="1" t="s">
        <v>2311</v>
      </c>
      <c r="G1290" s="1" t="s">
        <v>2312</v>
      </c>
      <c r="H1290" s="1" t="s">
        <v>93</v>
      </c>
      <c r="I1290" s="1" t="s">
        <v>28</v>
      </c>
      <c r="J1290" s="1" t="s">
        <v>733</v>
      </c>
      <c r="K1290" s="1" t="s">
        <v>56</v>
      </c>
      <c r="L1290">
        <v>90805</v>
      </c>
      <c r="M1290" s="1" t="s">
        <v>57</v>
      </c>
      <c r="N1290" s="1" t="s">
        <v>124</v>
      </c>
      <c r="O1290" s="1" t="s">
        <v>33</v>
      </c>
      <c r="P1290" s="1" t="s">
        <v>39</v>
      </c>
      <c r="Q1290" s="1" t="s">
        <v>125</v>
      </c>
      <c r="R1290">
        <v>341</v>
      </c>
      <c r="S1290">
        <v>6</v>
      </c>
      <c r="T1290">
        <v>0.2</v>
      </c>
      <c r="U1290">
        <v>-34</v>
      </c>
      <c r="V1290" s="1" t="s">
        <v>36</v>
      </c>
      <c r="W1290" s="1" t="s">
        <v>99</v>
      </c>
    </row>
    <row r="1291" spans="1:23" x14ac:dyDescent="0.35">
      <c r="A1291">
        <v>6151</v>
      </c>
      <c r="B1291" s="1" t="s">
        <v>3391</v>
      </c>
      <c r="C1291" s="2">
        <v>42468</v>
      </c>
      <c r="D1291" s="2">
        <v>42471</v>
      </c>
      <c r="E1291" s="1" t="s">
        <v>90</v>
      </c>
      <c r="F1291" s="1" t="s">
        <v>1492</v>
      </c>
      <c r="G1291" s="1" t="s">
        <v>1493</v>
      </c>
      <c r="H1291" s="1" t="s">
        <v>27</v>
      </c>
      <c r="I1291" s="1" t="s">
        <v>28</v>
      </c>
      <c r="J1291" s="1" t="s">
        <v>350</v>
      </c>
      <c r="K1291" s="1" t="s">
        <v>670</v>
      </c>
      <c r="L1291">
        <v>31907</v>
      </c>
      <c r="M1291" s="1" t="s">
        <v>31</v>
      </c>
      <c r="N1291" s="1" t="s">
        <v>2482</v>
      </c>
      <c r="O1291" s="1" t="s">
        <v>33</v>
      </c>
      <c r="P1291" s="1" t="s">
        <v>34</v>
      </c>
      <c r="Q1291" s="1" t="s">
        <v>2483</v>
      </c>
      <c r="R1291">
        <v>355</v>
      </c>
      <c r="S1291">
        <v>5</v>
      </c>
      <c r="T1291">
        <v>0</v>
      </c>
      <c r="U1291">
        <v>89</v>
      </c>
      <c r="V1291" s="1" t="s">
        <v>36</v>
      </c>
      <c r="W1291" s="1" t="s">
        <v>116</v>
      </c>
    </row>
    <row r="1292" spans="1:23" x14ac:dyDescent="0.35">
      <c r="A1292">
        <v>6152</v>
      </c>
      <c r="B1292" s="1" t="s">
        <v>3392</v>
      </c>
      <c r="C1292" s="2">
        <v>41716</v>
      </c>
      <c r="D1292" s="2">
        <v>41719</v>
      </c>
      <c r="E1292" s="1" t="s">
        <v>24</v>
      </c>
      <c r="F1292" s="1" t="s">
        <v>3393</v>
      </c>
      <c r="G1292" s="1" t="s">
        <v>3394</v>
      </c>
      <c r="H1292" s="1" t="s">
        <v>103</v>
      </c>
      <c r="I1292" s="1" t="s">
        <v>28</v>
      </c>
      <c r="J1292" s="1" t="s">
        <v>331</v>
      </c>
      <c r="K1292" s="1" t="s">
        <v>56</v>
      </c>
      <c r="L1292">
        <v>94110</v>
      </c>
      <c r="M1292" s="1" t="s">
        <v>57</v>
      </c>
      <c r="N1292" s="1" t="s">
        <v>2625</v>
      </c>
      <c r="O1292" s="1" t="s">
        <v>33</v>
      </c>
      <c r="P1292" s="1" t="s">
        <v>34</v>
      </c>
      <c r="Q1292" s="1" t="s">
        <v>2626</v>
      </c>
      <c r="R1292">
        <v>1198</v>
      </c>
      <c r="S1292">
        <v>10</v>
      </c>
      <c r="T1292">
        <v>0.15</v>
      </c>
      <c r="U1292">
        <v>70</v>
      </c>
      <c r="V1292" s="1" t="s">
        <v>36</v>
      </c>
      <c r="W1292" s="1" t="s">
        <v>198</v>
      </c>
    </row>
    <row r="1293" spans="1:23" x14ac:dyDescent="0.35">
      <c r="A1293">
        <v>6154</v>
      </c>
      <c r="B1293" s="1" t="s">
        <v>3395</v>
      </c>
      <c r="C1293" s="2">
        <v>42845</v>
      </c>
      <c r="D1293" s="2">
        <v>42848</v>
      </c>
      <c r="E1293" s="1" t="s">
        <v>90</v>
      </c>
      <c r="F1293" s="1" t="s">
        <v>187</v>
      </c>
      <c r="G1293" s="1" t="s">
        <v>188</v>
      </c>
      <c r="H1293" s="1" t="s">
        <v>93</v>
      </c>
      <c r="I1293" s="1" t="s">
        <v>28</v>
      </c>
      <c r="J1293" s="1" t="s">
        <v>68</v>
      </c>
      <c r="K1293" s="1" t="s">
        <v>69</v>
      </c>
      <c r="L1293">
        <v>19120</v>
      </c>
      <c r="M1293" s="1" t="s">
        <v>70</v>
      </c>
      <c r="N1293" s="1" t="s">
        <v>2058</v>
      </c>
      <c r="O1293" s="1" t="s">
        <v>33</v>
      </c>
      <c r="P1293" s="1" t="s">
        <v>59</v>
      </c>
      <c r="Q1293" s="1" t="s">
        <v>2059</v>
      </c>
      <c r="R1293">
        <v>52</v>
      </c>
      <c r="S1293">
        <v>2</v>
      </c>
      <c r="T1293">
        <v>0.2</v>
      </c>
      <c r="U1293">
        <v>10</v>
      </c>
      <c r="V1293" s="1" t="s">
        <v>36</v>
      </c>
      <c r="W1293" s="1" t="s">
        <v>116</v>
      </c>
    </row>
    <row r="1294" spans="1:23" x14ac:dyDescent="0.35">
      <c r="A1294">
        <v>6157</v>
      </c>
      <c r="B1294" s="1" t="s">
        <v>3395</v>
      </c>
      <c r="C1294" s="2">
        <v>42845</v>
      </c>
      <c r="D1294" s="2">
        <v>42848</v>
      </c>
      <c r="E1294" s="1" t="s">
        <v>90</v>
      </c>
      <c r="F1294" s="1" t="s">
        <v>187</v>
      </c>
      <c r="G1294" s="1" t="s">
        <v>188</v>
      </c>
      <c r="H1294" s="1" t="s">
        <v>93</v>
      </c>
      <c r="I1294" s="1" t="s">
        <v>28</v>
      </c>
      <c r="J1294" s="1" t="s">
        <v>68</v>
      </c>
      <c r="K1294" s="1" t="s">
        <v>69</v>
      </c>
      <c r="L1294">
        <v>19120</v>
      </c>
      <c r="M1294" s="1" t="s">
        <v>70</v>
      </c>
      <c r="N1294" s="1" t="s">
        <v>1992</v>
      </c>
      <c r="O1294" s="1" t="s">
        <v>33</v>
      </c>
      <c r="P1294" s="1" t="s">
        <v>59</v>
      </c>
      <c r="Q1294" s="1" t="s">
        <v>1993</v>
      </c>
      <c r="R1294">
        <v>42</v>
      </c>
      <c r="S1294">
        <v>3</v>
      </c>
      <c r="T1294">
        <v>0.2</v>
      </c>
      <c r="U1294">
        <v>10</v>
      </c>
      <c r="V1294" s="1" t="s">
        <v>36</v>
      </c>
      <c r="W1294" s="1" t="s">
        <v>116</v>
      </c>
    </row>
    <row r="1295" spans="1:23" x14ac:dyDescent="0.35">
      <c r="A1295">
        <v>6165</v>
      </c>
      <c r="B1295" s="1" t="s">
        <v>3396</v>
      </c>
      <c r="C1295" s="2">
        <v>41717</v>
      </c>
      <c r="D1295" s="2">
        <v>41719</v>
      </c>
      <c r="E1295" s="1" t="s">
        <v>90</v>
      </c>
      <c r="F1295" s="1" t="s">
        <v>572</v>
      </c>
      <c r="G1295" s="1" t="s">
        <v>573</v>
      </c>
      <c r="H1295" s="1" t="s">
        <v>93</v>
      </c>
      <c r="I1295" s="1" t="s">
        <v>28</v>
      </c>
      <c r="J1295" s="1" t="s">
        <v>577</v>
      </c>
      <c r="K1295" s="1" t="s">
        <v>46</v>
      </c>
      <c r="L1295">
        <v>33801</v>
      </c>
      <c r="M1295" s="1" t="s">
        <v>31</v>
      </c>
      <c r="N1295" s="1" t="s">
        <v>1364</v>
      </c>
      <c r="O1295" s="1" t="s">
        <v>33</v>
      </c>
      <c r="P1295" s="1" t="s">
        <v>59</v>
      </c>
      <c r="Q1295" s="1" t="s">
        <v>426</v>
      </c>
      <c r="R1295">
        <v>5</v>
      </c>
      <c r="S1295">
        <v>3</v>
      </c>
      <c r="T1295">
        <v>0.2</v>
      </c>
      <c r="U1295">
        <v>1</v>
      </c>
      <c r="V1295" s="1" t="s">
        <v>73</v>
      </c>
      <c r="W1295" s="1" t="s">
        <v>198</v>
      </c>
    </row>
    <row r="1296" spans="1:23" x14ac:dyDescent="0.35">
      <c r="A1296">
        <v>6166</v>
      </c>
      <c r="B1296" s="1" t="s">
        <v>3396</v>
      </c>
      <c r="C1296" s="2">
        <v>41717</v>
      </c>
      <c r="D1296" s="2">
        <v>41719</v>
      </c>
      <c r="E1296" s="1" t="s">
        <v>90</v>
      </c>
      <c r="F1296" s="1" t="s">
        <v>572</v>
      </c>
      <c r="G1296" s="1" t="s">
        <v>573</v>
      </c>
      <c r="H1296" s="1" t="s">
        <v>93</v>
      </c>
      <c r="I1296" s="1" t="s">
        <v>28</v>
      </c>
      <c r="J1296" s="1" t="s">
        <v>577</v>
      </c>
      <c r="K1296" s="1" t="s">
        <v>46</v>
      </c>
      <c r="L1296">
        <v>33801</v>
      </c>
      <c r="M1296" s="1" t="s">
        <v>31</v>
      </c>
      <c r="N1296" s="1" t="s">
        <v>2892</v>
      </c>
      <c r="O1296" s="1" t="s">
        <v>33</v>
      </c>
      <c r="P1296" s="1" t="s">
        <v>59</v>
      </c>
      <c r="Q1296" s="1" t="s">
        <v>2893</v>
      </c>
      <c r="R1296">
        <v>20</v>
      </c>
      <c r="S1296">
        <v>3</v>
      </c>
      <c r="T1296">
        <v>0.2</v>
      </c>
      <c r="U1296">
        <v>6</v>
      </c>
      <c r="V1296" s="1" t="s">
        <v>73</v>
      </c>
      <c r="W1296" s="1" t="s">
        <v>198</v>
      </c>
    </row>
    <row r="1297" spans="1:23" x14ac:dyDescent="0.35">
      <c r="A1297">
        <v>6176</v>
      </c>
      <c r="B1297" s="1" t="s">
        <v>3397</v>
      </c>
      <c r="C1297" s="2">
        <v>42268</v>
      </c>
      <c r="D1297" s="2">
        <v>42273</v>
      </c>
      <c r="E1297" s="1" t="s">
        <v>42</v>
      </c>
      <c r="F1297" s="1" t="s">
        <v>2226</v>
      </c>
      <c r="G1297" s="1" t="s">
        <v>2227</v>
      </c>
      <c r="H1297" s="1" t="s">
        <v>27</v>
      </c>
      <c r="I1297" s="1" t="s">
        <v>28</v>
      </c>
      <c r="J1297" s="1" t="s">
        <v>160</v>
      </c>
      <c r="K1297" s="1" t="s">
        <v>161</v>
      </c>
      <c r="L1297">
        <v>29203</v>
      </c>
      <c r="M1297" s="1" t="s">
        <v>31</v>
      </c>
      <c r="N1297" s="1" t="s">
        <v>984</v>
      </c>
      <c r="O1297" s="1" t="s">
        <v>33</v>
      </c>
      <c r="P1297" s="1" t="s">
        <v>39</v>
      </c>
      <c r="Q1297" s="1" t="s">
        <v>985</v>
      </c>
      <c r="R1297">
        <v>1690</v>
      </c>
      <c r="S1297">
        <v>4</v>
      </c>
      <c r="T1297">
        <v>0</v>
      </c>
      <c r="U1297">
        <v>423</v>
      </c>
      <c r="V1297" s="1" t="s">
        <v>61</v>
      </c>
      <c r="W1297" s="1" t="s">
        <v>80</v>
      </c>
    </row>
    <row r="1298" spans="1:23" x14ac:dyDescent="0.35">
      <c r="A1298">
        <v>6185</v>
      </c>
      <c r="B1298" s="1" t="s">
        <v>3398</v>
      </c>
      <c r="C1298" s="2">
        <v>42715</v>
      </c>
      <c r="D1298" s="2">
        <v>42717</v>
      </c>
      <c r="E1298" s="1" t="s">
        <v>90</v>
      </c>
      <c r="F1298" s="1" t="s">
        <v>3399</v>
      </c>
      <c r="G1298" s="1" t="s">
        <v>3400</v>
      </c>
      <c r="H1298" s="1" t="s">
        <v>103</v>
      </c>
      <c r="I1298" s="1" t="s">
        <v>28</v>
      </c>
      <c r="J1298" s="1" t="s">
        <v>3401</v>
      </c>
      <c r="K1298" s="1" t="s">
        <v>1520</v>
      </c>
      <c r="L1298">
        <v>97206</v>
      </c>
      <c r="M1298" s="1" t="s">
        <v>57</v>
      </c>
      <c r="N1298" s="1" t="s">
        <v>107</v>
      </c>
      <c r="O1298" s="1" t="s">
        <v>33</v>
      </c>
      <c r="P1298" s="1" t="s">
        <v>39</v>
      </c>
      <c r="Q1298" s="1" t="s">
        <v>108</v>
      </c>
      <c r="R1298">
        <v>404</v>
      </c>
      <c r="S1298">
        <v>5</v>
      </c>
      <c r="T1298">
        <v>0.2</v>
      </c>
      <c r="U1298">
        <v>25</v>
      </c>
      <c r="V1298" s="1" t="s">
        <v>73</v>
      </c>
      <c r="W1298" s="1" t="s">
        <v>99</v>
      </c>
    </row>
    <row r="1299" spans="1:23" x14ac:dyDescent="0.35">
      <c r="A1299">
        <v>6191</v>
      </c>
      <c r="B1299" s="1" t="s">
        <v>3402</v>
      </c>
      <c r="C1299" s="2">
        <v>42728</v>
      </c>
      <c r="D1299" s="2">
        <v>42732</v>
      </c>
      <c r="E1299" s="1" t="s">
        <v>42</v>
      </c>
      <c r="F1299" s="1" t="s">
        <v>1334</v>
      </c>
      <c r="G1299" s="1" t="s">
        <v>1335</v>
      </c>
      <c r="H1299" s="1" t="s">
        <v>27</v>
      </c>
      <c r="I1299" s="1" t="s">
        <v>28</v>
      </c>
      <c r="J1299" s="1" t="s">
        <v>176</v>
      </c>
      <c r="K1299" s="1" t="s">
        <v>123</v>
      </c>
      <c r="L1299">
        <v>10035</v>
      </c>
      <c r="M1299" s="1" t="s">
        <v>70</v>
      </c>
      <c r="N1299" s="1" t="s">
        <v>3160</v>
      </c>
      <c r="O1299" s="1" t="s">
        <v>33</v>
      </c>
      <c r="P1299" s="1" t="s">
        <v>59</v>
      </c>
      <c r="Q1299" s="1" t="s">
        <v>3161</v>
      </c>
      <c r="R1299">
        <v>800</v>
      </c>
      <c r="S1299">
        <v>9</v>
      </c>
      <c r="T1299">
        <v>0</v>
      </c>
      <c r="U1299">
        <v>208</v>
      </c>
      <c r="V1299" s="1" t="s">
        <v>86</v>
      </c>
      <c r="W1299" s="1" t="s">
        <v>99</v>
      </c>
    </row>
    <row r="1300" spans="1:23" x14ac:dyDescent="0.35">
      <c r="A1300">
        <v>6203</v>
      </c>
      <c r="B1300" s="1" t="s">
        <v>3403</v>
      </c>
      <c r="C1300" s="2">
        <v>42720</v>
      </c>
      <c r="D1300" s="2">
        <v>42727</v>
      </c>
      <c r="E1300" s="1" t="s">
        <v>42</v>
      </c>
      <c r="F1300" s="1" t="s">
        <v>494</v>
      </c>
      <c r="G1300" s="1" t="s">
        <v>495</v>
      </c>
      <c r="H1300" s="1" t="s">
        <v>27</v>
      </c>
      <c r="I1300" s="1" t="s">
        <v>28</v>
      </c>
      <c r="J1300" s="1" t="s">
        <v>3234</v>
      </c>
      <c r="K1300" s="1" t="s">
        <v>56</v>
      </c>
      <c r="L1300">
        <v>92307</v>
      </c>
      <c r="M1300" s="1" t="s">
        <v>57</v>
      </c>
      <c r="N1300" s="1" t="s">
        <v>1144</v>
      </c>
      <c r="O1300" s="1" t="s">
        <v>33</v>
      </c>
      <c r="P1300" s="1" t="s">
        <v>39</v>
      </c>
      <c r="Q1300" s="1" t="s">
        <v>1145</v>
      </c>
      <c r="R1300">
        <v>564</v>
      </c>
      <c r="S1300">
        <v>5</v>
      </c>
      <c r="T1300">
        <v>0.2</v>
      </c>
      <c r="U1300">
        <v>7</v>
      </c>
      <c r="V1300" s="1" t="s">
        <v>50</v>
      </c>
      <c r="W1300" s="1" t="s">
        <v>99</v>
      </c>
    </row>
    <row r="1301" spans="1:23" x14ac:dyDescent="0.35">
      <c r="A1301">
        <v>6205</v>
      </c>
      <c r="B1301" s="1" t="s">
        <v>3404</v>
      </c>
      <c r="C1301" s="2">
        <v>43070</v>
      </c>
      <c r="D1301" s="2">
        <v>43072</v>
      </c>
      <c r="E1301" s="1" t="s">
        <v>90</v>
      </c>
      <c r="F1301" s="1" t="s">
        <v>2885</v>
      </c>
      <c r="G1301" s="1" t="s">
        <v>2886</v>
      </c>
      <c r="H1301" s="1" t="s">
        <v>103</v>
      </c>
      <c r="I1301" s="1" t="s">
        <v>28</v>
      </c>
      <c r="J1301" s="1" t="s">
        <v>1773</v>
      </c>
      <c r="K1301" s="1" t="s">
        <v>234</v>
      </c>
      <c r="L1301">
        <v>43302</v>
      </c>
      <c r="M1301" s="1" t="s">
        <v>70</v>
      </c>
      <c r="N1301" s="1" t="s">
        <v>962</v>
      </c>
      <c r="O1301" s="1" t="s">
        <v>33</v>
      </c>
      <c r="P1301" s="1" t="s">
        <v>59</v>
      </c>
      <c r="Q1301" s="1" t="s">
        <v>963</v>
      </c>
      <c r="R1301">
        <v>8</v>
      </c>
      <c r="S1301">
        <v>2</v>
      </c>
      <c r="T1301">
        <v>0.2</v>
      </c>
      <c r="U1301">
        <v>2</v>
      </c>
      <c r="V1301" s="1" t="s">
        <v>73</v>
      </c>
      <c r="W1301" s="1" t="s">
        <v>99</v>
      </c>
    </row>
    <row r="1302" spans="1:23" x14ac:dyDescent="0.35">
      <c r="A1302">
        <v>6208</v>
      </c>
      <c r="B1302" s="1" t="s">
        <v>3405</v>
      </c>
      <c r="C1302" s="2">
        <v>42663</v>
      </c>
      <c r="D1302" s="2">
        <v>42667</v>
      </c>
      <c r="E1302" s="1" t="s">
        <v>24</v>
      </c>
      <c r="F1302" s="1" t="s">
        <v>3406</v>
      </c>
      <c r="G1302" s="1" t="s">
        <v>3407</v>
      </c>
      <c r="H1302" s="1" t="s">
        <v>27</v>
      </c>
      <c r="I1302" s="1" t="s">
        <v>28</v>
      </c>
      <c r="J1302" s="1" t="s">
        <v>104</v>
      </c>
      <c r="K1302" s="1" t="s">
        <v>95</v>
      </c>
      <c r="L1302">
        <v>77095</v>
      </c>
      <c r="M1302" s="1" t="s">
        <v>96</v>
      </c>
      <c r="N1302" s="1" t="s">
        <v>498</v>
      </c>
      <c r="O1302" s="1" t="s">
        <v>33</v>
      </c>
      <c r="P1302" s="1" t="s">
        <v>39</v>
      </c>
      <c r="Q1302" s="1" t="s">
        <v>499</v>
      </c>
      <c r="R1302">
        <v>57</v>
      </c>
      <c r="S1302">
        <v>1</v>
      </c>
      <c r="T1302">
        <v>0.3</v>
      </c>
      <c r="U1302">
        <v>-15</v>
      </c>
      <c r="V1302" s="1" t="s">
        <v>86</v>
      </c>
      <c r="W1302" s="1" t="s">
        <v>51</v>
      </c>
    </row>
    <row r="1303" spans="1:23" x14ac:dyDescent="0.35">
      <c r="A1303">
        <v>6212</v>
      </c>
      <c r="B1303" s="1" t="s">
        <v>3408</v>
      </c>
      <c r="C1303" s="2">
        <v>42965</v>
      </c>
      <c r="D1303" s="2">
        <v>42972</v>
      </c>
      <c r="E1303" s="1" t="s">
        <v>42</v>
      </c>
      <c r="F1303" s="1" t="s">
        <v>3409</v>
      </c>
      <c r="G1303" s="1" t="s">
        <v>3410</v>
      </c>
      <c r="H1303" s="1" t="s">
        <v>93</v>
      </c>
      <c r="I1303" s="1" t="s">
        <v>28</v>
      </c>
      <c r="J1303" s="1" t="s">
        <v>194</v>
      </c>
      <c r="K1303" s="1" t="s">
        <v>195</v>
      </c>
      <c r="L1303">
        <v>98103</v>
      </c>
      <c r="M1303" s="1" t="s">
        <v>57</v>
      </c>
      <c r="N1303" s="1" t="s">
        <v>633</v>
      </c>
      <c r="O1303" s="1" t="s">
        <v>33</v>
      </c>
      <c r="P1303" s="1" t="s">
        <v>59</v>
      </c>
      <c r="Q1303" s="1" t="s">
        <v>634</v>
      </c>
      <c r="R1303">
        <v>66</v>
      </c>
      <c r="S1303">
        <v>3</v>
      </c>
      <c r="T1303">
        <v>0</v>
      </c>
      <c r="U1303">
        <v>22</v>
      </c>
      <c r="V1303" s="1" t="s">
        <v>50</v>
      </c>
      <c r="W1303" s="1" t="s">
        <v>256</v>
      </c>
    </row>
    <row r="1304" spans="1:23" x14ac:dyDescent="0.35">
      <c r="A1304">
        <v>6216</v>
      </c>
      <c r="B1304" s="1" t="s">
        <v>3411</v>
      </c>
      <c r="C1304" s="2">
        <v>42336</v>
      </c>
      <c r="D1304" s="2">
        <v>42341</v>
      </c>
      <c r="E1304" s="1" t="s">
        <v>42</v>
      </c>
      <c r="F1304" s="1" t="s">
        <v>2415</v>
      </c>
      <c r="G1304" s="1" t="s">
        <v>2416</v>
      </c>
      <c r="H1304" s="1" t="s">
        <v>93</v>
      </c>
      <c r="I1304" s="1" t="s">
        <v>28</v>
      </c>
      <c r="J1304" s="1" t="s">
        <v>176</v>
      </c>
      <c r="K1304" s="1" t="s">
        <v>123</v>
      </c>
      <c r="L1304">
        <v>10035</v>
      </c>
      <c r="M1304" s="1" t="s">
        <v>70</v>
      </c>
      <c r="N1304" s="1" t="s">
        <v>286</v>
      </c>
      <c r="O1304" s="1" t="s">
        <v>33</v>
      </c>
      <c r="P1304" s="1" t="s">
        <v>59</v>
      </c>
      <c r="Q1304" s="1" t="s">
        <v>287</v>
      </c>
      <c r="R1304">
        <v>68</v>
      </c>
      <c r="S1304">
        <v>3</v>
      </c>
      <c r="T1304">
        <v>0</v>
      </c>
      <c r="U1304">
        <v>28</v>
      </c>
      <c r="V1304" s="1" t="s">
        <v>61</v>
      </c>
      <c r="W1304" s="1" t="s">
        <v>37</v>
      </c>
    </row>
    <row r="1305" spans="1:23" x14ac:dyDescent="0.35">
      <c r="A1305">
        <v>6223</v>
      </c>
      <c r="B1305" s="1" t="s">
        <v>3412</v>
      </c>
      <c r="C1305" s="2">
        <v>43092</v>
      </c>
      <c r="D1305" s="2">
        <v>43096</v>
      </c>
      <c r="E1305" s="1" t="s">
        <v>42</v>
      </c>
      <c r="F1305" s="1" t="s">
        <v>591</v>
      </c>
      <c r="G1305" s="1" t="s">
        <v>592</v>
      </c>
      <c r="H1305" s="1" t="s">
        <v>27</v>
      </c>
      <c r="I1305" s="1" t="s">
        <v>28</v>
      </c>
      <c r="J1305" s="1" t="s">
        <v>3413</v>
      </c>
      <c r="K1305" s="1" t="s">
        <v>144</v>
      </c>
      <c r="L1305">
        <v>37075</v>
      </c>
      <c r="M1305" s="1" t="s">
        <v>31</v>
      </c>
      <c r="N1305" s="1" t="s">
        <v>286</v>
      </c>
      <c r="O1305" s="1" t="s">
        <v>33</v>
      </c>
      <c r="P1305" s="1" t="s">
        <v>59</v>
      </c>
      <c r="Q1305" s="1" t="s">
        <v>287</v>
      </c>
      <c r="R1305">
        <v>73</v>
      </c>
      <c r="S1305">
        <v>4</v>
      </c>
      <c r="T1305">
        <v>0.2</v>
      </c>
      <c r="U1305">
        <v>19</v>
      </c>
      <c r="V1305" s="1" t="s">
        <v>86</v>
      </c>
      <c r="W1305" s="1" t="s">
        <v>99</v>
      </c>
    </row>
    <row r="1306" spans="1:23" x14ac:dyDescent="0.35">
      <c r="A1306">
        <v>6226</v>
      </c>
      <c r="B1306" s="1" t="s">
        <v>3414</v>
      </c>
      <c r="C1306" s="2">
        <v>42282</v>
      </c>
      <c r="D1306" s="2">
        <v>42286</v>
      </c>
      <c r="E1306" s="1" t="s">
        <v>42</v>
      </c>
      <c r="F1306" s="1" t="s">
        <v>2876</v>
      </c>
      <c r="G1306" s="1" t="s">
        <v>2877</v>
      </c>
      <c r="H1306" s="1" t="s">
        <v>27</v>
      </c>
      <c r="I1306" s="1" t="s">
        <v>28</v>
      </c>
      <c r="J1306" s="1" t="s">
        <v>3401</v>
      </c>
      <c r="K1306" s="1" t="s">
        <v>1520</v>
      </c>
      <c r="L1306">
        <v>97206</v>
      </c>
      <c r="M1306" s="1" t="s">
        <v>57</v>
      </c>
      <c r="N1306" s="1" t="s">
        <v>2313</v>
      </c>
      <c r="O1306" s="1" t="s">
        <v>33</v>
      </c>
      <c r="P1306" s="1" t="s">
        <v>34</v>
      </c>
      <c r="Q1306" s="1" t="s">
        <v>2314</v>
      </c>
      <c r="R1306">
        <v>66</v>
      </c>
      <c r="S1306">
        <v>1</v>
      </c>
      <c r="T1306">
        <v>0.7</v>
      </c>
      <c r="U1306">
        <v>-104</v>
      </c>
      <c r="V1306" s="1" t="s">
        <v>86</v>
      </c>
      <c r="W1306" s="1" t="s">
        <v>51</v>
      </c>
    </row>
    <row r="1307" spans="1:23" x14ac:dyDescent="0.35">
      <c r="A1307">
        <v>6227</v>
      </c>
      <c r="B1307" s="1" t="s">
        <v>3414</v>
      </c>
      <c r="C1307" s="2">
        <v>42282</v>
      </c>
      <c r="D1307" s="2">
        <v>42286</v>
      </c>
      <c r="E1307" s="1" t="s">
        <v>42</v>
      </c>
      <c r="F1307" s="1" t="s">
        <v>2876</v>
      </c>
      <c r="G1307" s="1" t="s">
        <v>2877</v>
      </c>
      <c r="H1307" s="1" t="s">
        <v>27</v>
      </c>
      <c r="I1307" s="1" t="s">
        <v>28</v>
      </c>
      <c r="J1307" s="1" t="s">
        <v>3401</v>
      </c>
      <c r="K1307" s="1" t="s">
        <v>1520</v>
      </c>
      <c r="L1307">
        <v>97206</v>
      </c>
      <c r="M1307" s="1" t="s">
        <v>57</v>
      </c>
      <c r="N1307" s="1" t="s">
        <v>2183</v>
      </c>
      <c r="O1307" s="1" t="s">
        <v>33</v>
      </c>
      <c r="P1307" s="1" t="s">
        <v>39</v>
      </c>
      <c r="Q1307" s="1" t="s">
        <v>2184</v>
      </c>
      <c r="R1307">
        <v>291</v>
      </c>
      <c r="S1307">
        <v>4</v>
      </c>
      <c r="T1307">
        <v>0.2</v>
      </c>
      <c r="U1307">
        <v>-15</v>
      </c>
      <c r="V1307" s="1" t="s">
        <v>86</v>
      </c>
      <c r="W1307" s="1" t="s">
        <v>51</v>
      </c>
    </row>
    <row r="1308" spans="1:23" x14ac:dyDescent="0.35">
      <c r="A1308">
        <v>6232</v>
      </c>
      <c r="B1308" s="1" t="s">
        <v>3415</v>
      </c>
      <c r="C1308" s="2">
        <v>42989</v>
      </c>
      <c r="D1308" s="2">
        <v>42989</v>
      </c>
      <c r="E1308" s="1" t="s">
        <v>428</v>
      </c>
      <c r="F1308" s="1" t="s">
        <v>3416</v>
      </c>
      <c r="G1308" s="1" t="s">
        <v>3417</v>
      </c>
      <c r="H1308" s="1" t="s">
        <v>27</v>
      </c>
      <c r="I1308" s="1" t="s">
        <v>28</v>
      </c>
      <c r="J1308" s="1" t="s">
        <v>194</v>
      </c>
      <c r="K1308" s="1" t="s">
        <v>195</v>
      </c>
      <c r="L1308">
        <v>98105</v>
      </c>
      <c r="M1308" s="1" t="s">
        <v>57</v>
      </c>
      <c r="N1308" s="1" t="s">
        <v>824</v>
      </c>
      <c r="O1308" s="1" t="s">
        <v>33</v>
      </c>
      <c r="P1308" s="1" t="s">
        <v>39</v>
      </c>
      <c r="Q1308" s="1" t="s">
        <v>825</v>
      </c>
      <c r="R1308">
        <v>178</v>
      </c>
      <c r="S1308">
        <v>2</v>
      </c>
      <c r="T1308">
        <v>0.2</v>
      </c>
      <c r="U1308">
        <v>9</v>
      </c>
      <c r="V1308" s="1" t="s">
        <v>433</v>
      </c>
      <c r="W1308" s="1" t="s">
        <v>80</v>
      </c>
    </row>
    <row r="1309" spans="1:23" x14ac:dyDescent="0.35">
      <c r="A1309">
        <v>6239</v>
      </c>
      <c r="B1309" s="1" t="s">
        <v>3418</v>
      </c>
      <c r="C1309" s="2">
        <v>42350</v>
      </c>
      <c r="D1309" s="2">
        <v>42354</v>
      </c>
      <c r="E1309" s="1" t="s">
        <v>42</v>
      </c>
      <c r="F1309" s="1" t="s">
        <v>2911</v>
      </c>
      <c r="G1309" s="1" t="s">
        <v>2912</v>
      </c>
      <c r="H1309" s="1" t="s">
        <v>27</v>
      </c>
      <c r="I1309" s="1" t="s">
        <v>28</v>
      </c>
      <c r="J1309" s="1" t="s">
        <v>1494</v>
      </c>
      <c r="K1309" s="1" t="s">
        <v>56</v>
      </c>
      <c r="L1309">
        <v>95123</v>
      </c>
      <c r="M1309" s="1" t="s">
        <v>57</v>
      </c>
      <c r="N1309" s="1" t="s">
        <v>1787</v>
      </c>
      <c r="O1309" s="1" t="s">
        <v>33</v>
      </c>
      <c r="P1309" s="1" t="s">
        <v>59</v>
      </c>
      <c r="Q1309" s="1" t="s">
        <v>1788</v>
      </c>
      <c r="R1309">
        <v>166</v>
      </c>
      <c r="S1309">
        <v>3</v>
      </c>
      <c r="T1309">
        <v>0</v>
      </c>
      <c r="U1309">
        <v>22</v>
      </c>
      <c r="V1309" s="1" t="s">
        <v>86</v>
      </c>
      <c r="W1309" s="1" t="s">
        <v>99</v>
      </c>
    </row>
    <row r="1310" spans="1:23" x14ac:dyDescent="0.35">
      <c r="A1310">
        <v>6242</v>
      </c>
      <c r="B1310" s="1" t="s">
        <v>3419</v>
      </c>
      <c r="C1310" s="2">
        <v>42883</v>
      </c>
      <c r="D1310" s="2">
        <v>42886</v>
      </c>
      <c r="E1310" s="1" t="s">
        <v>24</v>
      </c>
      <c r="F1310" s="1" t="s">
        <v>3420</v>
      </c>
      <c r="G1310" s="1" t="s">
        <v>3421</v>
      </c>
      <c r="H1310" s="1" t="s">
        <v>93</v>
      </c>
      <c r="I1310" s="1" t="s">
        <v>28</v>
      </c>
      <c r="J1310" s="1" t="s">
        <v>512</v>
      </c>
      <c r="K1310" s="1" t="s">
        <v>887</v>
      </c>
      <c r="L1310">
        <v>3301</v>
      </c>
      <c r="M1310" s="1" t="s">
        <v>70</v>
      </c>
      <c r="N1310" s="1" t="s">
        <v>2113</v>
      </c>
      <c r="O1310" s="1" t="s">
        <v>33</v>
      </c>
      <c r="P1310" s="1" t="s">
        <v>59</v>
      </c>
      <c r="Q1310" s="1" t="s">
        <v>2114</v>
      </c>
      <c r="R1310">
        <v>247</v>
      </c>
      <c r="S1310">
        <v>8</v>
      </c>
      <c r="T1310">
        <v>0</v>
      </c>
      <c r="U1310">
        <v>101</v>
      </c>
      <c r="V1310" s="1" t="s">
        <v>36</v>
      </c>
      <c r="W1310" s="1" t="s">
        <v>164</v>
      </c>
    </row>
    <row r="1311" spans="1:23" x14ac:dyDescent="0.35">
      <c r="A1311">
        <v>6246</v>
      </c>
      <c r="B1311" s="1" t="s">
        <v>3422</v>
      </c>
      <c r="C1311" s="2">
        <v>42328</v>
      </c>
      <c r="D1311" s="2">
        <v>42333</v>
      </c>
      <c r="E1311" s="1" t="s">
        <v>42</v>
      </c>
      <c r="F1311" s="1" t="s">
        <v>3295</v>
      </c>
      <c r="G1311" s="1" t="s">
        <v>3296</v>
      </c>
      <c r="H1311" s="1" t="s">
        <v>103</v>
      </c>
      <c r="I1311" s="1" t="s">
        <v>28</v>
      </c>
      <c r="J1311" s="1" t="s">
        <v>194</v>
      </c>
      <c r="K1311" s="1" t="s">
        <v>195</v>
      </c>
      <c r="L1311">
        <v>98105</v>
      </c>
      <c r="M1311" s="1" t="s">
        <v>57</v>
      </c>
      <c r="N1311" s="1" t="s">
        <v>1721</v>
      </c>
      <c r="O1311" s="1" t="s">
        <v>33</v>
      </c>
      <c r="P1311" s="1" t="s">
        <v>59</v>
      </c>
      <c r="Q1311" s="1" t="s">
        <v>1722</v>
      </c>
      <c r="R1311">
        <v>22</v>
      </c>
      <c r="S1311">
        <v>3</v>
      </c>
      <c r="T1311">
        <v>0</v>
      </c>
      <c r="U1311">
        <v>6</v>
      </c>
      <c r="V1311" s="1" t="s">
        <v>61</v>
      </c>
      <c r="W1311" s="1" t="s">
        <v>37</v>
      </c>
    </row>
    <row r="1312" spans="1:23" x14ac:dyDescent="0.35">
      <c r="A1312">
        <v>6249</v>
      </c>
      <c r="B1312" s="1" t="s">
        <v>3423</v>
      </c>
      <c r="C1312" s="2">
        <v>42884</v>
      </c>
      <c r="D1312" s="2">
        <v>42890</v>
      </c>
      <c r="E1312" s="1" t="s">
        <v>42</v>
      </c>
      <c r="F1312" s="1" t="s">
        <v>2519</v>
      </c>
      <c r="G1312" s="1" t="s">
        <v>2520</v>
      </c>
      <c r="H1312" s="1" t="s">
        <v>27</v>
      </c>
      <c r="I1312" s="1" t="s">
        <v>28</v>
      </c>
      <c r="J1312" s="1" t="s">
        <v>350</v>
      </c>
      <c r="K1312" s="1" t="s">
        <v>113</v>
      </c>
      <c r="L1312">
        <v>47201</v>
      </c>
      <c r="M1312" s="1" t="s">
        <v>96</v>
      </c>
      <c r="N1312" s="1" t="s">
        <v>1364</v>
      </c>
      <c r="O1312" s="1" t="s">
        <v>33</v>
      </c>
      <c r="P1312" s="1" t="s">
        <v>59</v>
      </c>
      <c r="Q1312" s="1" t="s">
        <v>426</v>
      </c>
      <c r="R1312">
        <v>6</v>
      </c>
      <c r="S1312">
        <v>3</v>
      </c>
      <c r="T1312">
        <v>0</v>
      </c>
      <c r="U1312">
        <v>3</v>
      </c>
      <c r="V1312" s="1" t="s">
        <v>132</v>
      </c>
      <c r="W1312" s="1" t="s">
        <v>164</v>
      </c>
    </row>
    <row r="1313" spans="1:23" x14ac:dyDescent="0.35">
      <c r="A1313">
        <v>6255</v>
      </c>
      <c r="B1313" s="1" t="s">
        <v>3424</v>
      </c>
      <c r="C1313" s="2">
        <v>42255</v>
      </c>
      <c r="D1313" s="2">
        <v>42261</v>
      </c>
      <c r="E1313" s="1" t="s">
        <v>42</v>
      </c>
      <c r="F1313" s="1" t="s">
        <v>277</v>
      </c>
      <c r="G1313" s="1" t="s">
        <v>278</v>
      </c>
      <c r="H1313" s="1" t="s">
        <v>93</v>
      </c>
      <c r="I1313" s="1" t="s">
        <v>28</v>
      </c>
      <c r="J1313" s="1" t="s">
        <v>1619</v>
      </c>
      <c r="K1313" s="1" t="s">
        <v>1279</v>
      </c>
      <c r="L1313">
        <v>36116</v>
      </c>
      <c r="M1313" s="1" t="s">
        <v>31</v>
      </c>
      <c r="N1313" s="1" t="s">
        <v>2516</v>
      </c>
      <c r="O1313" s="1" t="s">
        <v>33</v>
      </c>
      <c r="P1313" s="1" t="s">
        <v>59</v>
      </c>
      <c r="Q1313" s="1" t="s">
        <v>2517</v>
      </c>
      <c r="R1313">
        <v>21</v>
      </c>
      <c r="S1313">
        <v>8</v>
      </c>
      <c r="T1313">
        <v>0</v>
      </c>
      <c r="U1313">
        <v>8</v>
      </c>
      <c r="V1313" s="1" t="s">
        <v>132</v>
      </c>
      <c r="W1313" s="1" t="s">
        <v>80</v>
      </c>
    </row>
    <row r="1314" spans="1:23" x14ac:dyDescent="0.35">
      <c r="A1314">
        <v>6271</v>
      </c>
      <c r="B1314" s="1" t="s">
        <v>3425</v>
      </c>
      <c r="C1314" s="2">
        <v>43071</v>
      </c>
      <c r="D1314" s="2">
        <v>43075</v>
      </c>
      <c r="E1314" s="1" t="s">
        <v>42</v>
      </c>
      <c r="F1314" s="1" t="s">
        <v>1938</v>
      </c>
      <c r="G1314" s="1" t="s">
        <v>1939</v>
      </c>
      <c r="H1314" s="1" t="s">
        <v>93</v>
      </c>
      <c r="I1314" s="1" t="s">
        <v>28</v>
      </c>
      <c r="J1314" s="1" t="s">
        <v>1473</v>
      </c>
      <c r="K1314" s="1" t="s">
        <v>56</v>
      </c>
      <c r="L1314">
        <v>94601</v>
      </c>
      <c r="M1314" s="1" t="s">
        <v>57</v>
      </c>
      <c r="N1314" s="1" t="s">
        <v>2552</v>
      </c>
      <c r="O1314" s="1" t="s">
        <v>33</v>
      </c>
      <c r="P1314" s="1" t="s">
        <v>39</v>
      </c>
      <c r="Q1314" s="1" t="s">
        <v>2553</v>
      </c>
      <c r="R1314">
        <v>1159</v>
      </c>
      <c r="S1314">
        <v>9</v>
      </c>
      <c r="T1314">
        <v>0.2</v>
      </c>
      <c r="U1314">
        <v>43</v>
      </c>
      <c r="V1314" s="1" t="s">
        <v>86</v>
      </c>
      <c r="W1314" s="1" t="s">
        <v>99</v>
      </c>
    </row>
    <row r="1315" spans="1:23" x14ac:dyDescent="0.35">
      <c r="A1315">
        <v>6274</v>
      </c>
      <c r="B1315" s="1" t="s">
        <v>3426</v>
      </c>
      <c r="C1315" s="2">
        <v>42568</v>
      </c>
      <c r="D1315" s="2">
        <v>42573</v>
      </c>
      <c r="E1315" s="1" t="s">
        <v>24</v>
      </c>
      <c r="F1315" s="1" t="s">
        <v>1771</v>
      </c>
      <c r="G1315" s="1" t="s">
        <v>1772</v>
      </c>
      <c r="H1315" s="1" t="s">
        <v>27</v>
      </c>
      <c r="I1315" s="1" t="s">
        <v>28</v>
      </c>
      <c r="J1315" s="1" t="s">
        <v>194</v>
      </c>
      <c r="K1315" s="1" t="s">
        <v>195</v>
      </c>
      <c r="L1315">
        <v>98105</v>
      </c>
      <c r="M1315" s="1" t="s">
        <v>57</v>
      </c>
      <c r="N1315" s="1" t="s">
        <v>1983</v>
      </c>
      <c r="O1315" s="1" t="s">
        <v>33</v>
      </c>
      <c r="P1315" s="1" t="s">
        <v>59</v>
      </c>
      <c r="Q1315" s="1" t="s">
        <v>1984</v>
      </c>
      <c r="R1315">
        <v>12</v>
      </c>
      <c r="S1315">
        <v>3</v>
      </c>
      <c r="T1315">
        <v>0</v>
      </c>
      <c r="U1315">
        <v>4</v>
      </c>
      <c r="V1315" s="1" t="s">
        <v>61</v>
      </c>
      <c r="W1315" s="1" t="s">
        <v>74</v>
      </c>
    </row>
    <row r="1316" spans="1:23" x14ac:dyDescent="0.35">
      <c r="A1316">
        <v>6276</v>
      </c>
      <c r="B1316" s="1" t="s">
        <v>3426</v>
      </c>
      <c r="C1316" s="2">
        <v>42568</v>
      </c>
      <c r="D1316" s="2">
        <v>42573</v>
      </c>
      <c r="E1316" s="1" t="s">
        <v>24</v>
      </c>
      <c r="F1316" s="1" t="s">
        <v>1771</v>
      </c>
      <c r="G1316" s="1" t="s">
        <v>1772</v>
      </c>
      <c r="H1316" s="1" t="s">
        <v>27</v>
      </c>
      <c r="I1316" s="1" t="s">
        <v>28</v>
      </c>
      <c r="J1316" s="1" t="s">
        <v>194</v>
      </c>
      <c r="K1316" s="1" t="s">
        <v>195</v>
      </c>
      <c r="L1316">
        <v>98105</v>
      </c>
      <c r="M1316" s="1" t="s">
        <v>57</v>
      </c>
      <c r="N1316" s="1" t="s">
        <v>2604</v>
      </c>
      <c r="O1316" s="1" t="s">
        <v>33</v>
      </c>
      <c r="P1316" s="1" t="s">
        <v>59</v>
      </c>
      <c r="Q1316" s="1" t="s">
        <v>2605</v>
      </c>
      <c r="R1316">
        <v>25</v>
      </c>
      <c r="S1316">
        <v>5</v>
      </c>
      <c r="T1316">
        <v>0</v>
      </c>
      <c r="U1316">
        <v>11</v>
      </c>
      <c r="V1316" s="1" t="s">
        <v>61</v>
      </c>
      <c r="W1316" s="1" t="s">
        <v>74</v>
      </c>
    </row>
    <row r="1317" spans="1:23" x14ac:dyDescent="0.35">
      <c r="A1317">
        <v>6282</v>
      </c>
      <c r="B1317" s="1" t="s">
        <v>3427</v>
      </c>
      <c r="C1317" s="2">
        <v>42328</v>
      </c>
      <c r="D1317" s="2">
        <v>42334</v>
      </c>
      <c r="E1317" s="1" t="s">
        <v>42</v>
      </c>
      <c r="F1317" s="1" t="s">
        <v>1441</v>
      </c>
      <c r="G1317" s="1" t="s">
        <v>1442</v>
      </c>
      <c r="H1317" s="1" t="s">
        <v>27</v>
      </c>
      <c r="I1317" s="1" t="s">
        <v>28</v>
      </c>
      <c r="J1317" s="1" t="s">
        <v>1773</v>
      </c>
      <c r="K1317" s="1" t="s">
        <v>234</v>
      </c>
      <c r="L1317">
        <v>43302</v>
      </c>
      <c r="M1317" s="1" t="s">
        <v>70</v>
      </c>
      <c r="N1317" s="1" t="s">
        <v>3428</v>
      </c>
      <c r="O1317" s="1" t="s">
        <v>33</v>
      </c>
      <c r="P1317" s="1" t="s">
        <v>59</v>
      </c>
      <c r="Q1317" s="1" t="s">
        <v>3429</v>
      </c>
      <c r="R1317">
        <v>64</v>
      </c>
      <c r="S1317">
        <v>2</v>
      </c>
      <c r="T1317">
        <v>0.2</v>
      </c>
      <c r="U1317">
        <v>10</v>
      </c>
      <c r="V1317" s="1" t="s">
        <v>132</v>
      </c>
      <c r="W1317" s="1" t="s">
        <v>37</v>
      </c>
    </row>
    <row r="1318" spans="1:23" x14ac:dyDescent="0.35">
      <c r="A1318">
        <v>6285</v>
      </c>
      <c r="B1318" s="1" t="s">
        <v>3430</v>
      </c>
      <c r="C1318" s="2">
        <v>42637</v>
      </c>
      <c r="D1318" s="2">
        <v>42641</v>
      </c>
      <c r="E1318" s="1" t="s">
        <v>42</v>
      </c>
      <c r="F1318" s="1" t="s">
        <v>1601</v>
      </c>
      <c r="G1318" s="1" t="s">
        <v>1602</v>
      </c>
      <c r="H1318" s="1" t="s">
        <v>93</v>
      </c>
      <c r="I1318" s="1" t="s">
        <v>28</v>
      </c>
      <c r="J1318" s="1" t="s">
        <v>55</v>
      </c>
      <c r="K1318" s="1" t="s">
        <v>56</v>
      </c>
      <c r="L1318">
        <v>90049</v>
      </c>
      <c r="M1318" s="1" t="s">
        <v>57</v>
      </c>
      <c r="N1318" s="1" t="s">
        <v>1535</v>
      </c>
      <c r="O1318" s="1" t="s">
        <v>33</v>
      </c>
      <c r="P1318" s="1" t="s">
        <v>39</v>
      </c>
      <c r="Q1318" s="1" t="s">
        <v>1536</v>
      </c>
      <c r="R1318">
        <v>563</v>
      </c>
      <c r="S1318">
        <v>5</v>
      </c>
      <c r="T1318">
        <v>0.2</v>
      </c>
      <c r="U1318">
        <v>56</v>
      </c>
      <c r="V1318" s="1" t="s">
        <v>86</v>
      </c>
      <c r="W1318" s="1" t="s">
        <v>80</v>
      </c>
    </row>
    <row r="1319" spans="1:23" x14ac:dyDescent="0.35">
      <c r="A1319">
        <v>6286</v>
      </c>
      <c r="B1319" s="1" t="s">
        <v>3431</v>
      </c>
      <c r="C1319" s="2">
        <v>42664</v>
      </c>
      <c r="D1319" s="2">
        <v>42669</v>
      </c>
      <c r="E1319" s="1" t="s">
        <v>42</v>
      </c>
      <c r="F1319" s="1" t="s">
        <v>277</v>
      </c>
      <c r="G1319" s="1" t="s">
        <v>278</v>
      </c>
      <c r="H1319" s="1" t="s">
        <v>93</v>
      </c>
      <c r="I1319" s="1" t="s">
        <v>28</v>
      </c>
      <c r="J1319" s="1" t="s">
        <v>2063</v>
      </c>
      <c r="K1319" s="1" t="s">
        <v>234</v>
      </c>
      <c r="L1319">
        <v>44107</v>
      </c>
      <c r="M1319" s="1" t="s">
        <v>70</v>
      </c>
      <c r="N1319" s="1" t="s">
        <v>1726</v>
      </c>
      <c r="O1319" s="1" t="s">
        <v>33</v>
      </c>
      <c r="P1319" s="1" t="s">
        <v>48</v>
      </c>
      <c r="Q1319" s="1" t="s">
        <v>1727</v>
      </c>
      <c r="R1319">
        <v>661</v>
      </c>
      <c r="S1319">
        <v>2</v>
      </c>
      <c r="T1319">
        <v>0.4</v>
      </c>
      <c r="U1319">
        <v>-231</v>
      </c>
      <c r="V1319" s="1" t="s">
        <v>61</v>
      </c>
      <c r="W1319" s="1" t="s">
        <v>51</v>
      </c>
    </row>
    <row r="1320" spans="1:23" x14ac:dyDescent="0.35">
      <c r="A1320">
        <v>6288</v>
      </c>
      <c r="B1320" s="1" t="s">
        <v>3432</v>
      </c>
      <c r="C1320" s="2">
        <v>41828</v>
      </c>
      <c r="D1320" s="2">
        <v>41832</v>
      </c>
      <c r="E1320" s="1" t="s">
        <v>42</v>
      </c>
      <c r="F1320" s="1" t="s">
        <v>506</v>
      </c>
      <c r="G1320" s="1" t="s">
        <v>507</v>
      </c>
      <c r="H1320" s="1" t="s">
        <v>93</v>
      </c>
      <c r="I1320" s="1" t="s">
        <v>28</v>
      </c>
      <c r="J1320" s="1" t="s">
        <v>331</v>
      </c>
      <c r="K1320" s="1" t="s">
        <v>56</v>
      </c>
      <c r="L1320">
        <v>94122</v>
      </c>
      <c r="M1320" s="1" t="s">
        <v>57</v>
      </c>
      <c r="N1320" s="1" t="s">
        <v>1331</v>
      </c>
      <c r="O1320" s="1" t="s">
        <v>33</v>
      </c>
      <c r="P1320" s="1" t="s">
        <v>48</v>
      </c>
      <c r="Q1320" s="1" t="s">
        <v>1332</v>
      </c>
      <c r="R1320">
        <v>502</v>
      </c>
      <c r="S1320">
        <v>3</v>
      </c>
      <c r="T1320">
        <v>0.2</v>
      </c>
      <c r="U1320">
        <v>-88</v>
      </c>
      <c r="V1320" s="1" t="s">
        <v>86</v>
      </c>
      <c r="W1320" s="1" t="s">
        <v>74</v>
      </c>
    </row>
    <row r="1321" spans="1:23" x14ac:dyDescent="0.35">
      <c r="A1321">
        <v>6290</v>
      </c>
      <c r="B1321" s="1" t="s">
        <v>3433</v>
      </c>
      <c r="C1321" s="2">
        <v>42076</v>
      </c>
      <c r="D1321" s="2">
        <v>42081</v>
      </c>
      <c r="E1321" s="1" t="s">
        <v>24</v>
      </c>
      <c r="F1321" s="1" t="s">
        <v>1018</v>
      </c>
      <c r="G1321" s="1" t="s">
        <v>1019</v>
      </c>
      <c r="H1321" s="1" t="s">
        <v>103</v>
      </c>
      <c r="I1321" s="1" t="s">
        <v>28</v>
      </c>
      <c r="J1321" s="1" t="s">
        <v>3434</v>
      </c>
      <c r="K1321" s="1" t="s">
        <v>56</v>
      </c>
      <c r="L1321">
        <v>95928</v>
      </c>
      <c r="M1321" s="1" t="s">
        <v>57</v>
      </c>
      <c r="N1321" s="1" t="s">
        <v>209</v>
      </c>
      <c r="O1321" s="1" t="s">
        <v>33</v>
      </c>
      <c r="P1321" s="1" t="s">
        <v>39</v>
      </c>
      <c r="Q1321" s="1" t="s">
        <v>210</v>
      </c>
      <c r="R1321">
        <v>915</v>
      </c>
      <c r="S1321">
        <v>4</v>
      </c>
      <c r="T1321">
        <v>0.2</v>
      </c>
      <c r="U1321">
        <v>103</v>
      </c>
      <c r="V1321" s="1" t="s">
        <v>61</v>
      </c>
      <c r="W1321" s="1" t="s">
        <v>198</v>
      </c>
    </row>
    <row r="1322" spans="1:23" x14ac:dyDescent="0.35">
      <c r="A1322">
        <v>6291</v>
      </c>
      <c r="B1322" s="1" t="s">
        <v>3433</v>
      </c>
      <c r="C1322" s="2">
        <v>42076</v>
      </c>
      <c r="D1322" s="2">
        <v>42081</v>
      </c>
      <c r="E1322" s="1" t="s">
        <v>24</v>
      </c>
      <c r="F1322" s="1" t="s">
        <v>1018</v>
      </c>
      <c r="G1322" s="1" t="s">
        <v>1019</v>
      </c>
      <c r="H1322" s="1" t="s">
        <v>103</v>
      </c>
      <c r="I1322" s="1" t="s">
        <v>28</v>
      </c>
      <c r="J1322" s="1" t="s">
        <v>3434</v>
      </c>
      <c r="K1322" s="1" t="s">
        <v>56</v>
      </c>
      <c r="L1322">
        <v>95928</v>
      </c>
      <c r="M1322" s="1" t="s">
        <v>57</v>
      </c>
      <c r="N1322" s="1" t="s">
        <v>643</v>
      </c>
      <c r="O1322" s="1" t="s">
        <v>33</v>
      </c>
      <c r="P1322" s="1" t="s">
        <v>59</v>
      </c>
      <c r="Q1322" s="1" t="s">
        <v>644</v>
      </c>
      <c r="R1322">
        <v>328</v>
      </c>
      <c r="S1322">
        <v>8</v>
      </c>
      <c r="T1322">
        <v>0</v>
      </c>
      <c r="U1322">
        <v>92</v>
      </c>
      <c r="V1322" s="1" t="s">
        <v>61</v>
      </c>
      <c r="W1322" s="1" t="s">
        <v>198</v>
      </c>
    </row>
    <row r="1323" spans="1:23" x14ac:dyDescent="0.35">
      <c r="A1323">
        <v>6292</v>
      </c>
      <c r="B1323" s="1" t="s">
        <v>3435</v>
      </c>
      <c r="C1323" s="2">
        <v>43071</v>
      </c>
      <c r="D1323" s="2">
        <v>43074</v>
      </c>
      <c r="E1323" s="1" t="s">
        <v>90</v>
      </c>
      <c r="F1323" s="1" t="s">
        <v>3436</v>
      </c>
      <c r="G1323" s="1" t="s">
        <v>3437</v>
      </c>
      <c r="H1323" s="1" t="s">
        <v>27</v>
      </c>
      <c r="I1323" s="1" t="s">
        <v>28</v>
      </c>
      <c r="J1323" s="1" t="s">
        <v>3236</v>
      </c>
      <c r="K1323" s="1" t="s">
        <v>719</v>
      </c>
      <c r="L1323">
        <v>24153</v>
      </c>
      <c r="M1323" s="1" t="s">
        <v>31</v>
      </c>
      <c r="N1323" s="1" t="s">
        <v>1489</v>
      </c>
      <c r="O1323" s="1" t="s">
        <v>33</v>
      </c>
      <c r="P1323" s="1" t="s">
        <v>39</v>
      </c>
      <c r="Q1323" s="1" t="s">
        <v>1490</v>
      </c>
      <c r="R1323">
        <v>702</v>
      </c>
      <c r="S1323">
        <v>2</v>
      </c>
      <c r="T1323">
        <v>0</v>
      </c>
      <c r="U1323">
        <v>168</v>
      </c>
      <c r="V1323" s="1" t="s">
        <v>36</v>
      </c>
      <c r="W1323" s="1" t="s">
        <v>99</v>
      </c>
    </row>
    <row r="1324" spans="1:23" x14ac:dyDescent="0.35">
      <c r="A1324">
        <v>6300</v>
      </c>
      <c r="B1324" s="1" t="s">
        <v>3438</v>
      </c>
      <c r="C1324" s="2">
        <v>43069</v>
      </c>
      <c r="D1324" s="2">
        <v>43072</v>
      </c>
      <c r="E1324" s="1" t="s">
        <v>90</v>
      </c>
      <c r="F1324" s="1" t="s">
        <v>3439</v>
      </c>
      <c r="G1324" s="1" t="s">
        <v>3440</v>
      </c>
      <c r="H1324" s="1" t="s">
        <v>103</v>
      </c>
      <c r="I1324" s="1" t="s">
        <v>28</v>
      </c>
      <c r="J1324" s="1" t="s">
        <v>331</v>
      </c>
      <c r="K1324" s="1" t="s">
        <v>56</v>
      </c>
      <c r="L1324">
        <v>94109</v>
      </c>
      <c r="M1324" s="1" t="s">
        <v>57</v>
      </c>
      <c r="N1324" s="1" t="s">
        <v>3441</v>
      </c>
      <c r="O1324" s="1" t="s">
        <v>33</v>
      </c>
      <c r="P1324" s="1" t="s">
        <v>59</v>
      </c>
      <c r="Q1324" s="1" t="s">
        <v>3442</v>
      </c>
      <c r="R1324">
        <v>26</v>
      </c>
      <c r="S1324">
        <v>3</v>
      </c>
      <c r="T1324">
        <v>0</v>
      </c>
      <c r="U1324">
        <v>10</v>
      </c>
      <c r="V1324" s="1" t="s">
        <v>36</v>
      </c>
      <c r="W1324" s="1" t="s">
        <v>37</v>
      </c>
    </row>
    <row r="1325" spans="1:23" x14ac:dyDescent="0.35">
      <c r="A1325">
        <v>6307</v>
      </c>
      <c r="B1325" s="1" t="s">
        <v>3443</v>
      </c>
      <c r="C1325" s="2">
        <v>42678</v>
      </c>
      <c r="D1325" s="2">
        <v>42680</v>
      </c>
      <c r="E1325" s="1" t="s">
        <v>24</v>
      </c>
      <c r="F1325" s="1" t="s">
        <v>3444</v>
      </c>
      <c r="G1325" s="1" t="s">
        <v>3445</v>
      </c>
      <c r="H1325" s="1" t="s">
        <v>93</v>
      </c>
      <c r="I1325" s="1" t="s">
        <v>28</v>
      </c>
      <c r="J1325" s="1" t="s">
        <v>3446</v>
      </c>
      <c r="K1325" s="1" t="s">
        <v>1520</v>
      </c>
      <c r="L1325">
        <v>97405</v>
      </c>
      <c r="M1325" s="1" t="s">
        <v>57</v>
      </c>
      <c r="N1325" s="1" t="s">
        <v>2581</v>
      </c>
      <c r="O1325" s="1" t="s">
        <v>33</v>
      </c>
      <c r="P1325" s="1" t="s">
        <v>39</v>
      </c>
      <c r="Q1325" s="1" t="s">
        <v>2582</v>
      </c>
      <c r="R1325">
        <v>105</v>
      </c>
      <c r="S1325">
        <v>1</v>
      </c>
      <c r="T1325">
        <v>0.2</v>
      </c>
      <c r="U1325">
        <v>-14</v>
      </c>
      <c r="V1325" s="1" t="s">
        <v>73</v>
      </c>
      <c r="W1325" s="1" t="s">
        <v>37</v>
      </c>
    </row>
    <row r="1326" spans="1:23" x14ac:dyDescent="0.35">
      <c r="A1326">
        <v>6309</v>
      </c>
      <c r="B1326" s="1" t="s">
        <v>3443</v>
      </c>
      <c r="C1326" s="2">
        <v>42678</v>
      </c>
      <c r="D1326" s="2">
        <v>42680</v>
      </c>
      <c r="E1326" s="1" t="s">
        <v>24</v>
      </c>
      <c r="F1326" s="1" t="s">
        <v>3444</v>
      </c>
      <c r="G1326" s="1" t="s">
        <v>3445</v>
      </c>
      <c r="H1326" s="1" t="s">
        <v>93</v>
      </c>
      <c r="I1326" s="1" t="s">
        <v>28</v>
      </c>
      <c r="J1326" s="1" t="s">
        <v>3446</v>
      </c>
      <c r="K1326" s="1" t="s">
        <v>1520</v>
      </c>
      <c r="L1326">
        <v>97405</v>
      </c>
      <c r="M1326" s="1" t="s">
        <v>57</v>
      </c>
      <c r="N1326" s="1" t="s">
        <v>2733</v>
      </c>
      <c r="O1326" s="1" t="s">
        <v>33</v>
      </c>
      <c r="P1326" s="1" t="s">
        <v>39</v>
      </c>
      <c r="Q1326" s="1" t="s">
        <v>2734</v>
      </c>
      <c r="R1326">
        <v>650</v>
      </c>
      <c r="S1326">
        <v>3</v>
      </c>
      <c r="T1326">
        <v>0.2</v>
      </c>
      <c r="U1326">
        <v>-98</v>
      </c>
      <c r="V1326" s="1" t="s">
        <v>73</v>
      </c>
      <c r="W1326" s="1" t="s">
        <v>37</v>
      </c>
    </row>
    <row r="1327" spans="1:23" x14ac:dyDescent="0.35">
      <c r="A1327">
        <v>6312</v>
      </c>
      <c r="B1327" s="1" t="s">
        <v>3447</v>
      </c>
      <c r="C1327" s="2">
        <v>41893</v>
      </c>
      <c r="D1327" s="2">
        <v>41898</v>
      </c>
      <c r="E1327" s="1" t="s">
        <v>42</v>
      </c>
      <c r="F1327" s="1" t="s">
        <v>3448</v>
      </c>
      <c r="G1327" s="1" t="s">
        <v>3449</v>
      </c>
      <c r="H1327" s="1" t="s">
        <v>27</v>
      </c>
      <c r="I1327" s="1" t="s">
        <v>28</v>
      </c>
      <c r="J1327" s="1" t="s">
        <v>3450</v>
      </c>
      <c r="K1327" s="1" t="s">
        <v>56</v>
      </c>
      <c r="L1327">
        <v>93030</v>
      </c>
      <c r="M1327" s="1" t="s">
        <v>57</v>
      </c>
      <c r="N1327" s="1" t="s">
        <v>184</v>
      </c>
      <c r="O1327" s="1" t="s">
        <v>33</v>
      </c>
      <c r="P1327" s="1" t="s">
        <v>59</v>
      </c>
      <c r="Q1327" s="1" t="s">
        <v>185</v>
      </c>
      <c r="R1327">
        <v>128</v>
      </c>
      <c r="S1327">
        <v>3</v>
      </c>
      <c r="T1327">
        <v>0</v>
      </c>
      <c r="U1327">
        <v>22</v>
      </c>
      <c r="V1327" s="1" t="s">
        <v>61</v>
      </c>
      <c r="W1327" s="1" t="s">
        <v>80</v>
      </c>
    </row>
    <row r="1328" spans="1:23" x14ac:dyDescent="0.35">
      <c r="A1328">
        <v>6328</v>
      </c>
      <c r="B1328" s="1" t="s">
        <v>3451</v>
      </c>
      <c r="C1328" s="2">
        <v>41659</v>
      </c>
      <c r="D1328" s="2">
        <v>41665</v>
      </c>
      <c r="E1328" s="1" t="s">
        <v>42</v>
      </c>
      <c r="F1328" s="1" t="s">
        <v>3452</v>
      </c>
      <c r="G1328" s="1" t="s">
        <v>3453</v>
      </c>
      <c r="H1328" s="1" t="s">
        <v>27</v>
      </c>
      <c r="I1328" s="1" t="s">
        <v>28</v>
      </c>
      <c r="J1328" s="1" t="s">
        <v>3454</v>
      </c>
      <c r="K1328" s="1" t="s">
        <v>292</v>
      </c>
      <c r="L1328">
        <v>48185</v>
      </c>
      <c r="M1328" s="1" t="s">
        <v>96</v>
      </c>
      <c r="N1328" s="1" t="s">
        <v>361</v>
      </c>
      <c r="O1328" s="1" t="s">
        <v>33</v>
      </c>
      <c r="P1328" s="1" t="s">
        <v>59</v>
      </c>
      <c r="Q1328" s="1" t="s">
        <v>362</v>
      </c>
      <c r="R1328">
        <v>273</v>
      </c>
      <c r="S1328">
        <v>3</v>
      </c>
      <c r="T1328">
        <v>0</v>
      </c>
      <c r="U1328">
        <v>30</v>
      </c>
      <c r="V1328" s="1" t="s">
        <v>132</v>
      </c>
      <c r="W1328" s="1" t="s">
        <v>172</v>
      </c>
    </row>
    <row r="1329" spans="1:23" x14ac:dyDescent="0.35">
      <c r="A1329">
        <v>6333</v>
      </c>
      <c r="B1329" s="1" t="s">
        <v>3451</v>
      </c>
      <c r="C1329" s="2">
        <v>41659</v>
      </c>
      <c r="D1329" s="2">
        <v>41665</v>
      </c>
      <c r="E1329" s="1" t="s">
        <v>42</v>
      </c>
      <c r="F1329" s="1" t="s">
        <v>3452</v>
      </c>
      <c r="G1329" s="1" t="s">
        <v>3453</v>
      </c>
      <c r="H1329" s="1" t="s">
        <v>27</v>
      </c>
      <c r="I1329" s="1" t="s">
        <v>28</v>
      </c>
      <c r="J1329" s="1" t="s">
        <v>3454</v>
      </c>
      <c r="K1329" s="1" t="s">
        <v>292</v>
      </c>
      <c r="L1329">
        <v>48185</v>
      </c>
      <c r="M1329" s="1" t="s">
        <v>96</v>
      </c>
      <c r="N1329" s="1" t="s">
        <v>1102</v>
      </c>
      <c r="O1329" s="1" t="s">
        <v>33</v>
      </c>
      <c r="P1329" s="1" t="s">
        <v>59</v>
      </c>
      <c r="Q1329" s="1" t="s">
        <v>1103</v>
      </c>
      <c r="R1329">
        <v>15</v>
      </c>
      <c r="S1329">
        <v>3</v>
      </c>
      <c r="T1329">
        <v>0</v>
      </c>
      <c r="U1329">
        <v>5</v>
      </c>
      <c r="V1329" s="1" t="s">
        <v>132</v>
      </c>
      <c r="W1329" s="1" t="s">
        <v>172</v>
      </c>
    </row>
    <row r="1330" spans="1:23" x14ac:dyDescent="0.35">
      <c r="A1330">
        <v>6337</v>
      </c>
      <c r="B1330" s="1" t="s">
        <v>3455</v>
      </c>
      <c r="C1330" s="2">
        <v>42612</v>
      </c>
      <c r="D1330" s="2">
        <v>42619</v>
      </c>
      <c r="E1330" s="1" t="s">
        <v>42</v>
      </c>
      <c r="F1330" s="1" t="s">
        <v>2366</v>
      </c>
      <c r="G1330" s="1" t="s">
        <v>2367</v>
      </c>
      <c r="H1330" s="1" t="s">
        <v>27</v>
      </c>
      <c r="I1330" s="1" t="s">
        <v>28</v>
      </c>
      <c r="J1330" s="1" t="s">
        <v>55</v>
      </c>
      <c r="K1330" s="1" t="s">
        <v>56</v>
      </c>
      <c r="L1330">
        <v>90008</v>
      </c>
      <c r="M1330" s="1" t="s">
        <v>57</v>
      </c>
      <c r="N1330" s="1" t="s">
        <v>2412</v>
      </c>
      <c r="O1330" s="1" t="s">
        <v>33</v>
      </c>
      <c r="P1330" s="1" t="s">
        <v>59</v>
      </c>
      <c r="Q1330" s="1" t="s">
        <v>2413</v>
      </c>
      <c r="R1330">
        <v>47</v>
      </c>
      <c r="S1330">
        <v>4</v>
      </c>
      <c r="T1330">
        <v>0</v>
      </c>
      <c r="U1330">
        <v>16</v>
      </c>
      <c r="V1330" s="1" t="s">
        <v>50</v>
      </c>
      <c r="W1330" s="1" t="s">
        <v>256</v>
      </c>
    </row>
    <row r="1331" spans="1:23" x14ac:dyDescent="0.35">
      <c r="A1331">
        <v>6340</v>
      </c>
      <c r="B1331" s="1" t="s">
        <v>3456</v>
      </c>
      <c r="C1331" s="2">
        <v>43013</v>
      </c>
      <c r="D1331" s="2">
        <v>43017</v>
      </c>
      <c r="E1331" s="1" t="s">
        <v>42</v>
      </c>
      <c r="F1331" s="1" t="s">
        <v>1320</v>
      </c>
      <c r="G1331" s="1" t="s">
        <v>1321</v>
      </c>
      <c r="H1331" s="1" t="s">
        <v>93</v>
      </c>
      <c r="I1331" s="1" t="s">
        <v>28</v>
      </c>
      <c r="J1331" s="1" t="s">
        <v>176</v>
      </c>
      <c r="K1331" s="1" t="s">
        <v>123</v>
      </c>
      <c r="L1331">
        <v>10035</v>
      </c>
      <c r="M1331" s="1" t="s">
        <v>70</v>
      </c>
      <c r="N1331" s="1" t="s">
        <v>1031</v>
      </c>
      <c r="O1331" s="1" t="s">
        <v>33</v>
      </c>
      <c r="P1331" s="1" t="s">
        <v>39</v>
      </c>
      <c r="Q1331" s="1" t="s">
        <v>1032</v>
      </c>
      <c r="R1331">
        <v>221</v>
      </c>
      <c r="S1331">
        <v>2</v>
      </c>
      <c r="T1331">
        <v>0.1</v>
      </c>
      <c r="U1331">
        <v>2</v>
      </c>
      <c r="V1331" s="1" t="s">
        <v>86</v>
      </c>
      <c r="W1331" s="1" t="s">
        <v>51</v>
      </c>
    </row>
    <row r="1332" spans="1:23" x14ac:dyDescent="0.35">
      <c r="A1332">
        <v>6351</v>
      </c>
      <c r="B1332" s="1" t="s">
        <v>3457</v>
      </c>
      <c r="C1332" s="2">
        <v>42981</v>
      </c>
      <c r="D1332" s="2">
        <v>42986</v>
      </c>
      <c r="E1332" s="1" t="s">
        <v>42</v>
      </c>
      <c r="F1332" s="1" t="s">
        <v>1475</v>
      </c>
      <c r="G1332" s="1" t="s">
        <v>1476</v>
      </c>
      <c r="H1332" s="1" t="s">
        <v>27</v>
      </c>
      <c r="I1332" s="1" t="s">
        <v>28</v>
      </c>
      <c r="J1332" s="1" t="s">
        <v>1742</v>
      </c>
      <c r="K1332" s="1" t="s">
        <v>95</v>
      </c>
      <c r="L1332">
        <v>75217</v>
      </c>
      <c r="M1332" s="1" t="s">
        <v>96</v>
      </c>
      <c r="N1332" s="1" t="s">
        <v>1020</v>
      </c>
      <c r="O1332" s="1" t="s">
        <v>33</v>
      </c>
      <c r="P1332" s="1" t="s">
        <v>59</v>
      </c>
      <c r="Q1332" s="1" t="s">
        <v>1021</v>
      </c>
      <c r="R1332">
        <v>108</v>
      </c>
      <c r="S1332">
        <v>5</v>
      </c>
      <c r="T1332">
        <v>0.6</v>
      </c>
      <c r="U1332">
        <v>-106</v>
      </c>
      <c r="V1332" s="1" t="s">
        <v>61</v>
      </c>
      <c r="W1332" s="1" t="s">
        <v>80</v>
      </c>
    </row>
    <row r="1333" spans="1:23" x14ac:dyDescent="0.35">
      <c r="A1333">
        <v>6370</v>
      </c>
      <c r="B1333" s="1" t="s">
        <v>3458</v>
      </c>
      <c r="C1333" s="2">
        <v>42646</v>
      </c>
      <c r="D1333" s="2">
        <v>42650</v>
      </c>
      <c r="E1333" s="1" t="s">
        <v>42</v>
      </c>
      <c r="F1333" s="1" t="s">
        <v>3444</v>
      </c>
      <c r="G1333" s="1" t="s">
        <v>3445</v>
      </c>
      <c r="H1333" s="1" t="s">
        <v>93</v>
      </c>
      <c r="I1333" s="1" t="s">
        <v>28</v>
      </c>
      <c r="J1333" s="1" t="s">
        <v>1720</v>
      </c>
      <c r="K1333" s="1" t="s">
        <v>95</v>
      </c>
      <c r="L1333">
        <v>75051</v>
      </c>
      <c r="M1333" s="1" t="s">
        <v>96</v>
      </c>
      <c r="N1333" s="1" t="s">
        <v>386</v>
      </c>
      <c r="O1333" s="1" t="s">
        <v>33</v>
      </c>
      <c r="P1333" s="1" t="s">
        <v>59</v>
      </c>
      <c r="Q1333" s="1" t="s">
        <v>387</v>
      </c>
      <c r="R1333">
        <v>38</v>
      </c>
      <c r="S1333">
        <v>5</v>
      </c>
      <c r="T1333">
        <v>0.6</v>
      </c>
      <c r="U1333">
        <v>-30</v>
      </c>
      <c r="V1333" s="1" t="s">
        <v>86</v>
      </c>
      <c r="W1333" s="1" t="s">
        <v>51</v>
      </c>
    </row>
    <row r="1334" spans="1:23" x14ac:dyDescent="0.35">
      <c r="A1334">
        <v>6371</v>
      </c>
      <c r="B1334" s="1" t="s">
        <v>3459</v>
      </c>
      <c r="C1334" s="2">
        <v>42695</v>
      </c>
      <c r="D1334" s="2">
        <v>42695</v>
      </c>
      <c r="E1334" s="1" t="s">
        <v>428</v>
      </c>
      <c r="F1334" s="1" t="s">
        <v>1240</v>
      </c>
      <c r="G1334" s="1" t="s">
        <v>1241</v>
      </c>
      <c r="H1334" s="1" t="s">
        <v>103</v>
      </c>
      <c r="I1334" s="1" t="s">
        <v>28</v>
      </c>
      <c r="J1334" s="1" t="s">
        <v>176</v>
      </c>
      <c r="K1334" s="1" t="s">
        <v>123</v>
      </c>
      <c r="L1334">
        <v>10009</v>
      </c>
      <c r="M1334" s="1" t="s">
        <v>70</v>
      </c>
      <c r="N1334" s="1" t="s">
        <v>2423</v>
      </c>
      <c r="O1334" s="1" t="s">
        <v>33</v>
      </c>
      <c r="P1334" s="1" t="s">
        <v>34</v>
      </c>
      <c r="Q1334" s="1" t="s">
        <v>2424</v>
      </c>
      <c r="R1334">
        <v>114</v>
      </c>
      <c r="S1334">
        <v>2</v>
      </c>
      <c r="T1334">
        <v>0.2</v>
      </c>
      <c r="U1334">
        <v>13</v>
      </c>
      <c r="V1334" s="1" t="s">
        <v>433</v>
      </c>
      <c r="W1334" s="1" t="s">
        <v>37</v>
      </c>
    </row>
    <row r="1335" spans="1:23" x14ac:dyDescent="0.35">
      <c r="A1335">
        <v>6372</v>
      </c>
      <c r="B1335" s="1" t="s">
        <v>3460</v>
      </c>
      <c r="C1335" s="2">
        <v>43011</v>
      </c>
      <c r="D1335" s="2">
        <v>43013</v>
      </c>
      <c r="E1335" s="1" t="s">
        <v>24</v>
      </c>
      <c r="F1335" s="1" t="s">
        <v>885</v>
      </c>
      <c r="G1335" s="1" t="s">
        <v>886</v>
      </c>
      <c r="H1335" s="1" t="s">
        <v>103</v>
      </c>
      <c r="I1335" s="1" t="s">
        <v>28</v>
      </c>
      <c r="J1335" s="1" t="s">
        <v>176</v>
      </c>
      <c r="K1335" s="1" t="s">
        <v>123</v>
      </c>
      <c r="L1335">
        <v>10009</v>
      </c>
      <c r="M1335" s="1" t="s">
        <v>70</v>
      </c>
      <c r="N1335" s="1" t="s">
        <v>189</v>
      </c>
      <c r="O1335" s="1" t="s">
        <v>33</v>
      </c>
      <c r="P1335" s="1" t="s">
        <v>59</v>
      </c>
      <c r="Q1335" s="1" t="s">
        <v>190</v>
      </c>
      <c r="R1335">
        <v>84</v>
      </c>
      <c r="S1335">
        <v>4</v>
      </c>
      <c r="T1335">
        <v>0</v>
      </c>
      <c r="U1335">
        <v>22</v>
      </c>
      <c r="V1335" s="1" t="s">
        <v>73</v>
      </c>
      <c r="W1335" s="1" t="s">
        <v>51</v>
      </c>
    </row>
    <row r="1336" spans="1:23" x14ac:dyDescent="0.35">
      <c r="A1336">
        <v>6375</v>
      </c>
      <c r="B1336" s="1" t="s">
        <v>3461</v>
      </c>
      <c r="C1336" s="2">
        <v>41758</v>
      </c>
      <c r="D1336" s="2">
        <v>41762</v>
      </c>
      <c r="E1336" s="1" t="s">
        <v>42</v>
      </c>
      <c r="F1336" s="1" t="s">
        <v>987</v>
      </c>
      <c r="G1336" s="1" t="s">
        <v>988</v>
      </c>
      <c r="H1336" s="1" t="s">
        <v>93</v>
      </c>
      <c r="I1336" s="1" t="s">
        <v>28</v>
      </c>
      <c r="J1336" s="1" t="s">
        <v>143</v>
      </c>
      <c r="K1336" s="1" t="s">
        <v>144</v>
      </c>
      <c r="L1336">
        <v>38109</v>
      </c>
      <c r="M1336" s="1" t="s">
        <v>31</v>
      </c>
      <c r="N1336" s="1" t="s">
        <v>854</v>
      </c>
      <c r="O1336" s="1" t="s">
        <v>33</v>
      </c>
      <c r="P1336" s="1" t="s">
        <v>39</v>
      </c>
      <c r="Q1336" s="1" t="s">
        <v>855</v>
      </c>
      <c r="R1336">
        <v>562</v>
      </c>
      <c r="S1336">
        <v>2</v>
      </c>
      <c r="T1336">
        <v>0.2</v>
      </c>
      <c r="U1336">
        <v>70</v>
      </c>
      <c r="V1336" s="1" t="s">
        <v>86</v>
      </c>
      <c r="W1336" s="1" t="s">
        <v>116</v>
      </c>
    </row>
    <row r="1337" spans="1:23" x14ac:dyDescent="0.35">
      <c r="A1337">
        <v>6378</v>
      </c>
      <c r="B1337" s="1" t="s">
        <v>3462</v>
      </c>
      <c r="C1337" s="2">
        <v>42719</v>
      </c>
      <c r="D1337" s="2">
        <v>42726</v>
      </c>
      <c r="E1337" s="1" t="s">
        <v>42</v>
      </c>
      <c r="F1337" s="1" t="s">
        <v>1567</v>
      </c>
      <c r="G1337" s="1" t="s">
        <v>1568</v>
      </c>
      <c r="H1337" s="1" t="s">
        <v>27</v>
      </c>
      <c r="I1337" s="1" t="s">
        <v>28</v>
      </c>
      <c r="J1337" s="1" t="s">
        <v>55</v>
      </c>
      <c r="K1337" s="1" t="s">
        <v>56</v>
      </c>
      <c r="L1337">
        <v>90004</v>
      </c>
      <c r="M1337" s="1" t="s">
        <v>57</v>
      </c>
      <c r="N1337" s="1" t="s">
        <v>1721</v>
      </c>
      <c r="O1337" s="1" t="s">
        <v>33</v>
      </c>
      <c r="P1337" s="1" t="s">
        <v>59</v>
      </c>
      <c r="Q1337" s="1" t="s">
        <v>1722</v>
      </c>
      <c r="R1337">
        <v>15</v>
      </c>
      <c r="S1337">
        <v>2</v>
      </c>
      <c r="T1337">
        <v>0</v>
      </c>
      <c r="U1337">
        <v>4</v>
      </c>
      <c r="V1337" s="1" t="s">
        <v>50</v>
      </c>
      <c r="W1337" s="1" t="s">
        <v>99</v>
      </c>
    </row>
    <row r="1338" spans="1:23" x14ac:dyDescent="0.35">
      <c r="A1338">
        <v>6382</v>
      </c>
      <c r="B1338" s="1" t="s">
        <v>3463</v>
      </c>
      <c r="C1338" s="2">
        <v>42458</v>
      </c>
      <c r="D1338" s="2">
        <v>42462</v>
      </c>
      <c r="E1338" s="1" t="s">
        <v>42</v>
      </c>
      <c r="F1338" s="1" t="s">
        <v>501</v>
      </c>
      <c r="G1338" s="1" t="s">
        <v>502</v>
      </c>
      <c r="H1338" s="1" t="s">
        <v>27</v>
      </c>
      <c r="I1338" s="1" t="s">
        <v>28</v>
      </c>
      <c r="J1338" s="1" t="s">
        <v>881</v>
      </c>
      <c r="K1338" s="1" t="s">
        <v>234</v>
      </c>
      <c r="L1338">
        <v>45503</v>
      </c>
      <c r="M1338" s="1" t="s">
        <v>70</v>
      </c>
      <c r="N1338" s="1" t="s">
        <v>713</v>
      </c>
      <c r="O1338" s="1" t="s">
        <v>33</v>
      </c>
      <c r="P1338" s="1" t="s">
        <v>34</v>
      </c>
      <c r="Q1338" s="1" t="s">
        <v>714</v>
      </c>
      <c r="R1338">
        <v>300</v>
      </c>
      <c r="S1338">
        <v>5</v>
      </c>
      <c r="T1338">
        <v>0.5</v>
      </c>
      <c r="U1338">
        <v>-168</v>
      </c>
      <c r="V1338" s="1" t="s">
        <v>86</v>
      </c>
      <c r="W1338" s="1" t="s">
        <v>198</v>
      </c>
    </row>
    <row r="1339" spans="1:23" x14ac:dyDescent="0.35">
      <c r="A1339">
        <v>6395</v>
      </c>
      <c r="B1339" s="1" t="s">
        <v>3464</v>
      </c>
      <c r="C1339" s="2">
        <v>42718</v>
      </c>
      <c r="D1339" s="2">
        <v>42723</v>
      </c>
      <c r="E1339" s="1" t="s">
        <v>42</v>
      </c>
      <c r="F1339" s="1" t="s">
        <v>494</v>
      </c>
      <c r="G1339" s="1" t="s">
        <v>495</v>
      </c>
      <c r="H1339" s="1" t="s">
        <v>27</v>
      </c>
      <c r="I1339" s="1" t="s">
        <v>28</v>
      </c>
      <c r="J1339" s="1" t="s">
        <v>176</v>
      </c>
      <c r="K1339" s="1" t="s">
        <v>123</v>
      </c>
      <c r="L1339">
        <v>10011</v>
      </c>
      <c r="M1339" s="1" t="s">
        <v>70</v>
      </c>
      <c r="N1339" s="1" t="s">
        <v>1403</v>
      </c>
      <c r="O1339" s="1" t="s">
        <v>33</v>
      </c>
      <c r="P1339" s="1" t="s">
        <v>59</v>
      </c>
      <c r="Q1339" s="1" t="s">
        <v>1404</v>
      </c>
      <c r="R1339">
        <v>397</v>
      </c>
      <c r="S1339">
        <v>4</v>
      </c>
      <c r="T1339">
        <v>0</v>
      </c>
      <c r="U1339">
        <v>198</v>
      </c>
      <c r="V1339" s="1" t="s">
        <v>61</v>
      </c>
      <c r="W1339" s="1" t="s">
        <v>99</v>
      </c>
    </row>
    <row r="1340" spans="1:23" x14ac:dyDescent="0.35">
      <c r="A1340">
        <v>6402</v>
      </c>
      <c r="B1340" s="1" t="s">
        <v>3465</v>
      </c>
      <c r="C1340" s="2">
        <v>42885</v>
      </c>
      <c r="D1340" s="2">
        <v>42886</v>
      </c>
      <c r="E1340" s="1" t="s">
        <v>90</v>
      </c>
      <c r="F1340" s="1" t="s">
        <v>636</v>
      </c>
      <c r="G1340" s="1" t="s">
        <v>637</v>
      </c>
      <c r="H1340" s="1" t="s">
        <v>27</v>
      </c>
      <c r="I1340" s="1" t="s">
        <v>28</v>
      </c>
      <c r="J1340" s="1" t="s">
        <v>1408</v>
      </c>
      <c r="K1340" s="1" t="s">
        <v>1409</v>
      </c>
      <c r="L1340">
        <v>70506</v>
      </c>
      <c r="M1340" s="1" t="s">
        <v>31</v>
      </c>
      <c r="N1340" s="1" t="s">
        <v>1477</v>
      </c>
      <c r="O1340" s="1" t="s">
        <v>33</v>
      </c>
      <c r="P1340" s="1" t="s">
        <v>34</v>
      </c>
      <c r="Q1340" s="1" t="s">
        <v>1478</v>
      </c>
      <c r="R1340">
        <v>242</v>
      </c>
      <c r="S1340">
        <v>2</v>
      </c>
      <c r="T1340">
        <v>0</v>
      </c>
      <c r="U1340">
        <v>34</v>
      </c>
      <c r="V1340" s="1" t="s">
        <v>126</v>
      </c>
      <c r="W1340" s="1" t="s">
        <v>164</v>
      </c>
    </row>
    <row r="1341" spans="1:23" x14ac:dyDescent="0.35">
      <c r="A1341">
        <v>6404</v>
      </c>
      <c r="B1341" s="1" t="s">
        <v>3465</v>
      </c>
      <c r="C1341" s="2">
        <v>42885</v>
      </c>
      <c r="D1341" s="2">
        <v>42886</v>
      </c>
      <c r="E1341" s="1" t="s">
        <v>90</v>
      </c>
      <c r="F1341" s="1" t="s">
        <v>636</v>
      </c>
      <c r="G1341" s="1" t="s">
        <v>637</v>
      </c>
      <c r="H1341" s="1" t="s">
        <v>27</v>
      </c>
      <c r="I1341" s="1" t="s">
        <v>28</v>
      </c>
      <c r="J1341" s="1" t="s">
        <v>1408</v>
      </c>
      <c r="K1341" s="1" t="s">
        <v>1409</v>
      </c>
      <c r="L1341">
        <v>70506</v>
      </c>
      <c r="M1341" s="1" t="s">
        <v>31</v>
      </c>
      <c r="N1341" s="1" t="s">
        <v>2516</v>
      </c>
      <c r="O1341" s="1" t="s">
        <v>33</v>
      </c>
      <c r="P1341" s="1" t="s">
        <v>59</v>
      </c>
      <c r="Q1341" s="1" t="s">
        <v>2517</v>
      </c>
      <c r="R1341">
        <v>8</v>
      </c>
      <c r="S1341">
        <v>3</v>
      </c>
      <c r="T1341">
        <v>0</v>
      </c>
      <c r="U1341">
        <v>3</v>
      </c>
      <c r="V1341" s="1" t="s">
        <v>126</v>
      </c>
      <c r="W1341" s="1" t="s">
        <v>164</v>
      </c>
    </row>
    <row r="1342" spans="1:23" x14ac:dyDescent="0.35">
      <c r="A1342">
        <v>6406</v>
      </c>
      <c r="B1342" s="1" t="s">
        <v>3466</v>
      </c>
      <c r="C1342" s="2">
        <v>42978</v>
      </c>
      <c r="D1342" s="2">
        <v>42980</v>
      </c>
      <c r="E1342" s="1" t="s">
        <v>24</v>
      </c>
      <c r="F1342" s="1" t="s">
        <v>1963</v>
      </c>
      <c r="G1342" s="1" t="s">
        <v>1964</v>
      </c>
      <c r="H1342" s="1" t="s">
        <v>93</v>
      </c>
      <c r="I1342" s="1" t="s">
        <v>28</v>
      </c>
      <c r="J1342" s="1" t="s">
        <v>1569</v>
      </c>
      <c r="K1342" s="1" t="s">
        <v>195</v>
      </c>
      <c r="L1342">
        <v>99207</v>
      </c>
      <c r="M1342" s="1" t="s">
        <v>57</v>
      </c>
      <c r="N1342" s="1" t="s">
        <v>517</v>
      </c>
      <c r="O1342" s="1" t="s">
        <v>33</v>
      </c>
      <c r="P1342" s="1" t="s">
        <v>39</v>
      </c>
      <c r="Q1342" s="1" t="s">
        <v>518</v>
      </c>
      <c r="R1342">
        <v>570</v>
      </c>
      <c r="S1342">
        <v>2</v>
      </c>
      <c r="T1342">
        <v>0.2</v>
      </c>
      <c r="U1342">
        <v>7</v>
      </c>
      <c r="V1342" s="1" t="s">
        <v>73</v>
      </c>
      <c r="W1342" s="1" t="s">
        <v>256</v>
      </c>
    </row>
    <row r="1343" spans="1:23" x14ac:dyDescent="0.35">
      <c r="A1343">
        <v>6408</v>
      </c>
      <c r="B1343" s="1" t="s">
        <v>3467</v>
      </c>
      <c r="C1343" s="2">
        <v>42869</v>
      </c>
      <c r="D1343" s="2">
        <v>42870</v>
      </c>
      <c r="E1343" s="1" t="s">
        <v>90</v>
      </c>
      <c r="F1343" s="1" t="s">
        <v>876</v>
      </c>
      <c r="G1343" s="1" t="s">
        <v>877</v>
      </c>
      <c r="H1343" s="1" t="s">
        <v>27</v>
      </c>
      <c r="I1343" s="1" t="s">
        <v>28</v>
      </c>
      <c r="J1343" s="1" t="s">
        <v>104</v>
      </c>
      <c r="K1343" s="1" t="s">
        <v>95</v>
      </c>
      <c r="L1343">
        <v>77041</v>
      </c>
      <c r="M1343" s="1" t="s">
        <v>96</v>
      </c>
      <c r="N1343" s="1" t="s">
        <v>1603</v>
      </c>
      <c r="O1343" s="1" t="s">
        <v>33</v>
      </c>
      <c r="P1343" s="1" t="s">
        <v>39</v>
      </c>
      <c r="Q1343" s="1" t="s">
        <v>1604</v>
      </c>
      <c r="R1343">
        <v>899</v>
      </c>
      <c r="S1343">
        <v>5</v>
      </c>
      <c r="T1343">
        <v>0.3</v>
      </c>
      <c r="U1343">
        <v>-13</v>
      </c>
      <c r="V1343" s="1" t="s">
        <v>126</v>
      </c>
      <c r="W1343" s="1" t="s">
        <v>164</v>
      </c>
    </row>
    <row r="1344" spans="1:23" x14ac:dyDescent="0.35">
      <c r="A1344">
        <v>6420</v>
      </c>
      <c r="B1344" s="1" t="s">
        <v>3468</v>
      </c>
      <c r="C1344" s="2">
        <v>42674</v>
      </c>
      <c r="D1344" s="2">
        <v>42679</v>
      </c>
      <c r="E1344" s="1" t="s">
        <v>42</v>
      </c>
      <c r="F1344" s="1" t="s">
        <v>831</v>
      </c>
      <c r="G1344" s="1" t="s">
        <v>832</v>
      </c>
      <c r="H1344" s="1" t="s">
        <v>93</v>
      </c>
      <c r="I1344" s="1" t="s">
        <v>28</v>
      </c>
      <c r="J1344" s="1" t="s">
        <v>2024</v>
      </c>
      <c r="K1344" s="1" t="s">
        <v>1525</v>
      </c>
      <c r="L1344">
        <v>74133</v>
      </c>
      <c r="M1344" s="1" t="s">
        <v>96</v>
      </c>
      <c r="N1344" s="1" t="s">
        <v>1750</v>
      </c>
      <c r="O1344" s="1" t="s">
        <v>33</v>
      </c>
      <c r="P1344" s="1" t="s">
        <v>39</v>
      </c>
      <c r="Q1344" s="1" t="s">
        <v>1751</v>
      </c>
      <c r="R1344">
        <v>369</v>
      </c>
      <c r="S1344">
        <v>3</v>
      </c>
      <c r="T1344">
        <v>0</v>
      </c>
      <c r="U1344">
        <v>81</v>
      </c>
      <c r="V1344" s="1" t="s">
        <v>61</v>
      </c>
      <c r="W1344" s="1" t="s">
        <v>51</v>
      </c>
    </row>
    <row r="1345" spans="1:23" x14ac:dyDescent="0.35">
      <c r="A1345">
        <v>6424</v>
      </c>
      <c r="B1345" s="1" t="s">
        <v>3469</v>
      </c>
      <c r="C1345" s="2">
        <v>42301</v>
      </c>
      <c r="D1345" s="2">
        <v>42304</v>
      </c>
      <c r="E1345" s="1" t="s">
        <v>90</v>
      </c>
      <c r="F1345" s="1" t="s">
        <v>996</v>
      </c>
      <c r="G1345" s="1" t="s">
        <v>997</v>
      </c>
      <c r="H1345" s="1" t="s">
        <v>103</v>
      </c>
      <c r="I1345" s="1" t="s">
        <v>28</v>
      </c>
      <c r="J1345" s="1" t="s">
        <v>1473</v>
      </c>
      <c r="K1345" s="1" t="s">
        <v>56</v>
      </c>
      <c r="L1345">
        <v>94601</v>
      </c>
      <c r="M1345" s="1" t="s">
        <v>57</v>
      </c>
      <c r="N1345" s="1" t="s">
        <v>461</v>
      </c>
      <c r="O1345" s="1" t="s">
        <v>33</v>
      </c>
      <c r="P1345" s="1" t="s">
        <v>39</v>
      </c>
      <c r="Q1345" s="1" t="s">
        <v>462</v>
      </c>
      <c r="R1345">
        <v>454</v>
      </c>
      <c r="S1345">
        <v>8</v>
      </c>
      <c r="T1345">
        <v>0.2</v>
      </c>
      <c r="U1345">
        <v>-74</v>
      </c>
      <c r="V1345" s="1" t="s">
        <v>36</v>
      </c>
      <c r="W1345" s="1" t="s">
        <v>51</v>
      </c>
    </row>
    <row r="1346" spans="1:23" x14ac:dyDescent="0.35">
      <c r="A1346">
        <v>6431</v>
      </c>
      <c r="B1346" s="1" t="s">
        <v>3470</v>
      </c>
      <c r="C1346" s="2">
        <v>41946</v>
      </c>
      <c r="D1346" s="2">
        <v>41950</v>
      </c>
      <c r="E1346" s="1" t="s">
        <v>42</v>
      </c>
      <c r="F1346" s="1" t="s">
        <v>3471</v>
      </c>
      <c r="G1346" s="1" t="s">
        <v>3472</v>
      </c>
      <c r="H1346" s="1" t="s">
        <v>27</v>
      </c>
      <c r="I1346" s="1" t="s">
        <v>28</v>
      </c>
      <c r="J1346" s="1" t="s">
        <v>609</v>
      </c>
      <c r="K1346" s="1" t="s">
        <v>1039</v>
      </c>
      <c r="L1346">
        <v>28540</v>
      </c>
      <c r="M1346" s="1" t="s">
        <v>31</v>
      </c>
      <c r="N1346" s="1" t="s">
        <v>196</v>
      </c>
      <c r="O1346" s="1" t="s">
        <v>33</v>
      </c>
      <c r="P1346" s="1" t="s">
        <v>48</v>
      </c>
      <c r="Q1346" s="1" t="s">
        <v>197</v>
      </c>
      <c r="R1346">
        <v>945</v>
      </c>
      <c r="S1346">
        <v>6</v>
      </c>
      <c r="T1346">
        <v>0.4</v>
      </c>
      <c r="U1346">
        <v>-299</v>
      </c>
      <c r="V1346" s="1" t="s">
        <v>86</v>
      </c>
      <c r="W1346" s="1" t="s">
        <v>37</v>
      </c>
    </row>
    <row r="1347" spans="1:23" x14ac:dyDescent="0.35">
      <c r="A1347">
        <v>6433</v>
      </c>
      <c r="B1347" s="1" t="s">
        <v>3470</v>
      </c>
      <c r="C1347" s="2">
        <v>41946</v>
      </c>
      <c r="D1347" s="2">
        <v>41950</v>
      </c>
      <c r="E1347" s="1" t="s">
        <v>42</v>
      </c>
      <c r="F1347" s="1" t="s">
        <v>3471</v>
      </c>
      <c r="G1347" s="1" t="s">
        <v>3472</v>
      </c>
      <c r="H1347" s="1" t="s">
        <v>27</v>
      </c>
      <c r="I1347" s="1" t="s">
        <v>28</v>
      </c>
      <c r="J1347" s="1" t="s">
        <v>609</v>
      </c>
      <c r="K1347" s="1" t="s">
        <v>1039</v>
      </c>
      <c r="L1347">
        <v>28540</v>
      </c>
      <c r="M1347" s="1" t="s">
        <v>31</v>
      </c>
      <c r="N1347" s="1" t="s">
        <v>1834</v>
      </c>
      <c r="O1347" s="1" t="s">
        <v>33</v>
      </c>
      <c r="P1347" s="1" t="s">
        <v>59</v>
      </c>
      <c r="Q1347" s="1" t="s">
        <v>1835</v>
      </c>
      <c r="R1347">
        <v>410</v>
      </c>
      <c r="S1347">
        <v>3</v>
      </c>
      <c r="T1347">
        <v>0.2</v>
      </c>
      <c r="U1347">
        <v>-51</v>
      </c>
      <c r="V1347" s="1" t="s">
        <v>86</v>
      </c>
      <c r="W1347" s="1" t="s">
        <v>37</v>
      </c>
    </row>
    <row r="1348" spans="1:23" x14ac:dyDescent="0.35">
      <c r="A1348">
        <v>6436</v>
      </c>
      <c r="B1348" s="1" t="s">
        <v>3473</v>
      </c>
      <c r="C1348" s="2">
        <v>42882</v>
      </c>
      <c r="D1348" s="2">
        <v>42884</v>
      </c>
      <c r="E1348" s="1" t="s">
        <v>90</v>
      </c>
      <c r="F1348" s="1" t="s">
        <v>1574</v>
      </c>
      <c r="G1348" s="1" t="s">
        <v>1575</v>
      </c>
      <c r="H1348" s="1" t="s">
        <v>27</v>
      </c>
      <c r="I1348" s="1" t="s">
        <v>28</v>
      </c>
      <c r="J1348" s="1" t="s">
        <v>3241</v>
      </c>
      <c r="K1348" s="1" t="s">
        <v>2283</v>
      </c>
      <c r="L1348">
        <v>83201</v>
      </c>
      <c r="M1348" s="1" t="s">
        <v>57</v>
      </c>
      <c r="N1348" s="1" t="s">
        <v>2192</v>
      </c>
      <c r="O1348" s="1" t="s">
        <v>33</v>
      </c>
      <c r="P1348" s="1" t="s">
        <v>59</v>
      </c>
      <c r="Q1348" s="1" t="s">
        <v>2193</v>
      </c>
      <c r="R1348">
        <v>35</v>
      </c>
      <c r="S1348">
        <v>4</v>
      </c>
      <c r="T1348">
        <v>0</v>
      </c>
      <c r="U1348">
        <v>15</v>
      </c>
      <c r="V1348" s="1" t="s">
        <v>73</v>
      </c>
      <c r="W1348" s="1" t="s">
        <v>164</v>
      </c>
    </row>
    <row r="1349" spans="1:23" x14ac:dyDescent="0.35">
      <c r="A1349">
        <v>6439</v>
      </c>
      <c r="B1349" s="1" t="s">
        <v>3474</v>
      </c>
      <c r="C1349" s="2">
        <v>43083</v>
      </c>
      <c r="D1349" s="2">
        <v>43088</v>
      </c>
      <c r="E1349" s="1" t="s">
        <v>42</v>
      </c>
      <c r="F1349" s="1" t="s">
        <v>224</v>
      </c>
      <c r="G1349" s="1" t="s">
        <v>225</v>
      </c>
      <c r="H1349" s="1" t="s">
        <v>27</v>
      </c>
      <c r="I1349" s="1" t="s">
        <v>28</v>
      </c>
      <c r="J1349" s="1" t="s">
        <v>2481</v>
      </c>
      <c r="K1349" s="1" t="s">
        <v>95</v>
      </c>
      <c r="L1349">
        <v>75023</v>
      </c>
      <c r="M1349" s="1" t="s">
        <v>96</v>
      </c>
      <c r="N1349" s="1" t="s">
        <v>47</v>
      </c>
      <c r="O1349" s="1" t="s">
        <v>33</v>
      </c>
      <c r="P1349" s="1" t="s">
        <v>48</v>
      </c>
      <c r="Q1349" s="1" t="s">
        <v>49</v>
      </c>
      <c r="R1349">
        <v>975</v>
      </c>
      <c r="S1349">
        <v>4</v>
      </c>
      <c r="T1349">
        <v>0.3</v>
      </c>
      <c r="U1349">
        <v>-97</v>
      </c>
      <c r="V1349" s="1" t="s">
        <v>61</v>
      </c>
      <c r="W1349" s="1" t="s">
        <v>99</v>
      </c>
    </row>
    <row r="1350" spans="1:23" x14ac:dyDescent="0.35">
      <c r="A1350">
        <v>6440</v>
      </c>
      <c r="B1350" s="1" t="s">
        <v>3475</v>
      </c>
      <c r="C1350" s="2">
        <v>41916</v>
      </c>
      <c r="D1350" s="2">
        <v>41918</v>
      </c>
      <c r="E1350" s="1" t="s">
        <v>90</v>
      </c>
      <c r="F1350" s="1" t="s">
        <v>1155</v>
      </c>
      <c r="G1350" s="1" t="s">
        <v>1156</v>
      </c>
      <c r="H1350" s="1" t="s">
        <v>27</v>
      </c>
      <c r="I1350" s="1" t="s">
        <v>28</v>
      </c>
      <c r="J1350" s="1" t="s">
        <v>176</v>
      </c>
      <c r="K1350" s="1" t="s">
        <v>123</v>
      </c>
      <c r="L1350">
        <v>10024</v>
      </c>
      <c r="M1350" s="1" t="s">
        <v>70</v>
      </c>
      <c r="N1350" s="1" t="s">
        <v>2581</v>
      </c>
      <c r="O1350" s="1" t="s">
        <v>33</v>
      </c>
      <c r="P1350" s="1" t="s">
        <v>39</v>
      </c>
      <c r="Q1350" s="1" t="s">
        <v>2582</v>
      </c>
      <c r="R1350">
        <v>589</v>
      </c>
      <c r="S1350">
        <v>5</v>
      </c>
      <c r="T1350">
        <v>0.1</v>
      </c>
      <c r="U1350">
        <v>-7</v>
      </c>
      <c r="V1350" s="1" t="s">
        <v>73</v>
      </c>
      <c r="W1350" s="1" t="s">
        <v>51</v>
      </c>
    </row>
    <row r="1351" spans="1:23" x14ac:dyDescent="0.35">
      <c r="A1351">
        <v>6445</v>
      </c>
      <c r="B1351" s="1" t="s">
        <v>3476</v>
      </c>
      <c r="C1351" s="2">
        <v>42656</v>
      </c>
      <c r="D1351" s="2">
        <v>42663</v>
      </c>
      <c r="E1351" s="1" t="s">
        <v>42</v>
      </c>
      <c r="F1351" s="1" t="s">
        <v>1963</v>
      </c>
      <c r="G1351" s="1" t="s">
        <v>1964</v>
      </c>
      <c r="H1351" s="1" t="s">
        <v>93</v>
      </c>
      <c r="I1351" s="1" t="s">
        <v>28</v>
      </c>
      <c r="J1351" s="1" t="s">
        <v>176</v>
      </c>
      <c r="K1351" s="1" t="s">
        <v>123</v>
      </c>
      <c r="L1351">
        <v>10024</v>
      </c>
      <c r="M1351" s="1" t="s">
        <v>70</v>
      </c>
      <c r="N1351" s="1" t="s">
        <v>1152</v>
      </c>
      <c r="O1351" s="1" t="s">
        <v>33</v>
      </c>
      <c r="P1351" s="1" t="s">
        <v>59</v>
      </c>
      <c r="Q1351" s="1" t="s">
        <v>1153</v>
      </c>
      <c r="R1351">
        <v>82</v>
      </c>
      <c r="S1351">
        <v>3</v>
      </c>
      <c r="T1351">
        <v>0</v>
      </c>
      <c r="U1351">
        <v>34</v>
      </c>
      <c r="V1351" s="1" t="s">
        <v>50</v>
      </c>
      <c r="W1351" s="1" t="s">
        <v>51</v>
      </c>
    </row>
    <row r="1352" spans="1:23" x14ac:dyDescent="0.35">
      <c r="A1352">
        <v>6447</v>
      </c>
      <c r="B1352" s="1" t="s">
        <v>3477</v>
      </c>
      <c r="C1352" s="2">
        <v>42798</v>
      </c>
      <c r="D1352" s="2">
        <v>42800</v>
      </c>
      <c r="E1352" s="1" t="s">
        <v>24</v>
      </c>
      <c r="F1352" s="1" t="s">
        <v>3478</v>
      </c>
      <c r="G1352" s="1" t="s">
        <v>3479</v>
      </c>
      <c r="H1352" s="1" t="s">
        <v>103</v>
      </c>
      <c r="I1352" s="1" t="s">
        <v>28</v>
      </c>
      <c r="J1352" s="1" t="s">
        <v>104</v>
      </c>
      <c r="K1352" s="1" t="s">
        <v>95</v>
      </c>
      <c r="L1352">
        <v>77095</v>
      </c>
      <c r="M1352" s="1" t="s">
        <v>96</v>
      </c>
      <c r="N1352" s="1" t="s">
        <v>87</v>
      </c>
      <c r="O1352" s="1" t="s">
        <v>33</v>
      </c>
      <c r="P1352" s="1" t="s">
        <v>59</v>
      </c>
      <c r="Q1352" s="1" t="s">
        <v>88</v>
      </c>
      <c r="R1352">
        <v>104</v>
      </c>
      <c r="S1352">
        <v>5</v>
      </c>
      <c r="T1352">
        <v>0.6</v>
      </c>
      <c r="U1352">
        <v>-78</v>
      </c>
      <c r="V1352" s="1" t="s">
        <v>73</v>
      </c>
      <c r="W1352" s="1" t="s">
        <v>198</v>
      </c>
    </row>
    <row r="1353" spans="1:23" x14ac:dyDescent="0.35">
      <c r="A1353">
        <v>6456</v>
      </c>
      <c r="B1353" s="1" t="s">
        <v>3480</v>
      </c>
      <c r="C1353" s="2">
        <v>42947</v>
      </c>
      <c r="D1353" s="2">
        <v>42950</v>
      </c>
      <c r="E1353" s="1" t="s">
        <v>90</v>
      </c>
      <c r="F1353" s="1" t="s">
        <v>3481</v>
      </c>
      <c r="G1353" s="1" t="s">
        <v>3482</v>
      </c>
      <c r="H1353" s="1" t="s">
        <v>27</v>
      </c>
      <c r="I1353" s="1" t="s">
        <v>28</v>
      </c>
      <c r="J1353" s="1" t="s">
        <v>331</v>
      </c>
      <c r="K1353" s="1" t="s">
        <v>56</v>
      </c>
      <c r="L1353">
        <v>94110</v>
      </c>
      <c r="M1353" s="1" t="s">
        <v>57</v>
      </c>
      <c r="N1353" s="1" t="s">
        <v>1661</v>
      </c>
      <c r="O1353" s="1" t="s">
        <v>33</v>
      </c>
      <c r="P1353" s="1" t="s">
        <v>59</v>
      </c>
      <c r="Q1353" s="1" t="s">
        <v>1662</v>
      </c>
      <c r="R1353">
        <v>37</v>
      </c>
      <c r="S1353">
        <v>7</v>
      </c>
      <c r="T1353">
        <v>0</v>
      </c>
      <c r="U1353">
        <v>11</v>
      </c>
      <c r="V1353" s="1" t="s">
        <v>36</v>
      </c>
      <c r="W1353" s="1" t="s">
        <v>74</v>
      </c>
    </row>
    <row r="1354" spans="1:23" x14ac:dyDescent="0.35">
      <c r="A1354">
        <v>6463</v>
      </c>
      <c r="B1354" s="1" t="s">
        <v>3483</v>
      </c>
      <c r="C1354" s="2">
        <v>42869</v>
      </c>
      <c r="D1354" s="2">
        <v>42872</v>
      </c>
      <c r="E1354" s="1" t="s">
        <v>90</v>
      </c>
      <c r="F1354" s="1" t="s">
        <v>879</v>
      </c>
      <c r="G1354" s="1" t="s">
        <v>880</v>
      </c>
      <c r="H1354" s="1" t="s">
        <v>93</v>
      </c>
      <c r="I1354" s="1" t="s">
        <v>28</v>
      </c>
      <c r="J1354" s="1" t="s">
        <v>2757</v>
      </c>
      <c r="K1354" s="1" t="s">
        <v>1092</v>
      </c>
      <c r="L1354">
        <v>21215</v>
      </c>
      <c r="M1354" s="1" t="s">
        <v>70</v>
      </c>
      <c r="N1354" s="1" t="s">
        <v>2581</v>
      </c>
      <c r="O1354" s="1" t="s">
        <v>33</v>
      </c>
      <c r="P1354" s="1" t="s">
        <v>39</v>
      </c>
      <c r="Q1354" s="1" t="s">
        <v>2582</v>
      </c>
      <c r="R1354">
        <v>262</v>
      </c>
      <c r="S1354">
        <v>2</v>
      </c>
      <c r="T1354">
        <v>0</v>
      </c>
      <c r="U1354">
        <v>24</v>
      </c>
      <c r="V1354" s="1" t="s">
        <v>36</v>
      </c>
      <c r="W1354" s="1" t="s">
        <v>164</v>
      </c>
    </row>
    <row r="1355" spans="1:23" x14ac:dyDescent="0.35">
      <c r="A1355">
        <v>6465</v>
      </c>
      <c r="B1355" s="1" t="s">
        <v>3484</v>
      </c>
      <c r="C1355" s="2">
        <v>42635</v>
      </c>
      <c r="D1355" s="2">
        <v>42641</v>
      </c>
      <c r="E1355" s="1" t="s">
        <v>42</v>
      </c>
      <c r="F1355" s="1" t="s">
        <v>2827</v>
      </c>
      <c r="G1355" s="1" t="s">
        <v>2828</v>
      </c>
      <c r="H1355" s="1" t="s">
        <v>103</v>
      </c>
      <c r="I1355" s="1" t="s">
        <v>28</v>
      </c>
      <c r="J1355" s="1" t="s">
        <v>868</v>
      </c>
      <c r="K1355" s="1" t="s">
        <v>30</v>
      </c>
      <c r="L1355">
        <v>40214</v>
      </c>
      <c r="M1355" s="1" t="s">
        <v>31</v>
      </c>
      <c r="N1355" s="1" t="s">
        <v>2329</v>
      </c>
      <c r="O1355" s="1" t="s">
        <v>33</v>
      </c>
      <c r="P1355" s="1" t="s">
        <v>59</v>
      </c>
      <c r="Q1355" s="1" t="s">
        <v>2330</v>
      </c>
      <c r="R1355">
        <v>13</v>
      </c>
      <c r="S1355">
        <v>2</v>
      </c>
      <c r="T1355">
        <v>0</v>
      </c>
      <c r="U1355">
        <v>6</v>
      </c>
      <c r="V1355" s="1" t="s">
        <v>132</v>
      </c>
      <c r="W1355" s="1" t="s">
        <v>80</v>
      </c>
    </row>
    <row r="1356" spans="1:23" x14ac:dyDescent="0.35">
      <c r="A1356">
        <v>6470</v>
      </c>
      <c r="B1356" s="1" t="s">
        <v>3485</v>
      </c>
      <c r="C1356" s="2">
        <v>42706</v>
      </c>
      <c r="D1356" s="2">
        <v>42712</v>
      </c>
      <c r="E1356" s="1" t="s">
        <v>42</v>
      </c>
      <c r="F1356" s="1" t="s">
        <v>3399</v>
      </c>
      <c r="G1356" s="1" t="s">
        <v>3400</v>
      </c>
      <c r="H1356" s="1" t="s">
        <v>103</v>
      </c>
      <c r="I1356" s="1" t="s">
        <v>28</v>
      </c>
      <c r="J1356" s="1" t="s">
        <v>1647</v>
      </c>
      <c r="K1356" s="1" t="s">
        <v>1648</v>
      </c>
      <c r="L1356">
        <v>2908</v>
      </c>
      <c r="M1356" s="1" t="s">
        <v>70</v>
      </c>
      <c r="N1356" s="1" t="s">
        <v>554</v>
      </c>
      <c r="O1356" s="1" t="s">
        <v>33</v>
      </c>
      <c r="P1356" s="1" t="s">
        <v>59</v>
      </c>
      <c r="Q1356" s="1" t="s">
        <v>3128</v>
      </c>
      <c r="R1356">
        <v>72</v>
      </c>
      <c r="S1356">
        <v>6</v>
      </c>
      <c r="T1356">
        <v>0</v>
      </c>
      <c r="U1356">
        <v>24</v>
      </c>
      <c r="V1356" s="1" t="s">
        <v>132</v>
      </c>
      <c r="W1356" s="1" t="s">
        <v>99</v>
      </c>
    </row>
    <row r="1357" spans="1:23" x14ac:dyDescent="0.35">
      <c r="A1357">
        <v>6475</v>
      </c>
      <c r="B1357" s="1" t="s">
        <v>3486</v>
      </c>
      <c r="C1357" s="2">
        <v>41653</v>
      </c>
      <c r="D1357" s="2">
        <v>41654</v>
      </c>
      <c r="E1357" s="1" t="s">
        <v>90</v>
      </c>
      <c r="F1357" s="1" t="s">
        <v>3487</v>
      </c>
      <c r="G1357" s="1" t="s">
        <v>3488</v>
      </c>
      <c r="H1357" s="1" t="s">
        <v>93</v>
      </c>
      <c r="I1357" s="1" t="s">
        <v>28</v>
      </c>
      <c r="J1357" s="1" t="s">
        <v>68</v>
      </c>
      <c r="K1357" s="1" t="s">
        <v>69</v>
      </c>
      <c r="L1357">
        <v>19140</v>
      </c>
      <c r="M1357" s="1" t="s">
        <v>70</v>
      </c>
      <c r="N1357" s="1" t="s">
        <v>1178</v>
      </c>
      <c r="O1357" s="1" t="s">
        <v>33</v>
      </c>
      <c r="P1357" s="1" t="s">
        <v>34</v>
      </c>
      <c r="Q1357" s="1" t="s">
        <v>1179</v>
      </c>
      <c r="R1357">
        <v>62</v>
      </c>
      <c r="S1357">
        <v>4</v>
      </c>
      <c r="T1357">
        <v>0.5</v>
      </c>
      <c r="U1357">
        <v>-53</v>
      </c>
      <c r="V1357" s="1" t="s">
        <v>126</v>
      </c>
      <c r="W1357" s="1" t="s">
        <v>172</v>
      </c>
    </row>
    <row r="1358" spans="1:23" x14ac:dyDescent="0.35">
      <c r="A1358">
        <v>6482</v>
      </c>
      <c r="B1358" s="1" t="s">
        <v>3489</v>
      </c>
      <c r="C1358" s="2">
        <v>42889</v>
      </c>
      <c r="D1358" s="2">
        <v>42896</v>
      </c>
      <c r="E1358" s="1" t="s">
        <v>42</v>
      </c>
      <c r="F1358" s="1" t="s">
        <v>2939</v>
      </c>
      <c r="G1358" s="1" t="s">
        <v>2940</v>
      </c>
      <c r="H1358" s="1" t="s">
        <v>27</v>
      </c>
      <c r="I1358" s="1" t="s">
        <v>28</v>
      </c>
      <c r="J1358" s="1" t="s">
        <v>443</v>
      </c>
      <c r="K1358" s="1" t="s">
        <v>46</v>
      </c>
      <c r="L1358">
        <v>33024</v>
      </c>
      <c r="M1358" s="1" t="s">
        <v>31</v>
      </c>
      <c r="N1358" s="1" t="s">
        <v>532</v>
      </c>
      <c r="O1358" s="1" t="s">
        <v>33</v>
      </c>
      <c r="P1358" s="1" t="s">
        <v>34</v>
      </c>
      <c r="Q1358" s="1" t="s">
        <v>533</v>
      </c>
      <c r="R1358">
        <v>242</v>
      </c>
      <c r="S1358">
        <v>2</v>
      </c>
      <c r="T1358">
        <v>0.2</v>
      </c>
      <c r="U1358">
        <v>0</v>
      </c>
      <c r="V1358" s="1" t="s">
        <v>50</v>
      </c>
      <c r="W1358" s="1" t="s">
        <v>62</v>
      </c>
    </row>
    <row r="1359" spans="1:23" x14ac:dyDescent="0.35">
      <c r="A1359">
        <v>6484</v>
      </c>
      <c r="B1359" s="1" t="s">
        <v>3490</v>
      </c>
      <c r="C1359" s="2">
        <v>42889</v>
      </c>
      <c r="D1359" s="2">
        <v>42895</v>
      </c>
      <c r="E1359" s="1" t="s">
        <v>42</v>
      </c>
      <c r="F1359" s="1" t="s">
        <v>3491</v>
      </c>
      <c r="G1359" s="1" t="s">
        <v>3492</v>
      </c>
      <c r="H1359" s="1" t="s">
        <v>93</v>
      </c>
      <c r="I1359" s="1" t="s">
        <v>28</v>
      </c>
      <c r="J1359" s="1" t="s">
        <v>176</v>
      </c>
      <c r="K1359" s="1" t="s">
        <v>123</v>
      </c>
      <c r="L1359">
        <v>10011</v>
      </c>
      <c r="M1359" s="1" t="s">
        <v>70</v>
      </c>
      <c r="N1359" s="1" t="s">
        <v>1080</v>
      </c>
      <c r="O1359" s="1" t="s">
        <v>33</v>
      </c>
      <c r="P1359" s="1" t="s">
        <v>48</v>
      </c>
      <c r="Q1359" s="1" t="s">
        <v>1081</v>
      </c>
      <c r="R1359">
        <v>385</v>
      </c>
      <c r="S1359">
        <v>2</v>
      </c>
      <c r="T1359">
        <v>0.4</v>
      </c>
      <c r="U1359">
        <v>-115</v>
      </c>
      <c r="V1359" s="1" t="s">
        <v>132</v>
      </c>
      <c r="W1359" s="1" t="s">
        <v>62</v>
      </c>
    </row>
    <row r="1360" spans="1:23" x14ac:dyDescent="0.35">
      <c r="A1360">
        <v>6491</v>
      </c>
      <c r="B1360" s="1" t="s">
        <v>3493</v>
      </c>
      <c r="C1360" s="2">
        <v>41897</v>
      </c>
      <c r="D1360" s="2">
        <v>41901</v>
      </c>
      <c r="E1360" s="1" t="s">
        <v>42</v>
      </c>
      <c r="F1360" s="1" t="s">
        <v>2961</v>
      </c>
      <c r="G1360" s="1" t="s">
        <v>2962</v>
      </c>
      <c r="H1360" s="1" t="s">
        <v>93</v>
      </c>
      <c r="I1360" s="1" t="s">
        <v>28</v>
      </c>
      <c r="J1360" s="1" t="s">
        <v>68</v>
      </c>
      <c r="K1360" s="1" t="s">
        <v>69</v>
      </c>
      <c r="L1360">
        <v>19120</v>
      </c>
      <c r="M1360" s="1" t="s">
        <v>70</v>
      </c>
      <c r="N1360" s="1" t="s">
        <v>759</v>
      </c>
      <c r="O1360" s="1" t="s">
        <v>33</v>
      </c>
      <c r="P1360" s="1" t="s">
        <v>59</v>
      </c>
      <c r="Q1360" s="1" t="s">
        <v>760</v>
      </c>
      <c r="R1360">
        <v>104</v>
      </c>
      <c r="S1360">
        <v>4</v>
      </c>
      <c r="T1360">
        <v>0.2</v>
      </c>
      <c r="U1360">
        <v>17</v>
      </c>
      <c r="V1360" s="1" t="s">
        <v>86</v>
      </c>
      <c r="W1360" s="1" t="s">
        <v>80</v>
      </c>
    </row>
    <row r="1361" spans="1:23" x14ac:dyDescent="0.35">
      <c r="A1361">
        <v>6492</v>
      </c>
      <c r="B1361" s="1" t="s">
        <v>3494</v>
      </c>
      <c r="C1361" s="2">
        <v>42694</v>
      </c>
      <c r="D1361" s="2">
        <v>42699</v>
      </c>
      <c r="E1361" s="1" t="s">
        <v>42</v>
      </c>
      <c r="F1361" s="1" t="s">
        <v>1538</v>
      </c>
      <c r="G1361" s="1" t="s">
        <v>1539</v>
      </c>
      <c r="H1361" s="1" t="s">
        <v>93</v>
      </c>
      <c r="I1361" s="1" t="s">
        <v>28</v>
      </c>
      <c r="J1361" s="1" t="s">
        <v>3495</v>
      </c>
      <c r="K1361" s="1" t="s">
        <v>46</v>
      </c>
      <c r="L1361">
        <v>32839</v>
      </c>
      <c r="M1361" s="1" t="s">
        <v>31</v>
      </c>
      <c r="N1361" s="1" t="s">
        <v>280</v>
      </c>
      <c r="O1361" s="1" t="s">
        <v>33</v>
      </c>
      <c r="P1361" s="1" t="s">
        <v>34</v>
      </c>
      <c r="Q1361" s="1" t="s">
        <v>281</v>
      </c>
      <c r="R1361">
        <v>290</v>
      </c>
      <c r="S1361">
        <v>2</v>
      </c>
      <c r="T1361">
        <v>0.2</v>
      </c>
      <c r="U1361">
        <v>11</v>
      </c>
      <c r="V1361" s="1" t="s">
        <v>61</v>
      </c>
      <c r="W1361" s="1" t="s">
        <v>37</v>
      </c>
    </row>
    <row r="1362" spans="1:23" x14ac:dyDescent="0.35">
      <c r="A1362">
        <v>6498</v>
      </c>
      <c r="B1362" s="1" t="s">
        <v>3496</v>
      </c>
      <c r="C1362" s="2">
        <v>42209</v>
      </c>
      <c r="D1362" s="2">
        <v>42213</v>
      </c>
      <c r="E1362" s="1" t="s">
        <v>42</v>
      </c>
      <c r="F1362" s="1" t="s">
        <v>3497</v>
      </c>
      <c r="G1362" s="1" t="s">
        <v>3498</v>
      </c>
      <c r="H1362" s="1" t="s">
        <v>103</v>
      </c>
      <c r="I1362" s="1" t="s">
        <v>28</v>
      </c>
      <c r="J1362" s="1" t="s">
        <v>868</v>
      </c>
      <c r="K1362" s="1" t="s">
        <v>30</v>
      </c>
      <c r="L1362">
        <v>40214</v>
      </c>
      <c r="M1362" s="1" t="s">
        <v>31</v>
      </c>
      <c r="N1362" s="1" t="s">
        <v>58</v>
      </c>
      <c r="O1362" s="1" t="s">
        <v>33</v>
      </c>
      <c r="P1362" s="1" t="s">
        <v>59</v>
      </c>
      <c r="Q1362" s="1" t="s">
        <v>60</v>
      </c>
      <c r="R1362">
        <v>21</v>
      </c>
      <c r="S1362">
        <v>3</v>
      </c>
      <c r="T1362">
        <v>0</v>
      </c>
      <c r="U1362">
        <v>6</v>
      </c>
      <c r="V1362" s="1" t="s">
        <v>86</v>
      </c>
      <c r="W1362" s="1" t="s">
        <v>74</v>
      </c>
    </row>
    <row r="1363" spans="1:23" x14ac:dyDescent="0.35">
      <c r="A1363">
        <v>6508</v>
      </c>
      <c r="B1363" s="1" t="s">
        <v>3499</v>
      </c>
      <c r="C1363" s="2">
        <v>42652</v>
      </c>
      <c r="D1363" s="2">
        <v>42654</v>
      </c>
      <c r="E1363" s="1" t="s">
        <v>24</v>
      </c>
      <c r="F1363" s="1" t="s">
        <v>3500</v>
      </c>
      <c r="G1363" s="1" t="s">
        <v>3501</v>
      </c>
      <c r="H1363" s="1" t="s">
        <v>93</v>
      </c>
      <c r="I1363" s="1" t="s">
        <v>28</v>
      </c>
      <c r="J1363" s="1" t="s">
        <v>68</v>
      </c>
      <c r="K1363" s="1" t="s">
        <v>69</v>
      </c>
      <c r="L1363">
        <v>19143</v>
      </c>
      <c r="M1363" s="1" t="s">
        <v>70</v>
      </c>
      <c r="N1363" s="1" t="s">
        <v>720</v>
      </c>
      <c r="O1363" s="1" t="s">
        <v>33</v>
      </c>
      <c r="P1363" s="1" t="s">
        <v>59</v>
      </c>
      <c r="Q1363" s="1" t="s">
        <v>721</v>
      </c>
      <c r="R1363">
        <v>333</v>
      </c>
      <c r="S1363">
        <v>4</v>
      </c>
      <c r="T1363">
        <v>0.2</v>
      </c>
      <c r="U1363">
        <v>-25</v>
      </c>
      <c r="V1363" s="1" t="s">
        <v>73</v>
      </c>
      <c r="W1363" s="1" t="s">
        <v>51</v>
      </c>
    </row>
    <row r="1364" spans="1:23" x14ac:dyDescent="0.35">
      <c r="A1364">
        <v>6516</v>
      </c>
      <c r="B1364" s="1" t="s">
        <v>3502</v>
      </c>
      <c r="C1364" s="2">
        <v>42993</v>
      </c>
      <c r="D1364" s="2">
        <v>42997</v>
      </c>
      <c r="E1364" s="1" t="s">
        <v>42</v>
      </c>
      <c r="F1364" s="1" t="s">
        <v>1664</v>
      </c>
      <c r="G1364" s="1" t="s">
        <v>1665</v>
      </c>
      <c r="H1364" s="1" t="s">
        <v>27</v>
      </c>
      <c r="I1364" s="1" t="s">
        <v>28</v>
      </c>
      <c r="J1364" s="1" t="s">
        <v>331</v>
      </c>
      <c r="K1364" s="1" t="s">
        <v>56</v>
      </c>
      <c r="L1364">
        <v>94122</v>
      </c>
      <c r="M1364" s="1" t="s">
        <v>57</v>
      </c>
      <c r="N1364" s="1" t="s">
        <v>1220</v>
      </c>
      <c r="O1364" s="1" t="s">
        <v>33</v>
      </c>
      <c r="P1364" s="1" t="s">
        <v>39</v>
      </c>
      <c r="Q1364" s="1" t="s">
        <v>1221</v>
      </c>
      <c r="R1364">
        <v>218</v>
      </c>
      <c r="S1364">
        <v>3</v>
      </c>
      <c r="T1364">
        <v>0.2</v>
      </c>
      <c r="U1364">
        <v>0</v>
      </c>
      <c r="V1364" s="1" t="s">
        <v>86</v>
      </c>
      <c r="W1364" s="1" t="s">
        <v>80</v>
      </c>
    </row>
    <row r="1365" spans="1:23" x14ac:dyDescent="0.35">
      <c r="A1365">
        <v>6517</v>
      </c>
      <c r="B1365" s="1" t="s">
        <v>3502</v>
      </c>
      <c r="C1365" s="2">
        <v>42993</v>
      </c>
      <c r="D1365" s="2">
        <v>42997</v>
      </c>
      <c r="E1365" s="1" t="s">
        <v>42</v>
      </c>
      <c r="F1365" s="1" t="s">
        <v>1664</v>
      </c>
      <c r="G1365" s="1" t="s">
        <v>1665</v>
      </c>
      <c r="H1365" s="1" t="s">
        <v>27</v>
      </c>
      <c r="I1365" s="1" t="s">
        <v>28</v>
      </c>
      <c r="J1365" s="1" t="s">
        <v>331</v>
      </c>
      <c r="K1365" s="1" t="s">
        <v>56</v>
      </c>
      <c r="L1365">
        <v>94122</v>
      </c>
      <c r="M1365" s="1" t="s">
        <v>57</v>
      </c>
      <c r="N1365" s="1" t="s">
        <v>1394</v>
      </c>
      <c r="O1365" s="1" t="s">
        <v>33</v>
      </c>
      <c r="P1365" s="1" t="s">
        <v>59</v>
      </c>
      <c r="Q1365" s="1" t="s">
        <v>1395</v>
      </c>
      <c r="R1365">
        <v>530</v>
      </c>
      <c r="S1365">
        <v>5</v>
      </c>
      <c r="T1365">
        <v>0</v>
      </c>
      <c r="U1365">
        <v>106</v>
      </c>
      <c r="V1365" s="1" t="s">
        <v>86</v>
      </c>
      <c r="W1365" s="1" t="s">
        <v>80</v>
      </c>
    </row>
    <row r="1366" spans="1:23" x14ac:dyDescent="0.35">
      <c r="A1366">
        <v>6522</v>
      </c>
      <c r="B1366" s="1" t="s">
        <v>3503</v>
      </c>
      <c r="C1366" s="2">
        <v>42751</v>
      </c>
      <c r="D1366" s="2">
        <v>42753</v>
      </c>
      <c r="E1366" s="1" t="s">
        <v>24</v>
      </c>
      <c r="F1366" s="1" t="s">
        <v>2678</v>
      </c>
      <c r="G1366" s="1" t="s">
        <v>2679</v>
      </c>
      <c r="H1366" s="1" t="s">
        <v>27</v>
      </c>
      <c r="I1366" s="1" t="s">
        <v>28</v>
      </c>
      <c r="J1366" s="1" t="s">
        <v>480</v>
      </c>
      <c r="K1366" s="1" t="s">
        <v>292</v>
      </c>
      <c r="L1366">
        <v>49201</v>
      </c>
      <c r="M1366" s="1" t="s">
        <v>96</v>
      </c>
      <c r="N1366" s="1" t="s">
        <v>3020</v>
      </c>
      <c r="O1366" s="1" t="s">
        <v>33</v>
      </c>
      <c r="P1366" s="1" t="s">
        <v>39</v>
      </c>
      <c r="Q1366" s="1" t="s">
        <v>3021</v>
      </c>
      <c r="R1366">
        <v>303</v>
      </c>
      <c r="S1366">
        <v>3</v>
      </c>
      <c r="T1366">
        <v>0</v>
      </c>
      <c r="U1366">
        <v>73</v>
      </c>
      <c r="V1366" s="1" t="s">
        <v>73</v>
      </c>
      <c r="W1366" s="1" t="s">
        <v>172</v>
      </c>
    </row>
    <row r="1367" spans="1:23" x14ac:dyDescent="0.35">
      <c r="A1367">
        <v>6536</v>
      </c>
      <c r="B1367" s="1" t="s">
        <v>3504</v>
      </c>
      <c r="C1367" s="2">
        <v>41960</v>
      </c>
      <c r="D1367" s="2">
        <v>41965</v>
      </c>
      <c r="E1367" s="1" t="s">
        <v>42</v>
      </c>
      <c r="F1367" s="1" t="s">
        <v>876</v>
      </c>
      <c r="G1367" s="1" t="s">
        <v>877</v>
      </c>
      <c r="H1367" s="1" t="s">
        <v>27</v>
      </c>
      <c r="I1367" s="1" t="s">
        <v>28</v>
      </c>
      <c r="J1367" s="1" t="s">
        <v>2957</v>
      </c>
      <c r="K1367" s="1" t="s">
        <v>123</v>
      </c>
      <c r="L1367">
        <v>14215</v>
      </c>
      <c r="M1367" s="1" t="s">
        <v>70</v>
      </c>
      <c r="N1367" s="1" t="s">
        <v>1698</v>
      </c>
      <c r="O1367" s="1" t="s">
        <v>33</v>
      </c>
      <c r="P1367" s="1" t="s">
        <v>34</v>
      </c>
      <c r="Q1367" s="1" t="s">
        <v>1699</v>
      </c>
      <c r="R1367">
        <v>4008</v>
      </c>
      <c r="S1367">
        <v>10</v>
      </c>
      <c r="T1367">
        <v>0.2</v>
      </c>
      <c r="U1367">
        <v>-50</v>
      </c>
      <c r="V1367" s="1" t="s">
        <v>61</v>
      </c>
      <c r="W1367" s="1" t="s">
        <v>37</v>
      </c>
    </row>
    <row r="1368" spans="1:23" x14ac:dyDescent="0.35">
      <c r="A1368">
        <v>6537</v>
      </c>
      <c r="B1368" s="1" t="s">
        <v>3505</v>
      </c>
      <c r="C1368" s="2">
        <v>41932</v>
      </c>
      <c r="D1368" s="2">
        <v>41935</v>
      </c>
      <c r="E1368" s="1" t="s">
        <v>90</v>
      </c>
      <c r="F1368" s="1" t="s">
        <v>3270</v>
      </c>
      <c r="G1368" s="1" t="s">
        <v>3271</v>
      </c>
      <c r="H1368" s="1" t="s">
        <v>93</v>
      </c>
      <c r="I1368" s="1" t="s">
        <v>28</v>
      </c>
      <c r="J1368" s="1" t="s">
        <v>3127</v>
      </c>
      <c r="K1368" s="1" t="s">
        <v>144</v>
      </c>
      <c r="L1368">
        <v>37918</v>
      </c>
      <c r="M1368" s="1" t="s">
        <v>31</v>
      </c>
      <c r="N1368" s="1" t="s">
        <v>1237</v>
      </c>
      <c r="O1368" s="1" t="s">
        <v>33</v>
      </c>
      <c r="P1368" s="1" t="s">
        <v>48</v>
      </c>
      <c r="Q1368" s="1" t="s">
        <v>1238</v>
      </c>
      <c r="R1368">
        <v>329</v>
      </c>
      <c r="S1368">
        <v>3</v>
      </c>
      <c r="T1368">
        <v>0.4</v>
      </c>
      <c r="U1368">
        <v>-148</v>
      </c>
      <c r="V1368" s="1" t="s">
        <v>36</v>
      </c>
      <c r="W1368" s="1" t="s">
        <v>51</v>
      </c>
    </row>
    <row r="1369" spans="1:23" x14ac:dyDescent="0.35">
      <c r="A1369">
        <v>6540</v>
      </c>
      <c r="B1369" s="1" t="s">
        <v>3506</v>
      </c>
      <c r="C1369" s="2">
        <v>42302</v>
      </c>
      <c r="D1369" s="2">
        <v>42307</v>
      </c>
      <c r="E1369" s="1" t="s">
        <v>42</v>
      </c>
      <c r="F1369" s="1" t="s">
        <v>272</v>
      </c>
      <c r="G1369" s="1" t="s">
        <v>273</v>
      </c>
      <c r="H1369" s="1" t="s">
        <v>93</v>
      </c>
      <c r="I1369" s="1" t="s">
        <v>28</v>
      </c>
      <c r="J1369" s="1" t="s">
        <v>233</v>
      </c>
      <c r="K1369" s="1" t="s">
        <v>203</v>
      </c>
      <c r="L1369">
        <v>19711</v>
      </c>
      <c r="M1369" s="1" t="s">
        <v>70</v>
      </c>
      <c r="N1369" s="1" t="s">
        <v>1895</v>
      </c>
      <c r="O1369" s="1" t="s">
        <v>33</v>
      </c>
      <c r="P1369" s="1" t="s">
        <v>39</v>
      </c>
      <c r="Q1369" s="1" t="s">
        <v>1896</v>
      </c>
      <c r="R1369">
        <v>291</v>
      </c>
      <c r="S1369">
        <v>5</v>
      </c>
      <c r="T1369">
        <v>0</v>
      </c>
      <c r="U1369">
        <v>76</v>
      </c>
      <c r="V1369" s="1" t="s">
        <v>61</v>
      </c>
      <c r="W1369" s="1" t="s">
        <v>51</v>
      </c>
    </row>
    <row r="1370" spans="1:23" x14ac:dyDescent="0.35">
      <c r="A1370">
        <v>6542</v>
      </c>
      <c r="B1370" s="1" t="s">
        <v>3507</v>
      </c>
      <c r="C1370" s="2">
        <v>43055</v>
      </c>
      <c r="D1370" s="2">
        <v>43058</v>
      </c>
      <c r="E1370" s="1" t="s">
        <v>90</v>
      </c>
      <c r="F1370" s="1" t="s">
        <v>1155</v>
      </c>
      <c r="G1370" s="1" t="s">
        <v>1156</v>
      </c>
      <c r="H1370" s="1" t="s">
        <v>27</v>
      </c>
      <c r="I1370" s="1" t="s">
        <v>28</v>
      </c>
      <c r="J1370" s="1" t="s">
        <v>194</v>
      </c>
      <c r="K1370" s="1" t="s">
        <v>195</v>
      </c>
      <c r="L1370">
        <v>98103</v>
      </c>
      <c r="M1370" s="1" t="s">
        <v>57</v>
      </c>
      <c r="N1370" s="1" t="s">
        <v>728</v>
      </c>
      <c r="O1370" s="1" t="s">
        <v>33</v>
      </c>
      <c r="P1370" s="1" t="s">
        <v>59</v>
      </c>
      <c r="Q1370" s="1" t="s">
        <v>729</v>
      </c>
      <c r="R1370">
        <v>140</v>
      </c>
      <c r="S1370">
        <v>2</v>
      </c>
      <c r="T1370">
        <v>0</v>
      </c>
      <c r="U1370">
        <v>24</v>
      </c>
      <c r="V1370" s="1" t="s">
        <v>36</v>
      </c>
      <c r="W1370" s="1" t="s">
        <v>37</v>
      </c>
    </row>
    <row r="1371" spans="1:23" x14ac:dyDescent="0.35">
      <c r="A1371">
        <v>6548</v>
      </c>
      <c r="B1371" s="1" t="s">
        <v>3508</v>
      </c>
      <c r="C1371" s="2">
        <v>41699</v>
      </c>
      <c r="D1371" s="2">
        <v>41703</v>
      </c>
      <c r="E1371" s="1" t="s">
        <v>42</v>
      </c>
      <c r="F1371" s="1" t="s">
        <v>2864</v>
      </c>
      <c r="G1371" s="1" t="s">
        <v>2865</v>
      </c>
      <c r="H1371" s="1" t="s">
        <v>103</v>
      </c>
      <c r="I1371" s="1" t="s">
        <v>28</v>
      </c>
      <c r="J1371" s="1" t="s">
        <v>3509</v>
      </c>
      <c r="K1371" s="1" t="s">
        <v>137</v>
      </c>
      <c r="L1371">
        <v>60126</v>
      </c>
      <c r="M1371" s="1" t="s">
        <v>96</v>
      </c>
      <c r="N1371" s="1" t="s">
        <v>162</v>
      </c>
      <c r="O1371" s="1" t="s">
        <v>33</v>
      </c>
      <c r="P1371" s="1" t="s">
        <v>39</v>
      </c>
      <c r="Q1371" s="1" t="s">
        <v>163</v>
      </c>
      <c r="R1371">
        <v>634</v>
      </c>
      <c r="S1371">
        <v>6</v>
      </c>
      <c r="T1371">
        <v>0.3</v>
      </c>
      <c r="U1371">
        <v>-172</v>
      </c>
      <c r="V1371" s="1" t="s">
        <v>86</v>
      </c>
      <c r="W1371" s="1" t="s">
        <v>198</v>
      </c>
    </row>
    <row r="1372" spans="1:23" x14ac:dyDescent="0.35">
      <c r="A1372">
        <v>6550</v>
      </c>
      <c r="B1372" s="1" t="s">
        <v>3510</v>
      </c>
      <c r="C1372" s="2">
        <v>42215</v>
      </c>
      <c r="D1372" s="2">
        <v>42217</v>
      </c>
      <c r="E1372" s="1" t="s">
        <v>90</v>
      </c>
      <c r="F1372" s="1" t="s">
        <v>2602</v>
      </c>
      <c r="G1372" s="1" t="s">
        <v>2603</v>
      </c>
      <c r="H1372" s="1" t="s">
        <v>103</v>
      </c>
      <c r="I1372" s="1" t="s">
        <v>28</v>
      </c>
      <c r="J1372" s="1" t="s">
        <v>327</v>
      </c>
      <c r="K1372" s="1" t="s">
        <v>169</v>
      </c>
      <c r="L1372">
        <v>55044</v>
      </c>
      <c r="M1372" s="1" t="s">
        <v>96</v>
      </c>
      <c r="N1372" s="1" t="s">
        <v>1006</v>
      </c>
      <c r="O1372" s="1" t="s">
        <v>33</v>
      </c>
      <c r="P1372" s="1" t="s">
        <v>39</v>
      </c>
      <c r="Q1372" s="1" t="s">
        <v>1007</v>
      </c>
      <c r="R1372">
        <v>156</v>
      </c>
      <c r="S1372">
        <v>6</v>
      </c>
      <c r="T1372">
        <v>0</v>
      </c>
      <c r="U1372">
        <v>39</v>
      </c>
      <c r="V1372" s="1" t="s">
        <v>73</v>
      </c>
      <c r="W1372" s="1" t="s">
        <v>74</v>
      </c>
    </row>
    <row r="1373" spans="1:23" x14ac:dyDescent="0.35">
      <c r="A1373">
        <v>6551</v>
      </c>
      <c r="B1373" s="1" t="s">
        <v>3511</v>
      </c>
      <c r="C1373" s="2">
        <v>42309</v>
      </c>
      <c r="D1373" s="2">
        <v>42311</v>
      </c>
      <c r="E1373" s="1" t="s">
        <v>24</v>
      </c>
      <c r="F1373" s="1" t="s">
        <v>2260</v>
      </c>
      <c r="G1373" s="1" t="s">
        <v>2261</v>
      </c>
      <c r="H1373" s="1" t="s">
        <v>27</v>
      </c>
      <c r="I1373" s="1" t="s">
        <v>28</v>
      </c>
      <c r="J1373" s="1" t="s">
        <v>176</v>
      </c>
      <c r="K1373" s="1" t="s">
        <v>123</v>
      </c>
      <c r="L1373">
        <v>10035</v>
      </c>
      <c r="M1373" s="1" t="s">
        <v>70</v>
      </c>
      <c r="N1373" s="1" t="s">
        <v>2183</v>
      </c>
      <c r="O1373" s="1" t="s">
        <v>33</v>
      </c>
      <c r="P1373" s="1" t="s">
        <v>39</v>
      </c>
      <c r="Q1373" s="1" t="s">
        <v>2184</v>
      </c>
      <c r="R1373">
        <v>328</v>
      </c>
      <c r="S1373">
        <v>4</v>
      </c>
      <c r="T1373">
        <v>0.1</v>
      </c>
      <c r="U1373">
        <v>22</v>
      </c>
      <c r="V1373" s="1" t="s">
        <v>73</v>
      </c>
      <c r="W1373" s="1" t="s">
        <v>37</v>
      </c>
    </row>
    <row r="1374" spans="1:23" x14ac:dyDescent="0.35">
      <c r="A1374">
        <v>6559</v>
      </c>
      <c r="B1374" s="1" t="s">
        <v>3512</v>
      </c>
      <c r="C1374" s="2">
        <v>42160</v>
      </c>
      <c r="D1374" s="2">
        <v>42165</v>
      </c>
      <c r="E1374" s="1" t="s">
        <v>42</v>
      </c>
      <c r="F1374" s="1" t="s">
        <v>2384</v>
      </c>
      <c r="G1374" s="1" t="s">
        <v>2385</v>
      </c>
      <c r="H1374" s="1" t="s">
        <v>93</v>
      </c>
      <c r="I1374" s="1" t="s">
        <v>28</v>
      </c>
      <c r="J1374" s="1" t="s">
        <v>2957</v>
      </c>
      <c r="K1374" s="1" t="s">
        <v>123</v>
      </c>
      <c r="L1374">
        <v>14215</v>
      </c>
      <c r="M1374" s="1" t="s">
        <v>70</v>
      </c>
      <c r="N1374" s="1" t="s">
        <v>628</v>
      </c>
      <c r="O1374" s="1" t="s">
        <v>33</v>
      </c>
      <c r="P1374" s="1" t="s">
        <v>39</v>
      </c>
      <c r="Q1374" s="1" t="s">
        <v>629</v>
      </c>
      <c r="R1374">
        <v>1523</v>
      </c>
      <c r="S1374">
        <v>9</v>
      </c>
      <c r="T1374">
        <v>0.1</v>
      </c>
      <c r="U1374">
        <v>169</v>
      </c>
      <c r="V1374" s="1" t="s">
        <v>61</v>
      </c>
      <c r="W1374" s="1" t="s">
        <v>62</v>
      </c>
    </row>
    <row r="1375" spans="1:23" x14ac:dyDescent="0.35">
      <c r="A1375">
        <v>6564</v>
      </c>
      <c r="B1375" s="1" t="s">
        <v>3513</v>
      </c>
      <c r="C1375" s="2">
        <v>41766</v>
      </c>
      <c r="D1375" s="2">
        <v>41771</v>
      </c>
      <c r="E1375" s="1" t="s">
        <v>42</v>
      </c>
      <c r="F1375" s="1" t="s">
        <v>1651</v>
      </c>
      <c r="G1375" s="1" t="s">
        <v>1652</v>
      </c>
      <c r="H1375" s="1" t="s">
        <v>27</v>
      </c>
      <c r="I1375" s="1" t="s">
        <v>28</v>
      </c>
      <c r="J1375" s="1" t="s">
        <v>474</v>
      </c>
      <c r="K1375" s="1" t="s">
        <v>437</v>
      </c>
      <c r="L1375">
        <v>1841</v>
      </c>
      <c r="M1375" s="1" t="s">
        <v>70</v>
      </c>
      <c r="N1375" s="1" t="s">
        <v>2569</v>
      </c>
      <c r="O1375" s="1" t="s">
        <v>33</v>
      </c>
      <c r="P1375" s="1" t="s">
        <v>48</v>
      </c>
      <c r="Q1375" s="1" t="s">
        <v>2570</v>
      </c>
      <c r="R1375">
        <v>194</v>
      </c>
      <c r="S1375">
        <v>2</v>
      </c>
      <c r="T1375">
        <v>0.3</v>
      </c>
      <c r="U1375">
        <v>-39</v>
      </c>
      <c r="V1375" s="1" t="s">
        <v>61</v>
      </c>
      <c r="W1375" s="1" t="s">
        <v>164</v>
      </c>
    </row>
    <row r="1376" spans="1:23" x14ac:dyDescent="0.35">
      <c r="A1376">
        <v>6566</v>
      </c>
      <c r="B1376" s="1" t="s">
        <v>3513</v>
      </c>
      <c r="C1376" s="2">
        <v>41766</v>
      </c>
      <c r="D1376" s="2">
        <v>41771</v>
      </c>
      <c r="E1376" s="1" t="s">
        <v>42</v>
      </c>
      <c r="F1376" s="1" t="s">
        <v>1651</v>
      </c>
      <c r="G1376" s="1" t="s">
        <v>1652</v>
      </c>
      <c r="H1376" s="1" t="s">
        <v>27</v>
      </c>
      <c r="I1376" s="1" t="s">
        <v>28</v>
      </c>
      <c r="J1376" s="1" t="s">
        <v>474</v>
      </c>
      <c r="K1376" s="1" t="s">
        <v>437</v>
      </c>
      <c r="L1376">
        <v>1841</v>
      </c>
      <c r="M1376" s="1" t="s">
        <v>70</v>
      </c>
      <c r="N1376" s="1" t="s">
        <v>819</v>
      </c>
      <c r="O1376" s="1" t="s">
        <v>33</v>
      </c>
      <c r="P1376" s="1" t="s">
        <v>39</v>
      </c>
      <c r="Q1376" s="1" t="s">
        <v>820</v>
      </c>
      <c r="R1376">
        <v>872</v>
      </c>
      <c r="S1376">
        <v>4</v>
      </c>
      <c r="T1376">
        <v>0</v>
      </c>
      <c r="U1376">
        <v>244</v>
      </c>
      <c r="V1376" s="1" t="s">
        <v>61</v>
      </c>
      <c r="W1376" s="1" t="s">
        <v>164</v>
      </c>
    </row>
    <row r="1377" spans="1:23" x14ac:dyDescent="0.35">
      <c r="A1377">
        <v>6570</v>
      </c>
      <c r="B1377" s="1" t="s">
        <v>3514</v>
      </c>
      <c r="C1377" s="2">
        <v>41747</v>
      </c>
      <c r="D1377" s="2">
        <v>41751</v>
      </c>
      <c r="E1377" s="1" t="s">
        <v>42</v>
      </c>
      <c r="F1377" s="1" t="s">
        <v>128</v>
      </c>
      <c r="G1377" s="1" t="s">
        <v>129</v>
      </c>
      <c r="H1377" s="1" t="s">
        <v>27</v>
      </c>
      <c r="I1377" s="1" t="s">
        <v>28</v>
      </c>
      <c r="J1377" s="1" t="s">
        <v>104</v>
      </c>
      <c r="K1377" s="1" t="s">
        <v>95</v>
      </c>
      <c r="L1377">
        <v>77095</v>
      </c>
      <c r="M1377" s="1" t="s">
        <v>96</v>
      </c>
      <c r="N1377" s="1" t="s">
        <v>397</v>
      </c>
      <c r="O1377" s="1" t="s">
        <v>33</v>
      </c>
      <c r="P1377" s="1" t="s">
        <v>39</v>
      </c>
      <c r="Q1377" s="1" t="s">
        <v>398</v>
      </c>
      <c r="R1377">
        <v>317</v>
      </c>
      <c r="S1377">
        <v>3</v>
      </c>
      <c r="T1377">
        <v>0.3</v>
      </c>
      <c r="U1377">
        <v>-18</v>
      </c>
      <c r="V1377" s="1" t="s">
        <v>86</v>
      </c>
      <c r="W1377" s="1" t="s">
        <v>116</v>
      </c>
    </row>
    <row r="1378" spans="1:23" x14ac:dyDescent="0.35">
      <c r="A1378">
        <v>6577</v>
      </c>
      <c r="B1378" s="1" t="s">
        <v>3515</v>
      </c>
      <c r="C1378" s="2">
        <v>42797</v>
      </c>
      <c r="D1378" s="2">
        <v>42802</v>
      </c>
      <c r="E1378" s="1" t="s">
        <v>42</v>
      </c>
      <c r="F1378" s="1" t="s">
        <v>2567</v>
      </c>
      <c r="G1378" s="1" t="s">
        <v>2568</v>
      </c>
      <c r="H1378" s="1" t="s">
        <v>27</v>
      </c>
      <c r="I1378" s="1" t="s">
        <v>28</v>
      </c>
      <c r="J1378" s="1" t="s">
        <v>55</v>
      </c>
      <c r="K1378" s="1" t="s">
        <v>56</v>
      </c>
      <c r="L1378">
        <v>90008</v>
      </c>
      <c r="M1378" s="1" t="s">
        <v>57</v>
      </c>
      <c r="N1378" s="1" t="s">
        <v>124</v>
      </c>
      <c r="O1378" s="1" t="s">
        <v>33</v>
      </c>
      <c r="P1378" s="1" t="s">
        <v>39</v>
      </c>
      <c r="Q1378" s="1" t="s">
        <v>125</v>
      </c>
      <c r="R1378">
        <v>170</v>
      </c>
      <c r="S1378">
        <v>3</v>
      </c>
      <c r="T1378">
        <v>0.2</v>
      </c>
      <c r="U1378">
        <v>-17</v>
      </c>
      <c r="V1378" s="1" t="s">
        <v>61</v>
      </c>
      <c r="W1378" s="1" t="s">
        <v>198</v>
      </c>
    </row>
    <row r="1379" spans="1:23" x14ac:dyDescent="0.35">
      <c r="A1379">
        <v>6582</v>
      </c>
      <c r="B1379" s="1" t="s">
        <v>3516</v>
      </c>
      <c r="C1379" s="2">
        <v>42665</v>
      </c>
      <c r="D1379" s="2">
        <v>42665</v>
      </c>
      <c r="E1379" s="1" t="s">
        <v>428</v>
      </c>
      <c r="F1379" s="1" t="s">
        <v>2073</v>
      </c>
      <c r="G1379" s="1" t="s">
        <v>2074</v>
      </c>
      <c r="H1379" s="1" t="s">
        <v>27</v>
      </c>
      <c r="I1379" s="1" t="s">
        <v>28</v>
      </c>
      <c r="J1379" s="1" t="s">
        <v>194</v>
      </c>
      <c r="K1379" s="1" t="s">
        <v>195</v>
      </c>
      <c r="L1379">
        <v>98105</v>
      </c>
      <c r="M1379" s="1" t="s">
        <v>57</v>
      </c>
      <c r="N1379" s="1" t="s">
        <v>3517</v>
      </c>
      <c r="O1379" s="1" t="s">
        <v>33</v>
      </c>
      <c r="P1379" s="1" t="s">
        <v>59</v>
      </c>
      <c r="Q1379" s="1" t="s">
        <v>3518</v>
      </c>
      <c r="R1379">
        <v>102</v>
      </c>
      <c r="S1379">
        <v>3</v>
      </c>
      <c r="T1379">
        <v>0</v>
      </c>
      <c r="U1379">
        <v>31</v>
      </c>
      <c r="V1379" s="1" t="s">
        <v>433</v>
      </c>
      <c r="W1379" s="1" t="s">
        <v>51</v>
      </c>
    </row>
    <row r="1380" spans="1:23" x14ac:dyDescent="0.35">
      <c r="A1380">
        <v>6586</v>
      </c>
      <c r="B1380" s="1" t="s">
        <v>3519</v>
      </c>
      <c r="C1380" s="2">
        <v>42937</v>
      </c>
      <c r="D1380" s="2">
        <v>42943</v>
      </c>
      <c r="E1380" s="1" t="s">
        <v>42</v>
      </c>
      <c r="F1380" s="1" t="s">
        <v>1642</v>
      </c>
      <c r="G1380" s="1" t="s">
        <v>1643</v>
      </c>
      <c r="H1380" s="1" t="s">
        <v>27</v>
      </c>
      <c r="I1380" s="1" t="s">
        <v>28</v>
      </c>
      <c r="J1380" s="1" t="s">
        <v>3236</v>
      </c>
      <c r="K1380" s="1" t="s">
        <v>719</v>
      </c>
      <c r="L1380">
        <v>24153</v>
      </c>
      <c r="M1380" s="1" t="s">
        <v>31</v>
      </c>
      <c r="N1380" s="1" t="s">
        <v>340</v>
      </c>
      <c r="O1380" s="1" t="s">
        <v>33</v>
      </c>
      <c r="P1380" s="1" t="s">
        <v>59</v>
      </c>
      <c r="Q1380" s="1" t="s">
        <v>341</v>
      </c>
      <c r="R1380">
        <v>9</v>
      </c>
      <c r="S1380">
        <v>5</v>
      </c>
      <c r="T1380">
        <v>0</v>
      </c>
      <c r="U1380">
        <v>4</v>
      </c>
      <c r="V1380" s="1" t="s">
        <v>132</v>
      </c>
      <c r="W1380" s="1" t="s">
        <v>74</v>
      </c>
    </row>
    <row r="1381" spans="1:23" x14ac:dyDescent="0.35">
      <c r="A1381">
        <v>6588</v>
      </c>
      <c r="B1381" s="1" t="s">
        <v>3519</v>
      </c>
      <c r="C1381" s="2">
        <v>42937</v>
      </c>
      <c r="D1381" s="2">
        <v>42943</v>
      </c>
      <c r="E1381" s="1" t="s">
        <v>42</v>
      </c>
      <c r="F1381" s="1" t="s">
        <v>1642</v>
      </c>
      <c r="G1381" s="1" t="s">
        <v>1643</v>
      </c>
      <c r="H1381" s="1" t="s">
        <v>27</v>
      </c>
      <c r="I1381" s="1" t="s">
        <v>28</v>
      </c>
      <c r="J1381" s="1" t="s">
        <v>3236</v>
      </c>
      <c r="K1381" s="1" t="s">
        <v>719</v>
      </c>
      <c r="L1381">
        <v>24153</v>
      </c>
      <c r="M1381" s="1" t="s">
        <v>31</v>
      </c>
      <c r="N1381" s="1" t="s">
        <v>901</v>
      </c>
      <c r="O1381" s="1" t="s">
        <v>33</v>
      </c>
      <c r="P1381" s="1" t="s">
        <v>34</v>
      </c>
      <c r="Q1381" s="1" t="s">
        <v>902</v>
      </c>
      <c r="R1381">
        <v>303</v>
      </c>
      <c r="S1381">
        <v>3</v>
      </c>
      <c r="T1381">
        <v>0</v>
      </c>
      <c r="U1381">
        <v>70</v>
      </c>
      <c r="V1381" s="1" t="s">
        <v>132</v>
      </c>
      <c r="W1381" s="1" t="s">
        <v>74</v>
      </c>
    </row>
    <row r="1382" spans="1:23" x14ac:dyDescent="0.35">
      <c r="A1382">
        <v>6600</v>
      </c>
      <c r="B1382" s="1" t="s">
        <v>3520</v>
      </c>
      <c r="C1382" s="2">
        <v>41975</v>
      </c>
      <c r="D1382" s="2">
        <v>41980</v>
      </c>
      <c r="E1382" s="1" t="s">
        <v>42</v>
      </c>
      <c r="F1382" s="1" t="s">
        <v>3521</v>
      </c>
      <c r="G1382" s="1" t="s">
        <v>3522</v>
      </c>
      <c r="H1382" s="1" t="s">
        <v>93</v>
      </c>
      <c r="I1382" s="1" t="s">
        <v>28</v>
      </c>
      <c r="J1382" s="1" t="s">
        <v>2525</v>
      </c>
      <c r="K1382" s="1" t="s">
        <v>1092</v>
      </c>
      <c r="L1382">
        <v>20735</v>
      </c>
      <c r="M1382" s="1" t="s">
        <v>70</v>
      </c>
      <c r="N1382" s="1" t="s">
        <v>651</v>
      </c>
      <c r="O1382" s="1" t="s">
        <v>33</v>
      </c>
      <c r="P1382" s="1" t="s">
        <v>59</v>
      </c>
      <c r="Q1382" s="1" t="s">
        <v>652</v>
      </c>
      <c r="R1382">
        <v>61</v>
      </c>
      <c r="S1382">
        <v>3</v>
      </c>
      <c r="T1382">
        <v>0</v>
      </c>
      <c r="U1382">
        <v>24</v>
      </c>
      <c r="V1382" s="1" t="s">
        <v>61</v>
      </c>
      <c r="W1382" s="1" t="s">
        <v>99</v>
      </c>
    </row>
    <row r="1383" spans="1:23" x14ac:dyDescent="0.35">
      <c r="A1383">
        <v>6602</v>
      </c>
      <c r="B1383" s="1" t="s">
        <v>3520</v>
      </c>
      <c r="C1383" s="2">
        <v>41975</v>
      </c>
      <c r="D1383" s="2">
        <v>41980</v>
      </c>
      <c r="E1383" s="1" t="s">
        <v>42</v>
      </c>
      <c r="F1383" s="1" t="s">
        <v>3521</v>
      </c>
      <c r="G1383" s="1" t="s">
        <v>3522</v>
      </c>
      <c r="H1383" s="1" t="s">
        <v>93</v>
      </c>
      <c r="I1383" s="1" t="s">
        <v>28</v>
      </c>
      <c r="J1383" s="1" t="s">
        <v>2525</v>
      </c>
      <c r="K1383" s="1" t="s">
        <v>1092</v>
      </c>
      <c r="L1383">
        <v>20735</v>
      </c>
      <c r="M1383" s="1" t="s">
        <v>70</v>
      </c>
      <c r="N1383" s="1" t="s">
        <v>1516</v>
      </c>
      <c r="O1383" s="1" t="s">
        <v>33</v>
      </c>
      <c r="P1383" s="1" t="s">
        <v>39</v>
      </c>
      <c r="Q1383" s="1" t="s">
        <v>1517</v>
      </c>
      <c r="R1383">
        <v>240</v>
      </c>
      <c r="S1383">
        <v>8</v>
      </c>
      <c r="T1383">
        <v>0</v>
      </c>
      <c r="U1383">
        <v>65</v>
      </c>
      <c r="V1383" s="1" t="s">
        <v>61</v>
      </c>
      <c r="W1383" s="1" t="s">
        <v>99</v>
      </c>
    </row>
    <row r="1384" spans="1:23" x14ac:dyDescent="0.35">
      <c r="A1384">
        <v>6608</v>
      </c>
      <c r="B1384" s="1" t="s">
        <v>3523</v>
      </c>
      <c r="C1384" s="2">
        <v>42516</v>
      </c>
      <c r="D1384" s="2">
        <v>42521</v>
      </c>
      <c r="E1384" s="1" t="s">
        <v>42</v>
      </c>
      <c r="F1384" s="1" t="s">
        <v>2920</v>
      </c>
      <c r="G1384" s="1" t="s">
        <v>2921</v>
      </c>
      <c r="H1384" s="1" t="s">
        <v>27</v>
      </c>
      <c r="I1384" s="1" t="s">
        <v>28</v>
      </c>
      <c r="J1384" s="1" t="s">
        <v>852</v>
      </c>
      <c r="K1384" s="1" t="s">
        <v>56</v>
      </c>
      <c r="L1384">
        <v>92704</v>
      </c>
      <c r="M1384" s="1" t="s">
        <v>57</v>
      </c>
      <c r="N1384" s="1" t="s">
        <v>298</v>
      </c>
      <c r="O1384" s="1" t="s">
        <v>33</v>
      </c>
      <c r="P1384" s="1" t="s">
        <v>39</v>
      </c>
      <c r="Q1384" s="1" t="s">
        <v>299</v>
      </c>
      <c r="R1384">
        <v>485</v>
      </c>
      <c r="S1384">
        <v>6</v>
      </c>
      <c r="T1384">
        <v>0.2</v>
      </c>
      <c r="U1384">
        <v>-85</v>
      </c>
      <c r="V1384" s="1" t="s">
        <v>61</v>
      </c>
      <c r="W1384" s="1" t="s">
        <v>164</v>
      </c>
    </row>
    <row r="1385" spans="1:23" x14ac:dyDescent="0.35">
      <c r="A1385">
        <v>6612</v>
      </c>
      <c r="B1385" s="1" t="s">
        <v>3524</v>
      </c>
      <c r="C1385" s="2">
        <v>42115</v>
      </c>
      <c r="D1385" s="2">
        <v>42122</v>
      </c>
      <c r="E1385" s="1" t="s">
        <v>42</v>
      </c>
      <c r="F1385" s="1" t="s">
        <v>3278</v>
      </c>
      <c r="G1385" s="1" t="s">
        <v>3279</v>
      </c>
      <c r="H1385" s="1" t="s">
        <v>27</v>
      </c>
      <c r="I1385" s="1" t="s">
        <v>28</v>
      </c>
      <c r="J1385" s="1" t="s">
        <v>868</v>
      </c>
      <c r="K1385" s="1" t="s">
        <v>30</v>
      </c>
      <c r="L1385">
        <v>40214</v>
      </c>
      <c r="M1385" s="1" t="s">
        <v>31</v>
      </c>
      <c r="N1385" s="1" t="s">
        <v>359</v>
      </c>
      <c r="O1385" s="1" t="s">
        <v>33</v>
      </c>
      <c r="P1385" s="1" t="s">
        <v>39</v>
      </c>
      <c r="Q1385" s="1" t="s">
        <v>360</v>
      </c>
      <c r="R1385">
        <v>192</v>
      </c>
      <c r="S1385">
        <v>2</v>
      </c>
      <c r="T1385">
        <v>0</v>
      </c>
      <c r="U1385">
        <v>52</v>
      </c>
      <c r="V1385" s="1" t="s">
        <v>50</v>
      </c>
      <c r="W1385" s="1" t="s">
        <v>116</v>
      </c>
    </row>
    <row r="1386" spans="1:23" x14ac:dyDescent="0.35">
      <c r="A1386">
        <v>6615</v>
      </c>
      <c r="B1386" s="1" t="s">
        <v>3524</v>
      </c>
      <c r="C1386" s="2">
        <v>42115</v>
      </c>
      <c r="D1386" s="2">
        <v>42122</v>
      </c>
      <c r="E1386" s="1" t="s">
        <v>42</v>
      </c>
      <c r="F1386" s="1" t="s">
        <v>3278</v>
      </c>
      <c r="G1386" s="1" t="s">
        <v>3279</v>
      </c>
      <c r="H1386" s="1" t="s">
        <v>27</v>
      </c>
      <c r="I1386" s="1" t="s">
        <v>28</v>
      </c>
      <c r="J1386" s="1" t="s">
        <v>868</v>
      </c>
      <c r="K1386" s="1" t="s">
        <v>30</v>
      </c>
      <c r="L1386">
        <v>40214</v>
      </c>
      <c r="M1386" s="1" t="s">
        <v>31</v>
      </c>
      <c r="N1386" s="1" t="s">
        <v>728</v>
      </c>
      <c r="O1386" s="1" t="s">
        <v>33</v>
      </c>
      <c r="P1386" s="1" t="s">
        <v>59</v>
      </c>
      <c r="Q1386" s="1" t="s">
        <v>729</v>
      </c>
      <c r="R1386">
        <v>210</v>
      </c>
      <c r="S1386">
        <v>3</v>
      </c>
      <c r="T1386">
        <v>0</v>
      </c>
      <c r="U1386">
        <v>36</v>
      </c>
      <c r="V1386" s="1" t="s">
        <v>50</v>
      </c>
      <c r="W1386" s="1" t="s">
        <v>116</v>
      </c>
    </row>
    <row r="1387" spans="1:23" x14ac:dyDescent="0.35">
      <c r="A1387">
        <v>6616</v>
      </c>
      <c r="B1387" s="1" t="s">
        <v>3525</v>
      </c>
      <c r="C1387" s="2">
        <v>42538</v>
      </c>
      <c r="D1387" s="2">
        <v>42540</v>
      </c>
      <c r="E1387" s="1" t="s">
        <v>90</v>
      </c>
      <c r="F1387" s="1" t="s">
        <v>3526</v>
      </c>
      <c r="G1387" s="1" t="s">
        <v>3527</v>
      </c>
      <c r="H1387" s="1" t="s">
        <v>27</v>
      </c>
      <c r="I1387" s="1" t="s">
        <v>28</v>
      </c>
      <c r="J1387" s="1" t="s">
        <v>55</v>
      </c>
      <c r="K1387" s="1" t="s">
        <v>56</v>
      </c>
      <c r="L1387">
        <v>90045</v>
      </c>
      <c r="M1387" s="1" t="s">
        <v>57</v>
      </c>
      <c r="N1387" s="1" t="s">
        <v>2625</v>
      </c>
      <c r="O1387" s="1" t="s">
        <v>33</v>
      </c>
      <c r="P1387" s="1" t="s">
        <v>34</v>
      </c>
      <c r="Q1387" s="1" t="s">
        <v>2626</v>
      </c>
      <c r="R1387">
        <v>240</v>
      </c>
      <c r="S1387">
        <v>2</v>
      </c>
      <c r="T1387">
        <v>0.15</v>
      </c>
      <c r="U1387">
        <v>14</v>
      </c>
      <c r="V1387" s="1" t="s">
        <v>73</v>
      </c>
      <c r="W1387" s="1" t="s">
        <v>62</v>
      </c>
    </row>
    <row r="1388" spans="1:23" x14ac:dyDescent="0.35">
      <c r="A1388">
        <v>6622</v>
      </c>
      <c r="B1388" s="1" t="s">
        <v>3528</v>
      </c>
      <c r="C1388" s="2">
        <v>42748</v>
      </c>
      <c r="D1388" s="2">
        <v>42753</v>
      </c>
      <c r="E1388" s="1" t="s">
        <v>24</v>
      </c>
      <c r="F1388" s="1" t="s">
        <v>2061</v>
      </c>
      <c r="G1388" s="1" t="s">
        <v>2062</v>
      </c>
      <c r="H1388" s="1" t="s">
        <v>93</v>
      </c>
      <c r="I1388" s="1" t="s">
        <v>28</v>
      </c>
      <c r="J1388" s="1" t="s">
        <v>881</v>
      </c>
      <c r="K1388" s="1" t="s">
        <v>568</v>
      </c>
      <c r="L1388">
        <v>65807</v>
      </c>
      <c r="M1388" s="1" t="s">
        <v>96</v>
      </c>
      <c r="N1388" s="1" t="s">
        <v>2482</v>
      </c>
      <c r="O1388" s="1" t="s">
        <v>33</v>
      </c>
      <c r="P1388" s="1" t="s">
        <v>34</v>
      </c>
      <c r="Q1388" s="1" t="s">
        <v>2483</v>
      </c>
      <c r="R1388">
        <v>213</v>
      </c>
      <c r="S1388">
        <v>3</v>
      </c>
      <c r="T1388">
        <v>0</v>
      </c>
      <c r="U1388">
        <v>53</v>
      </c>
      <c r="V1388" s="1" t="s">
        <v>61</v>
      </c>
      <c r="W1388" s="1" t="s">
        <v>172</v>
      </c>
    </row>
    <row r="1389" spans="1:23" x14ac:dyDescent="0.35">
      <c r="A1389">
        <v>6623</v>
      </c>
      <c r="B1389" s="1" t="s">
        <v>3529</v>
      </c>
      <c r="C1389" s="2">
        <v>41888</v>
      </c>
      <c r="D1389" s="2">
        <v>41891</v>
      </c>
      <c r="E1389" s="1" t="s">
        <v>90</v>
      </c>
      <c r="F1389" s="1" t="s">
        <v>3530</v>
      </c>
      <c r="G1389" s="1" t="s">
        <v>3531</v>
      </c>
      <c r="H1389" s="1" t="s">
        <v>93</v>
      </c>
      <c r="I1389" s="1" t="s">
        <v>28</v>
      </c>
      <c r="J1389" s="1" t="s">
        <v>331</v>
      </c>
      <c r="K1389" s="1" t="s">
        <v>56</v>
      </c>
      <c r="L1389">
        <v>94109</v>
      </c>
      <c r="M1389" s="1" t="s">
        <v>57</v>
      </c>
      <c r="N1389" s="1" t="s">
        <v>58</v>
      </c>
      <c r="O1389" s="1" t="s">
        <v>33</v>
      </c>
      <c r="P1389" s="1" t="s">
        <v>59</v>
      </c>
      <c r="Q1389" s="1" t="s">
        <v>60</v>
      </c>
      <c r="R1389">
        <v>42</v>
      </c>
      <c r="S1389">
        <v>6</v>
      </c>
      <c r="T1389">
        <v>0</v>
      </c>
      <c r="U1389">
        <v>12</v>
      </c>
      <c r="V1389" s="1" t="s">
        <v>36</v>
      </c>
      <c r="W1389" s="1" t="s">
        <v>80</v>
      </c>
    </row>
    <row r="1390" spans="1:23" x14ac:dyDescent="0.35">
      <c r="A1390">
        <v>6625</v>
      </c>
      <c r="B1390" s="1" t="s">
        <v>3532</v>
      </c>
      <c r="C1390" s="2">
        <v>42023</v>
      </c>
      <c r="D1390" s="2">
        <v>42027</v>
      </c>
      <c r="E1390" s="1" t="s">
        <v>42</v>
      </c>
      <c r="F1390" s="1" t="s">
        <v>3533</v>
      </c>
      <c r="G1390" s="1" t="s">
        <v>3534</v>
      </c>
      <c r="H1390" s="1" t="s">
        <v>27</v>
      </c>
      <c r="I1390" s="1" t="s">
        <v>28</v>
      </c>
      <c r="J1390" s="1" t="s">
        <v>3535</v>
      </c>
      <c r="K1390" s="1" t="s">
        <v>95</v>
      </c>
      <c r="L1390">
        <v>77590</v>
      </c>
      <c r="M1390" s="1" t="s">
        <v>96</v>
      </c>
      <c r="N1390" s="1" t="s">
        <v>1630</v>
      </c>
      <c r="O1390" s="1" t="s">
        <v>33</v>
      </c>
      <c r="P1390" s="1" t="s">
        <v>48</v>
      </c>
      <c r="Q1390" s="1" t="s">
        <v>1631</v>
      </c>
      <c r="R1390">
        <v>102</v>
      </c>
      <c r="S1390">
        <v>1</v>
      </c>
      <c r="T1390">
        <v>0.3</v>
      </c>
      <c r="U1390">
        <v>-13</v>
      </c>
      <c r="V1390" s="1" t="s">
        <v>86</v>
      </c>
      <c r="W1390" s="1" t="s">
        <v>172</v>
      </c>
    </row>
    <row r="1391" spans="1:23" x14ac:dyDescent="0.35">
      <c r="A1391">
        <v>6626</v>
      </c>
      <c r="B1391" s="1" t="s">
        <v>3532</v>
      </c>
      <c r="C1391" s="2">
        <v>42023</v>
      </c>
      <c r="D1391" s="2">
        <v>42027</v>
      </c>
      <c r="E1391" s="1" t="s">
        <v>42</v>
      </c>
      <c r="F1391" s="1" t="s">
        <v>3533</v>
      </c>
      <c r="G1391" s="1" t="s">
        <v>3534</v>
      </c>
      <c r="H1391" s="1" t="s">
        <v>27</v>
      </c>
      <c r="I1391" s="1" t="s">
        <v>28</v>
      </c>
      <c r="J1391" s="1" t="s">
        <v>3535</v>
      </c>
      <c r="K1391" s="1" t="s">
        <v>95</v>
      </c>
      <c r="L1391">
        <v>77590</v>
      </c>
      <c r="M1391" s="1" t="s">
        <v>96</v>
      </c>
      <c r="N1391" s="1" t="s">
        <v>2197</v>
      </c>
      <c r="O1391" s="1" t="s">
        <v>33</v>
      </c>
      <c r="P1391" s="1" t="s">
        <v>39</v>
      </c>
      <c r="Q1391" s="1" t="s">
        <v>2198</v>
      </c>
      <c r="R1391">
        <v>199</v>
      </c>
      <c r="S1391">
        <v>4</v>
      </c>
      <c r="T1391">
        <v>0.3</v>
      </c>
      <c r="U1391">
        <v>-9</v>
      </c>
      <c r="V1391" s="1" t="s">
        <v>86</v>
      </c>
      <c r="W1391" s="1" t="s">
        <v>172</v>
      </c>
    </row>
    <row r="1392" spans="1:23" x14ac:dyDescent="0.35">
      <c r="A1392">
        <v>6631</v>
      </c>
      <c r="B1392" s="1" t="s">
        <v>3536</v>
      </c>
      <c r="C1392" s="2">
        <v>42729</v>
      </c>
      <c r="D1392" s="2">
        <v>42734</v>
      </c>
      <c r="E1392" s="1" t="s">
        <v>42</v>
      </c>
      <c r="F1392" s="1" t="s">
        <v>1612</v>
      </c>
      <c r="G1392" s="1" t="s">
        <v>1613</v>
      </c>
      <c r="H1392" s="1" t="s">
        <v>27</v>
      </c>
      <c r="I1392" s="1" t="s">
        <v>28</v>
      </c>
      <c r="J1392" s="1" t="s">
        <v>194</v>
      </c>
      <c r="K1392" s="1" t="s">
        <v>195</v>
      </c>
      <c r="L1392">
        <v>98115</v>
      </c>
      <c r="M1392" s="1" t="s">
        <v>57</v>
      </c>
      <c r="N1392" s="1" t="s">
        <v>1309</v>
      </c>
      <c r="O1392" s="1" t="s">
        <v>33</v>
      </c>
      <c r="P1392" s="1" t="s">
        <v>39</v>
      </c>
      <c r="Q1392" s="1" t="s">
        <v>1310</v>
      </c>
      <c r="R1392">
        <v>698</v>
      </c>
      <c r="S1392">
        <v>3</v>
      </c>
      <c r="T1392">
        <v>0.2</v>
      </c>
      <c r="U1392">
        <v>52</v>
      </c>
      <c r="V1392" s="1" t="s">
        <v>61</v>
      </c>
      <c r="W1392" s="1" t="s">
        <v>99</v>
      </c>
    </row>
    <row r="1393" spans="1:23" x14ac:dyDescent="0.35">
      <c r="A1393">
        <v>6632</v>
      </c>
      <c r="B1393" s="1" t="s">
        <v>3536</v>
      </c>
      <c r="C1393" s="2">
        <v>42729</v>
      </c>
      <c r="D1393" s="2">
        <v>42734</v>
      </c>
      <c r="E1393" s="1" t="s">
        <v>42</v>
      </c>
      <c r="F1393" s="1" t="s">
        <v>1612</v>
      </c>
      <c r="G1393" s="1" t="s">
        <v>1613</v>
      </c>
      <c r="H1393" s="1" t="s">
        <v>27</v>
      </c>
      <c r="I1393" s="1" t="s">
        <v>28</v>
      </c>
      <c r="J1393" s="1" t="s">
        <v>194</v>
      </c>
      <c r="K1393" s="1" t="s">
        <v>195</v>
      </c>
      <c r="L1393">
        <v>98115</v>
      </c>
      <c r="M1393" s="1" t="s">
        <v>57</v>
      </c>
      <c r="N1393" s="1" t="s">
        <v>1464</v>
      </c>
      <c r="O1393" s="1" t="s">
        <v>33</v>
      </c>
      <c r="P1393" s="1" t="s">
        <v>48</v>
      </c>
      <c r="Q1393" s="1" t="s">
        <v>1465</v>
      </c>
      <c r="R1393">
        <v>1747</v>
      </c>
      <c r="S1393">
        <v>5</v>
      </c>
      <c r="T1393">
        <v>0</v>
      </c>
      <c r="U1393">
        <v>629</v>
      </c>
      <c r="V1393" s="1" t="s">
        <v>61</v>
      </c>
      <c r="W1393" s="1" t="s">
        <v>99</v>
      </c>
    </row>
    <row r="1394" spans="1:23" x14ac:dyDescent="0.35">
      <c r="A1394">
        <v>6640</v>
      </c>
      <c r="B1394" s="1" t="s">
        <v>3537</v>
      </c>
      <c r="C1394" s="2">
        <v>41943</v>
      </c>
      <c r="D1394" s="2">
        <v>41945</v>
      </c>
      <c r="E1394" s="1" t="s">
        <v>24</v>
      </c>
      <c r="F1394" s="1" t="s">
        <v>879</v>
      </c>
      <c r="G1394" s="1" t="s">
        <v>880</v>
      </c>
      <c r="H1394" s="1" t="s">
        <v>93</v>
      </c>
      <c r="I1394" s="1" t="s">
        <v>28</v>
      </c>
      <c r="J1394" s="1" t="s">
        <v>872</v>
      </c>
      <c r="K1394" s="1" t="s">
        <v>234</v>
      </c>
      <c r="L1394">
        <v>44052</v>
      </c>
      <c r="M1394" s="1" t="s">
        <v>70</v>
      </c>
      <c r="N1394" s="1" t="s">
        <v>1674</v>
      </c>
      <c r="O1394" s="1" t="s">
        <v>33</v>
      </c>
      <c r="P1394" s="1" t="s">
        <v>48</v>
      </c>
      <c r="Q1394" s="1" t="s">
        <v>1675</v>
      </c>
      <c r="R1394">
        <v>1422</v>
      </c>
      <c r="S1394">
        <v>8</v>
      </c>
      <c r="T1394">
        <v>0.4</v>
      </c>
      <c r="U1394">
        <v>-735</v>
      </c>
      <c r="V1394" s="1" t="s">
        <v>73</v>
      </c>
      <c r="W1394" s="1" t="s">
        <v>51</v>
      </c>
    </row>
    <row r="1395" spans="1:23" x14ac:dyDescent="0.35">
      <c r="A1395">
        <v>6647</v>
      </c>
      <c r="B1395" s="1" t="s">
        <v>3538</v>
      </c>
      <c r="C1395" s="2">
        <v>42719</v>
      </c>
      <c r="D1395" s="2">
        <v>42725</v>
      </c>
      <c r="E1395" s="1" t="s">
        <v>42</v>
      </c>
      <c r="F1395" s="1" t="s">
        <v>1354</v>
      </c>
      <c r="G1395" s="1" t="s">
        <v>1355</v>
      </c>
      <c r="H1395" s="1" t="s">
        <v>103</v>
      </c>
      <c r="I1395" s="1" t="s">
        <v>28</v>
      </c>
      <c r="J1395" s="1" t="s">
        <v>881</v>
      </c>
      <c r="K1395" s="1" t="s">
        <v>1520</v>
      </c>
      <c r="L1395">
        <v>97477</v>
      </c>
      <c r="M1395" s="1" t="s">
        <v>57</v>
      </c>
      <c r="N1395" s="1" t="s">
        <v>309</v>
      </c>
      <c r="O1395" s="1" t="s">
        <v>33</v>
      </c>
      <c r="P1395" s="1" t="s">
        <v>48</v>
      </c>
      <c r="Q1395" s="1" t="s">
        <v>310</v>
      </c>
      <c r="R1395">
        <v>564</v>
      </c>
      <c r="S1395">
        <v>3</v>
      </c>
      <c r="T1395">
        <v>0.5</v>
      </c>
      <c r="U1395">
        <v>-305</v>
      </c>
      <c r="V1395" s="1" t="s">
        <v>132</v>
      </c>
      <c r="W1395" s="1" t="s">
        <v>99</v>
      </c>
    </row>
    <row r="1396" spans="1:23" x14ac:dyDescent="0.35">
      <c r="A1396">
        <v>6652</v>
      </c>
      <c r="B1396" s="1" t="s">
        <v>3539</v>
      </c>
      <c r="C1396" s="2">
        <v>42986</v>
      </c>
      <c r="D1396" s="2">
        <v>42989</v>
      </c>
      <c r="E1396" s="1" t="s">
        <v>90</v>
      </c>
      <c r="F1396" s="1" t="s">
        <v>1859</v>
      </c>
      <c r="G1396" s="1" t="s">
        <v>1860</v>
      </c>
      <c r="H1396" s="1" t="s">
        <v>93</v>
      </c>
      <c r="I1396" s="1" t="s">
        <v>28</v>
      </c>
      <c r="J1396" s="1" t="s">
        <v>692</v>
      </c>
      <c r="K1396" s="1" t="s">
        <v>95</v>
      </c>
      <c r="L1396">
        <v>76017</v>
      </c>
      <c r="M1396" s="1" t="s">
        <v>96</v>
      </c>
      <c r="N1396" s="1" t="s">
        <v>946</v>
      </c>
      <c r="O1396" s="1" t="s">
        <v>33</v>
      </c>
      <c r="P1396" s="1" t="s">
        <v>59</v>
      </c>
      <c r="Q1396" s="1" t="s">
        <v>947</v>
      </c>
      <c r="R1396">
        <v>21</v>
      </c>
      <c r="S1396">
        <v>2</v>
      </c>
      <c r="T1396">
        <v>0.6</v>
      </c>
      <c r="U1396">
        <v>-12</v>
      </c>
      <c r="V1396" s="1" t="s">
        <v>36</v>
      </c>
      <c r="W1396" s="1" t="s">
        <v>80</v>
      </c>
    </row>
    <row r="1397" spans="1:23" x14ac:dyDescent="0.35">
      <c r="A1397">
        <v>6654</v>
      </c>
      <c r="B1397" s="1" t="s">
        <v>3539</v>
      </c>
      <c r="C1397" s="2">
        <v>42986</v>
      </c>
      <c r="D1397" s="2">
        <v>42989</v>
      </c>
      <c r="E1397" s="1" t="s">
        <v>90</v>
      </c>
      <c r="F1397" s="1" t="s">
        <v>1859</v>
      </c>
      <c r="G1397" s="1" t="s">
        <v>1860</v>
      </c>
      <c r="H1397" s="1" t="s">
        <v>93</v>
      </c>
      <c r="I1397" s="1" t="s">
        <v>28</v>
      </c>
      <c r="J1397" s="1" t="s">
        <v>692</v>
      </c>
      <c r="K1397" s="1" t="s">
        <v>95</v>
      </c>
      <c r="L1397">
        <v>76017</v>
      </c>
      <c r="M1397" s="1" t="s">
        <v>96</v>
      </c>
      <c r="N1397" s="1" t="s">
        <v>2431</v>
      </c>
      <c r="O1397" s="1" t="s">
        <v>33</v>
      </c>
      <c r="P1397" s="1" t="s">
        <v>39</v>
      </c>
      <c r="Q1397" s="1" t="s">
        <v>2432</v>
      </c>
      <c r="R1397">
        <v>213</v>
      </c>
      <c r="S1397">
        <v>5</v>
      </c>
      <c r="T1397">
        <v>0.3</v>
      </c>
      <c r="U1397">
        <v>-40</v>
      </c>
      <c r="V1397" s="1" t="s">
        <v>36</v>
      </c>
      <c r="W1397" s="1" t="s">
        <v>80</v>
      </c>
    </row>
    <row r="1398" spans="1:23" x14ac:dyDescent="0.35">
      <c r="A1398">
        <v>6659</v>
      </c>
      <c r="B1398" s="1" t="s">
        <v>3540</v>
      </c>
      <c r="C1398" s="2">
        <v>42786</v>
      </c>
      <c r="D1398" s="2">
        <v>42793</v>
      </c>
      <c r="E1398" s="1" t="s">
        <v>42</v>
      </c>
      <c r="F1398" s="1" t="s">
        <v>2298</v>
      </c>
      <c r="G1398" s="1" t="s">
        <v>2299</v>
      </c>
      <c r="H1398" s="1" t="s">
        <v>103</v>
      </c>
      <c r="I1398" s="1" t="s">
        <v>28</v>
      </c>
      <c r="J1398" s="1" t="s">
        <v>2036</v>
      </c>
      <c r="K1398" s="1" t="s">
        <v>523</v>
      </c>
      <c r="L1398">
        <v>85234</v>
      </c>
      <c r="M1398" s="1" t="s">
        <v>57</v>
      </c>
      <c r="N1398" s="1" t="s">
        <v>748</v>
      </c>
      <c r="O1398" s="1" t="s">
        <v>33</v>
      </c>
      <c r="P1398" s="1" t="s">
        <v>59</v>
      </c>
      <c r="Q1398" s="1" t="s">
        <v>749</v>
      </c>
      <c r="R1398">
        <v>69</v>
      </c>
      <c r="S1398">
        <v>2</v>
      </c>
      <c r="T1398">
        <v>0.2</v>
      </c>
      <c r="U1398">
        <v>16</v>
      </c>
      <c r="V1398" s="1" t="s">
        <v>50</v>
      </c>
      <c r="W1398" s="1" t="s">
        <v>300</v>
      </c>
    </row>
    <row r="1399" spans="1:23" x14ac:dyDescent="0.35">
      <c r="A1399">
        <v>6660</v>
      </c>
      <c r="B1399" s="1" t="s">
        <v>3540</v>
      </c>
      <c r="C1399" s="2">
        <v>42786</v>
      </c>
      <c r="D1399" s="2">
        <v>42793</v>
      </c>
      <c r="E1399" s="1" t="s">
        <v>42</v>
      </c>
      <c r="F1399" s="1" t="s">
        <v>2298</v>
      </c>
      <c r="G1399" s="1" t="s">
        <v>2299</v>
      </c>
      <c r="H1399" s="1" t="s">
        <v>103</v>
      </c>
      <c r="I1399" s="1" t="s">
        <v>28</v>
      </c>
      <c r="J1399" s="1" t="s">
        <v>2036</v>
      </c>
      <c r="K1399" s="1" t="s">
        <v>523</v>
      </c>
      <c r="L1399">
        <v>85234</v>
      </c>
      <c r="M1399" s="1" t="s">
        <v>57</v>
      </c>
      <c r="N1399" s="1" t="s">
        <v>1262</v>
      </c>
      <c r="O1399" s="1" t="s">
        <v>33</v>
      </c>
      <c r="P1399" s="1" t="s">
        <v>48</v>
      </c>
      <c r="Q1399" s="1" t="s">
        <v>1066</v>
      </c>
      <c r="R1399">
        <v>387</v>
      </c>
      <c r="S1399">
        <v>9</v>
      </c>
      <c r="T1399">
        <v>0.5</v>
      </c>
      <c r="U1399">
        <v>-186</v>
      </c>
      <c r="V1399" s="1" t="s">
        <v>50</v>
      </c>
      <c r="W1399" s="1" t="s">
        <v>300</v>
      </c>
    </row>
    <row r="1400" spans="1:23" x14ac:dyDescent="0.35">
      <c r="A1400">
        <v>6664</v>
      </c>
      <c r="B1400" s="1" t="s">
        <v>3541</v>
      </c>
      <c r="C1400" s="2">
        <v>43034</v>
      </c>
      <c r="D1400" s="2">
        <v>43040</v>
      </c>
      <c r="E1400" s="1" t="s">
        <v>42</v>
      </c>
      <c r="F1400" s="1" t="s">
        <v>613</v>
      </c>
      <c r="G1400" s="1" t="s">
        <v>614</v>
      </c>
      <c r="H1400" s="1" t="s">
        <v>27</v>
      </c>
      <c r="I1400" s="1" t="s">
        <v>28</v>
      </c>
      <c r="J1400" s="1" t="s">
        <v>3542</v>
      </c>
      <c r="K1400" s="1" t="s">
        <v>719</v>
      </c>
      <c r="L1400">
        <v>23464</v>
      </c>
      <c r="M1400" s="1" t="s">
        <v>31</v>
      </c>
      <c r="N1400" s="1" t="s">
        <v>910</v>
      </c>
      <c r="O1400" s="1" t="s">
        <v>33</v>
      </c>
      <c r="P1400" s="1" t="s">
        <v>48</v>
      </c>
      <c r="Q1400" s="1" t="s">
        <v>911</v>
      </c>
      <c r="R1400">
        <v>357</v>
      </c>
      <c r="S1400">
        <v>5</v>
      </c>
      <c r="T1400">
        <v>0</v>
      </c>
      <c r="U1400">
        <v>61</v>
      </c>
      <c r="V1400" s="1" t="s">
        <v>132</v>
      </c>
      <c r="W1400" s="1" t="s">
        <v>51</v>
      </c>
    </row>
    <row r="1401" spans="1:23" x14ac:dyDescent="0.35">
      <c r="A1401">
        <v>6667</v>
      </c>
      <c r="B1401" s="1" t="s">
        <v>3543</v>
      </c>
      <c r="C1401" s="2">
        <v>42867</v>
      </c>
      <c r="D1401" s="2">
        <v>42869</v>
      </c>
      <c r="E1401" s="1" t="s">
        <v>24</v>
      </c>
      <c r="F1401" s="1" t="s">
        <v>621</v>
      </c>
      <c r="G1401" s="1" t="s">
        <v>622</v>
      </c>
      <c r="H1401" s="1" t="s">
        <v>27</v>
      </c>
      <c r="I1401" s="1" t="s">
        <v>28</v>
      </c>
      <c r="J1401" s="1" t="s">
        <v>1298</v>
      </c>
      <c r="K1401" s="1" t="s">
        <v>365</v>
      </c>
      <c r="L1401">
        <v>8360</v>
      </c>
      <c r="M1401" s="1" t="s">
        <v>70</v>
      </c>
      <c r="N1401" s="1" t="s">
        <v>2904</v>
      </c>
      <c r="O1401" s="1" t="s">
        <v>33</v>
      </c>
      <c r="P1401" s="1" t="s">
        <v>59</v>
      </c>
      <c r="Q1401" s="1" t="s">
        <v>2905</v>
      </c>
      <c r="R1401">
        <v>43</v>
      </c>
      <c r="S1401">
        <v>5</v>
      </c>
      <c r="T1401">
        <v>0</v>
      </c>
      <c r="U1401">
        <v>15</v>
      </c>
      <c r="V1401" s="1" t="s">
        <v>73</v>
      </c>
      <c r="W1401" s="1" t="s">
        <v>164</v>
      </c>
    </row>
    <row r="1402" spans="1:23" x14ac:dyDescent="0.35">
      <c r="A1402">
        <v>6674</v>
      </c>
      <c r="B1402" s="1" t="s">
        <v>3544</v>
      </c>
      <c r="C1402" s="2">
        <v>42252</v>
      </c>
      <c r="D1402" s="2">
        <v>42259</v>
      </c>
      <c r="E1402" s="1" t="s">
        <v>42</v>
      </c>
      <c r="F1402" s="1" t="s">
        <v>3545</v>
      </c>
      <c r="G1402" s="1" t="s">
        <v>3546</v>
      </c>
      <c r="H1402" s="1" t="s">
        <v>103</v>
      </c>
      <c r="I1402" s="1" t="s">
        <v>28</v>
      </c>
      <c r="J1402" s="1" t="s">
        <v>3547</v>
      </c>
      <c r="K1402" s="1" t="s">
        <v>719</v>
      </c>
      <c r="L1402">
        <v>22901</v>
      </c>
      <c r="M1402" s="1" t="s">
        <v>31</v>
      </c>
      <c r="N1402" s="1" t="s">
        <v>3548</v>
      </c>
      <c r="O1402" s="1" t="s">
        <v>33</v>
      </c>
      <c r="P1402" s="1" t="s">
        <v>59</v>
      </c>
      <c r="Q1402" s="1" t="s">
        <v>3549</v>
      </c>
      <c r="R1402">
        <v>68</v>
      </c>
      <c r="S1402">
        <v>4</v>
      </c>
      <c r="T1402">
        <v>0</v>
      </c>
      <c r="U1402">
        <v>12</v>
      </c>
      <c r="V1402" s="1" t="s">
        <v>50</v>
      </c>
      <c r="W1402" s="1" t="s">
        <v>80</v>
      </c>
    </row>
    <row r="1403" spans="1:23" x14ac:dyDescent="0.35">
      <c r="A1403">
        <v>6679</v>
      </c>
      <c r="B1403" s="1" t="s">
        <v>3550</v>
      </c>
      <c r="C1403" s="2">
        <v>41922</v>
      </c>
      <c r="D1403" s="2">
        <v>41926</v>
      </c>
      <c r="E1403" s="1" t="s">
        <v>42</v>
      </c>
      <c r="F1403" s="1" t="s">
        <v>1260</v>
      </c>
      <c r="G1403" s="1" t="s">
        <v>1261</v>
      </c>
      <c r="H1403" s="1" t="s">
        <v>103</v>
      </c>
      <c r="I1403" s="1" t="s">
        <v>28</v>
      </c>
      <c r="J1403" s="1" t="s">
        <v>522</v>
      </c>
      <c r="K1403" s="1" t="s">
        <v>523</v>
      </c>
      <c r="L1403">
        <v>85023</v>
      </c>
      <c r="M1403" s="1" t="s">
        <v>57</v>
      </c>
      <c r="N1403" s="1" t="s">
        <v>1150</v>
      </c>
      <c r="O1403" s="1" t="s">
        <v>33</v>
      </c>
      <c r="P1403" s="1" t="s">
        <v>59</v>
      </c>
      <c r="Q1403" s="1" t="s">
        <v>1151</v>
      </c>
      <c r="R1403">
        <v>47</v>
      </c>
      <c r="S1403">
        <v>7</v>
      </c>
      <c r="T1403">
        <v>0.2</v>
      </c>
      <c r="U1403">
        <v>4</v>
      </c>
      <c r="V1403" s="1" t="s">
        <v>86</v>
      </c>
      <c r="W1403" s="1" t="s">
        <v>51</v>
      </c>
    </row>
    <row r="1404" spans="1:23" x14ac:dyDescent="0.35">
      <c r="A1404">
        <v>6684</v>
      </c>
      <c r="B1404" s="1" t="s">
        <v>3551</v>
      </c>
      <c r="C1404" s="2">
        <v>41948</v>
      </c>
      <c r="D1404" s="2">
        <v>41953</v>
      </c>
      <c r="E1404" s="1" t="s">
        <v>42</v>
      </c>
      <c r="F1404" s="1" t="s">
        <v>2446</v>
      </c>
      <c r="G1404" s="1" t="s">
        <v>2447</v>
      </c>
      <c r="H1404" s="1" t="s">
        <v>103</v>
      </c>
      <c r="I1404" s="1" t="s">
        <v>28</v>
      </c>
      <c r="J1404" s="1" t="s">
        <v>55</v>
      </c>
      <c r="K1404" s="1" t="s">
        <v>56</v>
      </c>
      <c r="L1404">
        <v>90008</v>
      </c>
      <c r="M1404" s="1" t="s">
        <v>57</v>
      </c>
      <c r="N1404" s="1" t="s">
        <v>2428</v>
      </c>
      <c r="O1404" s="1" t="s">
        <v>33</v>
      </c>
      <c r="P1404" s="1" t="s">
        <v>59</v>
      </c>
      <c r="Q1404" s="1" t="s">
        <v>2429</v>
      </c>
      <c r="R1404">
        <v>20</v>
      </c>
      <c r="S1404">
        <v>6</v>
      </c>
      <c r="T1404">
        <v>0</v>
      </c>
      <c r="U1404">
        <v>9</v>
      </c>
      <c r="V1404" s="1" t="s">
        <v>61</v>
      </c>
      <c r="W1404" s="1" t="s">
        <v>37</v>
      </c>
    </row>
    <row r="1405" spans="1:23" x14ac:dyDescent="0.35">
      <c r="A1405">
        <v>6686</v>
      </c>
      <c r="B1405" s="1" t="s">
        <v>3552</v>
      </c>
      <c r="C1405" s="2">
        <v>42355</v>
      </c>
      <c r="D1405" s="2">
        <v>42360</v>
      </c>
      <c r="E1405" s="1" t="s">
        <v>42</v>
      </c>
      <c r="F1405" s="1" t="s">
        <v>1375</v>
      </c>
      <c r="G1405" s="1" t="s">
        <v>1376</v>
      </c>
      <c r="H1405" s="1" t="s">
        <v>27</v>
      </c>
      <c r="I1405" s="1" t="s">
        <v>28</v>
      </c>
      <c r="J1405" s="1" t="s">
        <v>214</v>
      </c>
      <c r="K1405" s="1" t="s">
        <v>137</v>
      </c>
      <c r="L1405">
        <v>61701</v>
      </c>
      <c r="M1405" s="1" t="s">
        <v>96</v>
      </c>
      <c r="N1405" s="1" t="s">
        <v>882</v>
      </c>
      <c r="O1405" s="1" t="s">
        <v>33</v>
      </c>
      <c r="P1405" s="1" t="s">
        <v>59</v>
      </c>
      <c r="Q1405" s="1" t="s">
        <v>883</v>
      </c>
      <c r="R1405">
        <v>42</v>
      </c>
      <c r="S1405">
        <v>2</v>
      </c>
      <c r="T1405">
        <v>0.6</v>
      </c>
      <c r="U1405">
        <v>-20</v>
      </c>
      <c r="V1405" s="1" t="s">
        <v>61</v>
      </c>
      <c r="W1405" s="1" t="s">
        <v>99</v>
      </c>
    </row>
    <row r="1406" spans="1:23" x14ac:dyDescent="0.35">
      <c r="A1406">
        <v>6700</v>
      </c>
      <c r="B1406" s="1" t="s">
        <v>3553</v>
      </c>
      <c r="C1406" s="2">
        <v>42937</v>
      </c>
      <c r="D1406" s="2">
        <v>42941</v>
      </c>
      <c r="E1406" s="1" t="s">
        <v>42</v>
      </c>
      <c r="F1406" s="1" t="s">
        <v>1906</v>
      </c>
      <c r="G1406" s="1" t="s">
        <v>1907</v>
      </c>
      <c r="H1406" s="1" t="s">
        <v>27</v>
      </c>
      <c r="I1406" s="1" t="s">
        <v>28</v>
      </c>
      <c r="J1406" s="1" t="s">
        <v>642</v>
      </c>
      <c r="K1406" s="1" t="s">
        <v>56</v>
      </c>
      <c r="L1406">
        <v>92024</v>
      </c>
      <c r="M1406" s="1" t="s">
        <v>57</v>
      </c>
      <c r="N1406" s="1" t="s">
        <v>1535</v>
      </c>
      <c r="O1406" s="1" t="s">
        <v>33</v>
      </c>
      <c r="P1406" s="1" t="s">
        <v>39</v>
      </c>
      <c r="Q1406" s="1" t="s">
        <v>1536</v>
      </c>
      <c r="R1406">
        <v>225</v>
      </c>
      <c r="S1406">
        <v>2</v>
      </c>
      <c r="T1406">
        <v>0.2</v>
      </c>
      <c r="U1406">
        <v>23</v>
      </c>
      <c r="V1406" s="1" t="s">
        <v>86</v>
      </c>
      <c r="W1406" s="1" t="s">
        <v>74</v>
      </c>
    </row>
    <row r="1407" spans="1:23" x14ac:dyDescent="0.35">
      <c r="A1407">
        <v>6702</v>
      </c>
      <c r="B1407" s="1" t="s">
        <v>3554</v>
      </c>
      <c r="C1407" s="2">
        <v>42144</v>
      </c>
      <c r="D1407" s="2">
        <v>42148</v>
      </c>
      <c r="E1407" s="1" t="s">
        <v>42</v>
      </c>
      <c r="F1407" s="1" t="s">
        <v>1371</v>
      </c>
      <c r="G1407" s="1" t="s">
        <v>1372</v>
      </c>
      <c r="H1407" s="1" t="s">
        <v>27</v>
      </c>
      <c r="I1407" s="1" t="s">
        <v>28</v>
      </c>
      <c r="J1407" s="1" t="s">
        <v>3555</v>
      </c>
      <c r="K1407" s="1" t="s">
        <v>1039</v>
      </c>
      <c r="L1407">
        <v>27893</v>
      </c>
      <c r="M1407" s="1" t="s">
        <v>31</v>
      </c>
      <c r="N1407" s="1" t="s">
        <v>1540</v>
      </c>
      <c r="O1407" s="1" t="s">
        <v>33</v>
      </c>
      <c r="P1407" s="1" t="s">
        <v>59</v>
      </c>
      <c r="Q1407" s="1" t="s">
        <v>1541</v>
      </c>
      <c r="R1407">
        <v>163</v>
      </c>
      <c r="S1407">
        <v>4</v>
      </c>
      <c r="T1407">
        <v>0.2</v>
      </c>
      <c r="U1407">
        <v>20</v>
      </c>
      <c r="V1407" s="1" t="s">
        <v>86</v>
      </c>
      <c r="W1407" s="1" t="s">
        <v>164</v>
      </c>
    </row>
    <row r="1408" spans="1:23" x14ac:dyDescent="0.35">
      <c r="A1408">
        <v>6709</v>
      </c>
      <c r="B1408" s="1" t="s">
        <v>3556</v>
      </c>
      <c r="C1408" s="2">
        <v>42322</v>
      </c>
      <c r="D1408" s="2">
        <v>42327</v>
      </c>
      <c r="E1408" s="1" t="s">
        <v>42</v>
      </c>
      <c r="F1408" s="1" t="s">
        <v>2793</v>
      </c>
      <c r="G1408" s="1" t="s">
        <v>2794</v>
      </c>
      <c r="H1408" s="1" t="s">
        <v>27</v>
      </c>
      <c r="I1408" s="1" t="s">
        <v>28</v>
      </c>
      <c r="J1408" s="1" t="s">
        <v>3557</v>
      </c>
      <c r="K1408" s="1" t="s">
        <v>1899</v>
      </c>
      <c r="L1408">
        <v>87124</v>
      </c>
      <c r="M1408" s="1" t="s">
        <v>57</v>
      </c>
      <c r="N1408" s="1" t="s">
        <v>249</v>
      </c>
      <c r="O1408" s="1" t="s">
        <v>33</v>
      </c>
      <c r="P1408" s="1" t="s">
        <v>39</v>
      </c>
      <c r="Q1408" s="1" t="s">
        <v>250</v>
      </c>
      <c r="R1408">
        <v>884</v>
      </c>
      <c r="S1408">
        <v>4</v>
      </c>
      <c r="T1408">
        <v>0.2</v>
      </c>
      <c r="U1408">
        <v>99</v>
      </c>
      <c r="V1408" s="1" t="s">
        <v>61</v>
      </c>
      <c r="W1408" s="1" t="s">
        <v>37</v>
      </c>
    </row>
    <row r="1409" spans="1:23" x14ac:dyDescent="0.35">
      <c r="A1409">
        <v>6710</v>
      </c>
      <c r="B1409" s="1" t="s">
        <v>3556</v>
      </c>
      <c r="C1409" s="2">
        <v>42322</v>
      </c>
      <c r="D1409" s="2">
        <v>42327</v>
      </c>
      <c r="E1409" s="1" t="s">
        <v>42</v>
      </c>
      <c r="F1409" s="1" t="s">
        <v>2793</v>
      </c>
      <c r="G1409" s="1" t="s">
        <v>2794</v>
      </c>
      <c r="H1409" s="1" t="s">
        <v>27</v>
      </c>
      <c r="I1409" s="1" t="s">
        <v>28</v>
      </c>
      <c r="J1409" s="1" t="s">
        <v>3557</v>
      </c>
      <c r="K1409" s="1" t="s">
        <v>1899</v>
      </c>
      <c r="L1409">
        <v>87124</v>
      </c>
      <c r="M1409" s="1" t="s">
        <v>57</v>
      </c>
      <c r="N1409" s="1" t="s">
        <v>359</v>
      </c>
      <c r="O1409" s="1" t="s">
        <v>33</v>
      </c>
      <c r="P1409" s="1" t="s">
        <v>39</v>
      </c>
      <c r="Q1409" s="1" t="s">
        <v>360</v>
      </c>
      <c r="R1409">
        <v>230</v>
      </c>
      <c r="S1409">
        <v>3</v>
      </c>
      <c r="T1409">
        <v>0.2</v>
      </c>
      <c r="U1409">
        <v>20</v>
      </c>
      <c r="V1409" s="1" t="s">
        <v>61</v>
      </c>
      <c r="W1409" s="1" t="s">
        <v>37</v>
      </c>
    </row>
    <row r="1410" spans="1:23" x14ac:dyDescent="0.35">
      <c r="A1410">
        <v>6713</v>
      </c>
      <c r="B1410" s="1" t="s">
        <v>3558</v>
      </c>
      <c r="C1410" s="2">
        <v>43083</v>
      </c>
      <c r="D1410" s="2">
        <v>43083</v>
      </c>
      <c r="E1410" s="1" t="s">
        <v>428</v>
      </c>
      <c r="F1410" s="1" t="s">
        <v>243</v>
      </c>
      <c r="G1410" s="1" t="s">
        <v>244</v>
      </c>
      <c r="H1410" s="1" t="s">
        <v>27</v>
      </c>
      <c r="I1410" s="1" t="s">
        <v>28</v>
      </c>
      <c r="J1410" s="1" t="s">
        <v>2212</v>
      </c>
      <c r="K1410" s="1" t="s">
        <v>137</v>
      </c>
      <c r="L1410">
        <v>60076</v>
      </c>
      <c r="M1410" s="1" t="s">
        <v>96</v>
      </c>
      <c r="N1410" s="1" t="s">
        <v>1856</v>
      </c>
      <c r="O1410" s="1" t="s">
        <v>33</v>
      </c>
      <c r="P1410" s="1" t="s">
        <v>59</v>
      </c>
      <c r="Q1410" s="1" t="s">
        <v>1857</v>
      </c>
      <c r="R1410">
        <v>266</v>
      </c>
      <c r="S1410">
        <v>6</v>
      </c>
      <c r="T1410">
        <v>0.6</v>
      </c>
      <c r="U1410">
        <v>-293</v>
      </c>
      <c r="V1410" s="1" t="s">
        <v>433</v>
      </c>
      <c r="W1410" s="1" t="s">
        <v>99</v>
      </c>
    </row>
    <row r="1411" spans="1:23" x14ac:dyDescent="0.35">
      <c r="A1411">
        <v>6714</v>
      </c>
      <c r="B1411" s="1" t="s">
        <v>3558</v>
      </c>
      <c r="C1411" s="2">
        <v>43083</v>
      </c>
      <c r="D1411" s="2">
        <v>43083</v>
      </c>
      <c r="E1411" s="1" t="s">
        <v>428</v>
      </c>
      <c r="F1411" s="1" t="s">
        <v>243</v>
      </c>
      <c r="G1411" s="1" t="s">
        <v>244</v>
      </c>
      <c r="H1411" s="1" t="s">
        <v>27</v>
      </c>
      <c r="I1411" s="1" t="s">
        <v>28</v>
      </c>
      <c r="J1411" s="1" t="s">
        <v>2212</v>
      </c>
      <c r="K1411" s="1" t="s">
        <v>137</v>
      </c>
      <c r="L1411">
        <v>60076</v>
      </c>
      <c r="M1411" s="1" t="s">
        <v>96</v>
      </c>
      <c r="N1411" s="1" t="s">
        <v>357</v>
      </c>
      <c r="O1411" s="1" t="s">
        <v>33</v>
      </c>
      <c r="P1411" s="1" t="s">
        <v>59</v>
      </c>
      <c r="Q1411" s="1" t="s">
        <v>358</v>
      </c>
      <c r="R1411">
        <v>56</v>
      </c>
      <c r="S1411">
        <v>3</v>
      </c>
      <c r="T1411">
        <v>0.6</v>
      </c>
      <c r="U1411">
        <v>-27</v>
      </c>
      <c r="V1411" s="1" t="s">
        <v>433</v>
      </c>
      <c r="W1411" s="1" t="s">
        <v>99</v>
      </c>
    </row>
    <row r="1412" spans="1:23" x14ac:dyDescent="0.35">
      <c r="A1412">
        <v>6719</v>
      </c>
      <c r="B1412" s="1" t="s">
        <v>3559</v>
      </c>
      <c r="C1412" s="2">
        <v>42468</v>
      </c>
      <c r="D1412" s="2">
        <v>42475</v>
      </c>
      <c r="E1412" s="1" t="s">
        <v>42</v>
      </c>
      <c r="F1412" s="1" t="s">
        <v>751</v>
      </c>
      <c r="G1412" s="1" t="s">
        <v>752</v>
      </c>
      <c r="H1412" s="1" t="s">
        <v>103</v>
      </c>
      <c r="I1412" s="1" t="s">
        <v>28</v>
      </c>
      <c r="J1412" s="1" t="s">
        <v>3560</v>
      </c>
      <c r="K1412" s="1" t="s">
        <v>1061</v>
      </c>
      <c r="L1412">
        <v>71901</v>
      </c>
      <c r="M1412" s="1" t="s">
        <v>31</v>
      </c>
      <c r="N1412" s="1" t="s">
        <v>1126</v>
      </c>
      <c r="O1412" s="1" t="s">
        <v>33</v>
      </c>
      <c r="P1412" s="1" t="s">
        <v>59</v>
      </c>
      <c r="Q1412" s="1" t="s">
        <v>1127</v>
      </c>
      <c r="R1412">
        <v>160</v>
      </c>
      <c r="S1412">
        <v>4</v>
      </c>
      <c r="T1412">
        <v>0</v>
      </c>
      <c r="U1412">
        <v>32</v>
      </c>
      <c r="V1412" s="1" t="s">
        <v>50</v>
      </c>
      <c r="W1412" s="1" t="s">
        <v>116</v>
      </c>
    </row>
    <row r="1413" spans="1:23" x14ac:dyDescent="0.35">
      <c r="A1413">
        <v>6729</v>
      </c>
      <c r="B1413" s="1" t="s">
        <v>3561</v>
      </c>
      <c r="C1413" s="2">
        <v>42678</v>
      </c>
      <c r="D1413" s="2">
        <v>42683</v>
      </c>
      <c r="E1413" s="1" t="s">
        <v>42</v>
      </c>
      <c r="F1413" s="1" t="s">
        <v>2532</v>
      </c>
      <c r="G1413" s="1" t="s">
        <v>2533</v>
      </c>
      <c r="H1413" s="1" t="s">
        <v>93</v>
      </c>
      <c r="I1413" s="1" t="s">
        <v>28</v>
      </c>
      <c r="J1413" s="1" t="s">
        <v>1009</v>
      </c>
      <c r="K1413" s="1" t="s">
        <v>46</v>
      </c>
      <c r="L1413">
        <v>33180</v>
      </c>
      <c r="M1413" s="1" t="s">
        <v>31</v>
      </c>
      <c r="N1413" s="1" t="s">
        <v>1580</v>
      </c>
      <c r="O1413" s="1" t="s">
        <v>33</v>
      </c>
      <c r="P1413" s="1" t="s">
        <v>59</v>
      </c>
      <c r="Q1413" s="1" t="s">
        <v>1581</v>
      </c>
      <c r="R1413">
        <v>50</v>
      </c>
      <c r="S1413">
        <v>6</v>
      </c>
      <c r="T1413">
        <v>0.2</v>
      </c>
      <c r="U1413">
        <v>8</v>
      </c>
      <c r="V1413" s="1" t="s">
        <v>61</v>
      </c>
      <c r="W1413" s="1" t="s">
        <v>37</v>
      </c>
    </row>
    <row r="1414" spans="1:23" x14ac:dyDescent="0.35">
      <c r="A1414">
        <v>6731</v>
      </c>
      <c r="B1414" s="1" t="s">
        <v>3562</v>
      </c>
      <c r="C1414" s="2">
        <v>42173</v>
      </c>
      <c r="D1414" s="2">
        <v>42175</v>
      </c>
      <c r="E1414" s="1" t="s">
        <v>90</v>
      </c>
      <c r="F1414" s="1" t="s">
        <v>801</v>
      </c>
      <c r="G1414" s="1" t="s">
        <v>802</v>
      </c>
      <c r="H1414" s="1" t="s">
        <v>93</v>
      </c>
      <c r="I1414" s="1" t="s">
        <v>28</v>
      </c>
      <c r="J1414" s="1" t="s">
        <v>1245</v>
      </c>
      <c r="K1414" s="1" t="s">
        <v>144</v>
      </c>
      <c r="L1414">
        <v>37167</v>
      </c>
      <c r="M1414" s="1" t="s">
        <v>31</v>
      </c>
      <c r="N1414" s="1" t="s">
        <v>332</v>
      </c>
      <c r="O1414" s="1" t="s">
        <v>33</v>
      </c>
      <c r="P1414" s="1" t="s">
        <v>39</v>
      </c>
      <c r="Q1414" s="1" t="s">
        <v>333</v>
      </c>
      <c r="R1414">
        <v>643</v>
      </c>
      <c r="S1414">
        <v>4</v>
      </c>
      <c r="T1414">
        <v>0.2</v>
      </c>
      <c r="U1414">
        <v>56</v>
      </c>
      <c r="V1414" s="1" t="s">
        <v>73</v>
      </c>
      <c r="W1414" s="1" t="s">
        <v>62</v>
      </c>
    </row>
    <row r="1415" spans="1:23" x14ac:dyDescent="0.35">
      <c r="A1415">
        <v>6741</v>
      </c>
      <c r="B1415" s="1" t="s">
        <v>3563</v>
      </c>
      <c r="C1415" s="2">
        <v>41785</v>
      </c>
      <c r="D1415" s="2">
        <v>41790</v>
      </c>
      <c r="E1415" s="1" t="s">
        <v>42</v>
      </c>
      <c r="F1415" s="1" t="s">
        <v>1444</v>
      </c>
      <c r="G1415" s="1" t="s">
        <v>1445</v>
      </c>
      <c r="H1415" s="1" t="s">
        <v>27</v>
      </c>
      <c r="I1415" s="1" t="s">
        <v>28</v>
      </c>
      <c r="J1415" s="1" t="s">
        <v>136</v>
      </c>
      <c r="K1415" s="1" t="s">
        <v>137</v>
      </c>
      <c r="L1415">
        <v>60623</v>
      </c>
      <c r="M1415" s="1" t="s">
        <v>96</v>
      </c>
      <c r="N1415" s="1" t="s">
        <v>1603</v>
      </c>
      <c r="O1415" s="1" t="s">
        <v>33</v>
      </c>
      <c r="P1415" s="1" t="s">
        <v>39</v>
      </c>
      <c r="Q1415" s="1" t="s">
        <v>1604</v>
      </c>
      <c r="R1415">
        <v>360</v>
      </c>
      <c r="S1415">
        <v>2</v>
      </c>
      <c r="T1415">
        <v>0.3</v>
      </c>
      <c r="U1415">
        <v>-5</v>
      </c>
      <c r="V1415" s="1" t="s">
        <v>61</v>
      </c>
      <c r="W1415" s="1" t="s">
        <v>164</v>
      </c>
    </row>
    <row r="1416" spans="1:23" x14ac:dyDescent="0.35">
      <c r="A1416">
        <v>6743</v>
      </c>
      <c r="B1416" s="1" t="s">
        <v>3564</v>
      </c>
      <c r="C1416" s="2">
        <v>42922</v>
      </c>
      <c r="D1416" s="2">
        <v>42927</v>
      </c>
      <c r="E1416" s="1" t="s">
        <v>42</v>
      </c>
      <c r="F1416" s="1" t="s">
        <v>406</v>
      </c>
      <c r="G1416" s="1" t="s">
        <v>407</v>
      </c>
      <c r="H1416" s="1" t="s">
        <v>27</v>
      </c>
      <c r="I1416" s="1" t="s">
        <v>28</v>
      </c>
      <c r="J1416" s="1" t="s">
        <v>55</v>
      </c>
      <c r="K1416" s="1" t="s">
        <v>56</v>
      </c>
      <c r="L1416">
        <v>90008</v>
      </c>
      <c r="M1416" s="1" t="s">
        <v>57</v>
      </c>
      <c r="N1416" s="1" t="s">
        <v>138</v>
      </c>
      <c r="O1416" s="1" t="s">
        <v>33</v>
      </c>
      <c r="P1416" s="1" t="s">
        <v>39</v>
      </c>
      <c r="Q1416" s="1" t="s">
        <v>220</v>
      </c>
      <c r="R1416">
        <v>122</v>
      </c>
      <c r="S1416">
        <v>3</v>
      </c>
      <c r="T1416">
        <v>0.2</v>
      </c>
      <c r="U1416">
        <v>-14</v>
      </c>
      <c r="V1416" s="1" t="s">
        <v>61</v>
      </c>
      <c r="W1416" s="1" t="s">
        <v>74</v>
      </c>
    </row>
    <row r="1417" spans="1:23" x14ac:dyDescent="0.35">
      <c r="A1417">
        <v>6751</v>
      </c>
      <c r="B1417" s="1" t="s">
        <v>3565</v>
      </c>
      <c r="C1417" s="2">
        <v>42549</v>
      </c>
      <c r="D1417" s="2">
        <v>42551</v>
      </c>
      <c r="E1417" s="1" t="s">
        <v>24</v>
      </c>
      <c r="F1417" s="1" t="s">
        <v>2175</v>
      </c>
      <c r="G1417" s="1" t="s">
        <v>2176</v>
      </c>
      <c r="H1417" s="1" t="s">
        <v>27</v>
      </c>
      <c r="I1417" s="1" t="s">
        <v>28</v>
      </c>
      <c r="J1417" s="1" t="s">
        <v>3566</v>
      </c>
      <c r="K1417" s="1" t="s">
        <v>365</v>
      </c>
      <c r="L1417">
        <v>7501</v>
      </c>
      <c r="M1417" s="1" t="s">
        <v>70</v>
      </c>
      <c r="N1417" s="1" t="s">
        <v>2431</v>
      </c>
      <c r="O1417" s="1" t="s">
        <v>33</v>
      </c>
      <c r="P1417" s="1" t="s">
        <v>39</v>
      </c>
      <c r="Q1417" s="1" t="s">
        <v>2432</v>
      </c>
      <c r="R1417">
        <v>122</v>
      </c>
      <c r="S1417">
        <v>2</v>
      </c>
      <c r="T1417">
        <v>0</v>
      </c>
      <c r="U1417">
        <v>21</v>
      </c>
      <c r="V1417" s="1" t="s">
        <v>73</v>
      </c>
      <c r="W1417" s="1" t="s">
        <v>62</v>
      </c>
    </row>
    <row r="1418" spans="1:23" x14ac:dyDescent="0.35">
      <c r="A1418">
        <v>6756</v>
      </c>
      <c r="B1418" s="1" t="s">
        <v>3567</v>
      </c>
      <c r="C1418" s="2">
        <v>42993</v>
      </c>
      <c r="D1418" s="2">
        <v>42997</v>
      </c>
      <c r="E1418" s="1" t="s">
        <v>42</v>
      </c>
      <c r="F1418" s="1" t="s">
        <v>3568</v>
      </c>
      <c r="G1418" s="1" t="s">
        <v>3569</v>
      </c>
      <c r="H1418" s="1" t="s">
        <v>93</v>
      </c>
      <c r="I1418" s="1" t="s">
        <v>28</v>
      </c>
      <c r="J1418" s="1" t="s">
        <v>2063</v>
      </c>
      <c r="K1418" s="1" t="s">
        <v>365</v>
      </c>
      <c r="L1418">
        <v>8701</v>
      </c>
      <c r="M1418" s="1" t="s">
        <v>70</v>
      </c>
      <c r="N1418" s="1" t="s">
        <v>2207</v>
      </c>
      <c r="O1418" s="1" t="s">
        <v>33</v>
      </c>
      <c r="P1418" s="1" t="s">
        <v>59</v>
      </c>
      <c r="Q1418" s="1" t="s">
        <v>2208</v>
      </c>
      <c r="R1418">
        <v>47</v>
      </c>
      <c r="S1418">
        <v>5</v>
      </c>
      <c r="T1418">
        <v>0</v>
      </c>
      <c r="U1418">
        <v>19</v>
      </c>
      <c r="V1418" s="1" t="s">
        <v>86</v>
      </c>
      <c r="W1418" s="1" t="s">
        <v>80</v>
      </c>
    </row>
    <row r="1419" spans="1:23" x14ac:dyDescent="0.35">
      <c r="A1419">
        <v>6757</v>
      </c>
      <c r="B1419" s="1" t="s">
        <v>3567</v>
      </c>
      <c r="C1419" s="2">
        <v>42993</v>
      </c>
      <c r="D1419" s="2">
        <v>42997</v>
      </c>
      <c r="E1419" s="1" t="s">
        <v>42</v>
      </c>
      <c r="F1419" s="1" t="s">
        <v>3568</v>
      </c>
      <c r="G1419" s="1" t="s">
        <v>3569</v>
      </c>
      <c r="H1419" s="1" t="s">
        <v>93</v>
      </c>
      <c r="I1419" s="1" t="s">
        <v>28</v>
      </c>
      <c r="J1419" s="1" t="s">
        <v>2063</v>
      </c>
      <c r="K1419" s="1" t="s">
        <v>365</v>
      </c>
      <c r="L1419">
        <v>8701</v>
      </c>
      <c r="M1419" s="1" t="s">
        <v>70</v>
      </c>
      <c r="N1419" s="1" t="s">
        <v>2576</v>
      </c>
      <c r="O1419" s="1" t="s">
        <v>33</v>
      </c>
      <c r="P1419" s="1" t="s">
        <v>39</v>
      </c>
      <c r="Q1419" s="1" t="s">
        <v>2577</v>
      </c>
      <c r="R1419">
        <v>513</v>
      </c>
      <c r="S1419">
        <v>4</v>
      </c>
      <c r="T1419">
        <v>0</v>
      </c>
      <c r="U1419">
        <v>144</v>
      </c>
      <c r="V1419" s="1" t="s">
        <v>86</v>
      </c>
      <c r="W1419" s="1" t="s">
        <v>80</v>
      </c>
    </row>
    <row r="1420" spans="1:23" x14ac:dyDescent="0.35">
      <c r="A1420">
        <v>6762</v>
      </c>
      <c r="B1420" s="1" t="s">
        <v>3570</v>
      </c>
      <c r="C1420" s="2">
        <v>42575</v>
      </c>
      <c r="D1420" s="2">
        <v>42577</v>
      </c>
      <c r="E1420" s="1" t="s">
        <v>24</v>
      </c>
      <c r="F1420" s="1" t="s">
        <v>3197</v>
      </c>
      <c r="G1420" s="1" t="s">
        <v>3198</v>
      </c>
      <c r="H1420" s="1" t="s">
        <v>93</v>
      </c>
      <c r="I1420" s="1" t="s">
        <v>28</v>
      </c>
      <c r="J1420" s="1" t="s">
        <v>176</v>
      </c>
      <c r="K1420" s="1" t="s">
        <v>123</v>
      </c>
      <c r="L1420">
        <v>10035</v>
      </c>
      <c r="M1420" s="1" t="s">
        <v>70</v>
      </c>
      <c r="N1420" s="1" t="s">
        <v>1144</v>
      </c>
      <c r="O1420" s="1" t="s">
        <v>33</v>
      </c>
      <c r="P1420" s="1" t="s">
        <v>39</v>
      </c>
      <c r="Q1420" s="1" t="s">
        <v>1145</v>
      </c>
      <c r="R1420">
        <v>254</v>
      </c>
      <c r="S1420">
        <v>2</v>
      </c>
      <c r="T1420">
        <v>0.1</v>
      </c>
      <c r="U1420">
        <v>31</v>
      </c>
      <c r="V1420" s="1" t="s">
        <v>73</v>
      </c>
      <c r="W1420" s="1" t="s">
        <v>74</v>
      </c>
    </row>
    <row r="1421" spans="1:23" x14ac:dyDescent="0.35">
      <c r="A1421">
        <v>6766</v>
      </c>
      <c r="B1421" s="1" t="s">
        <v>3571</v>
      </c>
      <c r="C1421" s="2">
        <v>42845</v>
      </c>
      <c r="D1421" s="2">
        <v>42849</v>
      </c>
      <c r="E1421" s="1" t="s">
        <v>42</v>
      </c>
      <c r="F1421" s="1" t="s">
        <v>2362</v>
      </c>
      <c r="G1421" s="1" t="s">
        <v>2363</v>
      </c>
      <c r="H1421" s="1" t="s">
        <v>27</v>
      </c>
      <c r="I1421" s="1" t="s">
        <v>28</v>
      </c>
      <c r="J1421" s="1" t="s">
        <v>136</v>
      </c>
      <c r="K1421" s="1" t="s">
        <v>137</v>
      </c>
      <c r="L1421">
        <v>60653</v>
      </c>
      <c r="M1421" s="1" t="s">
        <v>96</v>
      </c>
      <c r="N1421" s="1" t="s">
        <v>397</v>
      </c>
      <c r="O1421" s="1" t="s">
        <v>33</v>
      </c>
      <c r="P1421" s="1" t="s">
        <v>39</v>
      </c>
      <c r="Q1421" s="1" t="s">
        <v>398</v>
      </c>
      <c r="R1421">
        <v>317</v>
      </c>
      <c r="S1421">
        <v>3</v>
      </c>
      <c r="T1421">
        <v>0.3</v>
      </c>
      <c r="U1421">
        <v>-18</v>
      </c>
      <c r="V1421" s="1" t="s">
        <v>86</v>
      </c>
      <c r="W1421" s="1" t="s">
        <v>116</v>
      </c>
    </row>
    <row r="1422" spans="1:23" x14ac:dyDescent="0.35">
      <c r="A1422">
        <v>6768</v>
      </c>
      <c r="B1422" s="1" t="s">
        <v>3571</v>
      </c>
      <c r="C1422" s="2">
        <v>42845</v>
      </c>
      <c r="D1422" s="2">
        <v>42849</v>
      </c>
      <c r="E1422" s="1" t="s">
        <v>42</v>
      </c>
      <c r="F1422" s="1" t="s">
        <v>2362</v>
      </c>
      <c r="G1422" s="1" t="s">
        <v>2363</v>
      </c>
      <c r="H1422" s="1" t="s">
        <v>27</v>
      </c>
      <c r="I1422" s="1" t="s">
        <v>28</v>
      </c>
      <c r="J1422" s="1" t="s">
        <v>136</v>
      </c>
      <c r="K1422" s="1" t="s">
        <v>137</v>
      </c>
      <c r="L1422">
        <v>60653</v>
      </c>
      <c r="M1422" s="1" t="s">
        <v>96</v>
      </c>
      <c r="N1422" s="1" t="s">
        <v>1351</v>
      </c>
      <c r="O1422" s="1" t="s">
        <v>33</v>
      </c>
      <c r="P1422" s="1" t="s">
        <v>59</v>
      </c>
      <c r="Q1422" s="1" t="s">
        <v>1352</v>
      </c>
      <c r="R1422">
        <v>15</v>
      </c>
      <c r="S1422">
        <v>5</v>
      </c>
      <c r="T1422">
        <v>0.6</v>
      </c>
      <c r="U1422">
        <v>-6</v>
      </c>
      <c r="V1422" s="1" t="s">
        <v>86</v>
      </c>
      <c r="W1422" s="1" t="s">
        <v>116</v>
      </c>
    </row>
    <row r="1423" spans="1:23" x14ac:dyDescent="0.35">
      <c r="A1423">
        <v>6779</v>
      </c>
      <c r="B1423" s="1" t="s">
        <v>3572</v>
      </c>
      <c r="C1423" s="2">
        <v>42616</v>
      </c>
      <c r="D1423" s="2">
        <v>42621</v>
      </c>
      <c r="E1423" s="1" t="s">
        <v>24</v>
      </c>
      <c r="F1423" s="1" t="s">
        <v>2038</v>
      </c>
      <c r="G1423" s="1" t="s">
        <v>2039</v>
      </c>
      <c r="H1423" s="1" t="s">
        <v>27</v>
      </c>
      <c r="I1423" s="1" t="s">
        <v>28</v>
      </c>
      <c r="J1423" s="1" t="s">
        <v>2757</v>
      </c>
      <c r="K1423" s="1" t="s">
        <v>1092</v>
      </c>
      <c r="L1423">
        <v>21215</v>
      </c>
      <c r="M1423" s="1" t="s">
        <v>70</v>
      </c>
      <c r="N1423" s="1" t="s">
        <v>1479</v>
      </c>
      <c r="O1423" s="1" t="s">
        <v>33</v>
      </c>
      <c r="P1423" s="1" t="s">
        <v>34</v>
      </c>
      <c r="Q1423" s="1" t="s">
        <v>1480</v>
      </c>
      <c r="R1423">
        <v>345</v>
      </c>
      <c r="S1423">
        <v>3</v>
      </c>
      <c r="T1423">
        <v>0</v>
      </c>
      <c r="U1423">
        <v>31</v>
      </c>
      <c r="V1423" s="1" t="s">
        <v>61</v>
      </c>
      <c r="W1423" s="1" t="s">
        <v>80</v>
      </c>
    </row>
    <row r="1424" spans="1:23" x14ac:dyDescent="0.35">
      <c r="A1424">
        <v>6780</v>
      </c>
      <c r="B1424" s="1" t="s">
        <v>3572</v>
      </c>
      <c r="C1424" s="2">
        <v>42616</v>
      </c>
      <c r="D1424" s="2">
        <v>42621</v>
      </c>
      <c r="E1424" s="1" t="s">
        <v>24</v>
      </c>
      <c r="F1424" s="1" t="s">
        <v>2038</v>
      </c>
      <c r="G1424" s="1" t="s">
        <v>2039</v>
      </c>
      <c r="H1424" s="1" t="s">
        <v>27</v>
      </c>
      <c r="I1424" s="1" t="s">
        <v>28</v>
      </c>
      <c r="J1424" s="1" t="s">
        <v>2757</v>
      </c>
      <c r="K1424" s="1" t="s">
        <v>1092</v>
      </c>
      <c r="L1424">
        <v>21215</v>
      </c>
      <c r="M1424" s="1" t="s">
        <v>70</v>
      </c>
      <c r="N1424" s="1" t="s">
        <v>1721</v>
      </c>
      <c r="O1424" s="1" t="s">
        <v>33</v>
      </c>
      <c r="P1424" s="1" t="s">
        <v>59</v>
      </c>
      <c r="Q1424" s="1" t="s">
        <v>1722</v>
      </c>
      <c r="R1424">
        <v>15</v>
      </c>
      <c r="S1424">
        <v>2</v>
      </c>
      <c r="T1424">
        <v>0</v>
      </c>
      <c r="U1424">
        <v>4</v>
      </c>
      <c r="V1424" s="1" t="s">
        <v>61</v>
      </c>
      <c r="W1424" s="1" t="s">
        <v>80</v>
      </c>
    </row>
    <row r="1425" spans="1:23" x14ac:dyDescent="0.35">
      <c r="A1425">
        <v>6783</v>
      </c>
      <c r="B1425" s="1" t="s">
        <v>3573</v>
      </c>
      <c r="C1425" s="2">
        <v>42941</v>
      </c>
      <c r="D1425" s="2">
        <v>42944</v>
      </c>
      <c r="E1425" s="1" t="s">
        <v>24</v>
      </c>
      <c r="F1425" s="1" t="s">
        <v>2509</v>
      </c>
      <c r="G1425" s="1" t="s">
        <v>2510</v>
      </c>
      <c r="H1425" s="1" t="s">
        <v>27</v>
      </c>
      <c r="I1425" s="1" t="s">
        <v>28</v>
      </c>
      <c r="J1425" s="1" t="s">
        <v>68</v>
      </c>
      <c r="K1425" s="1" t="s">
        <v>69</v>
      </c>
      <c r="L1425">
        <v>19143</v>
      </c>
      <c r="M1425" s="1" t="s">
        <v>70</v>
      </c>
      <c r="N1425" s="1" t="s">
        <v>680</v>
      </c>
      <c r="O1425" s="1" t="s">
        <v>33</v>
      </c>
      <c r="P1425" s="1" t="s">
        <v>59</v>
      </c>
      <c r="Q1425" s="1" t="s">
        <v>681</v>
      </c>
      <c r="R1425">
        <v>20</v>
      </c>
      <c r="S1425">
        <v>4</v>
      </c>
      <c r="T1425">
        <v>0.2</v>
      </c>
      <c r="U1425">
        <v>3</v>
      </c>
      <c r="V1425" s="1" t="s">
        <v>36</v>
      </c>
      <c r="W1425" s="1" t="s">
        <v>74</v>
      </c>
    </row>
    <row r="1426" spans="1:23" x14ac:dyDescent="0.35">
      <c r="A1426">
        <v>6785</v>
      </c>
      <c r="B1426" s="1" t="s">
        <v>3573</v>
      </c>
      <c r="C1426" s="2">
        <v>42941</v>
      </c>
      <c r="D1426" s="2">
        <v>42944</v>
      </c>
      <c r="E1426" s="1" t="s">
        <v>24</v>
      </c>
      <c r="F1426" s="1" t="s">
        <v>2509</v>
      </c>
      <c r="G1426" s="1" t="s">
        <v>2510</v>
      </c>
      <c r="H1426" s="1" t="s">
        <v>27</v>
      </c>
      <c r="I1426" s="1" t="s">
        <v>28</v>
      </c>
      <c r="J1426" s="1" t="s">
        <v>68</v>
      </c>
      <c r="K1426" s="1" t="s">
        <v>69</v>
      </c>
      <c r="L1426">
        <v>19143</v>
      </c>
      <c r="M1426" s="1" t="s">
        <v>70</v>
      </c>
      <c r="N1426" s="1" t="s">
        <v>3168</v>
      </c>
      <c r="O1426" s="1" t="s">
        <v>33</v>
      </c>
      <c r="P1426" s="1" t="s">
        <v>48</v>
      </c>
      <c r="Q1426" s="1" t="s">
        <v>3169</v>
      </c>
      <c r="R1426">
        <v>139</v>
      </c>
      <c r="S1426">
        <v>1</v>
      </c>
      <c r="T1426">
        <v>0.4</v>
      </c>
      <c r="U1426">
        <v>-35</v>
      </c>
      <c r="V1426" s="1" t="s">
        <v>36</v>
      </c>
      <c r="W1426" s="1" t="s">
        <v>74</v>
      </c>
    </row>
    <row r="1427" spans="1:23" x14ac:dyDescent="0.35">
      <c r="A1427">
        <v>6788</v>
      </c>
      <c r="B1427" s="1" t="s">
        <v>3574</v>
      </c>
      <c r="C1427" s="2">
        <v>42260</v>
      </c>
      <c r="D1427" s="2">
        <v>42267</v>
      </c>
      <c r="E1427" s="1" t="s">
        <v>42</v>
      </c>
      <c r="F1427" s="1" t="s">
        <v>369</v>
      </c>
      <c r="G1427" s="1" t="s">
        <v>370</v>
      </c>
      <c r="H1427" s="1" t="s">
        <v>27</v>
      </c>
      <c r="I1427" s="1" t="s">
        <v>28</v>
      </c>
      <c r="J1427" s="1" t="s">
        <v>2141</v>
      </c>
      <c r="K1427" s="1" t="s">
        <v>670</v>
      </c>
      <c r="L1427">
        <v>30318</v>
      </c>
      <c r="M1427" s="1" t="s">
        <v>31</v>
      </c>
      <c r="N1427" s="1" t="s">
        <v>993</v>
      </c>
      <c r="O1427" s="1" t="s">
        <v>33</v>
      </c>
      <c r="P1427" s="1" t="s">
        <v>59</v>
      </c>
      <c r="Q1427" s="1" t="s">
        <v>994</v>
      </c>
      <c r="R1427">
        <v>130</v>
      </c>
      <c r="S1427">
        <v>3</v>
      </c>
      <c r="T1427">
        <v>0</v>
      </c>
      <c r="U1427">
        <v>13</v>
      </c>
      <c r="V1427" s="1" t="s">
        <v>50</v>
      </c>
      <c r="W1427" s="1" t="s">
        <v>80</v>
      </c>
    </row>
    <row r="1428" spans="1:23" x14ac:dyDescent="0.35">
      <c r="A1428">
        <v>6792</v>
      </c>
      <c r="B1428" s="1" t="s">
        <v>3575</v>
      </c>
      <c r="C1428" s="2">
        <v>42684</v>
      </c>
      <c r="D1428" s="2">
        <v>42689</v>
      </c>
      <c r="E1428" s="1" t="s">
        <v>42</v>
      </c>
      <c r="F1428" s="1" t="s">
        <v>1740</v>
      </c>
      <c r="G1428" s="1" t="s">
        <v>1741</v>
      </c>
      <c r="H1428" s="1" t="s">
        <v>103</v>
      </c>
      <c r="I1428" s="1" t="s">
        <v>28</v>
      </c>
      <c r="J1428" s="1" t="s">
        <v>1852</v>
      </c>
      <c r="K1428" s="1" t="s">
        <v>56</v>
      </c>
      <c r="L1428">
        <v>95823</v>
      </c>
      <c r="M1428" s="1" t="s">
        <v>57</v>
      </c>
      <c r="N1428" s="1" t="s">
        <v>2662</v>
      </c>
      <c r="O1428" s="1" t="s">
        <v>33</v>
      </c>
      <c r="P1428" s="1" t="s">
        <v>59</v>
      </c>
      <c r="Q1428" s="1" t="s">
        <v>2663</v>
      </c>
      <c r="R1428">
        <v>10</v>
      </c>
      <c r="S1428">
        <v>1</v>
      </c>
      <c r="T1428">
        <v>0</v>
      </c>
      <c r="U1428">
        <v>3</v>
      </c>
      <c r="V1428" s="1" t="s">
        <v>61</v>
      </c>
      <c r="W1428" s="1" t="s">
        <v>37</v>
      </c>
    </row>
    <row r="1429" spans="1:23" x14ac:dyDescent="0.35">
      <c r="A1429">
        <v>6796</v>
      </c>
      <c r="B1429" s="1" t="s">
        <v>3576</v>
      </c>
      <c r="C1429" s="2">
        <v>42324</v>
      </c>
      <c r="D1429" s="2">
        <v>42328</v>
      </c>
      <c r="E1429" s="1" t="s">
        <v>42</v>
      </c>
      <c r="F1429" s="1" t="s">
        <v>572</v>
      </c>
      <c r="G1429" s="1" t="s">
        <v>573</v>
      </c>
      <c r="H1429" s="1" t="s">
        <v>93</v>
      </c>
      <c r="I1429" s="1" t="s">
        <v>28</v>
      </c>
      <c r="J1429" s="1" t="s">
        <v>136</v>
      </c>
      <c r="K1429" s="1" t="s">
        <v>137</v>
      </c>
      <c r="L1429">
        <v>60610</v>
      </c>
      <c r="M1429" s="1" t="s">
        <v>96</v>
      </c>
      <c r="N1429" s="1" t="s">
        <v>2693</v>
      </c>
      <c r="O1429" s="1" t="s">
        <v>33</v>
      </c>
      <c r="P1429" s="1" t="s">
        <v>59</v>
      </c>
      <c r="Q1429" s="1" t="s">
        <v>2694</v>
      </c>
      <c r="R1429">
        <v>35</v>
      </c>
      <c r="S1429">
        <v>2</v>
      </c>
      <c r="T1429">
        <v>0.6</v>
      </c>
      <c r="U1429">
        <v>-16</v>
      </c>
      <c r="V1429" s="1" t="s">
        <v>86</v>
      </c>
      <c r="W1429" s="1" t="s">
        <v>37</v>
      </c>
    </row>
    <row r="1430" spans="1:23" x14ac:dyDescent="0.35">
      <c r="A1430">
        <v>6797</v>
      </c>
      <c r="B1430" s="1" t="s">
        <v>3577</v>
      </c>
      <c r="C1430" s="2">
        <v>42241</v>
      </c>
      <c r="D1430" s="2">
        <v>42241</v>
      </c>
      <c r="E1430" s="1" t="s">
        <v>428</v>
      </c>
      <c r="F1430" s="1" t="s">
        <v>1375</v>
      </c>
      <c r="G1430" s="1" t="s">
        <v>1376</v>
      </c>
      <c r="H1430" s="1" t="s">
        <v>27</v>
      </c>
      <c r="I1430" s="1" t="s">
        <v>28</v>
      </c>
      <c r="J1430" s="1" t="s">
        <v>104</v>
      </c>
      <c r="K1430" s="1" t="s">
        <v>95</v>
      </c>
      <c r="L1430">
        <v>77041</v>
      </c>
      <c r="M1430" s="1" t="s">
        <v>96</v>
      </c>
      <c r="N1430" s="1" t="s">
        <v>1293</v>
      </c>
      <c r="O1430" s="1" t="s">
        <v>33</v>
      </c>
      <c r="P1430" s="1" t="s">
        <v>59</v>
      </c>
      <c r="Q1430" s="1" t="s">
        <v>1761</v>
      </c>
      <c r="R1430">
        <v>20</v>
      </c>
      <c r="S1430">
        <v>2</v>
      </c>
      <c r="T1430">
        <v>0.6</v>
      </c>
      <c r="U1430">
        <v>-17</v>
      </c>
      <c r="V1430" s="1" t="s">
        <v>433</v>
      </c>
      <c r="W1430" s="1" t="s">
        <v>256</v>
      </c>
    </row>
    <row r="1431" spans="1:23" x14ac:dyDescent="0.35">
      <c r="A1431">
        <v>6799</v>
      </c>
      <c r="B1431" s="1" t="s">
        <v>3577</v>
      </c>
      <c r="C1431" s="2">
        <v>42241</v>
      </c>
      <c r="D1431" s="2">
        <v>42241</v>
      </c>
      <c r="E1431" s="1" t="s">
        <v>428</v>
      </c>
      <c r="F1431" s="1" t="s">
        <v>1375</v>
      </c>
      <c r="G1431" s="1" t="s">
        <v>1376</v>
      </c>
      <c r="H1431" s="1" t="s">
        <v>27</v>
      </c>
      <c r="I1431" s="1" t="s">
        <v>28</v>
      </c>
      <c r="J1431" s="1" t="s">
        <v>104</v>
      </c>
      <c r="K1431" s="1" t="s">
        <v>95</v>
      </c>
      <c r="L1431">
        <v>77041</v>
      </c>
      <c r="M1431" s="1" t="s">
        <v>96</v>
      </c>
      <c r="N1431" s="1" t="s">
        <v>3578</v>
      </c>
      <c r="O1431" s="1" t="s">
        <v>33</v>
      </c>
      <c r="P1431" s="1" t="s">
        <v>59</v>
      </c>
      <c r="Q1431" s="1" t="s">
        <v>3579</v>
      </c>
      <c r="R1431">
        <v>8</v>
      </c>
      <c r="S1431">
        <v>5</v>
      </c>
      <c r="T1431">
        <v>0.6</v>
      </c>
      <c r="U1431">
        <v>-4</v>
      </c>
      <c r="V1431" s="1" t="s">
        <v>433</v>
      </c>
      <c r="W1431" s="1" t="s">
        <v>256</v>
      </c>
    </row>
    <row r="1432" spans="1:23" x14ac:dyDescent="0.35">
      <c r="A1432">
        <v>6800</v>
      </c>
      <c r="B1432" s="1" t="s">
        <v>3580</v>
      </c>
      <c r="C1432" s="2">
        <v>42729</v>
      </c>
      <c r="D1432" s="2">
        <v>42736</v>
      </c>
      <c r="E1432" s="1" t="s">
        <v>42</v>
      </c>
      <c r="F1432" s="1" t="s">
        <v>1624</v>
      </c>
      <c r="G1432" s="1" t="s">
        <v>1625</v>
      </c>
      <c r="H1432" s="1" t="s">
        <v>93</v>
      </c>
      <c r="I1432" s="1" t="s">
        <v>28</v>
      </c>
      <c r="J1432" s="1" t="s">
        <v>522</v>
      </c>
      <c r="K1432" s="1" t="s">
        <v>523</v>
      </c>
      <c r="L1432">
        <v>85023</v>
      </c>
      <c r="M1432" s="1" t="s">
        <v>57</v>
      </c>
      <c r="N1432" s="1" t="s">
        <v>320</v>
      </c>
      <c r="O1432" s="1" t="s">
        <v>33</v>
      </c>
      <c r="P1432" s="1" t="s">
        <v>48</v>
      </c>
      <c r="Q1432" s="1" t="s">
        <v>321</v>
      </c>
      <c r="R1432">
        <v>35</v>
      </c>
      <c r="S1432">
        <v>1</v>
      </c>
      <c r="T1432">
        <v>0.5</v>
      </c>
      <c r="U1432">
        <v>-24</v>
      </c>
      <c r="V1432" s="1" t="s">
        <v>50</v>
      </c>
      <c r="W1432" s="1" t="s">
        <v>99</v>
      </c>
    </row>
    <row r="1433" spans="1:23" x14ac:dyDescent="0.35">
      <c r="A1433">
        <v>6804</v>
      </c>
      <c r="B1433" s="1" t="s">
        <v>3580</v>
      </c>
      <c r="C1433" s="2">
        <v>42729</v>
      </c>
      <c r="D1433" s="2">
        <v>42736</v>
      </c>
      <c r="E1433" s="1" t="s">
        <v>42</v>
      </c>
      <c r="F1433" s="1" t="s">
        <v>1624</v>
      </c>
      <c r="G1433" s="1" t="s">
        <v>1625</v>
      </c>
      <c r="H1433" s="1" t="s">
        <v>93</v>
      </c>
      <c r="I1433" s="1" t="s">
        <v>28</v>
      </c>
      <c r="J1433" s="1" t="s">
        <v>522</v>
      </c>
      <c r="K1433" s="1" t="s">
        <v>523</v>
      </c>
      <c r="L1433">
        <v>85023</v>
      </c>
      <c r="M1433" s="1" t="s">
        <v>57</v>
      </c>
      <c r="N1433" s="1" t="s">
        <v>1516</v>
      </c>
      <c r="O1433" s="1" t="s">
        <v>33</v>
      </c>
      <c r="P1433" s="1" t="s">
        <v>39</v>
      </c>
      <c r="Q1433" s="1" t="s">
        <v>1517</v>
      </c>
      <c r="R1433">
        <v>48</v>
      </c>
      <c r="S1433">
        <v>2</v>
      </c>
      <c r="T1433">
        <v>0.2</v>
      </c>
      <c r="U1433">
        <v>4</v>
      </c>
      <c r="V1433" s="1" t="s">
        <v>50</v>
      </c>
      <c r="W1433" s="1" t="s">
        <v>99</v>
      </c>
    </row>
    <row r="1434" spans="1:23" x14ac:dyDescent="0.35">
      <c r="A1434">
        <v>6809</v>
      </c>
      <c r="B1434" s="1" t="s">
        <v>3581</v>
      </c>
      <c r="C1434" s="2">
        <v>42094</v>
      </c>
      <c r="D1434" s="2">
        <v>42099</v>
      </c>
      <c r="E1434" s="1" t="s">
        <v>42</v>
      </c>
      <c r="F1434" s="1" t="s">
        <v>506</v>
      </c>
      <c r="G1434" s="1" t="s">
        <v>507</v>
      </c>
      <c r="H1434" s="1" t="s">
        <v>93</v>
      </c>
      <c r="I1434" s="1" t="s">
        <v>28</v>
      </c>
      <c r="J1434" s="1" t="s">
        <v>104</v>
      </c>
      <c r="K1434" s="1" t="s">
        <v>95</v>
      </c>
      <c r="L1434">
        <v>77095</v>
      </c>
      <c r="M1434" s="1" t="s">
        <v>96</v>
      </c>
      <c r="N1434" s="1" t="s">
        <v>2651</v>
      </c>
      <c r="O1434" s="1" t="s">
        <v>33</v>
      </c>
      <c r="P1434" s="1" t="s">
        <v>59</v>
      </c>
      <c r="Q1434" s="1" t="s">
        <v>2652</v>
      </c>
      <c r="R1434">
        <v>22</v>
      </c>
      <c r="S1434">
        <v>3</v>
      </c>
      <c r="T1434">
        <v>0.6</v>
      </c>
      <c r="U1434">
        <v>-8</v>
      </c>
      <c r="V1434" s="1" t="s">
        <v>61</v>
      </c>
      <c r="W1434" s="1" t="s">
        <v>198</v>
      </c>
    </row>
    <row r="1435" spans="1:23" x14ac:dyDescent="0.35">
      <c r="A1435">
        <v>6812</v>
      </c>
      <c r="B1435" s="1" t="s">
        <v>3582</v>
      </c>
      <c r="C1435" s="2">
        <v>42992</v>
      </c>
      <c r="D1435" s="2">
        <v>42993</v>
      </c>
      <c r="E1435" s="1" t="s">
        <v>90</v>
      </c>
      <c r="F1435" s="1" t="s">
        <v>3583</v>
      </c>
      <c r="G1435" s="1" t="s">
        <v>3584</v>
      </c>
      <c r="H1435" s="1" t="s">
        <v>27</v>
      </c>
      <c r="I1435" s="1" t="s">
        <v>28</v>
      </c>
      <c r="J1435" s="1" t="s">
        <v>68</v>
      </c>
      <c r="K1435" s="1" t="s">
        <v>69</v>
      </c>
      <c r="L1435">
        <v>19140</v>
      </c>
      <c r="M1435" s="1" t="s">
        <v>70</v>
      </c>
      <c r="N1435" s="1" t="s">
        <v>498</v>
      </c>
      <c r="O1435" s="1" t="s">
        <v>33</v>
      </c>
      <c r="P1435" s="1" t="s">
        <v>39</v>
      </c>
      <c r="Q1435" s="1" t="s">
        <v>499</v>
      </c>
      <c r="R1435">
        <v>113</v>
      </c>
      <c r="S1435">
        <v>2</v>
      </c>
      <c r="T1435">
        <v>0.3</v>
      </c>
      <c r="U1435">
        <v>-29</v>
      </c>
      <c r="V1435" s="1" t="s">
        <v>126</v>
      </c>
      <c r="W1435" s="1" t="s">
        <v>80</v>
      </c>
    </row>
    <row r="1436" spans="1:23" x14ac:dyDescent="0.35">
      <c r="A1436">
        <v>6814</v>
      </c>
      <c r="B1436" s="1" t="s">
        <v>3582</v>
      </c>
      <c r="C1436" s="2">
        <v>42992</v>
      </c>
      <c r="D1436" s="2">
        <v>42993</v>
      </c>
      <c r="E1436" s="1" t="s">
        <v>90</v>
      </c>
      <c r="F1436" s="1" t="s">
        <v>3583</v>
      </c>
      <c r="G1436" s="1" t="s">
        <v>3584</v>
      </c>
      <c r="H1436" s="1" t="s">
        <v>27</v>
      </c>
      <c r="I1436" s="1" t="s">
        <v>28</v>
      </c>
      <c r="J1436" s="1" t="s">
        <v>68</v>
      </c>
      <c r="K1436" s="1" t="s">
        <v>69</v>
      </c>
      <c r="L1436">
        <v>19140</v>
      </c>
      <c r="M1436" s="1" t="s">
        <v>70</v>
      </c>
      <c r="N1436" s="1" t="s">
        <v>3585</v>
      </c>
      <c r="O1436" s="1" t="s">
        <v>33</v>
      </c>
      <c r="P1436" s="1" t="s">
        <v>59</v>
      </c>
      <c r="Q1436" s="1" t="s">
        <v>3586</v>
      </c>
      <c r="R1436">
        <v>128</v>
      </c>
      <c r="S1436">
        <v>8</v>
      </c>
      <c r="T1436">
        <v>0.2</v>
      </c>
      <c r="U1436">
        <v>5</v>
      </c>
      <c r="V1436" s="1" t="s">
        <v>126</v>
      </c>
      <c r="W1436" s="1" t="s">
        <v>80</v>
      </c>
    </row>
    <row r="1437" spans="1:23" x14ac:dyDescent="0.35">
      <c r="A1437">
        <v>6816</v>
      </c>
      <c r="B1437" s="1" t="s">
        <v>3587</v>
      </c>
      <c r="C1437" s="2">
        <v>41807</v>
      </c>
      <c r="D1437" s="2">
        <v>41811</v>
      </c>
      <c r="E1437" s="1" t="s">
        <v>42</v>
      </c>
      <c r="F1437" s="1" t="s">
        <v>1345</v>
      </c>
      <c r="G1437" s="1" t="s">
        <v>1346</v>
      </c>
      <c r="H1437" s="1" t="s">
        <v>27</v>
      </c>
      <c r="I1437" s="1" t="s">
        <v>28</v>
      </c>
      <c r="J1437" s="1" t="s">
        <v>194</v>
      </c>
      <c r="K1437" s="1" t="s">
        <v>195</v>
      </c>
      <c r="L1437">
        <v>98105</v>
      </c>
      <c r="M1437" s="1" t="s">
        <v>57</v>
      </c>
      <c r="N1437" s="1" t="s">
        <v>1364</v>
      </c>
      <c r="O1437" s="1" t="s">
        <v>33</v>
      </c>
      <c r="P1437" s="1" t="s">
        <v>59</v>
      </c>
      <c r="Q1437" s="1" t="s">
        <v>426</v>
      </c>
      <c r="R1437">
        <v>6</v>
      </c>
      <c r="S1437">
        <v>3</v>
      </c>
      <c r="T1437">
        <v>0</v>
      </c>
      <c r="U1437">
        <v>3</v>
      </c>
      <c r="V1437" s="1" t="s">
        <v>86</v>
      </c>
      <c r="W1437" s="1" t="s">
        <v>62</v>
      </c>
    </row>
    <row r="1438" spans="1:23" x14ac:dyDescent="0.35">
      <c r="A1438">
        <v>6820</v>
      </c>
      <c r="B1438" s="1" t="s">
        <v>3588</v>
      </c>
      <c r="C1438" s="2">
        <v>43097</v>
      </c>
      <c r="D1438" s="2">
        <v>43101</v>
      </c>
      <c r="E1438" s="1" t="s">
        <v>42</v>
      </c>
      <c r="F1438" s="1" t="s">
        <v>3420</v>
      </c>
      <c r="G1438" s="1" t="s">
        <v>3421</v>
      </c>
      <c r="H1438" s="1" t="s">
        <v>93</v>
      </c>
      <c r="I1438" s="1" t="s">
        <v>28</v>
      </c>
      <c r="J1438" s="1" t="s">
        <v>1382</v>
      </c>
      <c r="K1438" s="1" t="s">
        <v>137</v>
      </c>
      <c r="L1438">
        <v>61604</v>
      </c>
      <c r="M1438" s="1" t="s">
        <v>96</v>
      </c>
      <c r="N1438" s="1" t="s">
        <v>2329</v>
      </c>
      <c r="O1438" s="1" t="s">
        <v>33</v>
      </c>
      <c r="P1438" s="1" t="s">
        <v>59</v>
      </c>
      <c r="Q1438" s="1" t="s">
        <v>2330</v>
      </c>
      <c r="R1438">
        <v>8</v>
      </c>
      <c r="S1438">
        <v>3</v>
      </c>
      <c r="T1438">
        <v>0.6</v>
      </c>
      <c r="U1438">
        <v>-2</v>
      </c>
      <c r="V1438" s="1" t="s">
        <v>86</v>
      </c>
      <c r="W1438" s="1" t="s">
        <v>99</v>
      </c>
    </row>
    <row r="1439" spans="1:23" x14ac:dyDescent="0.35">
      <c r="A1439">
        <v>6821</v>
      </c>
      <c r="B1439" s="1" t="s">
        <v>3588</v>
      </c>
      <c r="C1439" s="2">
        <v>43097</v>
      </c>
      <c r="D1439" s="2">
        <v>43101</v>
      </c>
      <c r="E1439" s="1" t="s">
        <v>42</v>
      </c>
      <c r="F1439" s="1" t="s">
        <v>3420</v>
      </c>
      <c r="G1439" s="1" t="s">
        <v>3421</v>
      </c>
      <c r="H1439" s="1" t="s">
        <v>93</v>
      </c>
      <c r="I1439" s="1" t="s">
        <v>28</v>
      </c>
      <c r="J1439" s="1" t="s">
        <v>1382</v>
      </c>
      <c r="K1439" s="1" t="s">
        <v>137</v>
      </c>
      <c r="L1439">
        <v>61604</v>
      </c>
      <c r="M1439" s="1" t="s">
        <v>96</v>
      </c>
      <c r="N1439" s="1" t="s">
        <v>258</v>
      </c>
      <c r="O1439" s="1" t="s">
        <v>33</v>
      </c>
      <c r="P1439" s="1" t="s">
        <v>39</v>
      </c>
      <c r="Q1439" s="1" t="s">
        <v>259</v>
      </c>
      <c r="R1439">
        <v>113</v>
      </c>
      <c r="S1439">
        <v>2</v>
      </c>
      <c r="T1439">
        <v>0.3</v>
      </c>
      <c r="U1439">
        <v>-3</v>
      </c>
      <c r="V1439" s="1" t="s">
        <v>86</v>
      </c>
      <c r="W1439" s="1" t="s">
        <v>99</v>
      </c>
    </row>
    <row r="1440" spans="1:23" x14ac:dyDescent="0.35">
      <c r="A1440">
        <v>6822</v>
      </c>
      <c r="B1440" s="1" t="s">
        <v>3588</v>
      </c>
      <c r="C1440" s="2">
        <v>43097</v>
      </c>
      <c r="D1440" s="2">
        <v>43101</v>
      </c>
      <c r="E1440" s="1" t="s">
        <v>42</v>
      </c>
      <c r="F1440" s="1" t="s">
        <v>3420</v>
      </c>
      <c r="G1440" s="1" t="s">
        <v>3421</v>
      </c>
      <c r="H1440" s="1" t="s">
        <v>93</v>
      </c>
      <c r="I1440" s="1" t="s">
        <v>28</v>
      </c>
      <c r="J1440" s="1" t="s">
        <v>1382</v>
      </c>
      <c r="K1440" s="1" t="s">
        <v>137</v>
      </c>
      <c r="L1440">
        <v>61604</v>
      </c>
      <c r="M1440" s="1" t="s">
        <v>96</v>
      </c>
      <c r="N1440" s="1" t="s">
        <v>449</v>
      </c>
      <c r="O1440" s="1" t="s">
        <v>33</v>
      </c>
      <c r="P1440" s="1" t="s">
        <v>59</v>
      </c>
      <c r="Q1440" s="1" t="s">
        <v>450</v>
      </c>
      <c r="R1440">
        <v>3</v>
      </c>
      <c r="S1440">
        <v>2</v>
      </c>
      <c r="T1440">
        <v>0.6</v>
      </c>
      <c r="U1440">
        <v>-1</v>
      </c>
      <c r="V1440" s="1" t="s">
        <v>86</v>
      </c>
      <c r="W1440" s="1" t="s">
        <v>99</v>
      </c>
    </row>
    <row r="1441" spans="1:23" x14ac:dyDescent="0.35">
      <c r="A1441">
        <v>6825</v>
      </c>
      <c r="B1441" s="1" t="s">
        <v>3589</v>
      </c>
      <c r="C1441" s="2">
        <v>42210</v>
      </c>
      <c r="D1441" s="2">
        <v>42214</v>
      </c>
      <c r="E1441" s="1" t="s">
        <v>42</v>
      </c>
      <c r="F1441" s="1" t="s">
        <v>3409</v>
      </c>
      <c r="G1441" s="1" t="s">
        <v>3410</v>
      </c>
      <c r="H1441" s="1" t="s">
        <v>93</v>
      </c>
      <c r="I1441" s="1" t="s">
        <v>28</v>
      </c>
      <c r="J1441" s="1" t="s">
        <v>1619</v>
      </c>
      <c r="K1441" s="1" t="s">
        <v>1279</v>
      </c>
      <c r="L1441">
        <v>36116</v>
      </c>
      <c r="M1441" s="1" t="s">
        <v>31</v>
      </c>
      <c r="N1441" s="1" t="s">
        <v>457</v>
      </c>
      <c r="O1441" s="1" t="s">
        <v>33</v>
      </c>
      <c r="P1441" s="1" t="s">
        <v>48</v>
      </c>
      <c r="Q1441" s="1" t="s">
        <v>458</v>
      </c>
      <c r="R1441">
        <v>359</v>
      </c>
      <c r="S1441">
        <v>2</v>
      </c>
      <c r="T1441">
        <v>0</v>
      </c>
      <c r="U1441">
        <v>39</v>
      </c>
      <c r="V1441" s="1" t="s">
        <v>86</v>
      </c>
      <c r="W1441" s="1" t="s">
        <v>74</v>
      </c>
    </row>
    <row r="1442" spans="1:23" x14ac:dyDescent="0.35">
      <c r="A1442">
        <v>6834</v>
      </c>
      <c r="B1442" s="1" t="s">
        <v>3590</v>
      </c>
      <c r="C1442" s="2">
        <v>42621</v>
      </c>
      <c r="D1442" s="2">
        <v>42621</v>
      </c>
      <c r="E1442" s="1" t="s">
        <v>428</v>
      </c>
      <c r="F1442" s="1" t="s">
        <v>850</v>
      </c>
      <c r="G1442" s="1" t="s">
        <v>851</v>
      </c>
      <c r="H1442" s="1" t="s">
        <v>27</v>
      </c>
      <c r="I1442" s="1" t="s">
        <v>28</v>
      </c>
      <c r="J1442" s="1" t="s">
        <v>852</v>
      </c>
      <c r="K1442" s="1" t="s">
        <v>56</v>
      </c>
      <c r="L1442">
        <v>92704</v>
      </c>
      <c r="M1442" s="1" t="s">
        <v>57</v>
      </c>
      <c r="N1442" s="1" t="s">
        <v>1237</v>
      </c>
      <c r="O1442" s="1" t="s">
        <v>33</v>
      </c>
      <c r="P1442" s="1" t="s">
        <v>48</v>
      </c>
      <c r="Q1442" s="1" t="s">
        <v>1238</v>
      </c>
      <c r="R1442">
        <v>146</v>
      </c>
      <c r="S1442">
        <v>1</v>
      </c>
      <c r="T1442">
        <v>0.2</v>
      </c>
      <c r="U1442">
        <v>-13</v>
      </c>
      <c r="V1442" s="1" t="s">
        <v>433</v>
      </c>
      <c r="W1442" s="1" t="s">
        <v>80</v>
      </c>
    </row>
    <row r="1443" spans="1:23" x14ac:dyDescent="0.35">
      <c r="A1443">
        <v>6837</v>
      </c>
      <c r="B1443" s="1" t="s">
        <v>3591</v>
      </c>
      <c r="C1443" s="2">
        <v>43023</v>
      </c>
      <c r="D1443" s="2">
        <v>43028</v>
      </c>
      <c r="E1443" s="1" t="s">
        <v>42</v>
      </c>
      <c r="F1443" s="1" t="s">
        <v>2721</v>
      </c>
      <c r="G1443" s="1" t="s">
        <v>2722</v>
      </c>
      <c r="H1443" s="1" t="s">
        <v>93</v>
      </c>
      <c r="I1443" s="1" t="s">
        <v>28</v>
      </c>
      <c r="J1443" s="1" t="s">
        <v>3592</v>
      </c>
      <c r="K1443" s="1" t="s">
        <v>56</v>
      </c>
      <c r="L1443">
        <v>91360</v>
      </c>
      <c r="M1443" s="1" t="s">
        <v>57</v>
      </c>
      <c r="N1443" s="1" t="s">
        <v>286</v>
      </c>
      <c r="O1443" s="1" t="s">
        <v>33</v>
      </c>
      <c r="P1443" s="1" t="s">
        <v>59</v>
      </c>
      <c r="Q1443" s="1" t="s">
        <v>287</v>
      </c>
      <c r="R1443">
        <v>23</v>
      </c>
      <c r="S1443">
        <v>1</v>
      </c>
      <c r="T1443">
        <v>0</v>
      </c>
      <c r="U1443">
        <v>9</v>
      </c>
      <c r="V1443" s="1" t="s">
        <v>61</v>
      </c>
      <c r="W1443" s="1" t="s">
        <v>51</v>
      </c>
    </row>
    <row r="1444" spans="1:23" x14ac:dyDescent="0.35">
      <c r="A1444">
        <v>6845</v>
      </c>
      <c r="B1444" s="1" t="s">
        <v>3593</v>
      </c>
      <c r="C1444" s="2">
        <v>42625</v>
      </c>
      <c r="D1444" s="2">
        <v>42630</v>
      </c>
      <c r="E1444" s="1" t="s">
        <v>42</v>
      </c>
      <c r="F1444" s="1" t="s">
        <v>790</v>
      </c>
      <c r="G1444" s="1" t="s">
        <v>791</v>
      </c>
      <c r="H1444" s="1" t="s">
        <v>93</v>
      </c>
      <c r="I1444" s="1" t="s">
        <v>28</v>
      </c>
      <c r="J1444" s="1" t="s">
        <v>881</v>
      </c>
      <c r="K1444" s="1" t="s">
        <v>719</v>
      </c>
      <c r="L1444">
        <v>22153</v>
      </c>
      <c r="M1444" s="1" t="s">
        <v>31</v>
      </c>
      <c r="N1444" s="1" t="s">
        <v>3594</v>
      </c>
      <c r="O1444" s="1" t="s">
        <v>33</v>
      </c>
      <c r="P1444" s="1" t="s">
        <v>39</v>
      </c>
      <c r="Q1444" s="1" t="s">
        <v>3595</v>
      </c>
      <c r="R1444">
        <v>1059</v>
      </c>
      <c r="S1444">
        <v>4</v>
      </c>
      <c r="T1444">
        <v>0</v>
      </c>
      <c r="U1444">
        <v>307</v>
      </c>
      <c r="V1444" s="1" t="s">
        <v>61</v>
      </c>
      <c r="W1444" s="1" t="s">
        <v>80</v>
      </c>
    </row>
    <row r="1445" spans="1:23" x14ac:dyDescent="0.35">
      <c r="A1445">
        <v>6846</v>
      </c>
      <c r="B1445" s="1" t="s">
        <v>3596</v>
      </c>
      <c r="C1445" s="2">
        <v>41826</v>
      </c>
      <c r="D1445" s="2">
        <v>41832</v>
      </c>
      <c r="E1445" s="1" t="s">
        <v>42</v>
      </c>
      <c r="F1445" s="1" t="s">
        <v>1823</v>
      </c>
      <c r="G1445" s="1" t="s">
        <v>1824</v>
      </c>
      <c r="H1445" s="1" t="s">
        <v>103</v>
      </c>
      <c r="I1445" s="1" t="s">
        <v>28</v>
      </c>
      <c r="J1445" s="1" t="s">
        <v>3597</v>
      </c>
      <c r="K1445" s="1" t="s">
        <v>56</v>
      </c>
      <c r="L1445">
        <v>92020</v>
      </c>
      <c r="M1445" s="1" t="s">
        <v>57</v>
      </c>
      <c r="N1445" s="1" t="s">
        <v>1588</v>
      </c>
      <c r="O1445" s="1" t="s">
        <v>33</v>
      </c>
      <c r="P1445" s="1" t="s">
        <v>39</v>
      </c>
      <c r="Q1445" s="1" t="s">
        <v>1589</v>
      </c>
      <c r="R1445">
        <v>478</v>
      </c>
      <c r="S1445">
        <v>2</v>
      </c>
      <c r="T1445">
        <v>0.2</v>
      </c>
      <c r="U1445">
        <v>48</v>
      </c>
      <c r="V1445" s="1" t="s">
        <v>132</v>
      </c>
      <c r="W1445" s="1" t="s">
        <v>74</v>
      </c>
    </row>
    <row r="1446" spans="1:23" x14ac:dyDescent="0.35">
      <c r="A1446">
        <v>6850</v>
      </c>
      <c r="B1446" s="1" t="s">
        <v>3598</v>
      </c>
      <c r="C1446" s="2">
        <v>41749</v>
      </c>
      <c r="D1446" s="2">
        <v>41754</v>
      </c>
      <c r="E1446" s="1" t="s">
        <v>42</v>
      </c>
      <c r="F1446" s="1" t="s">
        <v>1567</v>
      </c>
      <c r="G1446" s="1" t="s">
        <v>1568</v>
      </c>
      <c r="H1446" s="1" t="s">
        <v>27</v>
      </c>
      <c r="I1446" s="1" t="s">
        <v>28</v>
      </c>
      <c r="J1446" s="1" t="s">
        <v>55</v>
      </c>
      <c r="K1446" s="1" t="s">
        <v>56</v>
      </c>
      <c r="L1446">
        <v>90045</v>
      </c>
      <c r="M1446" s="1" t="s">
        <v>57</v>
      </c>
      <c r="N1446" s="1" t="s">
        <v>2132</v>
      </c>
      <c r="O1446" s="1" t="s">
        <v>33</v>
      </c>
      <c r="P1446" s="1" t="s">
        <v>59</v>
      </c>
      <c r="Q1446" s="1" t="s">
        <v>2133</v>
      </c>
      <c r="R1446">
        <v>60</v>
      </c>
      <c r="S1446">
        <v>4</v>
      </c>
      <c r="T1446">
        <v>0</v>
      </c>
      <c r="U1446">
        <v>28</v>
      </c>
      <c r="V1446" s="1" t="s">
        <v>61</v>
      </c>
      <c r="W1446" s="1" t="s">
        <v>116</v>
      </c>
    </row>
    <row r="1447" spans="1:23" x14ac:dyDescent="0.35">
      <c r="A1447">
        <v>6851</v>
      </c>
      <c r="B1447" s="1" t="s">
        <v>3599</v>
      </c>
      <c r="C1447" s="2">
        <v>42377</v>
      </c>
      <c r="D1447" s="2">
        <v>42381</v>
      </c>
      <c r="E1447" s="1" t="s">
        <v>42</v>
      </c>
      <c r="F1447" s="1" t="s">
        <v>2699</v>
      </c>
      <c r="G1447" s="1" t="s">
        <v>2700</v>
      </c>
      <c r="H1447" s="1" t="s">
        <v>93</v>
      </c>
      <c r="I1447" s="1" t="s">
        <v>28</v>
      </c>
      <c r="J1447" s="1" t="s">
        <v>240</v>
      </c>
      <c r="K1447" s="1" t="s">
        <v>241</v>
      </c>
      <c r="L1447">
        <v>53132</v>
      </c>
      <c r="M1447" s="1" t="s">
        <v>96</v>
      </c>
      <c r="N1447" s="1" t="s">
        <v>105</v>
      </c>
      <c r="O1447" s="1" t="s">
        <v>33</v>
      </c>
      <c r="P1447" s="1" t="s">
        <v>34</v>
      </c>
      <c r="Q1447" s="1" t="s">
        <v>106</v>
      </c>
      <c r="R1447">
        <v>1566</v>
      </c>
      <c r="S1447">
        <v>6</v>
      </c>
      <c r="T1447">
        <v>0</v>
      </c>
      <c r="U1447">
        <v>407</v>
      </c>
      <c r="V1447" s="1" t="s">
        <v>86</v>
      </c>
      <c r="W1447" s="1" t="s">
        <v>172</v>
      </c>
    </row>
    <row r="1448" spans="1:23" x14ac:dyDescent="0.35">
      <c r="A1448">
        <v>6863</v>
      </c>
      <c r="B1448" s="1" t="s">
        <v>3600</v>
      </c>
      <c r="C1448" s="2">
        <v>42842</v>
      </c>
      <c r="D1448" s="2">
        <v>42847</v>
      </c>
      <c r="E1448" s="1" t="s">
        <v>42</v>
      </c>
      <c r="F1448" s="1" t="s">
        <v>3583</v>
      </c>
      <c r="G1448" s="1" t="s">
        <v>3584</v>
      </c>
      <c r="H1448" s="1" t="s">
        <v>27</v>
      </c>
      <c r="I1448" s="1" t="s">
        <v>28</v>
      </c>
      <c r="J1448" s="1" t="s">
        <v>55</v>
      </c>
      <c r="K1448" s="1" t="s">
        <v>56</v>
      </c>
      <c r="L1448">
        <v>90008</v>
      </c>
      <c r="M1448" s="1" t="s">
        <v>57</v>
      </c>
      <c r="N1448" s="1" t="s">
        <v>1620</v>
      </c>
      <c r="O1448" s="1" t="s">
        <v>33</v>
      </c>
      <c r="P1448" s="1" t="s">
        <v>39</v>
      </c>
      <c r="Q1448" s="1" t="s">
        <v>1621</v>
      </c>
      <c r="R1448">
        <v>218</v>
      </c>
      <c r="S1448">
        <v>3</v>
      </c>
      <c r="T1448">
        <v>0.2</v>
      </c>
      <c r="U1448">
        <v>-19</v>
      </c>
      <c r="V1448" s="1" t="s">
        <v>61</v>
      </c>
      <c r="W1448" s="1" t="s">
        <v>116</v>
      </c>
    </row>
    <row r="1449" spans="1:23" x14ac:dyDescent="0.35">
      <c r="A1449">
        <v>6869</v>
      </c>
      <c r="B1449" s="1" t="s">
        <v>3601</v>
      </c>
      <c r="C1449" s="2">
        <v>42603</v>
      </c>
      <c r="D1449" s="2">
        <v>42610</v>
      </c>
      <c r="E1449" s="1" t="s">
        <v>42</v>
      </c>
      <c r="F1449" s="1" t="s">
        <v>3602</v>
      </c>
      <c r="G1449" s="1" t="s">
        <v>3603</v>
      </c>
      <c r="H1449" s="1" t="s">
        <v>93</v>
      </c>
      <c r="I1449" s="1" t="s">
        <v>28</v>
      </c>
      <c r="J1449" s="1" t="s">
        <v>55</v>
      </c>
      <c r="K1449" s="1" t="s">
        <v>56</v>
      </c>
      <c r="L1449">
        <v>90004</v>
      </c>
      <c r="M1449" s="1" t="s">
        <v>57</v>
      </c>
      <c r="N1449" s="1" t="s">
        <v>1994</v>
      </c>
      <c r="O1449" s="1" t="s">
        <v>33</v>
      </c>
      <c r="P1449" s="1" t="s">
        <v>48</v>
      </c>
      <c r="Q1449" s="1" t="s">
        <v>1995</v>
      </c>
      <c r="R1449">
        <v>2887</v>
      </c>
      <c r="S1449">
        <v>9</v>
      </c>
      <c r="T1449">
        <v>0.2</v>
      </c>
      <c r="U1449">
        <v>180</v>
      </c>
      <c r="V1449" s="1" t="s">
        <v>50</v>
      </c>
      <c r="W1449" s="1" t="s">
        <v>256</v>
      </c>
    </row>
    <row r="1450" spans="1:23" x14ac:dyDescent="0.35">
      <c r="A1450">
        <v>6877</v>
      </c>
      <c r="B1450" s="1" t="s">
        <v>3604</v>
      </c>
      <c r="C1450" s="2">
        <v>42618</v>
      </c>
      <c r="D1450" s="2">
        <v>42623</v>
      </c>
      <c r="E1450" s="1" t="s">
        <v>42</v>
      </c>
      <c r="F1450" s="1" t="s">
        <v>1418</v>
      </c>
      <c r="G1450" s="1" t="s">
        <v>1419</v>
      </c>
      <c r="H1450" s="1" t="s">
        <v>27</v>
      </c>
      <c r="I1450" s="1" t="s">
        <v>28</v>
      </c>
      <c r="J1450" s="1" t="s">
        <v>2123</v>
      </c>
      <c r="K1450" s="1" t="s">
        <v>719</v>
      </c>
      <c r="L1450">
        <v>23320</v>
      </c>
      <c r="M1450" s="1" t="s">
        <v>31</v>
      </c>
      <c r="N1450" s="1" t="s">
        <v>1726</v>
      </c>
      <c r="O1450" s="1" t="s">
        <v>33</v>
      </c>
      <c r="P1450" s="1" t="s">
        <v>48</v>
      </c>
      <c r="Q1450" s="1" t="s">
        <v>1727</v>
      </c>
      <c r="R1450">
        <v>1653</v>
      </c>
      <c r="S1450">
        <v>3</v>
      </c>
      <c r="T1450">
        <v>0</v>
      </c>
      <c r="U1450">
        <v>314</v>
      </c>
      <c r="V1450" s="1" t="s">
        <v>61</v>
      </c>
      <c r="W1450" s="1" t="s">
        <v>80</v>
      </c>
    </row>
    <row r="1451" spans="1:23" x14ac:dyDescent="0.35">
      <c r="A1451">
        <v>6878</v>
      </c>
      <c r="B1451" s="1" t="s">
        <v>3605</v>
      </c>
      <c r="C1451" s="2">
        <v>42292</v>
      </c>
      <c r="D1451" s="2">
        <v>42292</v>
      </c>
      <c r="E1451" s="1" t="s">
        <v>428</v>
      </c>
      <c r="F1451" s="1" t="s">
        <v>25</v>
      </c>
      <c r="G1451" s="1" t="s">
        <v>26</v>
      </c>
      <c r="H1451" s="1" t="s">
        <v>27</v>
      </c>
      <c r="I1451" s="1" t="s">
        <v>28</v>
      </c>
      <c r="J1451" s="1" t="s">
        <v>1742</v>
      </c>
      <c r="K1451" s="1" t="s">
        <v>95</v>
      </c>
      <c r="L1451">
        <v>75217</v>
      </c>
      <c r="M1451" s="1" t="s">
        <v>96</v>
      </c>
      <c r="N1451" s="1" t="s">
        <v>1088</v>
      </c>
      <c r="O1451" s="1" t="s">
        <v>33</v>
      </c>
      <c r="P1451" s="1" t="s">
        <v>59</v>
      </c>
      <c r="Q1451" s="1" t="s">
        <v>1089</v>
      </c>
      <c r="R1451">
        <v>131</v>
      </c>
      <c r="S1451">
        <v>6</v>
      </c>
      <c r="T1451">
        <v>0.6</v>
      </c>
      <c r="U1451">
        <v>-95</v>
      </c>
      <c r="V1451" s="1" t="s">
        <v>433</v>
      </c>
      <c r="W1451" s="1" t="s">
        <v>51</v>
      </c>
    </row>
    <row r="1452" spans="1:23" x14ac:dyDescent="0.35">
      <c r="A1452">
        <v>6880</v>
      </c>
      <c r="B1452" s="1" t="s">
        <v>3606</v>
      </c>
      <c r="C1452" s="2">
        <v>42339</v>
      </c>
      <c r="D1452" s="2">
        <v>42343</v>
      </c>
      <c r="E1452" s="1" t="s">
        <v>24</v>
      </c>
      <c r="F1452" s="1" t="s">
        <v>3545</v>
      </c>
      <c r="G1452" s="1" t="s">
        <v>3546</v>
      </c>
      <c r="H1452" s="1" t="s">
        <v>103</v>
      </c>
      <c r="I1452" s="1" t="s">
        <v>28</v>
      </c>
      <c r="J1452" s="1" t="s">
        <v>194</v>
      </c>
      <c r="K1452" s="1" t="s">
        <v>195</v>
      </c>
      <c r="L1452">
        <v>98105</v>
      </c>
      <c r="M1452" s="1" t="s">
        <v>57</v>
      </c>
      <c r="N1452" s="1" t="s">
        <v>562</v>
      </c>
      <c r="O1452" s="1" t="s">
        <v>33</v>
      </c>
      <c r="P1452" s="1" t="s">
        <v>39</v>
      </c>
      <c r="Q1452" s="1" t="s">
        <v>563</v>
      </c>
      <c r="R1452">
        <v>2004</v>
      </c>
      <c r="S1452">
        <v>5</v>
      </c>
      <c r="T1452">
        <v>0.2</v>
      </c>
      <c r="U1452">
        <v>125</v>
      </c>
      <c r="V1452" s="1" t="s">
        <v>86</v>
      </c>
      <c r="W1452" s="1" t="s">
        <v>99</v>
      </c>
    </row>
    <row r="1453" spans="1:23" x14ac:dyDescent="0.35">
      <c r="A1453">
        <v>6882</v>
      </c>
      <c r="B1453" s="1" t="s">
        <v>3606</v>
      </c>
      <c r="C1453" s="2">
        <v>42339</v>
      </c>
      <c r="D1453" s="2">
        <v>42343</v>
      </c>
      <c r="E1453" s="1" t="s">
        <v>24</v>
      </c>
      <c r="F1453" s="1" t="s">
        <v>3545</v>
      </c>
      <c r="G1453" s="1" t="s">
        <v>3546</v>
      </c>
      <c r="H1453" s="1" t="s">
        <v>103</v>
      </c>
      <c r="I1453" s="1" t="s">
        <v>28</v>
      </c>
      <c r="J1453" s="1" t="s">
        <v>194</v>
      </c>
      <c r="K1453" s="1" t="s">
        <v>195</v>
      </c>
      <c r="L1453">
        <v>98105</v>
      </c>
      <c r="M1453" s="1" t="s">
        <v>57</v>
      </c>
      <c r="N1453" s="1" t="s">
        <v>307</v>
      </c>
      <c r="O1453" s="1" t="s">
        <v>33</v>
      </c>
      <c r="P1453" s="1" t="s">
        <v>48</v>
      </c>
      <c r="Q1453" s="1" t="s">
        <v>308</v>
      </c>
      <c r="R1453">
        <v>1913</v>
      </c>
      <c r="S1453">
        <v>9</v>
      </c>
      <c r="T1453">
        <v>0</v>
      </c>
      <c r="U1453">
        <v>402</v>
      </c>
      <c r="V1453" s="1" t="s">
        <v>86</v>
      </c>
      <c r="W1453" s="1" t="s">
        <v>99</v>
      </c>
    </row>
    <row r="1454" spans="1:23" x14ac:dyDescent="0.35">
      <c r="A1454">
        <v>6885</v>
      </c>
      <c r="B1454" s="1" t="s">
        <v>3607</v>
      </c>
      <c r="C1454" s="2">
        <v>42155</v>
      </c>
      <c r="D1454" s="2">
        <v>42159</v>
      </c>
      <c r="E1454" s="1" t="s">
        <v>42</v>
      </c>
      <c r="F1454" s="1" t="s">
        <v>602</v>
      </c>
      <c r="G1454" s="1" t="s">
        <v>603</v>
      </c>
      <c r="H1454" s="1" t="s">
        <v>27</v>
      </c>
      <c r="I1454" s="1" t="s">
        <v>28</v>
      </c>
      <c r="J1454" s="1" t="s">
        <v>168</v>
      </c>
      <c r="K1454" s="1" t="s">
        <v>169</v>
      </c>
      <c r="L1454">
        <v>55407</v>
      </c>
      <c r="M1454" s="1" t="s">
        <v>96</v>
      </c>
      <c r="N1454" s="1" t="s">
        <v>2276</v>
      </c>
      <c r="O1454" s="1" t="s">
        <v>33</v>
      </c>
      <c r="P1454" s="1" t="s">
        <v>39</v>
      </c>
      <c r="Q1454" s="1" t="s">
        <v>2277</v>
      </c>
      <c r="R1454">
        <v>2568</v>
      </c>
      <c r="S1454">
        <v>8</v>
      </c>
      <c r="T1454">
        <v>0</v>
      </c>
      <c r="U1454">
        <v>770</v>
      </c>
      <c r="V1454" s="1" t="s">
        <v>86</v>
      </c>
      <c r="W1454" s="1" t="s">
        <v>164</v>
      </c>
    </row>
    <row r="1455" spans="1:23" x14ac:dyDescent="0.35">
      <c r="A1455">
        <v>6894</v>
      </c>
      <c r="B1455" s="1" t="s">
        <v>3608</v>
      </c>
      <c r="C1455" s="2">
        <v>42996</v>
      </c>
      <c r="D1455" s="2">
        <v>43000</v>
      </c>
      <c r="E1455" s="1" t="s">
        <v>42</v>
      </c>
      <c r="F1455" s="1" t="s">
        <v>2090</v>
      </c>
      <c r="G1455" s="1" t="s">
        <v>2091</v>
      </c>
      <c r="H1455" s="1" t="s">
        <v>93</v>
      </c>
      <c r="I1455" s="1" t="s">
        <v>28</v>
      </c>
      <c r="J1455" s="1" t="s">
        <v>350</v>
      </c>
      <c r="K1455" s="1" t="s">
        <v>670</v>
      </c>
      <c r="L1455">
        <v>31907</v>
      </c>
      <c r="M1455" s="1" t="s">
        <v>31</v>
      </c>
      <c r="N1455" s="1" t="s">
        <v>2393</v>
      </c>
      <c r="O1455" s="1" t="s">
        <v>33</v>
      </c>
      <c r="P1455" s="1" t="s">
        <v>59</v>
      </c>
      <c r="Q1455" s="1" t="s">
        <v>2394</v>
      </c>
      <c r="R1455">
        <v>20</v>
      </c>
      <c r="S1455">
        <v>4</v>
      </c>
      <c r="T1455">
        <v>0</v>
      </c>
      <c r="U1455">
        <v>7</v>
      </c>
      <c r="V1455" s="1" t="s">
        <v>86</v>
      </c>
      <c r="W1455" s="1" t="s">
        <v>80</v>
      </c>
    </row>
    <row r="1456" spans="1:23" x14ac:dyDescent="0.35">
      <c r="A1456">
        <v>6899</v>
      </c>
      <c r="B1456" s="1" t="s">
        <v>3609</v>
      </c>
      <c r="C1456" s="2">
        <v>42148</v>
      </c>
      <c r="D1456" s="2">
        <v>42150</v>
      </c>
      <c r="E1456" s="1" t="s">
        <v>24</v>
      </c>
      <c r="F1456" s="1" t="s">
        <v>2847</v>
      </c>
      <c r="G1456" s="1" t="s">
        <v>2848</v>
      </c>
      <c r="H1456" s="1" t="s">
        <v>27</v>
      </c>
      <c r="I1456" s="1" t="s">
        <v>28</v>
      </c>
      <c r="J1456" s="1" t="s">
        <v>3610</v>
      </c>
      <c r="K1456" s="1" t="s">
        <v>137</v>
      </c>
      <c r="L1456">
        <v>60540</v>
      </c>
      <c r="M1456" s="1" t="s">
        <v>96</v>
      </c>
      <c r="N1456" s="1" t="s">
        <v>1031</v>
      </c>
      <c r="O1456" s="1" t="s">
        <v>33</v>
      </c>
      <c r="P1456" s="1" t="s">
        <v>39</v>
      </c>
      <c r="Q1456" s="1" t="s">
        <v>1032</v>
      </c>
      <c r="R1456">
        <v>603</v>
      </c>
      <c r="S1456">
        <v>7</v>
      </c>
      <c r="T1456">
        <v>0.3</v>
      </c>
      <c r="U1456">
        <v>-164</v>
      </c>
      <c r="V1456" s="1" t="s">
        <v>73</v>
      </c>
      <c r="W1456" s="1" t="s">
        <v>164</v>
      </c>
    </row>
    <row r="1457" spans="1:23" x14ac:dyDescent="0.35">
      <c r="A1457">
        <v>6909</v>
      </c>
      <c r="B1457" s="1" t="s">
        <v>3611</v>
      </c>
      <c r="C1457" s="2">
        <v>43079</v>
      </c>
      <c r="D1457" s="2">
        <v>43084</v>
      </c>
      <c r="E1457" s="1" t="s">
        <v>42</v>
      </c>
      <c r="F1457" s="1" t="s">
        <v>238</v>
      </c>
      <c r="G1457" s="1" t="s">
        <v>239</v>
      </c>
      <c r="H1457" s="1" t="s">
        <v>93</v>
      </c>
      <c r="I1457" s="1" t="s">
        <v>28</v>
      </c>
      <c r="J1457" s="1" t="s">
        <v>3612</v>
      </c>
      <c r="K1457" s="1" t="s">
        <v>161</v>
      </c>
      <c r="L1457">
        <v>29406</v>
      </c>
      <c r="M1457" s="1" t="s">
        <v>31</v>
      </c>
      <c r="N1457" s="1" t="s">
        <v>1721</v>
      </c>
      <c r="O1457" s="1" t="s">
        <v>33</v>
      </c>
      <c r="P1457" s="1" t="s">
        <v>59</v>
      </c>
      <c r="Q1457" s="1" t="s">
        <v>1722</v>
      </c>
      <c r="R1457">
        <v>15</v>
      </c>
      <c r="S1457">
        <v>2</v>
      </c>
      <c r="T1457">
        <v>0</v>
      </c>
      <c r="U1457">
        <v>4</v>
      </c>
      <c r="V1457" s="1" t="s">
        <v>61</v>
      </c>
      <c r="W1457" s="1" t="s">
        <v>99</v>
      </c>
    </row>
    <row r="1458" spans="1:23" x14ac:dyDescent="0.35">
      <c r="A1458">
        <v>6911</v>
      </c>
      <c r="B1458" s="1" t="s">
        <v>3613</v>
      </c>
      <c r="C1458" s="2">
        <v>42945</v>
      </c>
      <c r="D1458" s="2">
        <v>42949</v>
      </c>
      <c r="E1458" s="1" t="s">
        <v>42</v>
      </c>
      <c r="F1458" s="1" t="s">
        <v>968</v>
      </c>
      <c r="G1458" s="1" t="s">
        <v>969</v>
      </c>
      <c r="H1458" s="1" t="s">
        <v>27</v>
      </c>
      <c r="I1458" s="1" t="s">
        <v>28</v>
      </c>
      <c r="J1458" s="1" t="s">
        <v>194</v>
      </c>
      <c r="K1458" s="1" t="s">
        <v>195</v>
      </c>
      <c r="L1458">
        <v>98103</v>
      </c>
      <c r="M1458" s="1" t="s">
        <v>57</v>
      </c>
      <c r="N1458" s="1" t="s">
        <v>351</v>
      </c>
      <c r="O1458" s="1" t="s">
        <v>33</v>
      </c>
      <c r="P1458" s="1" t="s">
        <v>34</v>
      </c>
      <c r="Q1458" s="1" t="s">
        <v>352</v>
      </c>
      <c r="R1458">
        <v>116</v>
      </c>
      <c r="S1458">
        <v>2</v>
      </c>
      <c r="T1458">
        <v>0</v>
      </c>
      <c r="U1458">
        <v>26</v>
      </c>
      <c r="V1458" s="1" t="s">
        <v>86</v>
      </c>
      <c r="W1458" s="1" t="s">
        <v>74</v>
      </c>
    </row>
    <row r="1459" spans="1:23" x14ac:dyDescent="0.35">
      <c r="A1459">
        <v>6918</v>
      </c>
      <c r="B1459" s="1" t="s">
        <v>3614</v>
      </c>
      <c r="C1459" s="2">
        <v>41989</v>
      </c>
      <c r="D1459" s="2">
        <v>41994</v>
      </c>
      <c r="E1459" s="1" t="s">
        <v>42</v>
      </c>
      <c r="F1459" s="1" t="s">
        <v>2769</v>
      </c>
      <c r="G1459" s="1" t="s">
        <v>2770</v>
      </c>
      <c r="H1459" s="1" t="s">
        <v>93</v>
      </c>
      <c r="I1459" s="1" t="s">
        <v>28</v>
      </c>
      <c r="J1459" s="1" t="s">
        <v>1852</v>
      </c>
      <c r="K1459" s="1" t="s">
        <v>56</v>
      </c>
      <c r="L1459">
        <v>95823</v>
      </c>
      <c r="M1459" s="1" t="s">
        <v>57</v>
      </c>
      <c r="N1459" s="1" t="s">
        <v>1489</v>
      </c>
      <c r="O1459" s="1" t="s">
        <v>33</v>
      </c>
      <c r="P1459" s="1" t="s">
        <v>39</v>
      </c>
      <c r="Q1459" s="1" t="s">
        <v>1490</v>
      </c>
      <c r="R1459">
        <v>1404</v>
      </c>
      <c r="S1459">
        <v>5</v>
      </c>
      <c r="T1459">
        <v>0.2</v>
      </c>
      <c r="U1459">
        <v>70</v>
      </c>
      <c r="V1459" s="1" t="s">
        <v>61</v>
      </c>
      <c r="W1459" s="1" t="s">
        <v>99</v>
      </c>
    </row>
    <row r="1460" spans="1:23" x14ac:dyDescent="0.35">
      <c r="A1460">
        <v>6926</v>
      </c>
      <c r="B1460" s="1" t="s">
        <v>3615</v>
      </c>
      <c r="C1460" s="2">
        <v>42338</v>
      </c>
      <c r="D1460" s="2">
        <v>42342</v>
      </c>
      <c r="E1460" s="1" t="s">
        <v>42</v>
      </c>
      <c r="F1460" s="1" t="s">
        <v>1509</v>
      </c>
      <c r="G1460" s="1" t="s">
        <v>1510</v>
      </c>
      <c r="H1460" s="1" t="s">
        <v>27</v>
      </c>
      <c r="I1460" s="1" t="s">
        <v>28</v>
      </c>
      <c r="J1460" s="1" t="s">
        <v>176</v>
      </c>
      <c r="K1460" s="1" t="s">
        <v>123</v>
      </c>
      <c r="L1460">
        <v>10035</v>
      </c>
      <c r="M1460" s="1" t="s">
        <v>70</v>
      </c>
      <c r="N1460" s="1" t="s">
        <v>2482</v>
      </c>
      <c r="O1460" s="1" t="s">
        <v>33</v>
      </c>
      <c r="P1460" s="1" t="s">
        <v>34</v>
      </c>
      <c r="Q1460" s="1" t="s">
        <v>2483</v>
      </c>
      <c r="R1460">
        <v>681</v>
      </c>
      <c r="S1460">
        <v>12</v>
      </c>
      <c r="T1460">
        <v>0.2</v>
      </c>
      <c r="U1460">
        <v>43</v>
      </c>
      <c r="V1460" s="1" t="s">
        <v>86</v>
      </c>
      <c r="W1460" s="1" t="s">
        <v>37</v>
      </c>
    </row>
    <row r="1461" spans="1:23" x14ac:dyDescent="0.35">
      <c r="A1461">
        <v>6934</v>
      </c>
      <c r="B1461" s="1" t="s">
        <v>3616</v>
      </c>
      <c r="C1461" s="2">
        <v>41834</v>
      </c>
      <c r="D1461" s="2">
        <v>41838</v>
      </c>
      <c r="E1461" s="1" t="s">
        <v>42</v>
      </c>
      <c r="F1461" s="1" t="s">
        <v>3617</v>
      </c>
      <c r="G1461" s="1" t="s">
        <v>3618</v>
      </c>
      <c r="H1461" s="1" t="s">
        <v>27</v>
      </c>
      <c r="I1461" s="1" t="s">
        <v>28</v>
      </c>
      <c r="J1461" s="1" t="s">
        <v>68</v>
      </c>
      <c r="K1461" s="1" t="s">
        <v>69</v>
      </c>
      <c r="L1461">
        <v>19140</v>
      </c>
      <c r="M1461" s="1" t="s">
        <v>70</v>
      </c>
      <c r="N1461" s="1" t="s">
        <v>3585</v>
      </c>
      <c r="O1461" s="1" t="s">
        <v>33</v>
      </c>
      <c r="P1461" s="1" t="s">
        <v>59</v>
      </c>
      <c r="Q1461" s="1" t="s">
        <v>3586</v>
      </c>
      <c r="R1461">
        <v>32</v>
      </c>
      <c r="S1461">
        <v>2</v>
      </c>
      <c r="T1461">
        <v>0.2</v>
      </c>
      <c r="U1461">
        <v>1</v>
      </c>
      <c r="V1461" s="1" t="s">
        <v>86</v>
      </c>
      <c r="W1461" s="1" t="s">
        <v>74</v>
      </c>
    </row>
    <row r="1462" spans="1:23" x14ac:dyDescent="0.35">
      <c r="A1462">
        <v>6937</v>
      </c>
      <c r="B1462" s="1" t="s">
        <v>3619</v>
      </c>
      <c r="C1462" s="2">
        <v>42615</v>
      </c>
      <c r="D1462" s="2">
        <v>42617</v>
      </c>
      <c r="E1462" s="1" t="s">
        <v>90</v>
      </c>
      <c r="F1462" s="1" t="s">
        <v>3163</v>
      </c>
      <c r="G1462" s="1" t="s">
        <v>3164</v>
      </c>
      <c r="H1462" s="1" t="s">
        <v>103</v>
      </c>
      <c r="I1462" s="1" t="s">
        <v>28</v>
      </c>
      <c r="J1462" s="1" t="s">
        <v>136</v>
      </c>
      <c r="K1462" s="1" t="s">
        <v>137</v>
      </c>
      <c r="L1462">
        <v>60653</v>
      </c>
      <c r="M1462" s="1" t="s">
        <v>96</v>
      </c>
      <c r="N1462" s="1" t="s">
        <v>3620</v>
      </c>
      <c r="O1462" s="1" t="s">
        <v>33</v>
      </c>
      <c r="P1462" s="1" t="s">
        <v>59</v>
      </c>
      <c r="Q1462" s="1" t="s">
        <v>3621</v>
      </c>
      <c r="R1462">
        <v>84</v>
      </c>
      <c r="S1462">
        <v>2</v>
      </c>
      <c r="T1462">
        <v>0.6</v>
      </c>
      <c r="U1462">
        <v>-76</v>
      </c>
      <c r="V1462" s="1" t="s">
        <v>73</v>
      </c>
      <c r="W1462" s="1" t="s">
        <v>80</v>
      </c>
    </row>
    <row r="1463" spans="1:23" x14ac:dyDescent="0.35">
      <c r="A1463">
        <v>6946</v>
      </c>
      <c r="B1463" s="1" t="s">
        <v>3622</v>
      </c>
      <c r="C1463" s="2">
        <v>42643</v>
      </c>
      <c r="D1463" s="2">
        <v>42647</v>
      </c>
      <c r="E1463" s="1" t="s">
        <v>42</v>
      </c>
      <c r="F1463" s="1" t="s">
        <v>1129</v>
      </c>
      <c r="G1463" s="1" t="s">
        <v>1130</v>
      </c>
      <c r="H1463" s="1" t="s">
        <v>27</v>
      </c>
      <c r="I1463" s="1" t="s">
        <v>28</v>
      </c>
      <c r="J1463" s="1" t="s">
        <v>176</v>
      </c>
      <c r="K1463" s="1" t="s">
        <v>123</v>
      </c>
      <c r="L1463">
        <v>10011</v>
      </c>
      <c r="M1463" s="1" t="s">
        <v>70</v>
      </c>
      <c r="N1463" s="1" t="s">
        <v>1639</v>
      </c>
      <c r="O1463" s="1" t="s">
        <v>33</v>
      </c>
      <c r="P1463" s="1" t="s">
        <v>34</v>
      </c>
      <c r="Q1463" s="1" t="s">
        <v>1640</v>
      </c>
      <c r="R1463">
        <v>524</v>
      </c>
      <c r="S1463">
        <v>5</v>
      </c>
      <c r="T1463">
        <v>0.2</v>
      </c>
      <c r="U1463">
        <v>-26</v>
      </c>
      <c r="V1463" s="1" t="s">
        <v>86</v>
      </c>
      <c r="W1463" s="1" t="s">
        <v>80</v>
      </c>
    </row>
    <row r="1464" spans="1:23" x14ac:dyDescent="0.35">
      <c r="A1464">
        <v>6949</v>
      </c>
      <c r="B1464" s="1" t="s">
        <v>3623</v>
      </c>
      <c r="C1464" s="2">
        <v>42119</v>
      </c>
      <c r="D1464" s="2">
        <v>42123</v>
      </c>
      <c r="E1464" s="1" t="s">
        <v>42</v>
      </c>
      <c r="F1464" s="1" t="s">
        <v>846</v>
      </c>
      <c r="G1464" s="1" t="s">
        <v>847</v>
      </c>
      <c r="H1464" s="1" t="s">
        <v>27</v>
      </c>
      <c r="I1464" s="1" t="s">
        <v>28</v>
      </c>
      <c r="J1464" s="1" t="s">
        <v>182</v>
      </c>
      <c r="K1464" s="1" t="s">
        <v>137</v>
      </c>
      <c r="L1464">
        <v>60505</v>
      </c>
      <c r="M1464" s="1" t="s">
        <v>96</v>
      </c>
      <c r="N1464" s="1" t="s">
        <v>2431</v>
      </c>
      <c r="O1464" s="1" t="s">
        <v>33</v>
      </c>
      <c r="P1464" s="1" t="s">
        <v>39</v>
      </c>
      <c r="Q1464" s="1" t="s">
        <v>2432</v>
      </c>
      <c r="R1464">
        <v>128</v>
      </c>
      <c r="S1464">
        <v>3</v>
      </c>
      <c r="T1464">
        <v>0.3</v>
      </c>
      <c r="U1464">
        <v>-24</v>
      </c>
      <c r="V1464" s="1" t="s">
        <v>86</v>
      </c>
      <c r="W1464" s="1" t="s">
        <v>116</v>
      </c>
    </row>
    <row r="1465" spans="1:23" x14ac:dyDescent="0.35">
      <c r="A1465">
        <v>6951</v>
      </c>
      <c r="B1465" s="1" t="s">
        <v>3624</v>
      </c>
      <c r="C1465" s="2">
        <v>43058</v>
      </c>
      <c r="D1465" s="2">
        <v>43058</v>
      </c>
      <c r="E1465" s="1" t="s">
        <v>428</v>
      </c>
      <c r="F1465" s="1" t="s">
        <v>1953</v>
      </c>
      <c r="G1465" s="1" t="s">
        <v>1954</v>
      </c>
      <c r="H1465" s="1" t="s">
        <v>103</v>
      </c>
      <c r="I1465" s="1" t="s">
        <v>28</v>
      </c>
      <c r="J1465" s="1" t="s">
        <v>176</v>
      </c>
      <c r="K1465" s="1" t="s">
        <v>123</v>
      </c>
      <c r="L1465">
        <v>10011</v>
      </c>
      <c r="M1465" s="1" t="s">
        <v>70</v>
      </c>
      <c r="N1465" s="1" t="s">
        <v>1252</v>
      </c>
      <c r="O1465" s="1" t="s">
        <v>33</v>
      </c>
      <c r="P1465" s="1" t="s">
        <v>48</v>
      </c>
      <c r="Q1465" s="1" t="s">
        <v>1253</v>
      </c>
      <c r="R1465">
        <v>80</v>
      </c>
      <c r="S1465">
        <v>3</v>
      </c>
      <c r="T1465">
        <v>0.4</v>
      </c>
      <c r="U1465">
        <v>-29</v>
      </c>
      <c r="V1465" s="1" t="s">
        <v>433</v>
      </c>
      <c r="W1465" s="1" t="s">
        <v>37</v>
      </c>
    </row>
    <row r="1466" spans="1:23" x14ac:dyDescent="0.35">
      <c r="A1466">
        <v>6958</v>
      </c>
      <c r="B1466" s="1" t="s">
        <v>3625</v>
      </c>
      <c r="C1466" s="2">
        <v>42565</v>
      </c>
      <c r="D1466" s="2">
        <v>42570</v>
      </c>
      <c r="E1466" s="1" t="s">
        <v>42</v>
      </c>
      <c r="F1466" s="1" t="s">
        <v>3626</v>
      </c>
      <c r="G1466" s="1" t="s">
        <v>3627</v>
      </c>
      <c r="H1466" s="1" t="s">
        <v>27</v>
      </c>
      <c r="I1466" s="1" t="s">
        <v>28</v>
      </c>
      <c r="J1466" s="1" t="s">
        <v>350</v>
      </c>
      <c r="K1466" s="1" t="s">
        <v>670</v>
      </c>
      <c r="L1466">
        <v>31907</v>
      </c>
      <c r="M1466" s="1" t="s">
        <v>31</v>
      </c>
      <c r="N1466" s="1" t="s">
        <v>87</v>
      </c>
      <c r="O1466" s="1" t="s">
        <v>33</v>
      </c>
      <c r="P1466" s="1" t="s">
        <v>59</v>
      </c>
      <c r="Q1466" s="1" t="s">
        <v>88</v>
      </c>
      <c r="R1466">
        <v>52</v>
      </c>
      <c r="S1466">
        <v>1</v>
      </c>
      <c r="T1466">
        <v>0</v>
      </c>
      <c r="U1466">
        <v>16</v>
      </c>
      <c r="V1466" s="1" t="s">
        <v>61</v>
      </c>
      <c r="W1466" s="1" t="s">
        <v>74</v>
      </c>
    </row>
    <row r="1467" spans="1:23" x14ac:dyDescent="0.35">
      <c r="A1467">
        <v>6970</v>
      </c>
      <c r="B1467" s="1" t="s">
        <v>3628</v>
      </c>
      <c r="C1467" s="2">
        <v>42379</v>
      </c>
      <c r="D1467" s="2">
        <v>42382</v>
      </c>
      <c r="E1467" s="1" t="s">
        <v>24</v>
      </c>
      <c r="F1467" s="1" t="s">
        <v>2250</v>
      </c>
      <c r="G1467" s="1" t="s">
        <v>2251</v>
      </c>
      <c r="H1467" s="1" t="s">
        <v>27</v>
      </c>
      <c r="I1467" s="1" t="s">
        <v>28</v>
      </c>
      <c r="J1467" s="1" t="s">
        <v>3629</v>
      </c>
      <c r="K1467" s="1" t="s">
        <v>195</v>
      </c>
      <c r="L1467">
        <v>98632</v>
      </c>
      <c r="M1467" s="1" t="s">
        <v>57</v>
      </c>
      <c r="N1467" s="1" t="s">
        <v>653</v>
      </c>
      <c r="O1467" s="1" t="s">
        <v>33</v>
      </c>
      <c r="P1467" s="1" t="s">
        <v>59</v>
      </c>
      <c r="Q1467" s="1" t="s">
        <v>654</v>
      </c>
      <c r="R1467">
        <v>25</v>
      </c>
      <c r="S1467">
        <v>5</v>
      </c>
      <c r="T1467">
        <v>0</v>
      </c>
      <c r="U1467">
        <v>8</v>
      </c>
      <c r="V1467" s="1" t="s">
        <v>36</v>
      </c>
      <c r="W1467" s="1" t="s">
        <v>172</v>
      </c>
    </row>
    <row r="1468" spans="1:23" x14ac:dyDescent="0.35">
      <c r="A1468">
        <v>6977</v>
      </c>
      <c r="B1468" s="1" t="s">
        <v>3630</v>
      </c>
      <c r="C1468" s="2">
        <v>42183</v>
      </c>
      <c r="D1468" s="2">
        <v>42187</v>
      </c>
      <c r="E1468" s="1" t="s">
        <v>42</v>
      </c>
      <c r="F1468" s="1" t="s">
        <v>3631</v>
      </c>
      <c r="G1468" s="1" t="s">
        <v>3632</v>
      </c>
      <c r="H1468" s="1" t="s">
        <v>93</v>
      </c>
      <c r="I1468" s="1" t="s">
        <v>28</v>
      </c>
      <c r="J1468" s="1" t="s">
        <v>2036</v>
      </c>
      <c r="K1468" s="1" t="s">
        <v>523</v>
      </c>
      <c r="L1468">
        <v>85234</v>
      </c>
      <c r="M1468" s="1" t="s">
        <v>57</v>
      </c>
      <c r="N1468" s="1" t="s">
        <v>793</v>
      </c>
      <c r="O1468" s="1" t="s">
        <v>33</v>
      </c>
      <c r="P1468" s="1" t="s">
        <v>59</v>
      </c>
      <c r="Q1468" s="1" t="s">
        <v>794</v>
      </c>
      <c r="R1468">
        <v>622</v>
      </c>
      <c r="S1468">
        <v>4</v>
      </c>
      <c r="T1468">
        <v>0.2</v>
      </c>
      <c r="U1468">
        <v>47</v>
      </c>
      <c r="V1468" s="1" t="s">
        <v>86</v>
      </c>
      <c r="W1468" s="1" t="s">
        <v>62</v>
      </c>
    </row>
    <row r="1469" spans="1:23" x14ac:dyDescent="0.35">
      <c r="A1469">
        <v>6993</v>
      </c>
      <c r="B1469" s="1" t="s">
        <v>3633</v>
      </c>
      <c r="C1469" s="2">
        <v>42316</v>
      </c>
      <c r="D1469" s="2">
        <v>42321</v>
      </c>
      <c r="E1469" s="1" t="s">
        <v>24</v>
      </c>
      <c r="F1469" s="1" t="s">
        <v>2470</v>
      </c>
      <c r="G1469" s="1" t="s">
        <v>2471</v>
      </c>
      <c r="H1469" s="1" t="s">
        <v>27</v>
      </c>
      <c r="I1469" s="1" t="s">
        <v>28</v>
      </c>
      <c r="J1469" s="1" t="s">
        <v>2853</v>
      </c>
      <c r="K1469" s="1" t="s">
        <v>719</v>
      </c>
      <c r="L1469">
        <v>23666</v>
      </c>
      <c r="M1469" s="1" t="s">
        <v>31</v>
      </c>
      <c r="N1469" s="1" t="s">
        <v>1799</v>
      </c>
      <c r="O1469" s="1" t="s">
        <v>33</v>
      </c>
      <c r="P1469" s="1" t="s">
        <v>59</v>
      </c>
      <c r="Q1469" s="1" t="s">
        <v>1800</v>
      </c>
      <c r="R1469">
        <v>187</v>
      </c>
      <c r="S1469">
        <v>3</v>
      </c>
      <c r="T1469">
        <v>0</v>
      </c>
      <c r="U1469">
        <v>41</v>
      </c>
      <c r="V1469" s="1" t="s">
        <v>61</v>
      </c>
      <c r="W1469" s="1" t="s">
        <v>37</v>
      </c>
    </row>
    <row r="1470" spans="1:23" x14ac:dyDescent="0.35">
      <c r="A1470">
        <v>7002</v>
      </c>
      <c r="B1470" s="1" t="s">
        <v>3634</v>
      </c>
      <c r="C1470" s="2">
        <v>42093</v>
      </c>
      <c r="D1470" s="2">
        <v>42097</v>
      </c>
      <c r="E1470" s="1" t="s">
        <v>42</v>
      </c>
      <c r="F1470" s="1" t="s">
        <v>2116</v>
      </c>
      <c r="G1470" s="1" t="s">
        <v>2117</v>
      </c>
      <c r="H1470" s="1" t="s">
        <v>103</v>
      </c>
      <c r="I1470" s="1" t="s">
        <v>28</v>
      </c>
      <c r="J1470" s="1" t="s">
        <v>3635</v>
      </c>
      <c r="K1470" s="1" t="s">
        <v>137</v>
      </c>
      <c r="L1470">
        <v>61761</v>
      </c>
      <c r="M1470" s="1" t="s">
        <v>96</v>
      </c>
      <c r="N1470" s="1" t="s">
        <v>2581</v>
      </c>
      <c r="O1470" s="1" t="s">
        <v>33</v>
      </c>
      <c r="P1470" s="1" t="s">
        <v>39</v>
      </c>
      <c r="Q1470" s="1" t="s">
        <v>2582</v>
      </c>
      <c r="R1470">
        <v>367</v>
      </c>
      <c r="S1470">
        <v>4</v>
      </c>
      <c r="T1470">
        <v>0.3</v>
      </c>
      <c r="U1470">
        <v>-110</v>
      </c>
      <c r="V1470" s="1" t="s">
        <v>86</v>
      </c>
      <c r="W1470" s="1" t="s">
        <v>198</v>
      </c>
    </row>
    <row r="1471" spans="1:23" x14ac:dyDescent="0.35">
      <c r="A1471">
        <v>7003</v>
      </c>
      <c r="B1471" s="1" t="s">
        <v>3636</v>
      </c>
      <c r="C1471" s="2">
        <v>41870</v>
      </c>
      <c r="D1471" s="2">
        <v>41872</v>
      </c>
      <c r="E1471" s="1" t="s">
        <v>24</v>
      </c>
      <c r="F1471" s="1" t="s">
        <v>2359</v>
      </c>
      <c r="G1471" s="1" t="s">
        <v>2360</v>
      </c>
      <c r="H1471" s="1" t="s">
        <v>93</v>
      </c>
      <c r="I1471" s="1" t="s">
        <v>28</v>
      </c>
      <c r="J1471" s="1" t="s">
        <v>55</v>
      </c>
      <c r="K1471" s="1" t="s">
        <v>56</v>
      </c>
      <c r="L1471">
        <v>90045</v>
      </c>
      <c r="M1471" s="1" t="s">
        <v>57</v>
      </c>
      <c r="N1471" s="1" t="s">
        <v>599</v>
      </c>
      <c r="O1471" s="1" t="s">
        <v>33</v>
      </c>
      <c r="P1471" s="1" t="s">
        <v>59</v>
      </c>
      <c r="Q1471" s="1" t="s">
        <v>600</v>
      </c>
      <c r="R1471">
        <v>289</v>
      </c>
      <c r="S1471">
        <v>7</v>
      </c>
      <c r="T1471">
        <v>0</v>
      </c>
      <c r="U1471">
        <v>26</v>
      </c>
      <c r="V1471" s="1" t="s">
        <v>73</v>
      </c>
      <c r="W1471" s="1" t="s">
        <v>256</v>
      </c>
    </row>
    <row r="1472" spans="1:23" x14ac:dyDescent="0.35">
      <c r="A1472">
        <v>7006</v>
      </c>
      <c r="B1472" s="1" t="s">
        <v>3637</v>
      </c>
      <c r="C1472" s="2">
        <v>42309</v>
      </c>
      <c r="D1472" s="2">
        <v>42313</v>
      </c>
      <c r="E1472" s="1" t="s">
        <v>42</v>
      </c>
      <c r="F1472" s="1" t="s">
        <v>2876</v>
      </c>
      <c r="G1472" s="1" t="s">
        <v>2877</v>
      </c>
      <c r="H1472" s="1" t="s">
        <v>27</v>
      </c>
      <c r="I1472" s="1" t="s">
        <v>28</v>
      </c>
      <c r="J1472" s="1" t="s">
        <v>176</v>
      </c>
      <c r="K1472" s="1" t="s">
        <v>123</v>
      </c>
      <c r="L1472">
        <v>10009</v>
      </c>
      <c r="M1472" s="1" t="s">
        <v>70</v>
      </c>
      <c r="N1472" s="1" t="s">
        <v>3219</v>
      </c>
      <c r="O1472" s="1" t="s">
        <v>33</v>
      </c>
      <c r="P1472" s="1" t="s">
        <v>39</v>
      </c>
      <c r="Q1472" s="1" t="s">
        <v>3220</v>
      </c>
      <c r="R1472">
        <v>205</v>
      </c>
      <c r="S1472">
        <v>2</v>
      </c>
      <c r="T1472">
        <v>0.1</v>
      </c>
      <c r="U1472">
        <v>14</v>
      </c>
      <c r="V1472" s="1" t="s">
        <v>86</v>
      </c>
      <c r="W1472" s="1" t="s">
        <v>37</v>
      </c>
    </row>
    <row r="1473" spans="1:23" x14ac:dyDescent="0.35">
      <c r="A1473">
        <v>7007</v>
      </c>
      <c r="B1473" s="1" t="s">
        <v>3638</v>
      </c>
      <c r="C1473" s="2">
        <v>41988</v>
      </c>
      <c r="D1473" s="2">
        <v>41994</v>
      </c>
      <c r="E1473" s="1" t="s">
        <v>42</v>
      </c>
      <c r="F1473" s="1" t="s">
        <v>2620</v>
      </c>
      <c r="G1473" s="1" t="s">
        <v>2621</v>
      </c>
      <c r="H1473" s="1" t="s">
        <v>93</v>
      </c>
      <c r="I1473" s="1" t="s">
        <v>28</v>
      </c>
      <c r="J1473" s="1" t="s">
        <v>136</v>
      </c>
      <c r="K1473" s="1" t="s">
        <v>137</v>
      </c>
      <c r="L1473">
        <v>60623</v>
      </c>
      <c r="M1473" s="1" t="s">
        <v>96</v>
      </c>
      <c r="N1473" s="1" t="s">
        <v>2143</v>
      </c>
      <c r="O1473" s="1" t="s">
        <v>33</v>
      </c>
      <c r="P1473" s="1" t="s">
        <v>59</v>
      </c>
      <c r="Q1473" s="1" t="s">
        <v>2144</v>
      </c>
      <c r="R1473">
        <v>9</v>
      </c>
      <c r="S1473">
        <v>2</v>
      </c>
      <c r="T1473">
        <v>0.6</v>
      </c>
      <c r="U1473">
        <v>-7</v>
      </c>
      <c r="V1473" s="1" t="s">
        <v>132</v>
      </c>
      <c r="W1473" s="1" t="s">
        <v>99</v>
      </c>
    </row>
    <row r="1474" spans="1:23" x14ac:dyDescent="0.35">
      <c r="A1474">
        <v>7009</v>
      </c>
      <c r="B1474" s="1" t="s">
        <v>3639</v>
      </c>
      <c r="C1474" s="2">
        <v>42237</v>
      </c>
      <c r="D1474" s="2">
        <v>42241</v>
      </c>
      <c r="E1474" s="1" t="s">
        <v>42</v>
      </c>
      <c r="F1474" s="1" t="s">
        <v>3491</v>
      </c>
      <c r="G1474" s="1" t="s">
        <v>3492</v>
      </c>
      <c r="H1474" s="1" t="s">
        <v>93</v>
      </c>
      <c r="I1474" s="1" t="s">
        <v>28</v>
      </c>
      <c r="J1474" s="1" t="s">
        <v>881</v>
      </c>
      <c r="K1474" s="1" t="s">
        <v>234</v>
      </c>
      <c r="L1474">
        <v>45503</v>
      </c>
      <c r="M1474" s="1" t="s">
        <v>70</v>
      </c>
      <c r="N1474" s="1" t="s">
        <v>578</v>
      </c>
      <c r="O1474" s="1" t="s">
        <v>33</v>
      </c>
      <c r="P1474" s="1" t="s">
        <v>39</v>
      </c>
      <c r="Q1474" s="1" t="s">
        <v>579</v>
      </c>
      <c r="R1474">
        <v>598</v>
      </c>
      <c r="S1474">
        <v>3</v>
      </c>
      <c r="T1474">
        <v>0.3</v>
      </c>
      <c r="U1474">
        <v>-43</v>
      </c>
      <c r="V1474" s="1" t="s">
        <v>86</v>
      </c>
      <c r="W1474" s="1" t="s">
        <v>256</v>
      </c>
    </row>
    <row r="1475" spans="1:23" x14ac:dyDescent="0.35">
      <c r="A1475">
        <v>7010</v>
      </c>
      <c r="B1475" s="1" t="s">
        <v>3639</v>
      </c>
      <c r="C1475" s="2">
        <v>42237</v>
      </c>
      <c r="D1475" s="2">
        <v>42241</v>
      </c>
      <c r="E1475" s="1" t="s">
        <v>42</v>
      </c>
      <c r="F1475" s="1" t="s">
        <v>3491</v>
      </c>
      <c r="G1475" s="1" t="s">
        <v>3492</v>
      </c>
      <c r="H1475" s="1" t="s">
        <v>93</v>
      </c>
      <c r="I1475" s="1" t="s">
        <v>28</v>
      </c>
      <c r="J1475" s="1" t="s">
        <v>881</v>
      </c>
      <c r="K1475" s="1" t="s">
        <v>234</v>
      </c>
      <c r="L1475">
        <v>45503</v>
      </c>
      <c r="M1475" s="1" t="s">
        <v>70</v>
      </c>
      <c r="N1475" s="1" t="s">
        <v>2398</v>
      </c>
      <c r="O1475" s="1" t="s">
        <v>33</v>
      </c>
      <c r="P1475" s="1" t="s">
        <v>59</v>
      </c>
      <c r="Q1475" s="1" t="s">
        <v>2399</v>
      </c>
      <c r="R1475">
        <v>26</v>
      </c>
      <c r="S1475">
        <v>1</v>
      </c>
      <c r="T1475">
        <v>0.2</v>
      </c>
      <c r="U1475">
        <v>-4</v>
      </c>
      <c r="V1475" s="1" t="s">
        <v>86</v>
      </c>
      <c r="W1475" s="1" t="s">
        <v>256</v>
      </c>
    </row>
    <row r="1476" spans="1:23" x14ac:dyDescent="0.35">
      <c r="A1476">
        <v>7014</v>
      </c>
      <c r="B1476" s="1" t="s">
        <v>3640</v>
      </c>
      <c r="C1476" s="2">
        <v>43078</v>
      </c>
      <c r="D1476" s="2">
        <v>43080</v>
      </c>
      <c r="E1476" s="1" t="s">
        <v>24</v>
      </c>
      <c r="F1476" s="1" t="s">
        <v>2304</v>
      </c>
      <c r="G1476" s="1" t="s">
        <v>2305</v>
      </c>
      <c r="H1476" s="1" t="s">
        <v>103</v>
      </c>
      <c r="I1476" s="1" t="s">
        <v>28</v>
      </c>
      <c r="J1476" s="1" t="s">
        <v>3641</v>
      </c>
      <c r="K1476" s="1" t="s">
        <v>56</v>
      </c>
      <c r="L1476">
        <v>93905</v>
      </c>
      <c r="M1476" s="1" t="s">
        <v>57</v>
      </c>
      <c r="N1476" s="1" t="s">
        <v>863</v>
      </c>
      <c r="O1476" s="1" t="s">
        <v>33</v>
      </c>
      <c r="P1476" s="1" t="s">
        <v>34</v>
      </c>
      <c r="Q1476" s="1" t="s">
        <v>864</v>
      </c>
      <c r="R1476">
        <v>148</v>
      </c>
      <c r="S1476">
        <v>3</v>
      </c>
      <c r="T1476">
        <v>0.15</v>
      </c>
      <c r="U1476">
        <v>16</v>
      </c>
      <c r="V1476" s="1" t="s">
        <v>73</v>
      </c>
      <c r="W1476" s="1" t="s">
        <v>99</v>
      </c>
    </row>
    <row r="1477" spans="1:23" x14ac:dyDescent="0.35">
      <c r="A1477">
        <v>7022</v>
      </c>
      <c r="B1477" s="1" t="s">
        <v>3642</v>
      </c>
      <c r="C1477" s="2">
        <v>41874</v>
      </c>
      <c r="D1477" s="2">
        <v>41878</v>
      </c>
      <c r="E1477" s="1" t="s">
        <v>42</v>
      </c>
      <c r="F1477" s="1" t="s">
        <v>1068</v>
      </c>
      <c r="G1477" s="1" t="s">
        <v>1069</v>
      </c>
      <c r="H1477" s="1" t="s">
        <v>27</v>
      </c>
      <c r="I1477" s="1" t="s">
        <v>28</v>
      </c>
      <c r="J1477" s="1" t="s">
        <v>268</v>
      </c>
      <c r="K1477" s="1" t="s">
        <v>183</v>
      </c>
      <c r="L1477">
        <v>80219</v>
      </c>
      <c r="M1477" s="1" t="s">
        <v>57</v>
      </c>
      <c r="N1477" s="1" t="s">
        <v>340</v>
      </c>
      <c r="O1477" s="1" t="s">
        <v>33</v>
      </c>
      <c r="P1477" s="1" t="s">
        <v>59</v>
      </c>
      <c r="Q1477" s="1" t="s">
        <v>341</v>
      </c>
      <c r="R1477">
        <v>4</v>
      </c>
      <c r="S1477">
        <v>3</v>
      </c>
      <c r="T1477">
        <v>0.2</v>
      </c>
      <c r="U1477">
        <v>1</v>
      </c>
      <c r="V1477" s="1" t="s">
        <v>86</v>
      </c>
      <c r="W1477" s="1" t="s">
        <v>256</v>
      </c>
    </row>
    <row r="1478" spans="1:23" x14ac:dyDescent="0.35">
      <c r="A1478">
        <v>7033</v>
      </c>
      <c r="B1478" s="1" t="s">
        <v>3643</v>
      </c>
      <c r="C1478" s="2">
        <v>42685</v>
      </c>
      <c r="D1478" s="2">
        <v>42690</v>
      </c>
      <c r="E1478" s="1" t="s">
        <v>42</v>
      </c>
      <c r="F1478" s="1" t="s">
        <v>2384</v>
      </c>
      <c r="G1478" s="1" t="s">
        <v>2385</v>
      </c>
      <c r="H1478" s="1" t="s">
        <v>93</v>
      </c>
      <c r="I1478" s="1" t="s">
        <v>28</v>
      </c>
      <c r="J1478" s="1" t="s">
        <v>176</v>
      </c>
      <c r="K1478" s="1" t="s">
        <v>123</v>
      </c>
      <c r="L1478">
        <v>10011</v>
      </c>
      <c r="M1478" s="1" t="s">
        <v>70</v>
      </c>
      <c r="N1478" s="1" t="s">
        <v>1620</v>
      </c>
      <c r="O1478" s="1" t="s">
        <v>33</v>
      </c>
      <c r="P1478" s="1" t="s">
        <v>39</v>
      </c>
      <c r="Q1478" s="1" t="s">
        <v>1621</v>
      </c>
      <c r="R1478">
        <v>246</v>
      </c>
      <c r="S1478">
        <v>3</v>
      </c>
      <c r="T1478">
        <v>0.1</v>
      </c>
      <c r="U1478">
        <v>8</v>
      </c>
      <c r="V1478" s="1" t="s">
        <v>61</v>
      </c>
      <c r="W1478" s="1" t="s">
        <v>37</v>
      </c>
    </row>
    <row r="1479" spans="1:23" x14ac:dyDescent="0.35">
      <c r="A1479">
        <v>7036</v>
      </c>
      <c r="B1479" s="1" t="s">
        <v>3644</v>
      </c>
      <c r="C1479" s="2">
        <v>43048</v>
      </c>
      <c r="D1479" s="2">
        <v>43052</v>
      </c>
      <c r="E1479" s="1" t="s">
        <v>42</v>
      </c>
      <c r="F1479" s="1" t="s">
        <v>2319</v>
      </c>
      <c r="G1479" s="1" t="s">
        <v>2320</v>
      </c>
      <c r="H1479" s="1" t="s">
        <v>93</v>
      </c>
      <c r="I1479" s="1" t="s">
        <v>28</v>
      </c>
      <c r="J1479" s="1" t="s">
        <v>642</v>
      </c>
      <c r="K1479" s="1" t="s">
        <v>56</v>
      </c>
      <c r="L1479">
        <v>92105</v>
      </c>
      <c r="M1479" s="1" t="s">
        <v>57</v>
      </c>
      <c r="N1479" s="1" t="s">
        <v>819</v>
      </c>
      <c r="O1479" s="1" t="s">
        <v>33</v>
      </c>
      <c r="P1479" s="1" t="s">
        <v>39</v>
      </c>
      <c r="Q1479" s="1" t="s">
        <v>820</v>
      </c>
      <c r="R1479">
        <v>523</v>
      </c>
      <c r="S1479">
        <v>3</v>
      </c>
      <c r="T1479">
        <v>0.2</v>
      </c>
      <c r="U1479">
        <v>52</v>
      </c>
      <c r="V1479" s="1" t="s">
        <v>86</v>
      </c>
      <c r="W1479" s="1" t="s">
        <v>37</v>
      </c>
    </row>
    <row r="1480" spans="1:23" x14ac:dyDescent="0.35">
      <c r="A1480">
        <v>7042</v>
      </c>
      <c r="B1480" s="1" t="s">
        <v>3645</v>
      </c>
      <c r="C1480" s="2">
        <v>43086</v>
      </c>
      <c r="D1480" s="2">
        <v>43092</v>
      </c>
      <c r="E1480" s="1" t="s">
        <v>42</v>
      </c>
      <c r="F1480" s="1" t="s">
        <v>3646</v>
      </c>
      <c r="G1480" s="1" t="s">
        <v>3647</v>
      </c>
      <c r="H1480" s="1" t="s">
        <v>27</v>
      </c>
      <c r="I1480" s="1" t="s">
        <v>28</v>
      </c>
      <c r="J1480" s="1" t="s">
        <v>176</v>
      </c>
      <c r="K1480" s="1" t="s">
        <v>123</v>
      </c>
      <c r="L1480">
        <v>10009</v>
      </c>
      <c r="M1480" s="1" t="s">
        <v>70</v>
      </c>
      <c r="N1480" s="1" t="s">
        <v>1799</v>
      </c>
      <c r="O1480" s="1" t="s">
        <v>33</v>
      </c>
      <c r="P1480" s="1" t="s">
        <v>59</v>
      </c>
      <c r="Q1480" s="1" t="s">
        <v>1800</v>
      </c>
      <c r="R1480">
        <v>124</v>
      </c>
      <c r="S1480">
        <v>2</v>
      </c>
      <c r="T1480">
        <v>0</v>
      </c>
      <c r="U1480">
        <v>27</v>
      </c>
      <c r="V1480" s="1" t="s">
        <v>132</v>
      </c>
      <c r="W1480" s="1" t="s">
        <v>99</v>
      </c>
    </row>
    <row r="1481" spans="1:23" x14ac:dyDescent="0.35">
      <c r="A1481">
        <v>7044</v>
      </c>
      <c r="B1481" s="1" t="s">
        <v>3648</v>
      </c>
      <c r="C1481" s="2">
        <v>42934</v>
      </c>
      <c r="D1481" s="2">
        <v>42939</v>
      </c>
      <c r="E1481" s="1" t="s">
        <v>42</v>
      </c>
      <c r="F1481" s="1" t="s">
        <v>742</v>
      </c>
      <c r="G1481" s="1" t="s">
        <v>743</v>
      </c>
      <c r="H1481" s="1" t="s">
        <v>27</v>
      </c>
      <c r="I1481" s="1" t="s">
        <v>28</v>
      </c>
      <c r="J1481" s="1" t="s">
        <v>68</v>
      </c>
      <c r="K1481" s="1" t="s">
        <v>69</v>
      </c>
      <c r="L1481">
        <v>19134</v>
      </c>
      <c r="M1481" s="1" t="s">
        <v>70</v>
      </c>
      <c r="N1481" s="1" t="s">
        <v>593</v>
      </c>
      <c r="O1481" s="1" t="s">
        <v>33</v>
      </c>
      <c r="P1481" s="1" t="s">
        <v>39</v>
      </c>
      <c r="Q1481" s="1" t="s">
        <v>594</v>
      </c>
      <c r="R1481">
        <v>199</v>
      </c>
      <c r="S1481">
        <v>4</v>
      </c>
      <c r="T1481">
        <v>0.3</v>
      </c>
      <c r="U1481">
        <v>-14</v>
      </c>
      <c r="V1481" s="1" t="s">
        <v>61</v>
      </c>
      <c r="W1481" s="1" t="s">
        <v>74</v>
      </c>
    </row>
    <row r="1482" spans="1:23" x14ac:dyDescent="0.35">
      <c r="A1482">
        <v>7047</v>
      </c>
      <c r="B1482" s="1" t="s">
        <v>3649</v>
      </c>
      <c r="C1482" s="2">
        <v>41737</v>
      </c>
      <c r="D1482" s="2">
        <v>41741</v>
      </c>
      <c r="E1482" s="1" t="s">
        <v>42</v>
      </c>
      <c r="F1482" s="1" t="s">
        <v>395</v>
      </c>
      <c r="G1482" s="1" t="s">
        <v>396</v>
      </c>
      <c r="H1482" s="1" t="s">
        <v>103</v>
      </c>
      <c r="I1482" s="1" t="s">
        <v>28</v>
      </c>
      <c r="J1482" s="1" t="s">
        <v>512</v>
      </c>
      <c r="K1482" s="1" t="s">
        <v>56</v>
      </c>
      <c r="L1482">
        <v>94521</v>
      </c>
      <c r="M1482" s="1" t="s">
        <v>57</v>
      </c>
      <c r="N1482" s="1" t="s">
        <v>293</v>
      </c>
      <c r="O1482" s="1" t="s">
        <v>33</v>
      </c>
      <c r="P1482" s="1" t="s">
        <v>48</v>
      </c>
      <c r="Q1482" s="1" t="s">
        <v>294</v>
      </c>
      <c r="R1482">
        <v>100</v>
      </c>
      <c r="S1482">
        <v>1</v>
      </c>
      <c r="T1482">
        <v>0.2</v>
      </c>
      <c r="U1482">
        <v>2</v>
      </c>
      <c r="V1482" s="1" t="s">
        <v>86</v>
      </c>
      <c r="W1482" s="1" t="s">
        <v>116</v>
      </c>
    </row>
    <row r="1483" spans="1:23" x14ac:dyDescent="0.35">
      <c r="A1483">
        <v>7055</v>
      </c>
      <c r="B1483" s="1" t="s">
        <v>3650</v>
      </c>
      <c r="C1483" s="2">
        <v>42715</v>
      </c>
      <c r="D1483" s="2">
        <v>42715</v>
      </c>
      <c r="E1483" s="1" t="s">
        <v>428</v>
      </c>
      <c r="F1483" s="1" t="s">
        <v>1733</v>
      </c>
      <c r="G1483" s="1" t="s">
        <v>1734</v>
      </c>
      <c r="H1483" s="1" t="s">
        <v>27</v>
      </c>
      <c r="I1483" s="1" t="s">
        <v>28</v>
      </c>
      <c r="J1483" s="1" t="s">
        <v>3050</v>
      </c>
      <c r="K1483" s="1" t="s">
        <v>56</v>
      </c>
      <c r="L1483">
        <v>92804</v>
      </c>
      <c r="M1483" s="1" t="s">
        <v>57</v>
      </c>
      <c r="N1483" s="1" t="s">
        <v>1620</v>
      </c>
      <c r="O1483" s="1" t="s">
        <v>33</v>
      </c>
      <c r="P1483" s="1" t="s">
        <v>39</v>
      </c>
      <c r="Q1483" s="1" t="s">
        <v>1621</v>
      </c>
      <c r="R1483">
        <v>364</v>
      </c>
      <c r="S1483">
        <v>5</v>
      </c>
      <c r="T1483">
        <v>0.2</v>
      </c>
      <c r="U1483">
        <v>-32</v>
      </c>
      <c r="V1483" s="1" t="s">
        <v>433</v>
      </c>
      <c r="W1483" s="1" t="s">
        <v>99</v>
      </c>
    </row>
    <row r="1484" spans="1:23" x14ac:dyDescent="0.35">
      <c r="A1484">
        <v>7058</v>
      </c>
      <c r="B1484" s="1" t="s">
        <v>3650</v>
      </c>
      <c r="C1484" s="2">
        <v>42715</v>
      </c>
      <c r="D1484" s="2">
        <v>42715</v>
      </c>
      <c r="E1484" s="1" t="s">
        <v>428</v>
      </c>
      <c r="F1484" s="1" t="s">
        <v>1733</v>
      </c>
      <c r="G1484" s="1" t="s">
        <v>1734</v>
      </c>
      <c r="H1484" s="1" t="s">
        <v>27</v>
      </c>
      <c r="I1484" s="1" t="s">
        <v>28</v>
      </c>
      <c r="J1484" s="1" t="s">
        <v>3050</v>
      </c>
      <c r="K1484" s="1" t="s">
        <v>56</v>
      </c>
      <c r="L1484">
        <v>92804</v>
      </c>
      <c r="M1484" s="1" t="s">
        <v>57</v>
      </c>
      <c r="N1484" s="1" t="s">
        <v>1137</v>
      </c>
      <c r="O1484" s="1" t="s">
        <v>33</v>
      </c>
      <c r="P1484" s="1" t="s">
        <v>48</v>
      </c>
      <c r="Q1484" s="1" t="s">
        <v>1138</v>
      </c>
      <c r="R1484">
        <v>892</v>
      </c>
      <c r="S1484">
        <v>7</v>
      </c>
      <c r="T1484">
        <v>0.2</v>
      </c>
      <c r="U1484">
        <v>112</v>
      </c>
      <c r="V1484" s="1" t="s">
        <v>433</v>
      </c>
      <c r="W1484" s="1" t="s">
        <v>99</v>
      </c>
    </row>
    <row r="1485" spans="1:23" x14ac:dyDescent="0.35">
      <c r="A1485">
        <v>7081</v>
      </c>
      <c r="B1485" s="1" t="s">
        <v>3651</v>
      </c>
      <c r="C1485" s="2">
        <v>42615</v>
      </c>
      <c r="D1485" s="2">
        <v>42619</v>
      </c>
      <c r="E1485" s="1" t="s">
        <v>42</v>
      </c>
      <c r="F1485" s="1" t="s">
        <v>1612</v>
      </c>
      <c r="G1485" s="1" t="s">
        <v>1613</v>
      </c>
      <c r="H1485" s="1" t="s">
        <v>27</v>
      </c>
      <c r="I1485" s="1" t="s">
        <v>28</v>
      </c>
      <c r="J1485" s="1" t="s">
        <v>1530</v>
      </c>
      <c r="K1485" s="1" t="s">
        <v>1039</v>
      </c>
      <c r="L1485">
        <v>28205</v>
      </c>
      <c r="M1485" s="1" t="s">
        <v>31</v>
      </c>
      <c r="N1485" s="1" t="s">
        <v>196</v>
      </c>
      <c r="O1485" s="1" t="s">
        <v>33</v>
      </c>
      <c r="P1485" s="1" t="s">
        <v>48</v>
      </c>
      <c r="Q1485" s="1" t="s">
        <v>197</v>
      </c>
      <c r="R1485">
        <v>473</v>
      </c>
      <c r="S1485">
        <v>3</v>
      </c>
      <c r="T1485">
        <v>0.4</v>
      </c>
      <c r="U1485">
        <v>-150</v>
      </c>
      <c r="V1485" s="1" t="s">
        <v>86</v>
      </c>
      <c r="W1485" s="1" t="s">
        <v>80</v>
      </c>
    </row>
    <row r="1486" spans="1:23" x14ac:dyDescent="0.35">
      <c r="A1486">
        <v>7105</v>
      </c>
      <c r="B1486" s="1" t="s">
        <v>3652</v>
      </c>
      <c r="C1486" s="2">
        <v>42905</v>
      </c>
      <c r="D1486" s="2">
        <v>42907</v>
      </c>
      <c r="E1486" s="1" t="s">
        <v>24</v>
      </c>
      <c r="F1486" s="1" t="s">
        <v>1532</v>
      </c>
      <c r="G1486" s="1" t="s">
        <v>1533</v>
      </c>
      <c r="H1486" s="1" t="s">
        <v>93</v>
      </c>
      <c r="I1486" s="1" t="s">
        <v>28</v>
      </c>
      <c r="J1486" s="1" t="s">
        <v>233</v>
      </c>
      <c r="K1486" s="1" t="s">
        <v>234</v>
      </c>
      <c r="L1486">
        <v>43055</v>
      </c>
      <c r="M1486" s="1" t="s">
        <v>70</v>
      </c>
      <c r="N1486" s="1" t="s">
        <v>423</v>
      </c>
      <c r="O1486" s="1" t="s">
        <v>33</v>
      </c>
      <c r="P1486" s="1" t="s">
        <v>39</v>
      </c>
      <c r="Q1486" s="1" t="s">
        <v>424</v>
      </c>
      <c r="R1486">
        <v>760</v>
      </c>
      <c r="S1486">
        <v>6</v>
      </c>
      <c r="T1486">
        <v>0.3</v>
      </c>
      <c r="U1486">
        <v>-43</v>
      </c>
      <c r="V1486" s="1" t="s">
        <v>73</v>
      </c>
      <c r="W1486" s="1" t="s">
        <v>62</v>
      </c>
    </row>
    <row r="1487" spans="1:23" x14ac:dyDescent="0.35">
      <c r="A1487">
        <v>7106</v>
      </c>
      <c r="B1487" s="1" t="s">
        <v>3652</v>
      </c>
      <c r="C1487" s="2">
        <v>42905</v>
      </c>
      <c r="D1487" s="2">
        <v>42907</v>
      </c>
      <c r="E1487" s="1" t="s">
        <v>24</v>
      </c>
      <c r="F1487" s="1" t="s">
        <v>1532</v>
      </c>
      <c r="G1487" s="1" t="s">
        <v>1533</v>
      </c>
      <c r="H1487" s="1" t="s">
        <v>93</v>
      </c>
      <c r="I1487" s="1" t="s">
        <v>28</v>
      </c>
      <c r="J1487" s="1" t="s">
        <v>233</v>
      </c>
      <c r="K1487" s="1" t="s">
        <v>234</v>
      </c>
      <c r="L1487">
        <v>43055</v>
      </c>
      <c r="M1487" s="1" t="s">
        <v>70</v>
      </c>
      <c r="N1487" s="1" t="s">
        <v>1965</v>
      </c>
      <c r="O1487" s="1" t="s">
        <v>33</v>
      </c>
      <c r="P1487" s="1" t="s">
        <v>59</v>
      </c>
      <c r="Q1487" s="1" t="s">
        <v>1966</v>
      </c>
      <c r="R1487">
        <v>39</v>
      </c>
      <c r="S1487">
        <v>3</v>
      </c>
      <c r="T1487">
        <v>0.2</v>
      </c>
      <c r="U1487">
        <v>7</v>
      </c>
      <c r="V1487" s="1" t="s">
        <v>73</v>
      </c>
      <c r="W1487" s="1" t="s">
        <v>62</v>
      </c>
    </row>
    <row r="1488" spans="1:23" x14ac:dyDescent="0.35">
      <c r="A1488">
        <v>7115</v>
      </c>
      <c r="B1488" s="1" t="s">
        <v>3653</v>
      </c>
      <c r="C1488" s="2">
        <v>42495</v>
      </c>
      <c r="D1488" s="2">
        <v>42496</v>
      </c>
      <c r="E1488" s="1" t="s">
        <v>90</v>
      </c>
      <c r="F1488" s="1" t="s">
        <v>941</v>
      </c>
      <c r="G1488" s="1" t="s">
        <v>942</v>
      </c>
      <c r="H1488" s="1" t="s">
        <v>93</v>
      </c>
      <c r="I1488" s="1" t="s">
        <v>28</v>
      </c>
      <c r="J1488" s="1" t="s">
        <v>29</v>
      </c>
      <c r="K1488" s="1" t="s">
        <v>1343</v>
      </c>
      <c r="L1488">
        <v>89015</v>
      </c>
      <c r="M1488" s="1" t="s">
        <v>57</v>
      </c>
      <c r="N1488" s="1" t="s">
        <v>2822</v>
      </c>
      <c r="O1488" s="1" t="s">
        <v>33</v>
      </c>
      <c r="P1488" s="1" t="s">
        <v>48</v>
      </c>
      <c r="Q1488" s="1" t="s">
        <v>2823</v>
      </c>
      <c r="R1488">
        <v>1686</v>
      </c>
      <c r="S1488">
        <v>6</v>
      </c>
      <c r="T1488">
        <v>0</v>
      </c>
      <c r="U1488">
        <v>320</v>
      </c>
      <c r="V1488" s="1" t="s">
        <v>126</v>
      </c>
      <c r="W1488" s="1" t="s">
        <v>164</v>
      </c>
    </row>
    <row r="1489" spans="1:23" x14ac:dyDescent="0.35">
      <c r="A1489">
        <v>7123</v>
      </c>
      <c r="B1489" s="1" t="s">
        <v>3654</v>
      </c>
      <c r="C1489" s="2">
        <v>43070</v>
      </c>
      <c r="D1489" s="2">
        <v>43077</v>
      </c>
      <c r="E1489" s="1" t="s">
        <v>42</v>
      </c>
      <c r="F1489" s="1" t="s">
        <v>43</v>
      </c>
      <c r="G1489" s="1" t="s">
        <v>44</v>
      </c>
      <c r="H1489" s="1" t="s">
        <v>27</v>
      </c>
      <c r="I1489" s="1" t="s">
        <v>28</v>
      </c>
      <c r="J1489" s="1" t="s">
        <v>194</v>
      </c>
      <c r="K1489" s="1" t="s">
        <v>195</v>
      </c>
      <c r="L1489">
        <v>98105</v>
      </c>
      <c r="M1489" s="1" t="s">
        <v>57</v>
      </c>
      <c r="N1489" s="1" t="s">
        <v>2423</v>
      </c>
      <c r="O1489" s="1" t="s">
        <v>33</v>
      </c>
      <c r="P1489" s="1" t="s">
        <v>34</v>
      </c>
      <c r="Q1489" s="1" t="s">
        <v>2424</v>
      </c>
      <c r="R1489">
        <v>142</v>
      </c>
      <c r="S1489">
        <v>2</v>
      </c>
      <c r="T1489">
        <v>0</v>
      </c>
      <c r="U1489">
        <v>41</v>
      </c>
      <c r="V1489" s="1" t="s">
        <v>50</v>
      </c>
      <c r="W1489" s="1" t="s">
        <v>99</v>
      </c>
    </row>
    <row r="1490" spans="1:23" x14ac:dyDescent="0.35">
      <c r="A1490">
        <v>7124</v>
      </c>
      <c r="B1490" s="1" t="s">
        <v>3655</v>
      </c>
      <c r="C1490" s="2">
        <v>42225</v>
      </c>
      <c r="D1490" s="2">
        <v>42232</v>
      </c>
      <c r="E1490" s="1" t="s">
        <v>42</v>
      </c>
      <c r="F1490" s="1" t="s">
        <v>2961</v>
      </c>
      <c r="G1490" s="1" t="s">
        <v>2962</v>
      </c>
      <c r="H1490" s="1" t="s">
        <v>93</v>
      </c>
      <c r="I1490" s="1" t="s">
        <v>28</v>
      </c>
      <c r="J1490" s="1" t="s">
        <v>176</v>
      </c>
      <c r="K1490" s="1" t="s">
        <v>123</v>
      </c>
      <c r="L1490">
        <v>10035</v>
      </c>
      <c r="M1490" s="1" t="s">
        <v>70</v>
      </c>
      <c r="N1490" s="1" t="s">
        <v>2428</v>
      </c>
      <c r="O1490" s="1" t="s">
        <v>33</v>
      </c>
      <c r="P1490" s="1" t="s">
        <v>59</v>
      </c>
      <c r="Q1490" s="1" t="s">
        <v>2429</v>
      </c>
      <c r="R1490">
        <v>10</v>
      </c>
      <c r="S1490">
        <v>3</v>
      </c>
      <c r="T1490">
        <v>0</v>
      </c>
      <c r="U1490">
        <v>4</v>
      </c>
      <c r="V1490" s="1" t="s">
        <v>50</v>
      </c>
      <c r="W1490" s="1" t="s">
        <v>256</v>
      </c>
    </row>
    <row r="1491" spans="1:23" x14ac:dyDescent="0.35">
      <c r="A1491">
        <v>7129</v>
      </c>
      <c r="B1491" s="1" t="s">
        <v>3656</v>
      </c>
      <c r="C1491" s="2">
        <v>42688</v>
      </c>
      <c r="D1491" s="2">
        <v>42694</v>
      </c>
      <c r="E1491" s="1" t="s">
        <v>42</v>
      </c>
      <c r="F1491" s="1" t="s">
        <v>2170</v>
      </c>
      <c r="G1491" s="1" t="s">
        <v>2171</v>
      </c>
      <c r="H1491" s="1" t="s">
        <v>27</v>
      </c>
      <c r="I1491" s="1" t="s">
        <v>28</v>
      </c>
      <c r="J1491" s="1" t="s">
        <v>233</v>
      </c>
      <c r="K1491" s="1" t="s">
        <v>203</v>
      </c>
      <c r="L1491">
        <v>19711</v>
      </c>
      <c r="M1491" s="1" t="s">
        <v>70</v>
      </c>
      <c r="N1491" s="1" t="s">
        <v>2240</v>
      </c>
      <c r="O1491" s="1" t="s">
        <v>33</v>
      </c>
      <c r="P1491" s="1" t="s">
        <v>59</v>
      </c>
      <c r="Q1491" s="1" t="s">
        <v>2241</v>
      </c>
      <c r="R1491">
        <v>20</v>
      </c>
      <c r="S1491">
        <v>4</v>
      </c>
      <c r="T1491">
        <v>0</v>
      </c>
      <c r="U1491">
        <v>7</v>
      </c>
      <c r="V1491" s="1" t="s">
        <v>132</v>
      </c>
      <c r="W1491" s="1" t="s">
        <v>37</v>
      </c>
    </row>
    <row r="1492" spans="1:23" x14ac:dyDescent="0.35">
      <c r="A1492">
        <v>7132</v>
      </c>
      <c r="B1492" s="1" t="s">
        <v>3657</v>
      </c>
      <c r="C1492" s="2">
        <v>43065</v>
      </c>
      <c r="D1492" s="2">
        <v>43070</v>
      </c>
      <c r="E1492" s="1" t="s">
        <v>42</v>
      </c>
      <c r="F1492" s="1" t="s">
        <v>3478</v>
      </c>
      <c r="G1492" s="1" t="s">
        <v>3479</v>
      </c>
      <c r="H1492" s="1" t="s">
        <v>103</v>
      </c>
      <c r="I1492" s="1" t="s">
        <v>28</v>
      </c>
      <c r="J1492" s="1" t="s">
        <v>638</v>
      </c>
      <c r="K1492" s="1" t="s">
        <v>113</v>
      </c>
      <c r="L1492">
        <v>47374</v>
      </c>
      <c r="M1492" s="1" t="s">
        <v>96</v>
      </c>
      <c r="N1492" s="1" t="s">
        <v>1262</v>
      </c>
      <c r="O1492" s="1" t="s">
        <v>33</v>
      </c>
      <c r="P1492" s="1" t="s">
        <v>48</v>
      </c>
      <c r="Q1492" s="1" t="s">
        <v>1066</v>
      </c>
      <c r="R1492">
        <v>258</v>
      </c>
      <c r="S1492">
        <v>3</v>
      </c>
      <c r="T1492">
        <v>0</v>
      </c>
      <c r="U1492">
        <v>67</v>
      </c>
      <c r="V1492" s="1" t="s">
        <v>61</v>
      </c>
      <c r="W1492" s="1" t="s">
        <v>37</v>
      </c>
    </row>
    <row r="1493" spans="1:23" x14ac:dyDescent="0.35">
      <c r="A1493">
        <v>7134</v>
      </c>
      <c r="B1493" s="1" t="s">
        <v>3657</v>
      </c>
      <c r="C1493" s="2">
        <v>43065</v>
      </c>
      <c r="D1493" s="2">
        <v>43070</v>
      </c>
      <c r="E1493" s="1" t="s">
        <v>42</v>
      </c>
      <c r="F1493" s="1" t="s">
        <v>3478</v>
      </c>
      <c r="G1493" s="1" t="s">
        <v>3479</v>
      </c>
      <c r="H1493" s="1" t="s">
        <v>103</v>
      </c>
      <c r="I1493" s="1" t="s">
        <v>28</v>
      </c>
      <c r="J1493" s="1" t="s">
        <v>638</v>
      </c>
      <c r="K1493" s="1" t="s">
        <v>113</v>
      </c>
      <c r="L1493">
        <v>47374</v>
      </c>
      <c r="M1493" s="1" t="s">
        <v>96</v>
      </c>
      <c r="N1493" s="1" t="s">
        <v>1293</v>
      </c>
      <c r="O1493" s="1" t="s">
        <v>33</v>
      </c>
      <c r="P1493" s="1" t="s">
        <v>59</v>
      </c>
      <c r="Q1493" s="1" t="s">
        <v>1294</v>
      </c>
      <c r="R1493">
        <v>27</v>
      </c>
      <c r="S1493">
        <v>2</v>
      </c>
      <c r="T1493">
        <v>0</v>
      </c>
      <c r="U1493">
        <v>10</v>
      </c>
      <c r="V1493" s="1" t="s">
        <v>61</v>
      </c>
      <c r="W1493" s="1" t="s">
        <v>37</v>
      </c>
    </row>
    <row r="1494" spans="1:23" x14ac:dyDescent="0.35">
      <c r="A1494">
        <v>7136</v>
      </c>
      <c r="B1494" s="1" t="s">
        <v>3657</v>
      </c>
      <c r="C1494" s="2">
        <v>43065</v>
      </c>
      <c r="D1494" s="2">
        <v>43070</v>
      </c>
      <c r="E1494" s="1" t="s">
        <v>42</v>
      </c>
      <c r="F1494" s="1" t="s">
        <v>3478</v>
      </c>
      <c r="G1494" s="1" t="s">
        <v>3479</v>
      </c>
      <c r="H1494" s="1" t="s">
        <v>103</v>
      </c>
      <c r="I1494" s="1" t="s">
        <v>28</v>
      </c>
      <c r="J1494" s="1" t="s">
        <v>638</v>
      </c>
      <c r="K1494" s="1" t="s">
        <v>113</v>
      </c>
      <c r="L1494">
        <v>47374</v>
      </c>
      <c r="M1494" s="1" t="s">
        <v>96</v>
      </c>
      <c r="N1494" s="1" t="s">
        <v>249</v>
      </c>
      <c r="O1494" s="1" t="s">
        <v>33</v>
      </c>
      <c r="P1494" s="1" t="s">
        <v>39</v>
      </c>
      <c r="Q1494" s="1" t="s">
        <v>250</v>
      </c>
      <c r="R1494">
        <v>829</v>
      </c>
      <c r="S1494">
        <v>3</v>
      </c>
      <c r="T1494">
        <v>0</v>
      </c>
      <c r="U1494">
        <v>240</v>
      </c>
      <c r="V1494" s="1" t="s">
        <v>61</v>
      </c>
      <c r="W1494" s="1" t="s">
        <v>37</v>
      </c>
    </row>
    <row r="1495" spans="1:23" x14ac:dyDescent="0.35">
      <c r="A1495">
        <v>7140</v>
      </c>
      <c r="B1495" s="1" t="s">
        <v>3658</v>
      </c>
      <c r="C1495" s="2">
        <v>42328</v>
      </c>
      <c r="D1495" s="2">
        <v>42335</v>
      </c>
      <c r="E1495" s="1" t="s">
        <v>42</v>
      </c>
      <c r="F1495" s="1" t="s">
        <v>3251</v>
      </c>
      <c r="G1495" s="1" t="s">
        <v>3252</v>
      </c>
      <c r="H1495" s="1" t="s">
        <v>27</v>
      </c>
      <c r="I1495" s="1" t="s">
        <v>28</v>
      </c>
      <c r="J1495" s="1" t="s">
        <v>1009</v>
      </c>
      <c r="K1495" s="1" t="s">
        <v>46</v>
      </c>
      <c r="L1495">
        <v>33180</v>
      </c>
      <c r="M1495" s="1" t="s">
        <v>31</v>
      </c>
      <c r="N1495" s="1" t="s">
        <v>545</v>
      </c>
      <c r="O1495" s="1" t="s">
        <v>33</v>
      </c>
      <c r="P1495" s="1" t="s">
        <v>34</v>
      </c>
      <c r="Q1495" s="1" t="s">
        <v>546</v>
      </c>
      <c r="R1495">
        <v>290</v>
      </c>
      <c r="S1495">
        <v>3</v>
      </c>
      <c r="T1495">
        <v>0.2</v>
      </c>
      <c r="U1495">
        <v>-36</v>
      </c>
      <c r="V1495" s="1" t="s">
        <v>50</v>
      </c>
      <c r="W1495" s="1" t="s">
        <v>37</v>
      </c>
    </row>
    <row r="1496" spans="1:23" x14ac:dyDescent="0.35">
      <c r="A1496">
        <v>7142</v>
      </c>
      <c r="B1496" s="1" t="s">
        <v>3659</v>
      </c>
      <c r="C1496" s="2">
        <v>42985</v>
      </c>
      <c r="D1496" s="2">
        <v>42985</v>
      </c>
      <c r="E1496" s="1" t="s">
        <v>428</v>
      </c>
      <c r="F1496" s="1" t="s">
        <v>3239</v>
      </c>
      <c r="G1496" s="1" t="s">
        <v>3240</v>
      </c>
      <c r="H1496" s="1" t="s">
        <v>27</v>
      </c>
      <c r="I1496" s="1" t="s">
        <v>28</v>
      </c>
      <c r="J1496" s="1" t="s">
        <v>3660</v>
      </c>
      <c r="K1496" s="1" t="s">
        <v>568</v>
      </c>
      <c r="L1496">
        <v>63301</v>
      </c>
      <c r="M1496" s="1" t="s">
        <v>96</v>
      </c>
      <c r="N1496" s="1" t="s">
        <v>1712</v>
      </c>
      <c r="O1496" s="1" t="s">
        <v>33</v>
      </c>
      <c r="P1496" s="1" t="s">
        <v>59</v>
      </c>
      <c r="Q1496" s="1" t="s">
        <v>1713</v>
      </c>
      <c r="R1496">
        <v>135</v>
      </c>
      <c r="S1496">
        <v>5</v>
      </c>
      <c r="T1496">
        <v>0</v>
      </c>
      <c r="U1496">
        <v>38</v>
      </c>
      <c r="V1496" s="1" t="s">
        <v>433</v>
      </c>
      <c r="W1496" s="1" t="s">
        <v>80</v>
      </c>
    </row>
    <row r="1497" spans="1:23" x14ac:dyDescent="0.35">
      <c r="A1497">
        <v>7143</v>
      </c>
      <c r="B1497" s="1" t="s">
        <v>3661</v>
      </c>
      <c r="C1497" s="2">
        <v>41967</v>
      </c>
      <c r="D1497" s="2">
        <v>41972</v>
      </c>
      <c r="E1497" s="1" t="s">
        <v>42</v>
      </c>
      <c r="F1497" s="1" t="s">
        <v>889</v>
      </c>
      <c r="G1497" s="1" t="s">
        <v>890</v>
      </c>
      <c r="H1497" s="1" t="s">
        <v>103</v>
      </c>
      <c r="I1497" s="1" t="s">
        <v>28</v>
      </c>
      <c r="J1497" s="1" t="s">
        <v>3542</v>
      </c>
      <c r="K1497" s="1" t="s">
        <v>719</v>
      </c>
      <c r="L1497">
        <v>23464</v>
      </c>
      <c r="M1497" s="1" t="s">
        <v>31</v>
      </c>
      <c r="N1497" s="1" t="s">
        <v>1986</v>
      </c>
      <c r="O1497" s="1" t="s">
        <v>33</v>
      </c>
      <c r="P1497" s="1" t="s">
        <v>59</v>
      </c>
      <c r="Q1497" s="1" t="s">
        <v>1987</v>
      </c>
      <c r="R1497">
        <v>111</v>
      </c>
      <c r="S1497">
        <v>5</v>
      </c>
      <c r="T1497">
        <v>0</v>
      </c>
      <c r="U1497">
        <v>49</v>
      </c>
      <c r="V1497" s="1" t="s">
        <v>61</v>
      </c>
      <c r="W1497" s="1" t="s">
        <v>37</v>
      </c>
    </row>
    <row r="1498" spans="1:23" x14ac:dyDescent="0.35">
      <c r="A1498">
        <v>7146</v>
      </c>
      <c r="B1498" s="1" t="s">
        <v>3662</v>
      </c>
      <c r="C1498" s="2">
        <v>42805</v>
      </c>
      <c r="D1498" s="2">
        <v>42810</v>
      </c>
      <c r="E1498" s="1" t="s">
        <v>42</v>
      </c>
      <c r="F1498" s="1" t="s">
        <v>3153</v>
      </c>
      <c r="G1498" s="1" t="s">
        <v>3154</v>
      </c>
      <c r="H1498" s="1" t="s">
        <v>103</v>
      </c>
      <c r="I1498" s="1" t="s">
        <v>28</v>
      </c>
      <c r="J1498" s="1" t="s">
        <v>68</v>
      </c>
      <c r="K1498" s="1" t="s">
        <v>69</v>
      </c>
      <c r="L1498">
        <v>19140</v>
      </c>
      <c r="M1498" s="1" t="s">
        <v>70</v>
      </c>
      <c r="N1498" s="1" t="s">
        <v>1065</v>
      </c>
      <c r="O1498" s="1" t="s">
        <v>33</v>
      </c>
      <c r="P1498" s="1" t="s">
        <v>48</v>
      </c>
      <c r="Q1498" s="1" t="s">
        <v>1066</v>
      </c>
      <c r="R1498">
        <v>155</v>
      </c>
      <c r="S1498">
        <v>3</v>
      </c>
      <c r="T1498">
        <v>0.4</v>
      </c>
      <c r="U1498">
        <v>-46</v>
      </c>
      <c r="V1498" s="1" t="s">
        <v>61</v>
      </c>
      <c r="W1498" s="1" t="s">
        <v>198</v>
      </c>
    </row>
    <row r="1499" spans="1:23" x14ac:dyDescent="0.35">
      <c r="A1499">
        <v>7151</v>
      </c>
      <c r="B1499" s="1" t="s">
        <v>3663</v>
      </c>
      <c r="C1499" s="2">
        <v>43091</v>
      </c>
      <c r="D1499" s="2">
        <v>43095</v>
      </c>
      <c r="E1499" s="1" t="s">
        <v>42</v>
      </c>
      <c r="F1499" s="1" t="s">
        <v>3088</v>
      </c>
      <c r="G1499" s="1" t="s">
        <v>3089</v>
      </c>
      <c r="H1499" s="1" t="s">
        <v>103</v>
      </c>
      <c r="I1499" s="1" t="s">
        <v>28</v>
      </c>
      <c r="J1499" s="1" t="s">
        <v>3664</v>
      </c>
      <c r="K1499" s="1" t="s">
        <v>1279</v>
      </c>
      <c r="L1499">
        <v>35401</v>
      </c>
      <c r="M1499" s="1" t="s">
        <v>31</v>
      </c>
      <c r="N1499" s="1" t="s">
        <v>593</v>
      </c>
      <c r="O1499" s="1" t="s">
        <v>33</v>
      </c>
      <c r="P1499" s="1" t="s">
        <v>39</v>
      </c>
      <c r="Q1499" s="1" t="s">
        <v>594</v>
      </c>
      <c r="R1499">
        <v>142</v>
      </c>
      <c r="S1499">
        <v>2</v>
      </c>
      <c r="T1499">
        <v>0</v>
      </c>
      <c r="U1499">
        <v>35</v>
      </c>
      <c r="V1499" s="1" t="s">
        <v>86</v>
      </c>
      <c r="W1499" s="1" t="s">
        <v>99</v>
      </c>
    </row>
    <row r="1500" spans="1:23" x14ac:dyDescent="0.35">
      <c r="A1500">
        <v>7152</v>
      </c>
      <c r="B1500" s="1" t="s">
        <v>3665</v>
      </c>
      <c r="C1500" s="2">
        <v>43091</v>
      </c>
      <c r="D1500" s="2">
        <v>43094</v>
      </c>
      <c r="E1500" s="1" t="s">
        <v>24</v>
      </c>
      <c r="F1500" s="1" t="s">
        <v>3666</v>
      </c>
      <c r="G1500" s="1" t="s">
        <v>3667</v>
      </c>
      <c r="H1500" s="1" t="s">
        <v>27</v>
      </c>
      <c r="I1500" s="1" t="s">
        <v>28</v>
      </c>
      <c r="J1500" s="1" t="s">
        <v>917</v>
      </c>
      <c r="K1500" s="1" t="s">
        <v>523</v>
      </c>
      <c r="L1500">
        <v>85204</v>
      </c>
      <c r="M1500" s="1" t="s">
        <v>57</v>
      </c>
      <c r="N1500" s="1" t="s">
        <v>1237</v>
      </c>
      <c r="O1500" s="1" t="s">
        <v>33</v>
      </c>
      <c r="P1500" s="1" t="s">
        <v>48</v>
      </c>
      <c r="Q1500" s="1" t="s">
        <v>1238</v>
      </c>
      <c r="R1500">
        <v>183</v>
      </c>
      <c r="S1500">
        <v>2</v>
      </c>
      <c r="T1500">
        <v>0.5</v>
      </c>
      <c r="U1500">
        <v>-135</v>
      </c>
      <c r="V1500" s="1" t="s">
        <v>36</v>
      </c>
      <c r="W1500" s="1" t="s">
        <v>99</v>
      </c>
    </row>
    <row r="1501" spans="1:23" x14ac:dyDescent="0.35">
      <c r="A1501">
        <v>7155</v>
      </c>
      <c r="B1501" s="1" t="s">
        <v>3668</v>
      </c>
      <c r="C1501" s="2">
        <v>42363</v>
      </c>
      <c r="D1501" s="2">
        <v>42365</v>
      </c>
      <c r="E1501" s="1" t="s">
        <v>24</v>
      </c>
      <c r="F1501" s="1" t="s">
        <v>2713</v>
      </c>
      <c r="G1501" s="1" t="s">
        <v>2714</v>
      </c>
      <c r="H1501" s="1" t="s">
        <v>27</v>
      </c>
      <c r="I1501" s="1" t="s">
        <v>28</v>
      </c>
      <c r="J1501" s="1" t="s">
        <v>350</v>
      </c>
      <c r="K1501" s="1" t="s">
        <v>670</v>
      </c>
      <c r="L1501">
        <v>31907</v>
      </c>
      <c r="M1501" s="1" t="s">
        <v>31</v>
      </c>
      <c r="N1501" s="1" t="s">
        <v>3291</v>
      </c>
      <c r="O1501" s="1" t="s">
        <v>33</v>
      </c>
      <c r="P1501" s="1" t="s">
        <v>59</v>
      </c>
      <c r="Q1501" s="1" t="s">
        <v>3292</v>
      </c>
      <c r="R1501">
        <v>276</v>
      </c>
      <c r="S1501">
        <v>6</v>
      </c>
      <c r="T1501">
        <v>0</v>
      </c>
      <c r="U1501">
        <v>47</v>
      </c>
      <c r="V1501" s="1" t="s">
        <v>73</v>
      </c>
      <c r="W1501" s="1" t="s">
        <v>99</v>
      </c>
    </row>
    <row r="1502" spans="1:23" x14ac:dyDescent="0.35">
      <c r="A1502">
        <v>7168</v>
      </c>
      <c r="B1502" s="1" t="s">
        <v>3669</v>
      </c>
      <c r="C1502" s="2">
        <v>41842</v>
      </c>
      <c r="D1502" s="2">
        <v>41844</v>
      </c>
      <c r="E1502" s="1" t="s">
        <v>24</v>
      </c>
      <c r="F1502" s="1" t="s">
        <v>716</v>
      </c>
      <c r="G1502" s="1" t="s">
        <v>717</v>
      </c>
      <c r="H1502" s="1" t="s">
        <v>27</v>
      </c>
      <c r="I1502" s="1" t="s">
        <v>28</v>
      </c>
      <c r="J1502" s="1" t="s">
        <v>331</v>
      </c>
      <c r="K1502" s="1" t="s">
        <v>56</v>
      </c>
      <c r="L1502">
        <v>94122</v>
      </c>
      <c r="M1502" s="1" t="s">
        <v>57</v>
      </c>
      <c r="N1502" s="1" t="s">
        <v>1588</v>
      </c>
      <c r="O1502" s="1" t="s">
        <v>33</v>
      </c>
      <c r="P1502" s="1" t="s">
        <v>39</v>
      </c>
      <c r="Q1502" s="1" t="s">
        <v>1589</v>
      </c>
      <c r="R1502">
        <v>718</v>
      </c>
      <c r="S1502">
        <v>3</v>
      </c>
      <c r="T1502">
        <v>0.2</v>
      </c>
      <c r="U1502">
        <v>72</v>
      </c>
      <c r="V1502" s="1" t="s">
        <v>73</v>
      </c>
      <c r="W1502" s="1" t="s">
        <v>74</v>
      </c>
    </row>
    <row r="1503" spans="1:23" x14ac:dyDescent="0.35">
      <c r="A1503">
        <v>7170</v>
      </c>
      <c r="B1503" s="1" t="s">
        <v>3669</v>
      </c>
      <c r="C1503" s="2">
        <v>41842</v>
      </c>
      <c r="D1503" s="2">
        <v>41844</v>
      </c>
      <c r="E1503" s="1" t="s">
        <v>24</v>
      </c>
      <c r="F1503" s="1" t="s">
        <v>716</v>
      </c>
      <c r="G1503" s="1" t="s">
        <v>717</v>
      </c>
      <c r="H1503" s="1" t="s">
        <v>27</v>
      </c>
      <c r="I1503" s="1" t="s">
        <v>28</v>
      </c>
      <c r="J1503" s="1" t="s">
        <v>331</v>
      </c>
      <c r="K1503" s="1" t="s">
        <v>56</v>
      </c>
      <c r="L1503">
        <v>94122</v>
      </c>
      <c r="M1503" s="1" t="s">
        <v>57</v>
      </c>
      <c r="N1503" s="1" t="s">
        <v>1570</v>
      </c>
      <c r="O1503" s="1" t="s">
        <v>33</v>
      </c>
      <c r="P1503" s="1" t="s">
        <v>48</v>
      </c>
      <c r="Q1503" s="1" t="s">
        <v>1571</v>
      </c>
      <c r="R1503">
        <v>170</v>
      </c>
      <c r="S1503">
        <v>3</v>
      </c>
      <c r="T1503">
        <v>0.2</v>
      </c>
      <c r="U1503">
        <v>19</v>
      </c>
      <c r="V1503" s="1" t="s">
        <v>73</v>
      </c>
      <c r="W1503" s="1" t="s">
        <v>74</v>
      </c>
    </row>
    <row r="1504" spans="1:23" x14ac:dyDescent="0.35">
      <c r="A1504">
        <v>7171</v>
      </c>
      <c r="B1504" s="1" t="s">
        <v>3670</v>
      </c>
      <c r="C1504" s="2">
        <v>43016</v>
      </c>
      <c r="D1504" s="2">
        <v>43022</v>
      </c>
      <c r="E1504" s="1" t="s">
        <v>42</v>
      </c>
      <c r="F1504" s="1" t="s">
        <v>836</v>
      </c>
      <c r="G1504" s="1" t="s">
        <v>837</v>
      </c>
      <c r="H1504" s="1" t="s">
        <v>27</v>
      </c>
      <c r="I1504" s="1" t="s">
        <v>28</v>
      </c>
      <c r="J1504" s="1" t="s">
        <v>176</v>
      </c>
      <c r="K1504" s="1" t="s">
        <v>123</v>
      </c>
      <c r="L1504">
        <v>10009</v>
      </c>
      <c r="M1504" s="1" t="s">
        <v>70</v>
      </c>
      <c r="N1504" s="1" t="s">
        <v>498</v>
      </c>
      <c r="O1504" s="1" t="s">
        <v>33</v>
      </c>
      <c r="P1504" s="1" t="s">
        <v>39</v>
      </c>
      <c r="Q1504" s="1" t="s">
        <v>499</v>
      </c>
      <c r="R1504">
        <v>146</v>
      </c>
      <c r="S1504">
        <v>2</v>
      </c>
      <c r="T1504">
        <v>0.1</v>
      </c>
      <c r="U1504">
        <v>3</v>
      </c>
      <c r="V1504" s="1" t="s">
        <v>132</v>
      </c>
      <c r="W1504" s="1" t="s">
        <v>51</v>
      </c>
    </row>
    <row r="1505" spans="1:23" x14ac:dyDescent="0.35">
      <c r="A1505">
        <v>7184</v>
      </c>
      <c r="B1505" s="1" t="s">
        <v>3671</v>
      </c>
      <c r="C1505" s="2">
        <v>42846</v>
      </c>
      <c r="D1505" s="2">
        <v>42848</v>
      </c>
      <c r="E1505" s="1" t="s">
        <v>90</v>
      </c>
      <c r="F1505" s="1" t="s">
        <v>2657</v>
      </c>
      <c r="G1505" s="1" t="s">
        <v>2658</v>
      </c>
      <c r="H1505" s="1" t="s">
        <v>27</v>
      </c>
      <c r="I1505" s="1" t="s">
        <v>28</v>
      </c>
      <c r="J1505" s="1" t="s">
        <v>2757</v>
      </c>
      <c r="K1505" s="1" t="s">
        <v>1092</v>
      </c>
      <c r="L1505">
        <v>21215</v>
      </c>
      <c r="M1505" s="1" t="s">
        <v>70</v>
      </c>
      <c r="N1505" s="1" t="s">
        <v>107</v>
      </c>
      <c r="O1505" s="1" t="s">
        <v>33</v>
      </c>
      <c r="P1505" s="1" t="s">
        <v>39</v>
      </c>
      <c r="Q1505" s="1" t="s">
        <v>108</v>
      </c>
      <c r="R1505">
        <v>909</v>
      </c>
      <c r="S1505">
        <v>9</v>
      </c>
      <c r="T1505">
        <v>0</v>
      </c>
      <c r="U1505">
        <v>227</v>
      </c>
      <c r="V1505" s="1" t="s">
        <v>73</v>
      </c>
      <c r="W1505" s="1" t="s">
        <v>116</v>
      </c>
    </row>
    <row r="1506" spans="1:23" x14ac:dyDescent="0.35">
      <c r="A1506">
        <v>7187</v>
      </c>
      <c r="B1506" s="1" t="s">
        <v>3672</v>
      </c>
      <c r="C1506" s="2">
        <v>42964</v>
      </c>
      <c r="D1506" s="2">
        <v>42971</v>
      </c>
      <c r="E1506" s="1" t="s">
        <v>42</v>
      </c>
      <c r="F1506" s="1" t="s">
        <v>2654</v>
      </c>
      <c r="G1506" s="1" t="s">
        <v>2655</v>
      </c>
      <c r="H1506" s="1" t="s">
        <v>103</v>
      </c>
      <c r="I1506" s="1" t="s">
        <v>28</v>
      </c>
      <c r="J1506" s="1" t="s">
        <v>104</v>
      </c>
      <c r="K1506" s="1" t="s">
        <v>95</v>
      </c>
      <c r="L1506">
        <v>77095</v>
      </c>
      <c r="M1506" s="1" t="s">
        <v>96</v>
      </c>
      <c r="N1506" s="1" t="s">
        <v>2011</v>
      </c>
      <c r="O1506" s="1" t="s">
        <v>33</v>
      </c>
      <c r="P1506" s="1" t="s">
        <v>39</v>
      </c>
      <c r="Q1506" s="1" t="s">
        <v>2012</v>
      </c>
      <c r="R1506">
        <v>75</v>
      </c>
      <c r="S1506">
        <v>4</v>
      </c>
      <c r="T1506">
        <v>0.3</v>
      </c>
      <c r="U1506">
        <v>-2</v>
      </c>
      <c r="V1506" s="1" t="s">
        <v>50</v>
      </c>
      <c r="W1506" s="1" t="s">
        <v>256</v>
      </c>
    </row>
    <row r="1507" spans="1:23" x14ac:dyDescent="0.35">
      <c r="A1507">
        <v>7188</v>
      </c>
      <c r="B1507" s="1" t="s">
        <v>3672</v>
      </c>
      <c r="C1507" s="2">
        <v>42964</v>
      </c>
      <c r="D1507" s="2">
        <v>42971</v>
      </c>
      <c r="E1507" s="1" t="s">
        <v>42</v>
      </c>
      <c r="F1507" s="1" t="s">
        <v>2654</v>
      </c>
      <c r="G1507" s="1" t="s">
        <v>2655</v>
      </c>
      <c r="H1507" s="1" t="s">
        <v>103</v>
      </c>
      <c r="I1507" s="1" t="s">
        <v>28</v>
      </c>
      <c r="J1507" s="1" t="s">
        <v>104</v>
      </c>
      <c r="K1507" s="1" t="s">
        <v>95</v>
      </c>
      <c r="L1507">
        <v>77095</v>
      </c>
      <c r="M1507" s="1" t="s">
        <v>96</v>
      </c>
      <c r="N1507" s="1" t="s">
        <v>2284</v>
      </c>
      <c r="O1507" s="1" t="s">
        <v>33</v>
      </c>
      <c r="P1507" s="1" t="s">
        <v>59</v>
      </c>
      <c r="Q1507" s="1" t="s">
        <v>2285</v>
      </c>
      <c r="R1507">
        <v>17</v>
      </c>
      <c r="S1507">
        <v>2</v>
      </c>
      <c r="T1507">
        <v>0.6</v>
      </c>
      <c r="U1507">
        <v>-22</v>
      </c>
      <c r="V1507" s="1" t="s">
        <v>50</v>
      </c>
      <c r="W1507" s="1" t="s">
        <v>256</v>
      </c>
    </row>
    <row r="1508" spans="1:23" x14ac:dyDescent="0.35">
      <c r="A1508">
        <v>7191</v>
      </c>
      <c r="B1508" s="1" t="s">
        <v>3673</v>
      </c>
      <c r="C1508" s="2">
        <v>42686</v>
      </c>
      <c r="D1508" s="2">
        <v>42689</v>
      </c>
      <c r="E1508" s="1" t="s">
        <v>90</v>
      </c>
      <c r="F1508" s="1" t="s">
        <v>325</v>
      </c>
      <c r="G1508" s="1" t="s">
        <v>326</v>
      </c>
      <c r="H1508" s="1" t="s">
        <v>103</v>
      </c>
      <c r="I1508" s="1" t="s">
        <v>28</v>
      </c>
      <c r="J1508" s="1" t="s">
        <v>642</v>
      </c>
      <c r="K1508" s="1" t="s">
        <v>56</v>
      </c>
      <c r="L1508">
        <v>92024</v>
      </c>
      <c r="M1508" s="1" t="s">
        <v>57</v>
      </c>
      <c r="N1508" s="1" t="s">
        <v>2822</v>
      </c>
      <c r="O1508" s="1" t="s">
        <v>33</v>
      </c>
      <c r="P1508" s="1" t="s">
        <v>48</v>
      </c>
      <c r="Q1508" s="1" t="s">
        <v>2823</v>
      </c>
      <c r="R1508">
        <v>674</v>
      </c>
      <c r="S1508">
        <v>3</v>
      </c>
      <c r="T1508">
        <v>0.2</v>
      </c>
      <c r="U1508">
        <v>-8</v>
      </c>
      <c r="V1508" s="1" t="s">
        <v>36</v>
      </c>
      <c r="W1508" s="1" t="s">
        <v>37</v>
      </c>
    </row>
    <row r="1509" spans="1:23" x14ac:dyDescent="0.35">
      <c r="A1509">
        <v>7196</v>
      </c>
      <c r="B1509" s="1" t="s">
        <v>3674</v>
      </c>
      <c r="C1509" s="2">
        <v>42687</v>
      </c>
      <c r="D1509" s="2">
        <v>42691</v>
      </c>
      <c r="E1509" s="1" t="s">
        <v>42</v>
      </c>
      <c r="F1509" s="1" t="s">
        <v>3304</v>
      </c>
      <c r="G1509" s="1" t="s">
        <v>3305</v>
      </c>
      <c r="H1509" s="1" t="s">
        <v>103</v>
      </c>
      <c r="I1509" s="1" t="s">
        <v>28</v>
      </c>
      <c r="J1509" s="1" t="s">
        <v>194</v>
      </c>
      <c r="K1509" s="1" t="s">
        <v>195</v>
      </c>
      <c r="L1509">
        <v>98103</v>
      </c>
      <c r="M1509" s="1" t="s">
        <v>57</v>
      </c>
      <c r="N1509" s="1" t="s">
        <v>87</v>
      </c>
      <c r="O1509" s="1" t="s">
        <v>33</v>
      </c>
      <c r="P1509" s="1" t="s">
        <v>59</v>
      </c>
      <c r="Q1509" s="1" t="s">
        <v>1864</v>
      </c>
      <c r="R1509">
        <v>20</v>
      </c>
      <c r="S1509">
        <v>2</v>
      </c>
      <c r="T1509">
        <v>0</v>
      </c>
      <c r="U1509">
        <v>7</v>
      </c>
      <c r="V1509" s="1" t="s">
        <v>86</v>
      </c>
      <c r="W1509" s="1" t="s">
        <v>37</v>
      </c>
    </row>
    <row r="1510" spans="1:23" x14ac:dyDescent="0.35">
      <c r="A1510">
        <v>7202</v>
      </c>
      <c r="B1510" s="1" t="s">
        <v>3675</v>
      </c>
      <c r="C1510" s="2">
        <v>42701</v>
      </c>
      <c r="D1510" s="2">
        <v>42707</v>
      </c>
      <c r="E1510" s="1" t="s">
        <v>42</v>
      </c>
      <c r="F1510" s="1" t="s">
        <v>2038</v>
      </c>
      <c r="G1510" s="1" t="s">
        <v>2039</v>
      </c>
      <c r="H1510" s="1" t="s">
        <v>27</v>
      </c>
      <c r="I1510" s="1" t="s">
        <v>28</v>
      </c>
      <c r="J1510" s="1" t="s">
        <v>45</v>
      </c>
      <c r="K1510" s="1" t="s">
        <v>46</v>
      </c>
      <c r="L1510">
        <v>33311</v>
      </c>
      <c r="M1510" s="1" t="s">
        <v>31</v>
      </c>
      <c r="N1510" s="1" t="s">
        <v>1262</v>
      </c>
      <c r="O1510" s="1" t="s">
        <v>33</v>
      </c>
      <c r="P1510" s="1" t="s">
        <v>48</v>
      </c>
      <c r="Q1510" s="1" t="s">
        <v>1066</v>
      </c>
      <c r="R1510">
        <v>331</v>
      </c>
      <c r="S1510">
        <v>7</v>
      </c>
      <c r="T1510">
        <v>0.45</v>
      </c>
      <c r="U1510">
        <v>-114</v>
      </c>
      <c r="V1510" s="1" t="s">
        <v>132</v>
      </c>
      <c r="W1510" s="1" t="s">
        <v>37</v>
      </c>
    </row>
    <row r="1511" spans="1:23" x14ac:dyDescent="0.35">
      <c r="A1511">
        <v>7203</v>
      </c>
      <c r="B1511" s="1" t="s">
        <v>3676</v>
      </c>
      <c r="C1511" s="2">
        <v>42671</v>
      </c>
      <c r="D1511" s="2">
        <v>42671</v>
      </c>
      <c r="E1511" s="1" t="s">
        <v>428</v>
      </c>
      <c r="F1511" s="1" t="s">
        <v>3677</v>
      </c>
      <c r="G1511" s="1" t="s">
        <v>3678</v>
      </c>
      <c r="H1511" s="1" t="s">
        <v>93</v>
      </c>
      <c r="I1511" s="1" t="s">
        <v>28</v>
      </c>
      <c r="J1511" s="1" t="s">
        <v>897</v>
      </c>
      <c r="K1511" s="1" t="s">
        <v>123</v>
      </c>
      <c r="L1511">
        <v>14609</v>
      </c>
      <c r="M1511" s="1" t="s">
        <v>70</v>
      </c>
      <c r="N1511" s="1" t="s">
        <v>3679</v>
      </c>
      <c r="O1511" s="1" t="s">
        <v>33</v>
      </c>
      <c r="P1511" s="1" t="s">
        <v>59</v>
      </c>
      <c r="Q1511" s="1" t="s">
        <v>3680</v>
      </c>
      <c r="R1511">
        <v>757</v>
      </c>
      <c r="S1511">
        <v>5</v>
      </c>
      <c r="T1511">
        <v>0</v>
      </c>
      <c r="U1511">
        <v>76</v>
      </c>
      <c r="V1511" s="1" t="s">
        <v>433</v>
      </c>
      <c r="W1511" s="1" t="s">
        <v>51</v>
      </c>
    </row>
    <row r="1512" spans="1:23" x14ac:dyDescent="0.35">
      <c r="A1512">
        <v>7204</v>
      </c>
      <c r="B1512" s="1" t="s">
        <v>3681</v>
      </c>
      <c r="C1512" s="2">
        <v>42002</v>
      </c>
      <c r="D1512" s="2">
        <v>42006</v>
      </c>
      <c r="E1512" s="1" t="s">
        <v>42</v>
      </c>
      <c r="F1512" s="1" t="s">
        <v>2898</v>
      </c>
      <c r="G1512" s="1" t="s">
        <v>2899</v>
      </c>
      <c r="H1512" s="1" t="s">
        <v>103</v>
      </c>
      <c r="I1512" s="1" t="s">
        <v>28</v>
      </c>
      <c r="J1512" s="1" t="s">
        <v>3660</v>
      </c>
      <c r="K1512" s="1" t="s">
        <v>137</v>
      </c>
      <c r="L1512">
        <v>60174</v>
      </c>
      <c r="M1512" s="1" t="s">
        <v>96</v>
      </c>
      <c r="N1512" s="1" t="s">
        <v>2880</v>
      </c>
      <c r="O1512" s="1" t="s">
        <v>33</v>
      </c>
      <c r="P1512" s="1" t="s">
        <v>59</v>
      </c>
      <c r="Q1512" s="1" t="s">
        <v>2881</v>
      </c>
      <c r="R1512">
        <v>9</v>
      </c>
      <c r="S1512">
        <v>3</v>
      </c>
      <c r="T1512">
        <v>0.6</v>
      </c>
      <c r="U1512">
        <v>-5</v>
      </c>
      <c r="V1512" s="1" t="s">
        <v>86</v>
      </c>
      <c r="W1512" s="1" t="s">
        <v>99</v>
      </c>
    </row>
    <row r="1513" spans="1:23" x14ac:dyDescent="0.35">
      <c r="A1513">
        <v>7206</v>
      </c>
      <c r="B1513" s="1" t="s">
        <v>3682</v>
      </c>
      <c r="C1513" s="2">
        <v>43010</v>
      </c>
      <c r="D1513" s="2">
        <v>43014</v>
      </c>
      <c r="E1513" s="1" t="s">
        <v>42</v>
      </c>
      <c r="F1513" s="1" t="s">
        <v>1205</v>
      </c>
      <c r="G1513" s="1" t="s">
        <v>1206</v>
      </c>
      <c r="H1513" s="1" t="s">
        <v>27</v>
      </c>
      <c r="I1513" s="1" t="s">
        <v>28</v>
      </c>
      <c r="J1513" s="1" t="s">
        <v>331</v>
      </c>
      <c r="K1513" s="1" t="s">
        <v>56</v>
      </c>
      <c r="L1513">
        <v>94109</v>
      </c>
      <c r="M1513" s="1" t="s">
        <v>57</v>
      </c>
      <c r="N1513" s="1" t="s">
        <v>898</v>
      </c>
      <c r="O1513" s="1" t="s">
        <v>33</v>
      </c>
      <c r="P1513" s="1" t="s">
        <v>59</v>
      </c>
      <c r="Q1513" s="1" t="s">
        <v>899</v>
      </c>
      <c r="R1513">
        <v>17</v>
      </c>
      <c r="S1513">
        <v>2</v>
      </c>
      <c r="T1513">
        <v>0</v>
      </c>
      <c r="U1513">
        <v>6</v>
      </c>
      <c r="V1513" s="1" t="s">
        <v>86</v>
      </c>
      <c r="W1513" s="1" t="s">
        <v>51</v>
      </c>
    </row>
    <row r="1514" spans="1:23" x14ac:dyDescent="0.35">
      <c r="A1514">
        <v>7226</v>
      </c>
      <c r="B1514" s="1" t="s">
        <v>3683</v>
      </c>
      <c r="C1514" s="2">
        <v>42565</v>
      </c>
      <c r="D1514" s="2">
        <v>42569</v>
      </c>
      <c r="E1514" s="1" t="s">
        <v>42</v>
      </c>
      <c r="F1514" s="1" t="s">
        <v>2648</v>
      </c>
      <c r="G1514" s="1" t="s">
        <v>2649</v>
      </c>
      <c r="H1514" s="1" t="s">
        <v>27</v>
      </c>
      <c r="I1514" s="1" t="s">
        <v>28</v>
      </c>
      <c r="J1514" s="1" t="s">
        <v>331</v>
      </c>
      <c r="K1514" s="1" t="s">
        <v>56</v>
      </c>
      <c r="L1514">
        <v>94122</v>
      </c>
      <c r="M1514" s="1" t="s">
        <v>57</v>
      </c>
      <c r="N1514" s="1" t="s">
        <v>556</v>
      </c>
      <c r="O1514" s="1" t="s">
        <v>33</v>
      </c>
      <c r="P1514" s="1" t="s">
        <v>59</v>
      </c>
      <c r="Q1514" s="1" t="s">
        <v>557</v>
      </c>
      <c r="R1514">
        <v>31</v>
      </c>
      <c r="S1514">
        <v>4</v>
      </c>
      <c r="T1514">
        <v>0</v>
      </c>
      <c r="U1514">
        <v>10</v>
      </c>
      <c r="V1514" s="1" t="s">
        <v>86</v>
      </c>
      <c r="W1514" s="1" t="s">
        <v>74</v>
      </c>
    </row>
    <row r="1515" spans="1:23" x14ac:dyDescent="0.35">
      <c r="A1515">
        <v>7234</v>
      </c>
      <c r="B1515" s="1" t="s">
        <v>3684</v>
      </c>
      <c r="C1515" s="2">
        <v>42437</v>
      </c>
      <c r="D1515" s="2">
        <v>42441</v>
      </c>
      <c r="E1515" s="1" t="s">
        <v>42</v>
      </c>
      <c r="F1515" s="1" t="s">
        <v>2226</v>
      </c>
      <c r="G1515" s="1" t="s">
        <v>2227</v>
      </c>
      <c r="H1515" s="1" t="s">
        <v>27</v>
      </c>
      <c r="I1515" s="1" t="s">
        <v>28</v>
      </c>
      <c r="J1515" s="1" t="s">
        <v>176</v>
      </c>
      <c r="K1515" s="1" t="s">
        <v>123</v>
      </c>
      <c r="L1515">
        <v>10011</v>
      </c>
      <c r="M1515" s="1" t="s">
        <v>70</v>
      </c>
      <c r="N1515" s="1" t="s">
        <v>488</v>
      </c>
      <c r="O1515" s="1" t="s">
        <v>33</v>
      </c>
      <c r="P1515" s="1" t="s">
        <v>59</v>
      </c>
      <c r="Q1515" s="1" t="s">
        <v>489</v>
      </c>
      <c r="R1515">
        <v>114</v>
      </c>
      <c r="S1515">
        <v>8</v>
      </c>
      <c r="T1515">
        <v>0</v>
      </c>
      <c r="U1515">
        <v>44</v>
      </c>
      <c r="V1515" s="1" t="s">
        <v>86</v>
      </c>
      <c r="W1515" s="1" t="s">
        <v>198</v>
      </c>
    </row>
    <row r="1516" spans="1:23" x14ac:dyDescent="0.35">
      <c r="A1516">
        <v>7239</v>
      </c>
      <c r="B1516" s="1" t="s">
        <v>3685</v>
      </c>
      <c r="C1516" s="2">
        <v>42728</v>
      </c>
      <c r="D1516" s="2">
        <v>42734</v>
      </c>
      <c r="E1516" s="1" t="s">
        <v>42</v>
      </c>
      <c r="F1516" s="1" t="s">
        <v>3686</v>
      </c>
      <c r="G1516" s="1" t="s">
        <v>3687</v>
      </c>
      <c r="H1516" s="1" t="s">
        <v>27</v>
      </c>
      <c r="I1516" s="1" t="s">
        <v>28</v>
      </c>
      <c r="J1516" s="1" t="s">
        <v>1494</v>
      </c>
      <c r="K1516" s="1" t="s">
        <v>56</v>
      </c>
      <c r="L1516">
        <v>95123</v>
      </c>
      <c r="M1516" s="1" t="s">
        <v>57</v>
      </c>
      <c r="N1516" s="1" t="s">
        <v>2161</v>
      </c>
      <c r="O1516" s="1" t="s">
        <v>33</v>
      </c>
      <c r="P1516" s="1" t="s">
        <v>59</v>
      </c>
      <c r="Q1516" s="1" t="s">
        <v>2162</v>
      </c>
      <c r="R1516">
        <v>44</v>
      </c>
      <c r="S1516">
        <v>7</v>
      </c>
      <c r="T1516">
        <v>0</v>
      </c>
      <c r="U1516">
        <v>18</v>
      </c>
      <c r="V1516" s="1" t="s">
        <v>132</v>
      </c>
      <c r="W1516" s="1" t="s">
        <v>99</v>
      </c>
    </row>
    <row r="1517" spans="1:23" x14ac:dyDescent="0.35">
      <c r="A1517">
        <v>7241</v>
      </c>
      <c r="B1517" s="1" t="s">
        <v>3688</v>
      </c>
      <c r="C1517" s="2">
        <v>42848</v>
      </c>
      <c r="D1517" s="2">
        <v>42850</v>
      </c>
      <c r="E1517" s="1" t="s">
        <v>24</v>
      </c>
      <c r="F1517" s="1" t="s">
        <v>2612</v>
      </c>
      <c r="G1517" s="1" t="s">
        <v>2613</v>
      </c>
      <c r="H1517" s="1" t="s">
        <v>27</v>
      </c>
      <c r="I1517" s="1" t="s">
        <v>28</v>
      </c>
      <c r="J1517" s="1" t="s">
        <v>1188</v>
      </c>
      <c r="K1517" s="1" t="s">
        <v>56</v>
      </c>
      <c r="L1517">
        <v>91104</v>
      </c>
      <c r="M1517" s="1" t="s">
        <v>57</v>
      </c>
      <c r="N1517" s="1" t="s">
        <v>2207</v>
      </c>
      <c r="O1517" s="1" t="s">
        <v>33</v>
      </c>
      <c r="P1517" s="1" t="s">
        <v>59</v>
      </c>
      <c r="Q1517" s="1" t="s">
        <v>2208</v>
      </c>
      <c r="R1517">
        <v>66</v>
      </c>
      <c r="S1517">
        <v>7</v>
      </c>
      <c r="T1517">
        <v>0</v>
      </c>
      <c r="U1517">
        <v>27</v>
      </c>
      <c r="V1517" s="1" t="s">
        <v>73</v>
      </c>
      <c r="W1517" s="1" t="s">
        <v>116</v>
      </c>
    </row>
    <row r="1518" spans="1:23" x14ac:dyDescent="0.35">
      <c r="A1518">
        <v>7243</v>
      </c>
      <c r="B1518" s="1" t="s">
        <v>3688</v>
      </c>
      <c r="C1518" s="2">
        <v>42848</v>
      </c>
      <c r="D1518" s="2">
        <v>42850</v>
      </c>
      <c r="E1518" s="1" t="s">
        <v>24</v>
      </c>
      <c r="F1518" s="1" t="s">
        <v>2612</v>
      </c>
      <c r="G1518" s="1" t="s">
        <v>2613</v>
      </c>
      <c r="H1518" s="1" t="s">
        <v>27</v>
      </c>
      <c r="I1518" s="1" t="s">
        <v>28</v>
      </c>
      <c r="J1518" s="1" t="s">
        <v>1188</v>
      </c>
      <c r="K1518" s="1" t="s">
        <v>56</v>
      </c>
      <c r="L1518">
        <v>91104</v>
      </c>
      <c r="M1518" s="1" t="s">
        <v>57</v>
      </c>
      <c r="N1518" s="1" t="s">
        <v>554</v>
      </c>
      <c r="O1518" s="1" t="s">
        <v>33</v>
      </c>
      <c r="P1518" s="1" t="s">
        <v>59</v>
      </c>
      <c r="Q1518" s="1" t="s">
        <v>3128</v>
      </c>
      <c r="R1518">
        <v>24</v>
      </c>
      <c r="S1518">
        <v>2</v>
      </c>
      <c r="T1518">
        <v>0</v>
      </c>
      <c r="U1518">
        <v>8</v>
      </c>
      <c r="V1518" s="1" t="s">
        <v>73</v>
      </c>
      <c r="W1518" s="1" t="s">
        <v>116</v>
      </c>
    </row>
    <row r="1519" spans="1:23" x14ac:dyDescent="0.35">
      <c r="A1519">
        <v>7244</v>
      </c>
      <c r="B1519" s="1" t="s">
        <v>3689</v>
      </c>
      <c r="C1519" s="2">
        <v>42964</v>
      </c>
      <c r="D1519" s="2">
        <v>42969</v>
      </c>
      <c r="E1519" s="1" t="s">
        <v>24</v>
      </c>
      <c r="F1519" s="1" t="s">
        <v>2301</v>
      </c>
      <c r="G1519" s="1" t="s">
        <v>2302</v>
      </c>
      <c r="H1519" s="1" t="s">
        <v>27</v>
      </c>
      <c r="I1519" s="1" t="s">
        <v>28</v>
      </c>
      <c r="J1519" s="1" t="s">
        <v>68</v>
      </c>
      <c r="K1519" s="1" t="s">
        <v>69</v>
      </c>
      <c r="L1519">
        <v>19134</v>
      </c>
      <c r="M1519" s="1" t="s">
        <v>70</v>
      </c>
      <c r="N1519" s="1" t="s">
        <v>604</v>
      </c>
      <c r="O1519" s="1" t="s">
        <v>33</v>
      </c>
      <c r="P1519" s="1" t="s">
        <v>39</v>
      </c>
      <c r="Q1519" s="1" t="s">
        <v>605</v>
      </c>
      <c r="R1519">
        <v>4416</v>
      </c>
      <c r="S1519">
        <v>9</v>
      </c>
      <c r="T1519">
        <v>0.3</v>
      </c>
      <c r="U1519">
        <v>-631</v>
      </c>
      <c r="V1519" s="1" t="s">
        <v>61</v>
      </c>
      <c r="W1519" s="1" t="s">
        <v>256</v>
      </c>
    </row>
    <row r="1520" spans="1:23" x14ac:dyDescent="0.35">
      <c r="A1520">
        <v>7248</v>
      </c>
      <c r="B1520" s="1" t="s">
        <v>3690</v>
      </c>
      <c r="C1520" s="2">
        <v>41701</v>
      </c>
      <c r="D1520" s="2">
        <v>41706</v>
      </c>
      <c r="E1520" s="1" t="s">
        <v>42</v>
      </c>
      <c r="F1520" s="1" t="s">
        <v>3691</v>
      </c>
      <c r="G1520" s="1" t="s">
        <v>3692</v>
      </c>
      <c r="H1520" s="1" t="s">
        <v>93</v>
      </c>
      <c r="I1520" s="1" t="s">
        <v>28</v>
      </c>
      <c r="J1520" s="1" t="s">
        <v>350</v>
      </c>
      <c r="K1520" s="1" t="s">
        <v>234</v>
      </c>
      <c r="L1520">
        <v>43229</v>
      </c>
      <c r="M1520" s="1" t="s">
        <v>70</v>
      </c>
      <c r="N1520" s="1" t="s">
        <v>459</v>
      </c>
      <c r="O1520" s="1" t="s">
        <v>33</v>
      </c>
      <c r="P1520" s="1" t="s">
        <v>34</v>
      </c>
      <c r="Q1520" s="1" t="s">
        <v>460</v>
      </c>
      <c r="R1520">
        <v>302</v>
      </c>
      <c r="S1520">
        <v>5</v>
      </c>
      <c r="T1520">
        <v>0.5</v>
      </c>
      <c r="U1520">
        <v>-200</v>
      </c>
      <c r="V1520" s="1" t="s">
        <v>61</v>
      </c>
      <c r="W1520" s="1" t="s">
        <v>198</v>
      </c>
    </row>
    <row r="1521" spans="1:23" x14ac:dyDescent="0.35">
      <c r="A1521">
        <v>7255</v>
      </c>
      <c r="B1521" s="1" t="s">
        <v>3693</v>
      </c>
      <c r="C1521" s="2">
        <v>42520</v>
      </c>
      <c r="D1521" s="2">
        <v>42525</v>
      </c>
      <c r="E1521" s="1" t="s">
        <v>42</v>
      </c>
      <c r="F1521" s="1" t="s">
        <v>2195</v>
      </c>
      <c r="G1521" s="1" t="s">
        <v>2196</v>
      </c>
      <c r="H1521" s="1" t="s">
        <v>103</v>
      </c>
      <c r="I1521" s="1" t="s">
        <v>28</v>
      </c>
      <c r="J1521" s="1" t="s">
        <v>3694</v>
      </c>
      <c r="K1521" s="1" t="s">
        <v>241</v>
      </c>
      <c r="L1521">
        <v>54880</v>
      </c>
      <c r="M1521" s="1" t="s">
        <v>96</v>
      </c>
      <c r="N1521" s="1" t="s">
        <v>1598</v>
      </c>
      <c r="O1521" s="1" t="s">
        <v>33</v>
      </c>
      <c r="P1521" s="1" t="s">
        <v>59</v>
      </c>
      <c r="Q1521" s="1" t="s">
        <v>1599</v>
      </c>
      <c r="R1521">
        <v>47</v>
      </c>
      <c r="S1521">
        <v>5</v>
      </c>
      <c r="T1521">
        <v>0</v>
      </c>
      <c r="U1521">
        <v>21</v>
      </c>
      <c r="V1521" s="1" t="s">
        <v>61</v>
      </c>
      <c r="W1521" s="1" t="s">
        <v>164</v>
      </c>
    </row>
    <row r="1522" spans="1:23" x14ac:dyDescent="0.35">
      <c r="A1522">
        <v>7266</v>
      </c>
      <c r="B1522" s="1" t="s">
        <v>3695</v>
      </c>
      <c r="C1522" s="2">
        <v>41966</v>
      </c>
      <c r="D1522" s="2">
        <v>41969</v>
      </c>
      <c r="E1522" s="1" t="s">
        <v>24</v>
      </c>
      <c r="F1522" s="1" t="s">
        <v>1307</v>
      </c>
      <c r="G1522" s="1" t="s">
        <v>1308</v>
      </c>
      <c r="H1522" s="1" t="s">
        <v>93</v>
      </c>
      <c r="I1522" s="1" t="s">
        <v>28</v>
      </c>
      <c r="J1522" s="1" t="s">
        <v>104</v>
      </c>
      <c r="K1522" s="1" t="s">
        <v>95</v>
      </c>
      <c r="L1522">
        <v>77095</v>
      </c>
      <c r="M1522" s="1" t="s">
        <v>96</v>
      </c>
      <c r="N1522" s="1" t="s">
        <v>1167</v>
      </c>
      <c r="O1522" s="1" t="s">
        <v>33</v>
      </c>
      <c r="P1522" s="1" t="s">
        <v>39</v>
      </c>
      <c r="Q1522" s="1" t="s">
        <v>1168</v>
      </c>
      <c r="R1522">
        <v>155</v>
      </c>
      <c r="S1522">
        <v>2</v>
      </c>
      <c r="T1522">
        <v>0.3</v>
      </c>
      <c r="U1522">
        <v>-36</v>
      </c>
      <c r="V1522" s="1" t="s">
        <v>36</v>
      </c>
      <c r="W1522" s="1" t="s">
        <v>37</v>
      </c>
    </row>
    <row r="1523" spans="1:23" x14ac:dyDescent="0.35">
      <c r="A1523">
        <v>7270</v>
      </c>
      <c r="B1523" s="1" t="s">
        <v>3696</v>
      </c>
      <c r="C1523" s="2">
        <v>42383</v>
      </c>
      <c r="D1523" s="2">
        <v>42389</v>
      </c>
      <c r="E1523" s="1" t="s">
        <v>42</v>
      </c>
      <c r="F1523" s="1" t="s">
        <v>452</v>
      </c>
      <c r="G1523" s="1" t="s">
        <v>453</v>
      </c>
      <c r="H1523" s="1" t="s">
        <v>27</v>
      </c>
      <c r="I1523" s="1" t="s">
        <v>28</v>
      </c>
      <c r="J1523" s="1" t="s">
        <v>512</v>
      </c>
      <c r="K1523" s="1" t="s">
        <v>1039</v>
      </c>
      <c r="L1523">
        <v>28027</v>
      </c>
      <c r="M1523" s="1" t="s">
        <v>31</v>
      </c>
      <c r="N1523" s="1" t="s">
        <v>3697</v>
      </c>
      <c r="O1523" s="1" t="s">
        <v>33</v>
      </c>
      <c r="P1523" s="1" t="s">
        <v>59</v>
      </c>
      <c r="Q1523" s="1" t="s">
        <v>3698</v>
      </c>
      <c r="R1523">
        <v>316</v>
      </c>
      <c r="S1523">
        <v>8</v>
      </c>
      <c r="T1523">
        <v>0.2</v>
      </c>
      <c r="U1523">
        <v>32</v>
      </c>
      <c r="V1523" s="1" t="s">
        <v>132</v>
      </c>
      <c r="W1523" s="1" t="s">
        <v>172</v>
      </c>
    </row>
    <row r="1524" spans="1:23" x14ac:dyDescent="0.35">
      <c r="A1524">
        <v>7271</v>
      </c>
      <c r="B1524" s="1" t="s">
        <v>3699</v>
      </c>
      <c r="C1524" s="2">
        <v>42629</v>
      </c>
      <c r="D1524" s="2">
        <v>42635</v>
      </c>
      <c r="E1524" s="1" t="s">
        <v>42</v>
      </c>
      <c r="F1524" s="1" t="s">
        <v>2500</v>
      </c>
      <c r="G1524" s="1" t="s">
        <v>2501</v>
      </c>
      <c r="H1524" s="1" t="s">
        <v>93</v>
      </c>
      <c r="I1524" s="1" t="s">
        <v>28</v>
      </c>
      <c r="J1524" s="1" t="s">
        <v>1494</v>
      </c>
      <c r="K1524" s="1" t="s">
        <v>56</v>
      </c>
      <c r="L1524">
        <v>95123</v>
      </c>
      <c r="M1524" s="1" t="s">
        <v>57</v>
      </c>
      <c r="N1524" s="1" t="s">
        <v>1551</v>
      </c>
      <c r="O1524" s="1" t="s">
        <v>33</v>
      </c>
      <c r="P1524" s="1" t="s">
        <v>34</v>
      </c>
      <c r="Q1524" s="1" t="s">
        <v>1552</v>
      </c>
      <c r="R1524">
        <v>274</v>
      </c>
      <c r="S1524">
        <v>2</v>
      </c>
      <c r="T1524">
        <v>0.15</v>
      </c>
      <c r="U1524">
        <v>-13</v>
      </c>
      <c r="V1524" s="1" t="s">
        <v>132</v>
      </c>
      <c r="W1524" s="1" t="s">
        <v>80</v>
      </c>
    </row>
    <row r="1525" spans="1:23" x14ac:dyDescent="0.35">
      <c r="A1525">
        <v>7276</v>
      </c>
      <c r="B1525" s="1" t="s">
        <v>3700</v>
      </c>
      <c r="C1525" s="2">
        <v>42321</v>
      </c>
      <c r="D1525" s="2">
        <v>42325</v>
      </c>
      <c r="E1525" s="1" t="s">
        <v>42</v>
      </c>
      <c r="F1525" s="1" t="s">
        <v>3701</v>
      </c>
      <c r="G1525" s="1" t="s">
        <v>3702</v>
      </c>
      <c r="H1525" s="1" t="s">
        <v>103</v>
      </c>
      <c r="I1525" s="1" t="s">
        <v>28</v>
      </c>
      <c r="J1525" s="1" t="s">
        <v>3703</v>
      </c>
      <c r="K1525" s="1" t="s">
        <v>3704</v>
      </c>
      <c r="L1525">
        <v>59601</v>
      </c>
      <c r="M1525" s="1" t="s">
        <v>57</v>
      </c>
      <c r="N1525" s="1" t="s">
        <v>838</v>
      </c>
      <c r="O1525" s="1" t="s">
        <v>33</v>
      </c>
      <c r="P1525" s="1" t="s">
        <v>59</v>
      </c>
      <c r="Q1525" s="1" t="s">
        <v>839</v>
      </c>
      <c r="R1525">
        <v>64</v>
      </c>
      <c r="S1525">
        <v>7</v>
      </c>
      <c r="T1525">
        <v>0</v>
      </c>
      <c r="U1525">
        <v>22</v>
      </c>
      <c r="V1525" s="1" t="s">
        <v>86</v>
      </c>
      <c r="W1525" s="1" t="s">
        <v>37</v>
      </c>
    </row>
    <row r="1526" spans="1:23" x14ac:dyDescent="0.35">
      <c r="A1526">
        <v>7285</v>
      </c>
      <c r="B1526" s="1" t="s">
        <v>3705</v>
      </c>
      <c r="C1526" s="2">
        <v>42987</v>
      </c>
      <c r="D1526" s="2">
        <v>42991</v>
      </c>
      <c r="E1526" s="1" t="s">
        <v>42</v>
      </c>
      <c r="F1526" s="1" t="s">
        <v>1173</v>
      </c>
      <c r="G1526" s="1" t="s">
        <v>1174</v>
      </c>
      <c r="H1526" s="1" t="s">
        <v>27</v>
      </c>
      <c r="I1526" s="1" t="s">
        <v>28</v>
      </c>
      <c r="J1526" s="1" t="s">
        <v>696</v>
      </c>
      <c r="K1526" s="1" t="s">
        <v>234</v>
      </c>
      <c r="L1526">
        <v>44105</v>
      </c>
      <c r="M1526" s="1" t="s">
        <v>70</v>
      </c>
      <c r="N1526" s="1" t="s">
        <v>599</v>
      </c>
      <c r="O1526" s="1" t="s">
        <v>33</v>
      </c>
      <c r="P1526" s="1" t="s">
        <v>59</v>
      </c>
      <c r="Q1526" s="1" t="s">
        <v>600</v>
      </c>
      <c r="R1526">
        <v>66</v>
      </c>
      <c r="S1526">
        <v>2</v>
      </c>
      <c r="T1526">
        <v>0.2</v>
      </c>
      <c r="U1526">
        <v>-9</v>
      </c>
      <c r="V1526" s="1" t="s">
        <v>86</v>
      </c>
      <c r="W1526" s="1" t="s">
        <v>80</v>
      </c>
    </row>
    <row r="1527" spans="1:23" x14ac:dyDescent="0.35">
      <c r="A1527">
        <v>7288</v>
      </c>
      <c r="B1527" s="1" t="s">
        <v>3706</v>
      </c>
      <c r="C1527" s="2">
        <v>42541</v>
      </c>
      <c r="D1527" s="2">
        <v>42546</v>
      </c>
      <c r="E1527" s="1" t="s">
        <v>42</v>
      </c>
      <c r="F1527" s="1" t="s">
        <v>2762</v>
      </c>
      <c r="G1527" s="1" t="s">
        <v>2763</v>
      </c>
      <c r="H1527" s="1" t="s">
        <v>93</v>
      </c>
      <c r="I1527" s="1" t="s">
        <v>28</v>
      </c>
      <c r="J1527" s="1" t="s">
        <v>3019</v>
      </c>
      <c r="K1527" s="1" t="s">
        <v>1525</v>
      </c>
      <c r="L1527">
        <v>73120</v>
      </c>
      <c r="M1527" s="1" t="s">
        <v>96</v>
      </c>
      <c r="N1527" s="1" t="s">
        <v>1314</v>
      </c>
      <c r="O1527" s="1" t="s">
        <v>33</v>
      </c>
      <c r="P1527" s="1" t="s">
        <v>59</v>
      </c>
      <c r="Q1527" s="1" t="s">
        <v>2025</v>
      </c>
      <c r="R1527">
        <v>58</v>
      </c>
      <c r="S1527">
        <v>3</v>
      </c>
      <c r="T1527">
        <v>0</v>
      </c>
      <c r="U1527">
        <v>24</v>
      </c>
      <c r="V1527" s="1" t="s">
        <v>61</v>
      </c>
      <c r="W1527" s="1" t="s">
        <v>62</v>
      </c>
    </row>
    <row r="1528" spans="1:23" x14ac:dyDescent="0.35">
      <c r="A1528">
        <v>7294</v>
      </c>
      <c r="B1528" s="1" t="s">
        <v>3707</v>
      </c>
      <c r="C1528" s="2">
        <v>42392</v>
      </c>
      <c r="D1528" s="2">
        <v>42398</v>
      </c>
      <c r="E1528" s="1" t="s">
        <v>42</v>
      </c>
      <c r="F1528" s="1" t="s">
        <v>3708</v>
      </c>
      <c r="G1528" s="1" t="s">
        <v>3709</v>
      </c>
      <c r="H1528" s="1" t="s">
        <v>27</v>
      </c>
      <c r="I1528" s="1" t="s">
        <v>28</v>
      </c>
      <c r="J1528" s="1" t="s">
        <v>55</v>
      </c>
      <c r="K1528" s="1" t="s">
        <v>56</v>
      </c>
      <c r="L1528">
        <v>90036</v>
      </c>
      <c r="M1528" s="1" t="s">
        <v>57</v>
      </c>
      <c r="N1528" s="1" t="s">
        <v>2904</v>
      </c>
      <c r="O1528" s="1" t="s">
        <v>33</v>
      </c>
      <c r="P1528" s="1" t="s">
        <v>59</v>
      </c>
      <c r="Q1528" s="1" t="s">
        <v>2905</v>
      </c>
      <c r="R1528">
        <v>60</v>
      </c>
      <c r="S1528">
        <v>7</v>
      </c>
      <c r="T1528">
        <v>0</v>
      </c>
      <c r="U1528">
        <v>22</v>
      </c>
      <c r="V1528" s="1" t="s">
        <v>132</v>
      </c>
      <c r="W1528" s="1" t="s">
        <v>172</v>
      </c>
    </row>
    <row r="1529" spans="1:23" x14ac:dyDescent="0.35">
      <c r="A1529">
        <v>7295</v>
      </c>
      <c r="B1529" s="1" t="s">
        <v>3710</v>
      </c>
      <c r="C1529" s="2">
        <v>42150</v>
      </c>
      <c r="D1529" s="2">
        <v>42155</v>
      </c>
      <c r="E1529" s="1" t="s">
        <v>42</v>
      </c>
      <c r="F1529" s="1" t="s">
        <v>2354</v>
      </c>
      <c r="G1529" s="1" t="s">
        <v>2355</v>
      </c>
      <c r="H1529" s="1" t="s">
        <v>27</v>
      </c>
      <c r="I1529" s="1" t="s">
        <v>28</v>
      </c>
      <c r="J1529" s="1" t="s">
        <v>3711</v>
      </c>
      <c r="K1529" s="1" t="s">
        <v>195</v>
      </c>
      <c r="L1529">
        <v>98006</v>
      </c>
      <c r="M1529" s="1" t="s">
        <v>57</v>
      </c>
      <c r="N1529" s="1" t="s">
        <v>651</v>
      </c>
      <c r="O1529" s="1" t="s">
        <v>33</v>
      </c>
      <c r="P1529" s="1" t="s">
        <v>59</v>
      </c>
      <c r="Q1529" s="1" t="s">
        <v>652</v>
      </c>
      <c r="R1529">
        <v>20</v>
      </c>
      <c r="S1529">
        <v>1</v>
      </c>
      <c r="T1529">
        <v>0</v>
      </c>
      <c r="U1529">
        <v>8</v>
      </c>
      <c r="V1529" s="1" t="s">
        <v>61</v>
      </c>
      <c r="W1529" s="1" t="s">
        <v>164</v>
      </c>
    </row>
    <row r="1530" spans="1:23" x14ac:dyDescent="0.35">
      <c r="A1530">
        <v>7299</v>
      </c>
      <c r="B1530" s="1" t="s">
        <v>3712</v>
      </c>
      <c r="C1530" s="2">
        <v>41961</v>
      </c>
      <c r="D1530" s="2">
        <v>41964</v>
      </c>
      <c r="E1530" s="1" t="s">
        <v>90</v>
      </c>
      <c r="F1530" s="1" t="s">
        <v>2840</v>
      </c>
      <c r="G1530" s="1" t="s">
        <v>2841</v>
      </c>
      <c r="H1530" s="1" t="s">
        <v>27</v>
      </c>
      <c r="I1530" s="1" t="s">
        <v>28</v>
      </c>
      <c r="J1530" s="1" t="s">
        <v>3713</v>
      </c>
      <c r="K1530" s="1" t="s">
        <v>137</v>
      </c>
      <c r="L1530">
        <v>60016</v>
      </c>
      <c r="M1530" s="1" t="s">
        <v>96</v>
      </c>
      <c r="N1530" s="1" t="s">
        <v>371</v>
      </c>
      <c r="O1530" s="1" t="s">
        <v>33</v>
      </c>
      <c r="P1530" s="1" t="s">
        <v>48</v>
      </c>
      <c r="Q1530" s="1" t="s">
        <v>372</v>
      </c>
      <c r="R1530">
        <v>292</v>
      </c>
      <c r="S1530">
        <v>4</v>
      </c>
      <c r="T1530">
        <v>0.5</v>
      </c>
      <c r="U1530">
        <v>-175</v>
      </c>
      <c r="V1530" s="1" t="s">
        <v>36</v>
      </c>
      <c r="W1530" s="1" t="s">
        <v>37</v>
      </c>
    </row>
    <row r="1531" spans="1:23" x14ac:dyDescent="0.35">
      <c r="A1531">
        <v>7300</v>
      </c>
      <c r="B1531" s="1" t="s">
        <v>3712</v>
      </c>
      <c r="C1531" s="2">
        <v>41961</v>
      </c>
      <c r="D1531" s="2">
        <v>41964</v>
      </c>
      <c r="E1531" s="1" t="s">
        <v>90</v>
      </c>
      <c r="F1531" s="1" t="s">
        <v>2840</v>
      </c>
      <c r="G1531" s="1" t="s">
        <v>2841</v>
      </c>
      <c r="H1531" s="1" t="s">
        <v>27</v>
      </c>
      <c r="I1531" s="1" t="s">
        <v>28</v>
      </c>
      <c r="J1531" s="1" t="s">
        <v>3713</v>
      </c>
      <c r="K1531" s="1" t="s">
        <v>137</v>
      </c>
      <c r="L1531">
        <v>60016</v>
      </c>
      <c r="M1531" s="1" t="s">
        <v>96</v>
      </c>
      <c r="N1531" s="1" t="s">
        <v>2143</v>
      </c>
      <c r="O1531" s="1" t="s">
        <v>33</v>
      </c>
      <c r="P1531" s="1" t="s">
        <v>59</v>
      </c>
      <c r="Q1531" s="1" t="s">
        <v>2144</v>
      </c>
      <c r="R1531">
        <v>9</v>
      </c>
      <c r="S1531">
        <v>2</v>
      </c>
      <c r="T1531">
        <v>0.6</v>
      </c>
      <c r="U1531">
        <v>-7</v>
      </c>
      <c r="V1531" s="1" t="s">
        <v>36</v>
      </c>
      <c r="W1531" s="1" t="s">
        <v>37</v>
      </c>
    </row>
    <row r="1532" spans="1:23" x14ac:dyDescent="0.35">
      <c r="A1532">
        <v>7301</v>
      </c>
      <c r="B1532" s="1" t="s">
        <v>3712</v>
      </c>
      <c r="C1532" s="2">
        <v>41961</v>
      </c>
      <c r="D1532" s="2">
        <v>41964</v>
      </c>
      <c r="E1532" s="1" t="s">
        <v>90</v>
      </c>
      <c r="F1532" s="1" t="s">
        <v>2840</v>
      </c>
      <c r="G1532" s="1" t="s">
        <v>2841</v>
      </c>
      <c r="H1532" s="1" t="s">
        <v>27</v>
      </c>
      <c r="I1532" s="1" t="s">
        <v>28</v>
      </c>
      <c r="J1532" s="1" t="s">
        <v>3713</v>
      </c>
      <c r="K1532" s="1" t="s">
        <v>137</v>
      </c>
      <c r="L1532">
        <v>60016</v>
      </c>
      <c r="M1532" s="1" t="s">
        <v>96</v>
      </c>
      <c r="N1532" s="1" t="s">
        <v>2818</v>
      </c>
      <c r="O1532" s="1" t="s">
        <v>33</v>
      </c>
      <c r="P1532" s="1" t="s">
        <v>34</v>
      </c>
      <c r="Q1532" s="1" t="s">
        <v>2819</v>
      </c>
      <c r="R1532">
        <v>424</v>
      </c>
      <c r="S1532">
        <v>6</v>
      </c>
      <c r="T1532">
        <v>0.3</v>
      </c>
      <c r="U1532">
        <v>-30</v>
      </c>
      <c r="V1532" s="1" t="s">
        <v>36</v>
      </c>
      <c r="W1532" s="1" t="s">
        <v>37</v>
      </c>
    </row>
    <row r="1533" spans="1:23" x14ac:dyDescent="0.35">
      <c r="A1533">
        <v>7304</v>
      </c>
      <c r="B1533" s="1" t="s">
        <v>3714</v>
      </c>
      <c r="C1533" s="2">
        <v>42982</v>
      </c>
      <c r="D1533" s="2">
        <v>42986</v>
      </c>
      <c r="E1533" s="1" t="s">
        <v>42</v>
      </c>
      <c r="F1533" s="1" t="s">
        <v>3715</v>
      </c>
      <c r="G1533" s="1" t="s">
        <v>3716</v>
      </c>
      <c r="H1533" s="1" t="s">
        <v>27</v>
      </c>
      <c r="I1533" s="1" t="s">
        <v>28</v>
      </c>
      <c r="J1533" s="1" t="s">
        <v>1123</v>
      </c>
      <c r="K1533" s="1" t="s">
        <v>46</v>
      </c>
      <c r="L1533">
        <v>33437</v>
      </c>
      <c r="M1533" s="1" t="s">
        <v>31</v>
      </c>
      <c r="N1533" s="1" t="s">
        <v>254</v>
      </c>
      <c r="O1533" s="1" t="s">
        <v>33</v>
      </c>
      <c r="P1533" s="1" t="s">
        <v>39</v>
      </c>
      <c r="Q1533" s="1" t="s">
        <v>255</v>
      </c>
      <c r="R1533">
        <v>97</v>
      </c>
      <c r="S1533">
        <v>2</v>
      </c>
      <c r="T1533">
        <v>0.2</v>
      </c>
      <c r="U1533">
        <v>6</v>
      </c>
      <c r="V1533" s="1" t="s">
        <v>86</v>
      </c>
      <c r="W1533" s="1" t="s">
        <v>80</v>
      </c>
    </row>
    <row r="1534" spans="1:23" x14ac:dyDescent="0.35">
      <c r="A1534">
        <v>7306</v>
      </c>
      <c r="B1534" s="1" t="s">
        <v>3717</v>
      </c>
      <c r="C1534" s="2">
        <v>41727</v>
      </c>
      <c r="D1534" s="2">
        <v>41731</v>
      </c>
      <c r="E1534" s="1" t="s">
        <v>42</v>
      </c>
      <c r="F1534" s="1" t="s">
        <v>2726</v>
      </c>
      <c r="G1534" s="1" t="s">
        <v>2727</v>
      </c>
      <c r="H1534" s="1" t="s">
        <v>27</v>
      </c>
      <c r="I1534" s="1" t="s">
        <v>28</v>
      </c>
      <c r="J1534" s="1" t="s">
        <v>2481</v>
      </c>
      <c r="K1534" s="1" t="s">
        <v>95</v>
      </c>
      <c r="L1534">
        <v>75023</v>
      </c>
      <c r="M1534" s="1" t="s">
        <v>96</v>
      </c>
      <c r="N1534" s="1" t="s">
        <v>524</v>
      </c>
      <c r="O1534" s="1" t="s">
        <v>33</v>
      </c>
      <c r="P1534" s="1" t="s">
        <v>48</v>
      </c>
      <c r="Q1534" s="1" t="s">
        <v>525</v>
      </c>
      <c r="R1534">
        <v>891</v>
      </c>
      <c r="S1534">
        <v>3</v>
      </c>
      <c r="T1534">
        <v>0.3</v>
      </c>
      <c r="U1534">
        <v>-153</v>
      </c>
      <c r="V1534" s="1" t="s">
        <v>86</v>
      </c>
      <c r="W1534" s="1" t="s">
        <v>198</v>
      </c>
    </row>
    <row r="1535" spans="1:23" x14ac:dyDescent="0.35">
      <c r="A1535">
        <v>7308</v>
      </c>
      <c r="B1535" s="1" t="s">
        <v>3718</v>
      </c>
      <c r="C1535" s="2">
        <v>42679</v>
      </c>
      <c r="D1535" s="2">
        <v>42681</v>
      </c>
      <c r="E1535" s="1" t="s">
        <v>24</v>
      </c>
      <c r="F1535" s="1" t="s">
        <v>329</v>
      </c>
      <c r="G1535" s="1" t="s">
        <v>330</v>
      </c>
      <c r="H1535" s="1" t="s">
        <v>27</v>
      </c>
      <c r="I1535" s="1" t="s">
        <v>28</v>
      </c>
      <c r="J1535" s="1" t="s">
        <v>1494</v>
      </c>
      <c r="K1535" s="1" t="s">
        <v>56</v>
      </c>
      <c r="L1535">
        <v>95123</v>
      </c>
      <c r="M1535" s="1" t="s">
        <v>57</v>
      </c>
      <c r="N1535" s="1" t="s">
        <v>2197</v>
      </c>
      <c r="O1535" s="1" t="s">
        <v>33</v>
      </c>
      <c r="P1535" s="1" t="s">
        <v>39</v>
      </c>
      <c r="Q1535" s="1" t="s">
        <v>2198</v>
      </c>
      <c r="R1535">
        <v>114</v>
      </c>
      <c r="S1535">
        <v>2</v>
      </c>
      <c r="T1535">
        <v>0.2</v>
      </c>
      <c r="U1535">
        <v>10</v>
      </c>
      <c r="V1535" s="1" t="s">
        <v>73</v>
      </c>
      <c r="W1535" s="1" t="s">
        <v>37</v>
      </c>
    </row>
    <row r="1536" spans="1:23" x14ac:dyDescent="0.35">
      <c r="A1536">
        <v>7317</v>
      </c>
      <c r="B1536" s="1" t="s">
        <v>3719</v>
      </c>
      <c r="C1536" s="2">
        <v>42659</v>
      </c>
      <c r="D1536" s="2">
        <v>42663</v>
      </c>
      <c r="E1536" s="1" t="s">
        <v>42</v>
      </c>
      <c r="F1536" s="1" t="s">
        <v>785</v>
      </c>
      <c r="G1536" s="1" t="s">
        <v>786</v>
      </c>
      <c r="H1536" s="1" t="s">
        <v>93</v>
      </c>
      <c r="I1536" s="1" t="s">
        <v>28</v>
      </c>
      <c r="J1536" s="1" t="s">
        <v>176</v>
      </c>
      <c r="K1536" s="1" t="s">
        <v>123</v>
      </c>
      <c r="L1536">
        <v>10011</v>
      </c>
      <c r="M1536" s="1" t="s">
        <v>70</v>
      </c>
      <c r="N1536" s="1" t="s">
        <v>63</v>
      </c>
      <c r="O1536" s="1" t="s">
        <v>33</v>
      </c>
      <c r="P1536" s="1" t="s">
        <v>48</v>
      </c>
      <c r="Q1536" s="1" t="s">
        <v>64</v>
      </c>
      <c r="R1536">
        <v>142</v>
      </c>
      <c r="S1536">
        <v>1</v>
      </c>
      <c r="T1536">
        <v>0.4</v>
      </c>
      <c r="U1536">
        <v>-38</v>
      </c>
      <c r="V1536" s="1" t="s">
        <v>86</v>
      </c>
      <c r="W1536" s="1" t="s">
        <v>51</v>
      </c>
    </row>
    <row r="1537" spans="1:23" x14ac:dyDescent="0.35">
      <c r="A1537">
        <v>7321</v>
      </c>
      <c r="B1537" s="1" t="s">
        <v>3720</v>
      </c>
      <c r="C1537" s="2">
        <v>43065</v>
      </c>
      <c r="D1537" s="2">
        <v>43068</v>
      </c>
      <c r="E1537" s="1" t="s">
        <v>24</v>
      </c>
      <c r="F1537" s="1" t="s">
        <v>3721</v>
      </c>
      <c r="G1537" s="1" t="s">
        <v>3722</v>
      </c>
      <c r="H1537" s="1" t="s">
        <v>27</v>
      </c>
      <c r="I1537" s="1" t="s">
        <v>28</v>
      </c>
      <c r="J1537" s="1" t="s">
        <v>176</v>
      </c>
      <c r="K1537" s="1" t="s">
        <v>123</v>
      </c>
      <c r="L1537">
        <v>10009</v>
      </c>
      <c r="M1537" s="1" t="s">
        <v>70</v>
      </c>
      <c r="N1537" s="1" t="s">
        <v>1712</v>
      </c>
      <c r="O1537" s="1" t="s">
        <v>33</v>
      </c>
      <c r="P1537" s="1" t="s">
        <v>59</v>
      </c>
      <c r="Q1537" s="1" t="s">
        <v>1713</v>
      </c>
      <c r="R1537">
        <v>135</v>
      </c>
      <c r="S1537">
        <v>5</v>
      </c>
      <c r="T1537">
        <v>0</v>
      </c>
      <c r="U1537">
        <v>38</v>
      </c>
      <c r="V1537" s="1" t="s">
        <v>36</v>
      </c>
      <c r="W1537" s="1" t="s">
        <v>37</v>
      </c>
    </row>
    <row r="1538" spans="1:23" x14ac:dyDescent="0.35">
      <c r="A1538">
        <v>7324</v>
      </c>
      <c r="B1538" s="1" t="s">
        <v>3723</v>
      </c>
      <c r="C1538" s="2">
        <v>43074</v>
      </c>
      <c r="D1538" s="2">
        <v>43077</v>
      </c>
      <c r="E1538" s="1" t="s">
        <v>90</v>
      </c>
      <c r="F1538" s="1" t="s">
        <v>631</v>
      </c>
      <c r="G1538" s="1" t="s">
        <v>632</v>
      </c>
      <c r="H1538" s="1" t="s">
        <v>27</v>
      </c>
      <c r="I1538" s="1" t="s">
        <v>28</v>
      </c>
      <c r="J1538" s="1" t="s">
        <v>176</v>
      </c>
      <c r="K1538" s="1" t="s">
        <v>123</v>
      </c>
      <c r="L1538">
        <v>10024</v>
      </c>
      <c r="M1538" s="1" t="s">
        <v>70</v>
      </c>
      <c r="N1538" s="1" t="s">
        <v>189</v>
      </c>
      <c r="O1538" s="1" t="s">
        <v>33</v>
      </c>
      <c r="P1538" s="1" t="s">
        <v>59</v>
      </c>
      <c r="Q1538" s="1" t="s">
        <v>190</v>
      </c>
      <c r="R1538">
        <v>42</v>
      </c>
      <c r="S1538">
        <v>2</v>
      </c>
      <c r="T1538">
        <v>0</v>
      </c>
      <c r="U1538">
        <v>11</v>
      </c>
      <c r="V1538" s="1" t="s">
        <v>36</v>
      </c>
      <c r="W1538" s="1" t="s">
        <v>99</v>
      </c>
    </row>
    <row r="1539" spans="1:23" x14ac:dyDescent="0.35">
      <c r="A1539">
        <v>7328</v>
      </c>
      <c r="B1539" s="1" t="s">
        <v>3724</v>
      </c>
      <c r="C1539" s="2">
        <v>41716</v>
      </c>
      <c r="D1539" s="2">
        <v>41722</v>
      </c>
      <c r="E1539" s="1" t="s">
        <v>42</v>
      </c>
      <c r="F1539" s="1" t="s">
        <v>904</v>
      </c>
      <c r="G1539" s="1" t="s">
        <v>905</v>
      </c>
      <c r="H1539" s="1" t="s">
        <v>103</v>
      </c>
      <c r="I1539" s="1" t="s">
        <v>28</v>
      </c>
      <c r="J1539" s="1" t="s">
        <v>3725</v>
      </c>
      <c r="K1539" s="1" t="s">
        <v>56</v>
      </c>
      <c r="L1539">
        <v>91505</v>
      </c>
      <c r="M1539" s="1" t="s">
        <v>57</v>
      </c>
      <c r="N1539" s="1" t="s">
        <v>1787</v>
      </c>
      <c r="O1539" s="1" t="s">
        <v>33</v>
      </c>
      <c r="P1539" s="1" t="s">
        <v>59</v>
      </c>
      <c r="Q1539" s="1" t="s">
        <v>1788</v>
      </c>
      <c r="R1539">
        <v>111</v>
      </c>
      <c r="S1539">
        <v>2</v>
      </c>
      <c r="T1539">
        <v>0</v>
      </c>
      <c r="U1539">
        <v>14</v>
      </c>
      <c r="V1539" s="1" t="s">
        <v>132</v>
      </c>
      <c r="W1539" s="1" t="s">
        <v>198</v>
      </c>
    </row>
    <row r="1540" spans="1:23" x14ac:dyDescent="0.35">
      <c r="A1540">
        <v>7331</v>
      </c>
      <c r="B1540" s="1" t="s">
        <v>3726</v>
      </c>
      <c r="C1540" s="2">
        <v>42686</v>
      </c>
      <c r="D1540" s="2">
        <v>42687</v>
      </c>
      <c r="E1540" s="1" t="s">
        <v>90</v>
      </c>
      <c r="F1540" s="1" t="s">
        <v>3727</v>
      </c>
      <c r="G1540" s="1" t="s">
        <v>3728</v>
      </c>
      <c r="H1540" s="1" t="s">
        <v>93</v>
      </c>
      <c r="I1540" s="1" t="s">
        <v>28</v>
      </c>
      <c r="J1540" s="1" t="s">
        <v>136</v>
      </c>
      <c r="K1540" s="1" t="s">
        <v>137</v>
      </c>
      <c r="L1540">
        <v>60623</v>
      </c>
      <c r="M1540" s="1" t="s">
        <v>96</v>
      </c>
      <c r="N1540" s="1" t="s">
        <v>1598</v>
      </c>
      <c r="O1540" s="1" t="s">
        <v>33</v>
      </c>
      <c r="P1540" s="1" t="s">
        <v>59</v>
      </c>
      <c r="Q1540" s="1" t="s">
        <v>1599</v>
      </c>
      <c r="R1540">
        <v>23</v>
      </c>
      <c r="S1540">
        <v>6</v>
      </c>
      <c r="T1540">
        <v>0.6</v>
      </c>
      <c r="U1540">
        <v>-9</v>
      </c>
      <c r="V1540" s="1" t="s">
        <v>126</v>
      </c>
      <c r="W1540" s="1" t="s">
        <v>37</v>
      </c>
    </row>
    <row r="1541" spans="1:23" x14ac:dyDescent="0.35">
      <c r="A1541">
        <v>7334</v>
      </c>
      <c r="B1541" s="1" t="s">
        <v>3729</v>
      </c>
      <c r="C1541" s="2">
        <v>42105</v>
      </c>
      <c r="D1541" s="2">
        <v>42111</v>
      </c>
      <c r="E1541" s="1" t="s">
        <v>42</v>
      </c>
      <c r="F1541" s="1" t="s">
        <v>2396</v>
      </c>
      <c r="G1541" s="1" t="s">
        <v>2397</v>
      </c>
      <c r="H1541" s="1" t="s">
        <v>27</v>
      </c>
      <c r="I1541" s="1" t="s">
        <v>28</v>
      </c>
      <c r="J1541" s="1" t="s">
        <v>306</v>
      </c>
      <c r="K1541" s="1" t="s">
        <v>46</v>
      </c>
      <c r="L1541">
        <v>33614</v>
      </c>
      <c r="M1541" s="1" t="s">
        <v>31</v>
      </c>
      <c r="N1541" s="1" t="s">
        <v>569</v>
      </c>
      <c r="O1541" s="1" t="s">
        <v>33</v>
      </c>
      <c r="P1541" s="1" t="s">
        <v>59</v>
      </c>
      <c r="Q1541" s="1" t="s">
        <v>570</v>
      </c>
      <c r="R1541">
        <v>67</v>
      </c>
      <c r="S1541">
        <v>2</v>
      </c>
      <c r="T1541">
        <v>0.2</v>
      </c>
      <c r="U1541">
        <v>10</v>
      </c>
      <c r="V1541" s="1" t="s">
        <v>132</v>
      </c>
      <c r="W1541" s="1" t="s">
        <v>116</v>
      </c>
    </row>
    <row r="1542" spans="1:23" x14ac:dyDescent="0.35">
      <c r="A1542">
        <v>7335</v>
      </c>
      <c r="B1542" s="1" t="s">
        <v>3729</v>
      </c>
      <c r="C1542" s="2">
        <v>42105</v>
      </c>
      <c r="D1542" s="2">
        <v>42111</v>
      </c>
      <c r="E1542" s="1" t="s">
        <v>42</v>
      </c>
      <c r="F1542" s="1" t="s">
        <v>2396</v>
      </c>
      <c r="G1542" s="1" t="s">
        <v>2397</v>
      </c>
      <c r="H1542" s="1" t="s">
        <v>27</v>
      </c>
      <c r="I1542" s="1" t="s">
        <v>28</v>
      </c>
      <c r="J1542" s="1" t="s">
        <v>306</v>
      </c>
      <c r="K1542" s="1" t="s">
        <v>46</v>
      </c>
      <c r="L1542">
        <v>33614</v>
      </c>
      <c r="M1542" s="1" t="s">
        <v>31</v>
      </c>
      <c r="N1542" s="1" t="s">
        <v>286</v>
      </c>
      <c r="O1542" s="1" t="s">
        <v>33</v>
      </c>
      <c r="P1542" s="1" t="s">
        <v>59</v>
      </c>
      <c r="Q1542" s="1" t="s">
        <v>287</v>
      </c>
      <c r="R1542">
        <v>55</v>
      </c>
      <c r="S1542">
        <v>3</v>
      </c>
      <c r="T1542">
        <v>0.2</v>
      </c>
      <c r="U1542">
        <v>14</v>
      </c>
      <c r="V1542" s="1" t="s">
        <v>132</v>
      </c>
      <c r="W1542" s="1" t="s">
        <v>116</v>
      </c>
    </row>
    <row r="1543" spans="1:23" x14ac:dyDescent="0.35">
      <c r="A1543">
        <v>7337</v>
      </c>
      <c r="B1543" s="1" t="s">
        <v>3730</v>
      </c>
      <c r="C1543" s="2">
        <v>42363</v>
      </c>
      <c r="D1543" s="2">
        <v>42368</v>
      </c>
      <c r="E1543" s="1" t="s">
        <v>42</v>
      </c>
      <c r="F1543" s="1" t="s">
        <v>1809</v>
      </c>
      <c r="G1543" s="1" t="s">
        <v>1810</v>
      </c>
      <c r="H1543" s="1" t="s">
        <v>27</v>
      </c>
      <c r="I1543" s="1" t="s">
        <v>28</v>
      </c>
      <c r="J1543" s="1" t="s">
        <v>176</v>
      </c>
      <c r="K1543" s="1" t="s">
        <v>123</v>
      </c>
      <c r="L1543">
        <v>10024</v>
      </c>
      <c r="M1543" s="1" t="s">
        <v>70</v>
      </c>
      <c r="N1543" s="1" t="s">
        <v>263</v>
      </c>
      <c r="O1543" s="1" t="s">
        <v>33</v>
      </c>
      <c r="P1543" s="1" t="s">
        <v>34</v>
      </c>
      <c r="Q1543" s="1" t="s">
        <v>264</v>
      </c>
      <c r="R1543">
        <v>450</v>
      </c>
      <c r="S1543">
        <v>2</v>
      </c>
      <c r="T1543">
        <v>0.2</v>
      </c>
      <c r="U1543">
        <v>56</v>
      </c>
      <c r="V1543" s="1" t="s">
        <v>61</v>
      </c>
      <c r="W1543" s="1" t="s">
        <v>99</v>
      </c>
    </row>
    <row r="1544" spans="1:23" x14ac:dyDescent="0.35">
      <c r="A1544">
        <v>7339</v>
      </c>
      <c r="B1544" s="1" t="s">
        <v>3731</v>
      </c>
      <c r="C1544" s="2">
        <v>41993</v>
      </c>
      <c r="D1544" s="2">
        <v>41996</v>
      </c>
      <c r="E1544" s="1" t="s">
        <v>24</v>
      </c>
      <c r="F1544" s="1" t="s">
        <v>2348</v>
      </c>
      <c r="G1544" s="1" t="s">
        <v>2349</v>
      </c>
      <c r="H1544" s="1" t="s">
        <v>93</v>
      </c>
      <c r="I1544" s="1" t="s">
        <v>28</v>
      </c>
      <c r="J1544" s="1" t="s">
        <v>176</v>
      </c>
      <c r="K1544" s="1" t="s">
        <v>123</v>
      </c>
      <c r="L1544">
        <v>10035</v>
      </c>
      <c r="M1544" s="1" t="s">
        <v>70</v>
      </c>
      <c r="N1544" s="1" t="s">
        <v>2197</v>
      </c>
      <c r="O1544" s="1" t="s">
        <v>33</v>
      </c>
      <c r="P1544" s="1" t="s">
        <v>39</v>
      </c>
      <c r="Q1544" s="1" t="s">
        <v>2198</v>
      </c>
      <c r="R1544">
        <v>192</v>
      </c>
      <c r="S1544">
        <v>3</v>
      </c>
      <c r="T1544">
        <v>0.1</v>
      </c>
      <c r="U1544">
        <v>36</v>
      </c>
      <c r="V1544" s="1" t="s">
        <v>36</v>
      </c>
      <c r="W1544" s="1" t="s">
        <v>99</v>
      </c>
    </row>
    <row r="1545" spans="1:23" x14ac:dyDescent="0.35">
      <c r="A1545">
        <v>7341</v>
      </c>
      <c r="B1545" s="1" t="s">
        <v>3732</v>
      </c>
      <c r="C1545" s="2">
        <v>41846</v>
      </c>
      <c r="D1545" s="2">
        <v>41852</v>
      </c>
      <c r="E1545" s="1" t="s">
        <v>42</v>
      </c>
      <c r="F1545" s="1" t="s">
        <v>1371</v>
      </c>
      <c r="G1545" s="1" t="s">
        <v>1372</v>
      </c>
      <c r="H1545" s="1" t="s">
        <v>27</v>
      </c>
      <c r="I1545" s="1" t="s">
        <v>28</v>
      </c>
      <c r="J1545" s="1" t="s">
        <v>2141</v>
      </c>
      <c r="K1545" s="1" t="s">
        <v>670</v>
      </c>
      <c r="L1545">
        <v>30318</v>
      </c>
      <c r="M1545" s="1" t="s">
        <v>31</v>
      </c>
      <c r="N1545" s="1" t="s">
        <v>1768</v>
      </c>
      <c r="O1545" s="1" t="s">
        <v>33</v>
      </c>
      <c r="P1545" s="1" t="s">
        <v>39</v>
      </c>
      <c r="Q1545" s="1" t="s">
        <v>1769</v>
      </c>
      <c r="R1545">
        <v>68</v>
      </c>
      <c r="S1545">
        <v>2</v>
      </c>
      <c r="T1545">
        <v>0</v>
      </c>
      <c r="U1545">
        <v>18</v>
      </c>
      <c r="V1545" s="1" t="s">
        <v>132</v>
      </c>
      <c r="W1545" s="1" t="s">
        <v>74</v>
      </c>
    </row>
    <row r="1546" spans="1:23" x14ac:dyDescent="0.35">
      <c r="A1546">
        <v>7343</v>
      </c>
      <c r="B1546" s="1" t="s">
        <v>3732</v>
      </c>
      <c r="C1546" s="2">
        <v>41846</v>
      </c>
      <c r="D1546" s="2">
        <v>41852</v>
      </c>
      <c r="E1546" s="1" t="s">
        <v>42</v>
      </c>
      <c r="F1546" s="1" t="s">
        <v>1371</v>
      </c>
      <c r="G1546" s="1" t="s">
        <v>1372</v>
      </c>
      <c r="H1546" s="1" t="s">
        <v>27</v>
      </c>
      <c r="I1546" s="1" t="s">
        <v>28</v>
      </c>
      <c r="J1546" s="1" t="s">
        <v>2141</v>
      </c>
      <c r="K1546" s="1" t="s">
        <v>670</v>
      </c>
      <c r="L1546">
        <v>30318</v>
      </c>
      <c r="M1546" s="1" t="s">
        <v>31</v>
      </c>
      <c r="N1546" s="1" t="s">
        <v>2904</v>
      </c>
      <c r="O1546" s="1" t="s">
        <v>33</v>
      </c>
      <c r="P1546" s="1" t="s">
        <v>59</v>
      </c>
      <c r="Q1546" s="1" t="s">
        <v>2905</v>
      </c>
      <c r="R1546">
        <v>26</v>
      </c>
      <c r="S1546">
        <v>3</v>
      </c>
      <c r="T1546">
        <v>0</v>
      </c>
      <c r="U1546">
        <v>9</v>
      </c>
      <c r="V1546" s="1" t="s">
        <v>132</v>
      </c>
      <c r="W1546" s="1" t="s">
        <v>74</v>
      </c>
    </row>
    <row r="1547" spans="1:23" x14ac:dyDescent="0.35">
      <c r="A1547">
        <v>7345</v>
      </c>
      <c r="B1547" s="1" t="s">
        <v>3733</v>
      </c>
      <c r="C1547" s="2">
        <v>43080</v>
      </c>
      <c r="D1547" s="2">
        <v>43086</v>
      </c>
      <c r="E1547" s="1" t="s">
        <v>42</v>
      </c>
      <c r="F1547" s="1" t="s">
        <v>2219</v>
      </c>
      <c r="G1547" s="1" t="s">
        <v>2220</v>
      </c>
      <c r="H1547" s="1" t="s">
        <v>93</v>
      </c>
      <c r="I1547" s="1" t="s">
        <v>28</v>
      </c>
      <c r="J1547" s="1" t="s">
        <v>609</v>
      </c>
      <c r="K1547" s="1" t="s">
        <v>46</v>
      </c>
      <c r="L1547">
        <v>32216</v>
      </c>
      <c r="M1547" s="1" t="s">
        <v>31</v>
      </c>
      <c r="N1547" s="1" t="s">
        <v>269</v>
      </c>
      <c r="O1547" s="1" t="s">
        <v>33</v>
      </c>
      <c r="P1547" s="1" t="s">
        <v>48</v>
      </c>
      <c r="Q1547" s="1" t="s">
        <v>270</v>
      </c>
      <c r="R1547">
        <v>722</v>
      </c>
      <c r="S1547">
        <v>6</v>
      </c>
      <c r="T1547">
        <v>0.45</v>
      </c>
      <c r="U1547">
        <v>-420</v>
      </c>
      <c r="V1547" s="1" t="s">
        <v>132</v>
      </c>
      <c r="W1547" s="1" t="s">
        <v>99</v>
      </c>
    </row>
    <row r="1548" spans="1:23" x14ac:dyDescent="0.35">
      <c r="A1548">
        <v>7348</v>
      </c>
      <c r="B1548" s="1" t="s">
        <v>3733</v>
      </c>
      <c r="C1548" s="2">
        <v>43080</v>
      </c>
      <c r="D1548" s="2">
        <v>43086</v>
      </c>
      <c r="E1548" s="1" t="s">
        <v>42</v>
      </c>
      <c r="F1548" s="1" t="s">
        <v>2219</v>
      </c>
      <c r="G1548" s="1" t="s">
        <v>2220</v>
      </c>
      <c r="H1548" s="1" t="s">
        <v>93</v>
      </c>
      <c r="I1548" s="1" t="s">
        <v>28</v>
      </c>
      <c r="J1548" s="1" t="s">
        <v>609</v>
      </c>
      <c r="K1548" s="1" t="s">
        <v>46</v>
      </c>
      <c r="L1548">
        <v>32216</v>
      </c>
      <c r="M1548" s="1" t="s">
        <v>31</v>
      </c>
      <c r="N1548" s="1" t="s">
        <v>513</v>
      </c>
      <c r="O1548" s="1" t="s">
        <v>33</v>
      </c>
      <c r="P1548" s="1" t="s">
        <v>39</v>
      </c>
      <c r="Q1548" s="1" t="s">
        <v>514</v>
      </c>
      <c r="R1548">
        <v>65</v>
      </c>
      <c r="S1548">
        <v>1</v>
      </c>
      <c r="T1548">
        <v>0.2</v>
      </c>
      <c r="U1548">
        <v>-12</v>
      </c>
      <c r="V1548" s="1" t="s">
        <v>132</v>
      </c>
      <c r="W1548" s="1" t="s">
        <v>99</v>
      </c>
    </row>
    <row r="1549" spans="1:23" x14ac:dyDescent="0.35">
      <c r="A1549">
        <v>7358</v>
      </c>
      <c r="B1549" s="1" t="s">
        <v>3734</v>
      </c>
      <c r="C1549" s="2">
        <v>42652</v>
      </c>
      <c r="D1549" s="2">
        <v>42657</v>
      </c>
      <c r="E1549" s="1" t="s">
        <v>42</v>
      </c>
      <c r="F1549" s="1" t="s">
        <v>3439</v>
      </c>
      <c r="G1549" s="1" t="s">
        <v>3440</v>
      </c>
      <c r="H1549" s="1" t="s">
        <v>103</v>
      </c>
      <c r="I1549" s="1" t="s">
        <v>28</v>
      </c>
      <c r="J1549" s="1" t="s">
        <v>522</v>
      </c>
      <c r="K1549" s="1" t="s">
        <v>523</v>
      </c>
      <c r="L1549">
        <v>85023</v>
      </c>
      <c r="M1549" s="1" t="s">
        <v>57</v>
      </c>
      <c r="N1549" s="1" t="s">
        <v>1394</v>
      </c>
      <c r="O1549" s="1" t="s">
        <v>33</v>
      </c>
      <c r="P1549" s="1" t="s">
        <v>59</v>
      </c>
      <c r="Q1549" s="1" t="s">
        <v>1395</v>
      </c>
      <c r="R1549">
        <v>170</v>
      </c>
      <c r="S1549">
        <v>2</v>
      </c>
      <c r="T1549">
        <v>0.2</v>
      </c>
      <c r="U1549">
        <v>0</v>
      </c>
      <c r="V1549" s="1" t="s">
        <v>61</v>
      </c>
      <c r="W1549" s="1" t="s">
        <v>51</v>
      </c>
    </row>
    <row r="1550" spans="1:23" x14ac:dyDescent="0.35">
      <c r="A1550">
        <v>7360</v>
      </c>
      <c r="B1550" s="1" t="s">
        <v>3735</v>
      </c>
      <c r="C1550" s="2">
        <v>42003</v>
      </c>
      <c r="D1550" s="2">
        <v>42007</v>
      </c>
      <c r="E1550" s="1" t="s">
        <v>24</v>
      </c>
      <c r="F1550" s="1" t="s">
        <v>3736</v>
      </c>
      <c r="G1550" s="1" t="s">
        <v>3737</v>
      </c>
      <c r="H1550" s="1" t="s">
        <v>93</v>
      </c>
      <c r="I1550" s="1" t="s">
        <v>28</v>
      </c>
      <c r="J1550" s="1" t="s">
        <v>68</v>
      </c>
      <c r="K1550" s="1" t="s">
        <v>69</v>
      </c>
      <c r="L1550">
        <v>19143</v>
      </c>
      <c r="M1550" s="1" t="s">
        <v>70</v>
      </c>
      <c r="N1550" s="1" t="s">
        <v>413</v>
      </c>
      <c r="O1550" s="1" t="s">
        <v>33</v>
      </c>
      <c r="P1550" s="1" t="s">
        <v>48</v>
      </c>
      <c r="Q1550" s="1" t="s">
        <v>414</v>
      </c>
      <c r="R1550">
        <v>524</v>
      </c>
      <c r="S1550">
        <v>3</v>
      </c>
      <c r="T1550">
        <v>0.4</v>
      </c>
      <c r="U1550">
        <v>-192</v>
      </c>
      <c r="V1550" s="1" t="s">
        <v>86</v>
      </c>
      <c r="W1550" s="1" t="s">
        <v>99</v>
      </c>
    </row>
    <row r="1551" spans="1:23" x14ac:dyDescent="0.35">
      <c r="A1551">
        <v>7362</v>
      </c>
      <c r="B1551" s="1" t="s">
        <v>3738</v>
      </c>
      <c r="C1551" s="2">
        <v>42472</v>
      </c>
      <c r="D1551" s="2">
        <v>42474</v>
      </c>
      <c r="E1551" s="1" t="s">
        <v>90</v>
      </c>
      <c r="F1551" s="1" t="s">
        <v>2009</v>
      </c>
      <c r="G1551" s="1" t="s">
        <v>2010</v>
      </c>
      <c r="H1551" s="1" t="s">
        <v>27</v>
      </c>
      <c r="I1551" s="1" t="s">
        <v>28</v>
      </c>
      <c r="J1551" s="1" t="s">
        <v>55</v>
      </c>
      <c r="K1551" s="1" t="s">
        <v>56</v>
      </c>
      <c r="L1551">
        <v>90036</v>
      </c>
      <c r="M1551" s="1" t="s">
        <v>57</v>
      </c>
      <c r="N1551" s="1" t="s">
        <v>513</v>
      </c>
      <c r="O1551" s="1" t="s">
        <v>33</v>
      </c>
      <c r="P1551" s="1" t="s">
        <v>39</v>
      </c>
      <c r="Q1551" s="1" t="s">
        <v>514</v>
      </c>
      <c r="R1551">
        <v>194</v>
      </c>
      <c r="S1551">
        <v>3</v>
      </c>
      <c r="T1551">
        <v>0.2</v>
      </c>
      <c r="U1551">
        <v>-36</v>
      </c>
      <c r="V1551" s="1" t="s">
        <v>73</v>
      </c>
      <c r="W1551" s="1" t="s">
        <v>116</v>
      </c>
    </row>
    <row r="1552" spans="1:23" x14ac:dyDescent="0.35">
      <c r="A1552">
        <v>7368</v>
      </c>
      <c r="B1552" s="1" t="s">
        <v>3739</v>
      </c>
      <c r="C1552" s="2">
        <v>42702</v>
      </c>
      <c r="D1552" s="2">
        <v>42708</v>
      </c>
      <c r="E1552" s="1" t="s">
        <v>42</v>
      </c>
      <c r="F1552" s="1" t="s">
        <v>289</v>
      </c>
      <c r="G1552" s="1" t="s">
        <v>290</v>
      </c>
      <c r="H1552" s="1" t="s">
        <v>93</v>
      </c>
      <c r="I1552" s="1" t="s">
        <v>28</v>
      </c>
      <c r="J1552" s="1" t="s">
        <v>68</v>
      </c>
      <c r="K1552" s="1" t="s">
        <v>69</v>
      </c>
      <c r="L1552">
        <v>19140</v>
      </c>
      <c r="M1552" s="1" t="s">
        <v>70</v>
      </c>
      <c r="N1552" s="1" t="s">
        <v>593</v>
      </c>
      <c r="O1552" s="1" t="s">
        <v>33</v>
      </c>
      <c r="P1552" s="1" t="s">
        <v>39</v>
      </c>
      <c r="Q1552" s="1" t="s">
        <v>594</v>
      </c>
      <c r="R1552">
        <v>348</v>
      </c>
      <c r="S1552">
        <v>7</v>
      </c>
      <c r="T1552">
        <v>0.3</v>
      </c>
      <c r="U1552">
        <v>-25</v>
      </c>
      <c r="V1552" s="1" t="s">
        <v>132</v>
      </c>
      <c r="W1552" s="1" t="s">
        <v>37</v>
      </c>
    </row>
    <row r="1553" spans="1:23" x14ac:dyDescent="0.35">
      <c r="A1553">
        <v>7388</v>
      </c>
      <c r="B1553" s="1" t="s">
        <v>3740</v>
      </c>
      <c r="C1553" s="2">
        <v>42626</v>
      </c>
      <c r="D1553" s="2">
        <v>42631</v>
      </c>
      <c r="E1553" s="1" t="s">
        <v>42</v>
      </c>
      <c r="F1553" s="1" t="s">
        <v>2928</v>
      </c>
      <c r="G1553" s="1" t="s">
        <v>2929</v>
      </c>
      <c r="H1553" s="1" t="s">
        <v>27</v>
      </c>
      <c r="I1553" s="1" t="s">
        <v>28</v>
      </c>
      <c r="J1553" s="1" t="s">
        <v>843</v>
      </c>
      <c r="K1553" s="1" t="s">
        <v>844</v>
      </c>
      <c r="L1553">
        <v>68104</v>
      </c>
      <c r="M1553" s="1" t="s">
        <v>96</v>
      </c>
      <c r="N1553" s="1" t="s">
        <v>97</v>
      </c>
      <c r="O1553" s="1" t="s">
        <v>33</v>
      </c>
      <c r="P1553" s="1" t="s">
        <v>59</v>
      </c>
      <c r="Q1553" s="1" t="s">
        <v>98</v>
      </c>
      <c r="R1553">
        <v>1336</v>
      </c>
      <c r="S1553">
        <v>14</v>
      </c>
      <c r="T1553">
        <v>0</v>
      </c>
      <c r="U1553">
        <v>388</v>
      </c>
      <c r="V1553" s="1" t="s">
        <v>61</v>
      </c>
      <c r="W1553" s="1" t="s">
        <v>80</v>
      </c>
    </row>
    <row r="1554" spans="1:23" x14ac:dyDescent="0.35">
      <c r="A1554">
        <v>7390</v>
      </c>
      <c r="B1554" s="1" t="s">
        <v>3741</v>
      </c>
      <c r="C1554" s="2">
        <v>43068</v>
      </c>
      <c r="D1554" s="2">
        <v>43072</v>
      </c>
      <c r="E1554" s="1" t="s">
        <v>42</v>
      </c>
      <c r="F1554" s="1" t="s">
        <v>2351</v>
      </c>
      <c r="G1554" s="1" t="s">
        <v>2352</v>
      </c>
      <c r="H1554" s="1" t="s">
        <v>27</v>
      </c>
      <c r="I1554" s="1" t="s">
        <v>28</v>
      </c>
      <c r="J1554" s="1" t="s">
        <v>2272</v>
      </c>
      <c r="K1554" s="1" t="s">
        <v>144</v>
      </c>
      <c r="L1554">
        <v>37421</v>
      </c>
      <c r="M1554" s="1" t="s">
        <v>31</v>
      </c>
      <c r="N1554" s="1" t="s">
        <v>38</v>
      </c>
      <c r="O1554" s="1" t="s">
        <v>33</v>
      </c>
      <c r="P1554" s="1" t="s">
        <v>39</v>
      </c>
      <c r="Q1554" s="1" t="s">
        <v>40</v>
      </c>
      <c r="R1554">
        <v>390</v>
      </c>
      <c r="S1554">
        <v>2</v>
      </c>
      <c r="T1554">
        <v>0.2</v>
      </c>
      <c r="U1554">
        <v>49</v>
      </c>
      <c r="V1554" s="1" t="s">
        <v>86</v>
      </c>
      <c r="W1554" s="1" t="s">
        <v>37</v>
      </c>
    </row>
    <row r="1555" spans="1:23" x14ac:dyDescent="0.35">
      <c r="A1555">
        <v>7391</v>
      </c>
      <c r="B1555" s="1" t="s">
        <v>3741</v>
      </c>
      <c r="C1555" s="2">
        <v>43068</v>
      </c>
      <c r="D1555" s="2">
        <v>43072</v>
      </c>
      <c r="E1555" s="1" t="s">
        <v>42</v>
      </c>
      <c r="F1555" s="1" t="s">
        <v>2351</v>
      </c>
      <c r="G1555" s="1" t="s">
        <v>2352</v>
      </c>
      <c r="H1555" s="1" t="s">
        <v>27</v>
      </c>
      <c r="I1555" s="1" t="s">
        <v>28</v>
      </c>
      <c r="J1555" s="1" t="s">
        <v>2272</v>
      </c>
      <c r="K1555" s="1" t="s">
        <v>144</v>
      </c>
      <c r="L1555">
        <v>37421</v>
      </c>
      <c r="M1555" s="1" t="s">
        <v>31</v>
      </c>
      <c r="N1555" s="1" t="s">
        <v>311</v>
      </c>
      <c r="O1555" s="1" t="s">
        <v>33</v>
      </c>
      <c r="P1555" s="1" t="s">
        <v>59</v>
      </c>
      <c r="Q1555" s="1" t="s">
        <v>2589</v>
      </c>
      <c r="R1555">
        <v>102</v>
      </c>
      <c r="S1555">
        <v>5</v>
      </c>
      <c r="T1555">
        <v>0.2</v>
      </c>
      <c r="U1555">
        <v>19</v>
      </c>
      <c r="V1555" s="1" t="s">
        <v>86</v>
      </c>
      <c r="W1555" s="1" t="s">
        <v>37</v>
      </c>
    </row>
    <row r="1556" spans="1:23" x14ac:dyDescent="0.35">
      <c r="A1556">
        <v>7396</v>
      </c>
      <c r="B1556" s="1" t="s">
        <v>3742</v>
      </c>
      <c r="C1556" s="2">
        <v>42729</v>
      </c>
      <c r="D1556" s="2">
        <v>42734</v>
      </c>
      <c r="E1556" s="1" t="s">
        <v>42</v>
      </c>
      <c r="F1556" s="1" t="s">
        <v>3197</v>
      </c>
      <c r="G1556" s="1" t="s">
        <v>3198</v>
      </c>
      <c r="H1556" s="1" t="s">
        <v>93</v>
      </c>
      <c r="I1556" s="1" t="s">
        <v>28</v>
      </c>
      <c r="J1556" s="1" t="s">
        <v>176</v>
      </c>
      <c r="K1556" s="1" t="s">
        <v>123</v>
      </c>
      <c r="L1556">
        <v>10024</v>
      </c>
      <c r="M1556" s="1" t="s">
        <v>70</v>
      </c>
      <c r="N1556" s="1" t="s">
        <v>1250</v>
      </c>
      <c r="O1556" s="1" t="s">
        <v>33</v>
      </c>
      <c r="P1556" s="1" t="s">
        <v>48</v>
      </c>
      <c r="Q1556" s="1" t="s">
        <v>1251</v>
      </c>
      <c r="R1556">
        <v>313</v>
      </c>
      <c r="S1556">
        <v>2</v>
      </c>
      <c r="T1556">
        <v>0.4</v>
      </c>
      <c r="U1556">
        <v>-120</v>
      </c>
      <c r="V1556" s="1" t="s">
        <v>61</v>
      </c>
      <c r="W1556" s="1" t="s">
        <v>99</v>
      </c>
    </row>
    <row r="1557" spans="1:23" x14ac:dyDescent="0.35">
      <c r="A1557">
        <v>7397</v>
      </c>
      <c r="B1557" s="1" t="s">
        <v>3742</v>
      </c>
      <c r="C1557" s="2">
        <v>42729</v>
      </c>
      <c r="D1557" s="2">
        <v>42734</v>
      </c>
      <c r="E1557" s="1" t="s">
        <v>42</v>
      </c>
      <c r="F1557" s="1" t="s">
        <v>3197</v>
      </c>
      <c r="G1557" s="1" t="s">
        <v>3198</v>
      </c>
      <c r="H1557" s="1" t="s">
        <v>93</v>
      </c>
      <c r="I1557" s="1" t="s">
        <v>28</v>
      </c>
      <c r="J1557" s="1" t="s">
        <v>176</v>
      </c>
      <c r="K1557" s="1" t="s">
        <v>123</v>
      </c>
      <c r="L1557">
        <v>10024</v>
      </c>
      <c r="M1557" s="1" t="s">
        <v>70</v>
      </c>
      <c r="N1557" s="1" t="s">
        <v>798</v>
      </c>
      <c r="O1557" s="1" t="s">
        <v>33</v>
      </c>
      <c r="P1557" s="1" t="s">
        <v>39</v>
      </c>
      <c r="Q1557" s="1" t="s">
        <v>799</v>
      </c>
      <c r="R1557">
        <v>867</v>
      </c>
      <c r="S1557">
        <v>3</v>
      </c>
      <c r="T1557">
        <v>0.1</v>
      </c>
      <c r="U1557">
        <v>173</v>
      </c>
      <c r="V1557" s="1" t="s">
        <v>61</v>
      </c>
      <c r="W1557" s="1" t="s">
        <v>99</v>
      </c>
    </row>
    <row r="1558" spans="1:23" x14ac:dyDescent="0.35">
      <c r="A1558">
        <v>7401</v>
      </c>
      <c r="B1558" s="1" t="s">
        <v>3743</v>
      </c>
      <c r="C1558" s="2">
        <v>42621</v>
      </c>
      <c r="D1558" s="2">
        <v>42626</v>
      </c>
      <c r="E1558" s="1" t="s">
        <v>42</v>
      </c>
      <c r="F1558" s="1" t="s">
        <v>1681</v>
      </c>
      <c r="G1558" s="1" t="s">
        <v>1682</v>
      </c>
      <c r="H1558" s="1" t="s">
        <v>27</v>
      </c>
      <c r="I1558" s="1" t="s">
        <v>28</v>
      </c>
      <c r="J1558" s="1" t="s">
        <v>194</v>
      </c>
      <c r="K1558" s="1" t="s">
        <v>195</v>
      </c>
      <c r="L1558">
        <v>98103</v>
      </c>
      <c r="M1558" s="1" t="s">
        <v>57</v>
      </c>
      <c r="N1558" s="1" t="s">
        <v>610</v>
      </c>
      <c r="O1558" s="1" t="s">
        <v>33</v>
      </c>
      <c r="P1558" s="1" t="s">
        <v>59</v>
      </c>
      <c r="Q1558" s="1" t="s">
        <v>611</v>
      </c>
      <c r="R1558">
        <v>43</v>
      </c>
      <c r="S1558">
        <v>1</v>
      </c>
      <c r="T1558">
        <v>0</v>
      </c>
      <c r="U1558">
        <v>15</v>
      </c>
      <c r="V1558" s="1" t="s">
        <v>61</v>
      </c>
      <c r="W1558" s="1" t="s">
        <v>80</v>
      </c>
    </row>
    <row r="1559" spans="1:23" x14ac:dyDescent="0.35">
      <c r="A1559">
        <v>7404</v>
      </c>
      <c r="B1559" s="1" t="s">
        <v>3744</v>
      </c>
      <c r="C1559" s="2">
        <v>42138</v>
      </c>
      <c r="D1559" s="2">
        <v>42143</v>
      </c>
      <c r="E1559" s="1" t="s">
        <v>42</v>
      </c>
      <c r="F1559" s="1" t="s">
        <v>1071</v>
      </c>
      <c r="G1559" s="1" t="s">
        <v>1072</v>
      </c>
      <c r="H1559" s="1" t="s">
        <v>93</v>
      </c>
      <c r="I1559" s="1" t="s">
        <v>28</v>
      </c>
      <c r="J1559" s="1" t="s">
        <v>3745</v>
      </c>
      <c r="K1559" s="1" t="s">
        <v>56</v>
      </c>
      <c r="L1559">
        <v>93010</v>
      </c>
      <c r="M1559" s="1" t="s">
        <v>57</v>
      </c>
      <c r="N1559" s="1" t="s">
        <v>713</v>
      </c>
      <c r="O1559" s="1" t="s">
        <v>33</v>
      </c>
      <c r="P1559" s="1" t="s">
        <v>34</v>
      </c>
      <c r="Q1559" s="1" t="s">
        <v>714</v>
      </c>
      <c r="R1559">
        <v>510</v>
      </c>
      <c r="S1559">
        <v>5</v>
      </c>
      <c r="T1559">
        <v>0.15</v>
      </c>
      <c r="U1559">
        <v>42</v>
      </c>
      <c r="V1559" s="1" t="s">
        <v>61</v>
      </c>
      <c r="W1559" s="1" t="s">
        <v>164</v>
      </c>
    </row>
    <row r="1560" spans="1:23" x14ac:dyDescent="0.35">
      <c r="A1560">
        <v>7405</v>
      </c>
      <c r="B1560" s="1" t="s">
        <v>3744</v>
      </c>
      <c r="C1560" s="2">
        <v>42138</v>
      </c>
      <c r="D1560" s="2">
        <v>42143</v>
      </c>
      <c r="E1560" s="1" t="s">
        <v>42</v>
      </c>
      <c r="F1560" s="1" t="s">
        <v>1071</v>
      </c>
      <c r="G1560" s="1" t="s">
        <v>1072</v>
      </c>
      <c r="H1560" s="1" t="s">
        <v>93</v>
      </c>
      <c r="I1560" s="1" t="s">
        <v>28</v>
      </c>
      <c r="J1560" s="1" t="s">
        <v>3745</v>
      </c>
      <c r="K1560" s="1" t="s">
        <v>56</v>
      </c>
      <c r="L1560">
        <v>93010</v>
      </c>
      <c r="M1560" s="1" t="s">
        <v>57</v>
      </c>
      <c r="N1560" s="1" t="s">
        <v>643</v>
      </c>
      <c r="O1560" s="1" t="s">
        <v>33</v>
      </c>
      <c r="P1560" s="1" t="s">
        <v>59</v>
      </c>
      <c r="Q1560" s="1" t="s">
        <v>644</v>
      </c>
      <c r="R1560">
        <v>123</v>
      </c>
      <c r="S1560">
        <v>3</v>
      </c>
      <c r="T1560">
        <v>0</v>
      </c>
      <c r="U1560">
        <v>34</v>
      </c>
      <c r="V1560" s="1" t="s">
        <v>61</v>
      </c>
      <c r="W1560" s="1" t="s">
        <v>164</v>
      </c>
    </row>
    <row r="1561" spans="1:23" x14ac:dyDescent="0.35">
      <c r="A1561">
        <v>7406</v>
      </c>
      <c r="B1561" s="1" t="s">
        <v>3744</v>
      </c>
      <c r="C1561" s="2">
        <v>42138</v>
      </c>
      <c r="D1561" s="2">
        <v>42143</v>
      </c>
      <c r="E1561" s="1" t="s">
        <v>42</v>
      </c>
      <c r="F1561" s="1" t="s">
        <v>1071</v>
      </c>
      <c r="G1561" s="1" t="s">
        <v>1072</v>
      </c>
      <c r="H1561" s="1" t="s">
        <v>93</v>
      </c>
      <c r="I1561" s="1" t="s">
        <v>28</v>
      </c>
      <c r="J1561" s="1" t="s">
        <v>3745</v>
      </c>
      <c r="K1561" s="1" t="s">
        <v>56</v>
      </c>
      <c r="L1561">
        <v>93010</v>
      </c>
      <c r="M1561" s="1" t="s">
        <v>57</v>
      </c>
      <c r="N1561" s="1" t="s">
        <v>1659</v>
      </c>
      <c r="O1561" s="1" t="s">
        <v>33</v>
      </c>
      <c r="P1561" s="1" t="s">
        <v>39</v>
      </c>
      <c r="Q1561" s="1" t="s">
        <v>1660</v>
      </c>
      <c r="R1561">
        <v>98</v>
      </c>
      <c r="S1561">
        <v>2</v>
      </c>
      <c r="T1561">
        <v>0.2</v>
      </c>
      <c r="U1561">
        <v>-6</v>
      </c>
      <c r="V1561" s="1" t="s">
        <v>61</v>
      </c>
      <c r="W1561" s="1" t="s">
        <v>164</v>
      </c>
    </row>
    <row r="1562" spans="1:23" x14ac:dyDescent="0.35">
      <c r="A1562">
        <v>7407</v>
      </c>
      <c r="B1562" s="1" t="s">
        <v>3744</v>
      </c>
      <c r="C1562" s="2">
        <v>42138</v>
      </c>
      <c r="D1562" s="2">
        <v>42143</v>
      </c>
      <c r="E1562" s="1" t="s">
        <v>42</v>
      </c>
      <c r="F1562" s="1" t="s">
        <v>1071</v>
      </c>
      <c r="G1562" s="1" t="s">
        <v>1072</v>
      </c>
      <c r="H1562" s="1" t="s">
        <v>93</v>
      </c>
      <c r="I1562" s="1" t="s">
        <v>28</v>
      </c>
      <c r="J1562" s="1" t="s">
        <v>3745</v>
      </c>
      <c r="K1562" s="1" t="s">
        <v>56</v>
      </c>
      <c r="L1562">
        <v>93010</v>
      </c>
      <c r="M1562" s="1" t="s">
        <v>57</v>
      </c>
      <c r="N1562" s="1" t="s">
        <v>2337</v>
      </c>
      <c r="O1562" s="1" t="s">
        <v>33</v>
      </c>
      <c r="P1562" s="1" t="s">
        <v>39</v>
      </c>
      <c r="Q1562" s="1" t="s">
        <v>2338</v>
      </c>
      <c r="R1562">
        <v>722</v>
      </c>
      <c r="S1562">
        <v>3</v>
      </c>
      <c r="T1562">
        <v>0.2</v>
      </c>
      <c r="U1562">
        <v>81</v>
      </c>
      <c r="V1562" s="1" t="s">
        <v>61</v>
      </c>
      <c r="W1562" s="1" t="s">
        <v>164</v>
      </c>
    </row>
    <row r="1563" spans="1:23" x14ac:dyDescent="0.35">
      <c r="A1563">
        <v>7409</v>
      </c>
      <c r="B1563" s="1" t="s">
        <v>3746</v>
      </c>
      <c r="C1563" s="2">
        <v>42520</v>
      </c>
      <c r="D1563" s="2">
        <v>42527</v>
      </c>
      <c r="E1563" s="1" t="s">
        <v>42</v>
      </c>
      <c r="F1563" s="1" t="s">
        <v>2311</v>
      </c>
      <c r="G1563" s="1" t="s">
        <v>2312</v>
      </c>
      <c r="H1563" s="1" t="s">
        <v>93</v>
      </c>
      <c r="I1563" s="1" t="s">
        <v>28</v>
      </c>
      <c r="J1563" s="1" t="s">
        <v>55</v>
      </c>
      <c r="K1563" s="1" t="s">
        <v>56</v>
      </c>
      <c r="L1563">
        <v>90032</v>
      </c>
      <c r="M1563" s="1" t="s">
        <v>57</v>
      </c>
      <c r="N1563" s="1" t="s">
        <v>2284</v>
      </c>
      <c r="O1563" s="1" t="s">
        <v>33</v>
      </c>
      <c r="P1563" s="1" t="s">
        <v>59</v>
      </c>
      <c r="Q1563" s="1" t="s">
        <v>2285</v>
      </c>
      <c r="R1563">
        <v>168</v>
      </c>
      <c r="S1563">
        <v>8</v>
      </c>
      <c r="T1563">
        <v>0</v>
      </c>
      <c r="U1563">
        <v>12</v>
      </c>
      <c r="V1563" s="1" t="s">
        <v>50</v>
      </c>
      <c r="W1563" s="1" t="s">
        <v>164</v>
      </c>
    </row>
    <row r="1564" spans="1:23" x14ac:dyDescent="0.35">
      <c r="A1564">
        <v>7410</v>
      </c>
      <c r="B1564" s="1" t="s">
        <v>3747</v>
      </c>
      <c r="C1564" s="2">
        <v>41737</v>
      </c>
      <c r="D1564" s="2">
        <v>41741</v>
      </c>
      <c r="E1564" s="1" t="s">
        <v>42</v>
      </c>
      <c r="F1564" s="1" t="s">
        <v>975</v>
      </c>
      <c r="G1564" s="1" t="s">
        <v>976</v>
      </c>
      <c r="H1564" s="1" t="s">
        <v>27</v>
      </c>
      <c r="I1564" s="1" t="s">
        <v>28</v>
      </c>
      <c r="J1564" s="1" t="s">
        <v>2534</v>
      </c>
      <c r="K1564" s="1" t="s">
        <v>234</v>
      </c>
      <c r="L1564">
        <v>43615</v>
      </c>
      <c r="M1564" s="1" t="s">
        <v>70</v>
      </c>
      <c r="N1564" s="1" t="s">
        <v>2834</v>
      </c>
      <c r="O1564" s="1" t="s">
        <v>33</v>
      </c>
      <c r="P1564" s="1" t="s">
        <v>48</v>
      </c>
      <c r="Q1564" s="1" t="s">
        <v>2835</v>
      </c>
      <c r="R1564">
        <v>172</v>
      </c>
      <c r="S1564">
        <v>1</v>
      </c>
      <c r="T1564">
        <v>0.4</v>
      </c>
      <c r="U1564">
        <v>-95</v>
      </c>
      <c r="V1564" s="1" t="s">
        <v>86</v>
      </c>
      <c r="W1564" s="1" t="s">
        <v>116</v>
      </c>
    </row>
    <row r="1565" spans="1:23" x14ac:dyDescent="0.35">
      <c r="A1565">
        <v>7414</v>
      </c>
      <c r="B1565" s="1" t="s">
        <v>3748</v>
      </c>
      <c r="C1565" s="2">
        <v>42885</v>
      </c>
      <c r="D1565" s="2">
        <v>42889</v>
      </c>
      <c r="E1565" s="1" t="s">
        <v>42</v>
      </c>
      <c r="F1565" s="1" t="s">
        <v>2898</v>
      </c>
      <c r="G1565" s="1" t="s">
        <v>2899</v>
      </c>
      <c r="H1565" s="1" t="s">
        <v>103</v>
      </c>
      <c r="I1565" s="1" t="s">
        <v>28</v>
      </c>
      <c r="J1565" s="1" t="s">
        <v>3749</v>
      </c>
      <c r="K1565" s="1" t="s">
        <v>1520</v>
      </c>
      <c r="L1565">
        <v>97224</v>
      </c>
      <c r="M1565" s="1" t="s">
        <v>57</v>
      </c>
      <c r="N1565" s="1" t="s">
        <v>3548</v>
      </c>
      <c r="O1565" s="1" t="s">
        <v>33</v>
      </c>
      <c r="P1565" s="1" t="s">
        <v>59</v>
      </c>
      <c r="Q1565" s="1" t="s">
        <v>3549</v>
      </c>
      <c r="R1565">
        <v>14</v>
      </c>
      <c r="S1565">
        <v>1</v>
      </c>
      <c r="T1565">
        <v>0.2</v>
      </c>
      <c r="U1565">
        <v>0</v>
      </c>
      <c r="V1565" s="1" t="s">
        <v>86</v>
      </c>
      <c r="W1565" s="1" t="s">
        <v>164</v>
      </c>
    </row>
    <row r="1566" spans="1:23" x14ac:dyDescent="0.35">
      <c r="A1566">
        <v>7415</v>
      </c>
      <c r="B1566" s="1" t="s">
        <v>3750</v>
      </c>
      <c r="C1566" s="2">
        <v>42442</v>
      </c>
      <c r="D1566" s="2">
        <v>42444</v>
      </c>
      <c r="E1566" s="1" t="s">
        <v>24</v>
      </c>
      <c r="F1566" s="1" t="s">
        <v>2076</v>
      </c>
      <c r="G1566" s="1" t="s">
        <v>2077</v>
      </c>
      <c r="H1566" s="1" t="s">
        <v>93</v>
      </c>
      <c r="I1566" s="1" t="s">
        <v>28</v>
      </c>
      <c r="J1566" s="1" t="s">
        <v>68</v>
      </c>
      <c r="K1566" s="1" t="s">
        <v>69</v>
      </c>
      <c r="L1566">
        <v>19134</v>
      </c>
      <c r="M1566" s="1" t="s">
        <v>70</v>
      </c>
      <c r="N1566" s="1" t="s">
        <v>249</v>
      </c>
      <c r="O1566" s="1" t="s">
        <v>33</v>
      </c>
      <c r="P1566" s="1" t="s">
        <v>39</v>
      </c>
      <c r="Q1566" s="1" t="s">
        <v>250</v>
      </c>
      <c r="R1566">
        <v>387</v>
      </c>
      <c r="S1566">
        <v>2</v>
      </c>
      <c r="T1566">
        <v>0.3</v>
      </c>
      <c r="U1566">
        <v>-6</v>
      </c>
      <c r="V1566" s="1" t="s">
        <v>73</v>
      </c>
      <c r="W1566" s="1" t="s">
        <v>198</v>
      </c>
    </row>
    <row r="1567" spans="1:23" x14ac:dyDescent="0.35">
      <c r="A1567">
        <v>7425</v>
      </c>
      <c r="B1567" s="1" t="s">
        <v>3751</v>
      </c>
      <c r="C1567" s="2">
        <v>42835</v>
      </c>
      <c r="D1567" s="2">
        <v>42839</v>
      </c>
      <c r="E1567" s="1" t="s">
        <v>42</v>
      </c>
      <c r="F1567" s="1" t="s">
        <v>266</v>
      </c>
      <c r="G1567" s="1" t="s">
        <v>267</v>
      </c>
      <c r="H1567" s="1" t="s">
        <v>27</v>
      </c>
      <c r="I1567" s="1" t="s">
        <v>28</v>
      </c>
      <c r="J1567" s="1" t="s">
        <v>68</v>
      </c>
      <c r="K1567" s="1" t="s">
        <v>69</v>
      </c>
      <c r="L1567">
        <v>19143</v>
      </c>
      <c r="M1567" s="1" t="s">
        <v>70</v>
      </c>
      <c r="N1567" s="1" t="s">
        <v>873</v>
      </c>
      <c r="O1567" s="1" t="s">
        <v>33</v>
      </c>
      <c r="P1567" s="1" t="s">
        <v>59</v>
      </c>
      <c r="Q1567" s="1" t="s">
        <v>874</v>
      </c>
      <c r="R1567">
        <v>37</v>
      </c>
      <c r="S1567">
        <v>3</v>
      </c>
      <c r="T1567">
        <v>0.2</v>
      </c>
      <c r="U1567">
        <v>6</v>
      </c>
      <c r="V1567" s="1" t="s">
        <v>86</v>
      </c>
      <c r="W1567" s="1" t="s">
        <v>116</v>
      </c>
    </row>
    <row r="1568" spans="1:23" x14ac:dyDescent="0.35">
      <c r="A1568">
        <v>7426</v>
      </c>
      <c r="B1568" s="1" t="s">
        <v>3752</v>
      </c>
      <c r="C1568" s="2">
        <v>42546</v>
      </c>
      <c r="D1568" s="2">
        <v>42548</v>
      </c>
      <c r="E1568" s="1" t="s">
        <v>24</v>
      </c>
      <c r="F1568" s="1" t="s">
        <v>1173</v>
      </c>
      <c r="G1568" s="1" t="s">
        <v>1174</v>
      </c>
      <c r="H1568" s="1" t="s">
        <v>27</v>
      </c>
      <c r="I1568" s="1" t="s">
        <v>28</v>
      </c>
      <c r="J1568" s="1" t="s">
        <v>104</v>
      </c>
      <c r="K1568" s="1" t="s">
        <v>95</v>
      </c>
      <c r="L1568">
        <v>77070</v>
      </c>
      <c r="M1568" s="1" t="s">
        <v>96</v>
      </c>
      <c r="N1568" s="1" t="s">
        <v>138</v>
      </c>
      <c r="O1568" s="1" t="s">
        <v>33</v>
      </c>
      <c r="P1568" s="1" t="s">
        <v>39</v>
      </c>
      <c r="Q1568" s="1" t="s">
        <v>139</v>
      </c>
      <c r="R1568">
        <v>85</v>
      </c>
      <c r="S1568">
        <v>2</v>
      </c>
      <c r="T1568">
        <v>0.3</v>
      </c>
      <c r="U1568">
        <v>-6</v>
      </c>
      <c r="V1568" s="1" t="s">
        <v>73</v>
      </c>
      <c r="W1568" s="1" t="s">
        <v>62</v>
      </c>
    </row>
    <row r="1569" spans="1:23" x14ac:dyDescent="0.35">
      <c r="A1569">
        <v>7427</v>
      </c>
      <c r="B1569" s="1" t="s">
        <v>3752</v>
      </c>
      <c r="C1569" s="2">
        <v>42546</v>
      </c>
      <c r="D1569" s="2">
        <v>42548</v>
      </c>
      <c r="E1569" s="1" t="s">
        <v>24</v>
      </c>
      <c r="F1569" s="1" t="s">
        <v>1173</v>
      </c>
      <c r="G1569" s="1" t="s">
        <v>1174</v>
      </c>
      <c r="H1569" s="1" t="s">
        <v>27</v>
      </c>
      <c r="I1569" s="1" t="s">
        <v>28</v>
      </c>
      <c r="J1569" s="1" t="s">
        <v>104</v>
      </c>
      <c r="K1569" s="1" t="s">
        <v>95</v>
      </c>
      <c r="L1569">
        <v>77070</v>
      </c>
      <c r="M1569" s="1" t="s">
        <v>96</v>
      </c>
      <c r="N1569" s="1" t="s">
        <v>2439</v>
      </c>
      <c r="O1569" s="1" t="s">
        <v>33</v>
      </c>
      <c r="P1569" s="1" t="s">
        <v>59</v>
      </c>
      <c r="Q1569" s="1" t="s">
        <v>2440</v>
      </c>
      <c r="R1569">
        <v>33</v>
      </c>
      <c r="S1569">
        <v>2</v>
      </c>
      <c r="T1569">
        <v>0.6</v>
      </c>
      <c r="U1569">
        <v>-26</v>
      </c>
      <c r="V1569" s="1" t="s">
        <v>73</v>
      </c>
      <c r="W1569" s="1" t="s">
        <v>62</v>
      </c>
    </row>
    <row r="1570" spans="1:23" x14ac:dyDescent="0.35">
      <c r="A1570">
        <v>7439</v>
      </c>
      <c r="B1570" s="1" t="s">
        <v>3753</v>
      </c>
      <c r="C1570" s="2">
        <v>42087</v>
      </c>
      <c r="D1570" s="2">
        <v>42090</v>
      </c>
      <c r="E1570" s="1" t="s">
        <v>24</v>
      </c>
      <c r="F1570" s="1" t="s">
        <v>2061</v>
      </c>
      <c r="G1570" s="1" t="s">
        <v>2062</v>
      </c>
      <c r="H1570" s="1" t="s">
        <v>93</v>
      </c>
      <c r="I1570" s="1" t="s">
        <v>28</v>
      </c>
      <c r="J1570" s="1" t="s">
        <v>3754</v>
      </c>
      <c r="K1570" s="1" t="s">
        <v>195</v>
      </c>
      <c r="L1570">
        <v>98042</v>
      </c>
      <c r="M1570" s="1" t="s">
        <v>57</v>
      </c>
      <c r="N1570" s="1" t="s">
        <v>2129</v>
      </c>
      <c r="O1570" s="1" t="s">
        <v>33</v>
      </c>
      <c r="P1570" s="1" t="s">
        <v>59</v>
      </c>
      <c r="Q1570" s="1" t="s">
        <v>2130</v>
      </c>
      <c r="R1570">
        <v>47</v>
      </c>
      <c r="S1570">
        <v>5</v>
      </c>
      <c r="T1570">
        <v>0</v>
      </c>
      <c r="U1570">
        <v>13</v>
      </c>
      <c r="V1570" s="1" t="s">
        <v>36</v>
      </c>
      <c r="W1570" s="1" t="s">
        <v>198</v>
      </c>
    </row>
    <row r="1571" spans="1:23" x14ac:dyDescent="0.35">
      <c r="A1571">
        <v>7441</v>
      </c>
      <c r="B1571" s="1" t="s">
        <v>3755</v>
      </c>
      <c r="C1571" s="2">
        <v>42980</v>
      </c>
      <c r="D1571" s="2">
        <v>42984</v>
      </c>
      <c r="E1571" s="1" t="s">
        <v>42</v>
      </c>
      <c r="F1571" s="1" t="s">
        <v>1509</v>
      </c>
      <c r="G1571" s="1" t="s">
        <v>1510</v>
      </c>
      <c r="H1571" s="1" t="s">
        <v>27</v>
      </c>
      <c r="I1571" s="1" t="s">
        <v>28</v>
      </c>
      <c r="J1571" s="1" t="s">
        <v>55</v>
      </c>
      <c r="K1571" s="1" t="s">
        <v>56</v>
      </c>
      <c r="L1571">
        <v>90049</v>
      </c>
      <c r="M1571" s="1" t="s">
        <v>57</v>
      </c>
      <c r="N1571" s="1" t="s">
        <v>1468</v>
      </c>
      <c r="O1571" s="1" t="s">
        <v>33</v>
      </c>
      <c r="P1571" s="1" t="s">
        <v>48</v>
      </c>
      <c r="Q1571" s="1" t="s">
        <v>1469</v>
      </c>
      <c r="R1571">
        <v>237</v>
      </c>
      <c r="S1571">
        <v>2</v>
      </c>
      <c r="T1571">
        <v>0.2</v>
      </c>
      <c r="U1571">
        <v>-3</v>
      </c>
      <c r="V1571" s="1" t="s">
        <v>86</v>
      </c>
      <c r="W1571" s="1" t="s">
        <v>80</v>
      </c>
    </row>
    <row r="1572" spans="1:23" x14ac:dyDescent="0.35">
      <c r="A1572">
        <v>7447</v>
      </c>
      <c r="B1572" s="1" t="s">
        <v>3756</v>
      </c>
      <c r="C1572" s="2">
        <v>42769</v>
      </c>
      <c r="D1572" s="2">
        <v>42773</v>
      </c>
      <c r="E1572" s="1" t="s">
        <v>24</v>
      </c>
      <c r="F1572" s="1" t="s">
        <v>2492</v>
      </c>
      <c r="G1572" s="1" t="s">
        <v>2493</v>
      </c>
      <c r="H1572" s="1" t="s">
        <v>103</v>
      </c>
      <c r="I1572" s="1" t="s">
        <v>28</v>
      </c>
      <c r="J1572" s="1" t="s">
        <v>136</v>
      </c>
      <c r="K1572" s="1" t="s">
        <v>137</v>
      </c>
      <c r="L1572">
        <v>60610</v>
      </c>
      <c r="M1572" s="1" t="s">
        <v>96</v>
      </c>
      <c r="N1572" s="1" t="s">
        <v>1787</v>
      </c>
      <c r="O1572" s="1" t="s">
        <v>33</v>
      </c>
      <c r="P1572" s="1" t="s">
        <v>59</v>
      </c>
      <c r="Q1572" s="1" t="s">
        <v>1788</v>
      </c>
      <c r="R1572">
        <v>22</v>
      </c>
      <c r="S1572">
        <v>1</v>
      </c>
      <c r="T1572">
        <v>0.6</v>
      </c>
      <c r="U1572">
        <v>-26</v>
      </c>
      <c r="V1572" s="1" t="s">
        <v>86</v>
      </c>
      <c r="W1572" s="1" t="s">
        <v>300</v>
      </c>
    </row>
    <row r="1573" spans="1:23" x14ac:dyDescent="0.35">
      <c r="A1573">
        <v>7449</v>
      </c>
      <c r="B1573" s="1" t="s">
        <v>3757</v>
      </c>
      <c r="C1573" s="2">
        <v>43050</v>
      </c>
      <c r="D1573" s="2">
        <v>43053</v>
      </c>
      <c r="E1573" s="1" t="s">
        <v>90</v>
      </c>
      <c r="F1573" s="1" t="s">
        <v>2110</v>
      </c>
      <c r="G1573" s="1" t="s">
        <v>2111</v>
      </c>
      <c r="H1573" s="1" t="s">
        <v>27</v>
      </c>
      <c r="I1573" s="1" t="s">
        <v>28</v>
      </c>
      <c r="J1573" s="1" t="s">
        <v>3127</v>
      </c>
      <c r="K1573" s="1" t="s">
        <v>144</v>
      </c>
      <c r="L1573">
        <v>37918</v>
      </c>
      <c r="M1573" s="1" t="s">
        <v>31</v>
      </c>
      <c r="N1573" s="1" t="s">
        <v>833</v>
      </c>
      <c r="O1573" s="1" t="s">
        <v>33</v>
      </c>
      <c r="P1573" s="1" t="s">
        <v>59</v>
      </c>
      <c r="Q1573" s="1" t="s">
        <v>834</v>
      </c>
      <c r="R1573">
        <v>89</v>
      </c>
      <c r="S1573">
        <v>5</v>
      </c>
      <c r="T1573">
        <v>0.2</v>
      </c>
      <c r="U1573">
        <v>14</v>
      </c>
      <c r="V1573" s="1" t="s">
        <v>36</v>
      </c>
      <c r="W1573" s="1" t="s">
        <v>37</v>
      </c>
    </row>
    <row r="1574" spans="1:23" x14ac:dyDescent="0.35">
      <c r="A1574">
        <v>7451</v>
      </c>
      <c r="B1574" s="1" t="s">
        <v>3758</v>
      </c>
      <c r="C1574" s="2">
        <v>42995</v>
      </c>
      <c r="D1574" s="2">
        <v>43000</v>
      </c>
      <c r="E1574" s="1" t="s">
        <v>24</v>
      </c>
      <c r="F1574" s="1" t="s">
        <v>1785</v>
      </c>
      <c r="G1574" s="1" t="s">
        <v>1786</v>
      </c>
      <c r="H1574" s="1" t="s">
        <v>103</v>
      </c>
      <c r="I1574" s="1" t="s">
        <v>28</v>
      </c>
      <c r="J1574" s="1" t="s">
        <v>104</v>
      </c>
      <c r="K1574" s="1" t="s">
        <v>95</v>
      </c>
      <c r="L1574">
        <v>77036</v>
      </c>
      <c r="M1574" s="1" t="s">
        <v>96</v>
      </c>
      <c r="N1574" s="1" t="s">
        <v>1620</v>
      </c>
      <c r="O1574" s="1" t="s">
        <v>33</v>
      </c>
      <c r="P1574" s="1" t="s">
        <v>39</v>
      </c>
      <c r="Q1574" s="1" t="s">
        <v>1621</v>
      </c>
      <c r="R1574">
        <v>318</v>
      </c>
      <c r="S1574">
        <v>5</v>
      </c>
      <c r="T1574">
        <v>0.3</v>
      </c>
      <c r="U1574">
        <v>-77</v>
      </c>
      <c r="V1574" s="1" t="s">
        <v>61</v>
      </c>
      <c r="W1574" s="1" t="s">
        <v>80</v>
      </c>
    </row>
    <row r="1575" spans="1:23" x14ac:dyDescent="0.35">
      <c r="A1575">
        <v>7459</v>
      </c>
      <c r="B1575" s="1" t="s">
        <v>3759</v>
      </c>
      <c r="C1575" s="2">
        <v>42110</v>
      </c>
      <c r="D1575" s="2">
        <v>42112</v>
      </c>
      <c r="E1575" s="1" t="s">
        <v>90</v>
      </c>
      <c r="F1575" s="1" t="s">
        <v>895</v>
      </c>
      <c r="G1575" s="1" t="s">
        <v>896</v>
      </c>
      <c r="H1575" s="1" t="s">
        <v>27</v>
      </c>
      <c r="I1575" s="1" t="s">
        <v>28</v>
      </c>
      <c r="J1575" s="1" t="s">
        <v>718</v>
      </c>
      <c r="K1575" s="1" t="s">
        <v>719</v>
      </c>
      <c r="L1575">
        <v>22980</v>
      </c>
      <c r="M1575" s="1" t="s">
        <v>31</v>
      </c>
      <c r="N1575" s="1" t="s">
        <v>1834</v>
      </c>
      <c r="O1575" s="1" t="s">
        <v>33</v>
      </c>
      <c r="P1575" s="1" t="s">
        <v>59</v>
      </c>
      <c r="Q1575" s="1" t="s">
        <v>1835</v>
      </c>
      <c r="R1575">
        <v>1197</v>
      </c>
      <c r="S1575">
        <v>7</v>
      </c>
      <c r="T1575">
        <v>0</v>
      </c>
      <c r="U1575">
        <v>120</v>
      </c>
      <c r="V1575" s="1" t="s">
        <v>73</v>
      </c>
      <c r="W1575" s="1" t="s">
        <v>116</v>
      </c>
    </row>
    <row r="1576" spans="1:23" x14ac:dyDescent="0.35">
      <c r="A1576">
        <v>7460</v>
      </c>
      <c r="B1576" s="1" t="s">
        <v>3759</v>
      </c>
      <c r="C1576" s="2">
        <v>42110</v>
      </c>
      <c r="D1576" s="2">
        <v>42112</v>
      </c>
      <c r="E1576" s="1" t="s">
        <v>90</v>
      </c>
      <c r="F1576" s="1" t="s">
        <v>895</v>
      </c>
      <c r="G1576" s="1" t="s">
        <v>896</v>
      </c>
      <c r="H1576" s="1" t="s">
        <v>27</v>
      </c>
      <c r="I1576" s="1" t="s">
        <v>28</v>
      </c>
      <c r="J1576" s="1" t="s">
        <v>718</v>
      </c>
      <c r="K1576" s="1" t="s">
        <v>719</v>
      </c>
      <c r="L1576">
        <v>22980</v>
      </c>
      <c r="M1576" s="1" t="s">
        <v>31</v>
      </c>
      <c r="N1576" s="1" t="s">
        <v>863</v>
      </c>
      <c r="O1576" s="1" t="s">
        <v>33</v>
      </c>
      <c r="P1576" s="1" t="s">
        <v>34</v>
      </c>
      <c r="Q1576" s="1" t="s">
        <v>864</v>
      </c>
      <c r="R1576">
        <v>523</v>
      </c>
      <c r="S1576">
        <v>9</v>
      </c>
      <c r="T1576">
        <v>0</v>
      </c>
      <c r="U1576">
        <v>126</v>
      </c>
      <c r="V1576" s="1" t="s">
        <v>73</v>
      </c>
      <c r="W1576" s="1" t="s">
        <v>116</v>
      </c>
    </row>
    <row r="1577" spans="1:23" x14ac:dyDescent="0.35">
      <c r="A1577">
        <v>7468</v>
      </c>
      <c r="B1577" s="1" t="s">
        <v>3760</v>
      </c>
      <c r="C1577" s="2">
        <v>43050</v>
      </c>
      <c r="D1577" s="2">
        <v>43054</v>
      </c>
      <c r="E1577" s="1" t="s">
        <v>24</v>
      </c>
      <c r="F1577" s="1" t="s">
        <v>3384</v>
      </c>
      <c r="G1577" s="1" t="s">
        <v>3385</v>
      </c>
      <c r="H1577" s="1" t="s">
        <v>103</v>
      </c>
      <c r="I1577" s="1" t="s">
        <v>28</v>
      </c>
      <c r="J1577" s="1" t="s">
        <v>55</v>
      </c>
      <c r="K1577" s="1" t="s">
        <v>56</v>
      </c>
      <c r="L1577">
        <v>90045</v>
      </c>
      <c r="M1577" s="1" t="s">
        <v>57</v>
      </c>
      <c r="N1577" s="1" t="s">
        <v>898</v>
      </c>
      <c r="O1577" s="1" t="s">
        <v>33</v>
      </c>
      <c r="P1577" s="1" t="s">
        <v>59</v>
      </c>
      <c r="Q1577" s="1" t="s">
        <v>899</v>
      </c>
      <c r="R1577">
        <v>35</v>
      </c>
      <c r="S1577">
        <v>4</v>
      </c>
      <c r="T1577">
        <v>0</v>
      </c>
      <c r="U1577">
        <v>12</v>
      </c>
      <c r="V1577" s="1" t="s">
        <v>86</v>
      </c>
      <c r="W1577" s="1" t="s">
        <v>37</v>
      </c>
    </row>
    <row r="1578" spans="1:23" x14ac:dyDescent="0.35">
      <c r="A1578">
        <v>7470</v>
      </c>
      <c r="B1578" s="1" t="s">
        <v>3761</v>
      </c>
      <c r="C1578" s="2">
        <v>41897</v>
      </c>
      <c r="D1578" s="2">
        <v>41902</v>
      </c>
      <c r="E1578" s="1" t="s">
        <v>42</v>
      </c>
      <c r="F1578" s="1" t="s">
        <v>3762</v>
      </c>
      <c r="G1578" s="1" t="s">
        <v>3763</v>
      </c>
      <c r="H1578" s="1" t="s">
        <v>27</v>
      </c>
      <c r="I1578" s="1" t="s">
        <v>28</v>
      </c>
      <c r="J1578" s="1" t="s">
        <v>176</v>
      </c>
      <c r="K1578" s="1" t="s">
        <v>123</v>
      </c>
      <c r="L1578">
        <v>10011</v>
      </c>
      <c r="M1578" s="1" t="s">
        <v>70</v>
      </c>
      <c r="N1578" s="1" t="s">
        <v>1351</v>
      </c>
      <c r="O1578" s="1" t="s">
        <v>33</v>
      </c>
      <c r="P1578" s="1" t="s">
        <v>59</v>
      </c>
      <c r="Q1578" s="1" t="s">
        <v>1352</v>
      </c>
      <c r="R1578">
        <v>15</v>
      </c>
      <c r="S1578">
        <v>2</v>
      </c>
      <c r="T1578">
        <v>0</v>
      </c>
      <c r="U1578">
        <v>6</v>
      </c>
      <c r="V1578" s="1" t="s">
        <v>61</v>
      </c>
      <c r="W1578" s="1" t="s">
        <v>80</v>
      </c>
    </row>
    <row r="1579" spans="1:23" x14ac:dyDescent="0.35">
      <c r="A1579">
        <v>7475</v>
      </c>
      <c r="B1579" s="1" t="s">
        <v>3764</v>
      </c>
      <c r="C1579" s="2">
        <v>41645</v>
      </c>
      <c r="D1579" s="2">
        <v>41649</v>
      </c>
      <c r="E1579" s="1" t="s">
        <v>42</v>
      </c>
      <c r="F1579" s="1" t="s">
        <v>1285</v>
      </c>
      <c r="G1579" s="1" t="s">
        <v>1286</v>
      </c>
      <c r="H1579" s="1" t="s">
        <v>103</v>
      </c>
      <c r="I1579" s="1" t="s">
        <v>28</v>
      </c>
      <c r="J1579" s="1" t="s">
        <v>29</v>
      </c>
      <c r="K1579" s="1" t="s">
        <v>30</v>
      </c>
      <c r="L1579">
        <v>42420</v>
      </c>
      <c r="M1579" s="1" t="s">
        <v>31</v>
      </c>
      <c r="N1579" s="1" t="s">
        <v>209</v>
      </c>
      <c r="O1579" s="1" t="s">
        <v>33</v>
      </c>
      <c r="P1579" s="1" t="s">
        <v>39</v>
      </c>
      <c r="Q1579" s="1" t="s">
        <v>210</v>
      </c>
      <c r="R1579">
        <v>2574</v>
      </c>
      <c r="S1579">
        <v>9</v>
      </c>
      <c r="T1579">
        <v>0</v>
      </c>
      <c r="U1579">
        <v>746</v>
      </c>
      <c r="V1579" s="1" t="s">
        <v>86</v>
      </c>
      <c r="W1579" s="1" t="s">
        <v>172</v>
      </c>
    </row>
    <row r="1580" spans="1:23" x14ac:dyDescent="0.35">
      <c r="A1580">
        <v>7484</v>
      </c>
      <c r="B1580" s="1" t="s">
        <v>3765</v>
      </c>
      <c r="C1580" s="2">
        <v>41988</v>
      </c>
      <c r="D1580" s="2">
        <v>41990</v>
      </c>
      <c r="E1580" s="1" t="s">
        <v>24</v>
      </c>
      <c r="F1580" s="1" t="s">
        <v>506</v>
      </c>
      <c r="G1580" s="1" t="s">
        <v>507</v>
      </c>
      <c r="H1580" s="1" t="s">
        <v>93</v>
      </c>
      <c r="I1580" s="1" t="s">
        <v>28</v>
      </c>
      <c r="J1580" s="1" t="s">
        <v>68</v>
      </c>
      <c r="K1580" s="1" t="s">
        <v>69</v>
      </c>
      <c r="L1580">
        <v>19140</v>
      </c>
      <c r="M1580" s="1" t="s">
        <v>70</v>
      </c>
      <c r="N1580" s="1" t="s">
        <v>1620</v>
      </c>
      <c r="O1580" s="1" t="s">
        <v>33</v>
      </c>
      <c r="P1580" s="1" t="s">
        <v>39</v>
      </c>
      <c r="Q1580" s="1" t="s">
        <v>1621</v>
      </c>
      <c r="R1580">
        <v>446</v>
      </c>
      <c r="S1580">
        <v>7</v>
      </c>
      <c r="T1580">
        <v>0.3</v>
      </c>
      <c r="U1580">
        <v>-108</v>
      </c>
      <c r="V1580" s="1" t="s">
        <v>73</v>
      </c>
      <c r="W1580" s="1" t="s">
        <v>99</v>
      </c>
    </row>
    <row r="1581" spans="1:23" x14ac:dyDescent="0.35">
      <c r="A1581">
        <v>7489</v>
      </c>
      <c r="B1581" s="1" t="s">
        <v>3766</v>
      </c>
      <c r="C1581" s="2">
        <v>42357</v>
      </c>
      <c r="D1581" s="2">
        <v>42362</v>
      </c>
      <c r="E1581" s="1" t="s">
        <v>24</v>
      </c>
      <c r="F1581" s="1" t="s">
        <v>892</v>
      </c>
      <c r="G1581" s="1" t="s">
        <v>893</v>
      </c>
      <c r="H1581" s="1" t="s">
        <v>103</v>
      </c>
      <c r="I1581" s="1" t="s">
        <v>28</v>
      </c>
      <c r="J1581" s="1" t="s">
        <v>744</v>
      </c>
      <c r="K1581" s="1" t="s">
        <v>887</v>
      </c>
      <c r="L1581">
        <v>3820</v>
      </c>
      <c r="M1581" s="1" t="s">
        <v>70</v>
      </c>
      <c r="N1581" s="1" t="s">
        <v>309</v>
      </c>
      <c r="O1581" s="1" t="s">
        <v>33</v>
      </c>
      <c r="P1581" s="1" t="s">
        <v>48</v>
      </c>
      <c r="Q1581" s="1" t="s">
        <v>310</v>
      </c>
      <c r="R1581">
        <v>1053</v>
      </c>
      <c r="S1581">
        <v>4</v>
      </c>
      <c r="T1581">
        <v>0.3</v>
      </c>
      <c r="U1581">
        <v>-105</v>
      </c>
      <c r="V1581" s="1" t="s">
        <v>61</v>
      </c>
      <c r="W1581" s="1" t="s">
        <v>99</v>
      </c>
    </row>
    <row r="1582" spans="1:23" x14ac:dyDescent="0.35">
      <c r="A1582">
        <v>7491</v>
      </c>
      <c r="B1582" s="1" t="s">
        <v>3767</v>
      </c>
      <c r="C1582" s="2">
        <v>42257</v>
      </c>
      <c r="D1582" s="2">
        <v>42263</v>
      </c>
      <c r="E1582" s="1" t="s">
        <v>42</v>
      </c>
      <c r="F1582" s="1" t="s">
        <v>1538</v>
      </c>
      <c r="G1582" s="1" t="s">
        <v>1539</v>
      </c>
      <c r="H1582" s="1" t="s">
        <v>93</v>
      </c>
      <c r="I1582" s="1" t="s">
        <v>28</v>
      </c>
      <c r="J1582" s="1" t="s">
        <v>55</v>
      </c>
      <c r="K1582" s="1" t="s">
        <v>56</v>
      </c>
      <c r="L1582">
        <v>90032</v>
      </c>
      <c r="M1582" s="1" t="s">
        <v>57</v>
      </c>
      <c r="N1582" s="1" t="s">
        <v>170</v>
      </c>
      <c r="O1582" s="1" t="s">
        <v>33</v>
      </c>
      <c r="P1582" s="1" t="s">
        <v>59</v>
      </c>
      <c r="Q1582" s="1" t="s">
        <v>171</v>
      </c>
      <c r="R1582">
        <v>107</v>
      </c>
      <c r="S1582">
        <v>6</v>
      </c>
      <c r="T1582">
        <v>0</v>
      </c>
      <c r="U1582">
        <v>33</v>
      </c>
      <c r="V1582" s="1" t="s">
        <v>132</v>
      </c>
      <c r="W1582" s="1" t="s">
        <v>80</v>
      </c>
    </row>
    <row r="1583" spans="1:23" x14ac:dyDescent="0.35">
      <c r="A1583">
        <v>7494</v>
      </c>
      <c r="B1583" s="1" t="s">
        <v>3768</v>
      </c>
      <c r="C1583" s="2">
        <v>42989</v>
      </c>
      <c r="D1583" s="2">
        <v>42994</v>
      </c>
      <c r="E1583" s="1" t="s">
        <v>42</v>
      </c>
      <c r="F1583" s="1" t="s">
        <v>3769</v>
      </c>
      <c r="G1583" s="1" t="s">
        <v>3770</v>
      </c>
      <c r="H1583" s="1" t="s">
        <v>27</v>
      </c>
      <c r="I1583" s="1" t="s">
        <v>28</v>
      </c>
      <c r="J1583" s="1" t="s">
        <v>104</v>
      </c>
      <c r="K1583" s="1" t="s">
        <v>95</v>
      </c>
      <c r="L1583">
        <v>77070</v>
      </c>
      <c r="M1583" s="1" t="s">
        <v>96</v>
      </c>
      <c r="N1583" s="1" t="s">
        <v>1630</v>
      </c>
      <c r="O1583" s="1" t="s">
        <v>33</v>
      </c>
      <c r="P1583" s="1" t="s">
        <v>48</v>
      </c>
      <c r="Q1583" s="1" t="s">
        <v>1631</v>
      </c>
      <c r="R1583">
        <v>512</v>
      </c>
      <c r="S1583">
        <v>5</v>
      </c>
      <c r="T1583">
        <v>0.3</v>
      </c>
      <c r="U1583">
        <v>-66</v>
      </c>
      <c r="V1583" s="1" t="s">
        <v>61</v>
      </c>
      <c r="W1583" s="1" t="s">
        <v>80</v>
      </c>
    </row>
    <row r="1584" spans="1:23" x14ac:dyDescent="0.35">
      <c r="A1584">
        <v>7497</v>
      </c>
      <c r="B1584" s="1" t="s">
        <v>3771</v>
      </c>
      <c r="C1584" s="2">
        <v>42930</v>
      </c>
      <c r="D1584" s="2">
        <v>42934</v>
      </c>
      <c r="E1584" s="1" t="s">
        <v>42</v>
      </c>
      <c r="F1584" s="1" t="s">
        <v>3772</v>
      </c>
      <c r="G1584" s="1" t="s">
        <v>3773</v>
      </c>
      <c r="H1584" s="1" t="s">
        <v>27</v>
      </c>
      <c r="I1584" s="1" t="s">
        <v>28</v>
      </c>
      <c r="J1584" s="1" t="s">
        <v>3774</v>
      </c>
      <c r="K1584" s="1" t="s">
        <v>56</v>
      </c>
      <c r="L1584">
        <v>92683</v>
      </c>
      <c r="M1584" s="1" t="s">
        <v>57</v>
      </c>
      <c r="N1584" s="1" t="s">
        <v>923</v>
      </c>
      <c r="O1584" s="1" t="s">
        <v>33</v>
      </c>
      <c r="P1584" s="1" t="s">
        <v>59</v>
      </c>
      <c r="Q1584" s="1" t="s">
        <v>924</v>
      </c>
      <c r="R1584">
        <v>277</v>
      </c>
      <c r="S1584">
        <v>3</v>
      </c>
      <c r="T1584">
        <v>0</v>
      </c>
      <c r="U1584">
        <v>50</v>
      </c>
      <c r="V1584" s="1" t="s">
        <v>86</v>
      </c>
      <c r="W1584" s="1" t="s">
        <v>74</v>
      </c>
    </row>
    <row r="1585" spans="1:23" x14ac:dyDescent="0.35">
      <c r="A1585">
        <v>7500</v>
      </c>
      <c r="B1585" s="1" t="s">
        <v>3771</v>
      </c>
      <c r="C1585" s="2">
        <v>42930</v>
      </c>
      <c r="D1585" s="2">
        <v>42934</v>
      </c>
      <c r="E1585" s="1" t="s">
        <v>42</v>
      </c>
      <c r="F1585" s="1" t="s">
        <v>3772</v>
      </c>
      <c r="G1585" s="1" t="s">
        <v>3773</v>
      </c>
      <c r="H1585" s="1" t="s">
        <v>27</v>
      </c>
      <c r="I1585" s="1" t="s">
        <v>28</v>
      </c>
      <c r="J1585" s="1" t="s">
        <v>3774</v>
      </c>
      <c r="K1585" s="1" t="s">
        <v>56</v>
      </c>
      <c r="L1585">
        <v>92683</v>
      </c>
      <c r="M1585" s="1" t="s">
        <v>57</v>
      </c>
      <c r="N1585" s="1" t="s">
        <v>274</v>
      </c>
      <c r="O1585" s="1" t="s">
        <v>33</v>
      </c>
      <c r="P1585" s="1" t="s">
        <v>59</v>
      </c>
      <c r="Q1585" s="1" t="s">
        <v>275</v>
      </c>
      <c r="R1585">
        <v>19</v>
      </c>
      <c r="S1585">
        <v>3</v>
      </c>
      <c r="T1585">
        <v>0</v>
      </c>
      <c r="U1585">
        <v>8</v>
      </c>
      <c r="V1585" s="1" t="s">
        <v>86</v>
      </c>
      <c r="W1585" s="1" t="s">
        <v>74</v>
      </c>
    </row>
    <row r="1586" spans="1:23" x14ac:dyDescent="0.35">
      <c r="A1586">
        <v>7512</v>
      </c>
      <c r="B1586" s="1" t="s">
        <v>3775</v>
      </c>
      <c r="C1586" s="2">
        <v>42930</v>
      </c>
      <c r="D1586" s="2">
        <v>42934</v>
      </c>
      <c r="E1586" s="1" t="s">
        <v>42</v>
      </c>
      <c r="F1586" s="1" t="s">
        <v>2811</v>
      </c>
      <c r="G1586" s="1" t="s">
        <v>2812</v>
      </c>
      <c r="H1586" s="1" t="s">
        <v>27</v>
      </c>
      <c r="I1586" s="1" t="s">
        <v>28</v>
      </c>
      <c r="J1586" s="1" t="s">
        <v>350</v>
      </c>
      <c r="K1586" s="1" t="s">
        <v>234</v>
      </c>
      <c r="L1586">
        <v>43229</v>
      </c>
      <c r="M1586" s="1" t="s">
        <v>70</v>
      </c>
      <c r="N1586" s="1" t="s">
        <v>1403</v>
      </c>
      <c r="O1586" s="1" t="s">
        <v>33</v>
      </c>
      <c r="P1586" s="1" t="s">
        <v>59</v>
      </c>
      <c r="Q1586" s="1" t="s">
        <v>1404</v>
      </c>
      <c r="R1586">
        <v>397</v>
      </c>
      <c r="S1586">
        <v>5</v>
      </c>
      <c r="T1586">
        <v>0.2</v>
      </c>
      <c r="U1586">
        <v>149</v>
      </c>
      <c r="V1586" s="1" t="s">
        <v>86</v>
      </c>
      <c r="W1586" s="1" t="s">
        <v>74</v>
      </c>
    </row>
    <row r="1587" spans="1:23" x14ac:dyDescent="0.35">
      <c r="A1587">
        <v>7524</v>
      </c>
      <c r="B1587" s="1" t="s">
        <v>3776</v>
      </c>
      <c r="C1587" s="2">
        <v>42618</v>
      </c>
      <c r="D1587" s="2">
        <v>42624</v>
      </c>
      <c r="E1587" s="1" t="s">
        <v>42</v>
      </c>
      <c r="F1587" s="1" t="s">
        <v>1386</v>
      </c>
      <c r="G1587" s="1" t="s">
        <v>1387</v>
      </c>
      <c r="H1587" s="1" t="s">
        <v>27</v>
      </c>
      <c r="I1587" s="1" t="s">
        <v>28</v>
      </c>
      <c r="J1587" s="1" t="s">
        <v>818</v>
      </c>
      <c r="K1587" s="1" t="s">
        <v>234</v>
      </c>
      <c r="L1587">
        <v>43130</v>
      </c>
      <c r="M1587" s="1" t="s">
        <v>70</v>
      </c>
      <c r="N1587" s="1" t="s">
        <v>301</v>
      </c>
      <c r="O1587" s="1" t="s">
        <v>33</v>
      </c>
      <c r="P1587" s="1" t="s">
        <v>39</v>
      </c>
      <c r="Q1587" s="1" t="s">
        <v>302</v>
      </c>
      <c r="R1587">
        <v>85</v>
      </c>
      <c r="S1587">
        <v>2</v>
      </c>
      <c r="T1587">
        <v>0.3</v>
      </c>
      <c r="U1587">
        <v>-1</v>
      </c>
      <c r="V1587" s="1" t="s">
        <v>132</v>
      </c>
      <c r="W1587" s="1" t="s">
        <v>80</v>
      </c>
    </row>
    <row r="1588" spans="1:23" x14ac:dyDescent="0.35">
      <c r="A1588">
        <v>7526</v>
      </c>
      <c r="B1588" s="1" t="s">
        <v>3777</v>
      </c>
      <c r="C1588" s="2">
        <v>41892</v>
      </c>
      <c r="D1588" s="2">
        <v>41898</v>
      </c>
      <c r="E1588" s="1" t="s">
        <v>42</v>
      </c>
      <c r="F1588" s="1" t="s">
        <v>2229</v>
      </c>
      <c r="G1588" s="1" t="s">
        <v>2230</v>
      </c>
      <c r="H1588" s="1" t="s">
        <v>27</v>
      </c>
      <c r="I1588" s="1" t="s">
        <v>28</v>
      </c>
      <c r="J1588" s="1" t="s">
        <v>2262</v>
      </c>
      <c r="K1588" s="1" t="s">
        <v>1520</v>
      </c>
      <c r="L1588">
        <v>97030</v>
      </c>
      <c r="M1588" s="1" t="s">
        <v>57</v>
      </c>
      <c r="N1588" s="1" t="s">
        <v>1098</v>
      </c>
      <c r="O1588" s="1" t="s">
        <v>33</v>
      </c>
      <c r="P1588" s="1" t="s">
        <v>39</v>
      </c>
      <c r="Q1588" s="1" t="s">
        <v>1099</v>
      </c>
      <c r="R1588">
        <v>1487</v>
      </c>
      <c r="S1588">
        <v>5</v>
      </c>
      <c r="T1588">
        <v>0.2</v>
      </c>
      <c r="U1588">
        <v>149</v>
      </c>
      <c r="V1588" s="1" t="s">
        <v>132</v>
      </c>
      <c r="W1588" s="1" t="s">
        <v>80</v>
      </c>
    </row>
    <row r="1589" spans="1:23" x14ac:dyDescent="0.35">
      <c r="A1589">
        <v>7528</v>
      </c>
      <c r="B1589" s="1" t="s">
        <v>3778</v>
      </c>
      <c r="C1589" s="2">
        <v>43004</v>
      </c>
      <c r="D1589" s="2">
        <v>43004</v>
      </c>
      <c r="E1589" s="1" t="s">
        <v>428</v>
      </c>
      <c r="F1589" s="1" t="s">
        <v>3325</v>
      </c>
      <c r="G1589" s="1" t="s">
        <v>3326</v>
      </c>
      <c r="H1589" s="1" t="s">
        <v>93</v>
      </c>
      <c r="I1589" s="1" t="s">
        <v>28</v>
      </c>
      <c r="J1589" s="1" t="s">
        <v>331</v>
      </c>
      <c r="K1589" s="1" t="s">
        <v>56</v>
      </c>
      <c r="L1589">
        <v>94109</v>
      </c>
      <c r="M1589" s="1" t="s">
        <v>57</v>
      </c>
      <c r="N1589" s="1" t="s">
        <v>2014</v>
      </c>
      <c r="O1589" s="1" t="s">
        <v>33</v>
      </c>
      <c r="P1589" s="1" t="s">
        <v>59</v>
      </c>
      <c r="Q1589" s="1" t="s">
        <v>2015</v>
      </c>
      <c r="R1589">
        <v>9</v>
      </c>
      <c r="S1589">
        <v>3</v>
      </c>
      <c r="T1589">
        <v>0</v>
      </c>
      <c r="U1589">
        <v>3</v>
      </c>
      <c r="V1589" s="1" t="s">
        <v>433</v>
      </c>
      <c r="W1589" s="1" t="s">
        <v>80</v>
      </c>
    </row>
    <row r="1590" spans="1:23" x14ac:dyDescent="0.35">
      <c r="A1590">
        <v>7532</v>
      </c>
      <c r="B1590" s="1" t="s">
        <v>3779</v>
      </c>
      <c r="C1590" s="2">
        <v>42538</v>
      </c>
      <c r="D1590" s="2">
        <v>42540</v>
      </c>
      <c r="E1590" s="1" t="s">
        <v>90</v>
      </c>
      <c r="F1590" s="1" t="s">
        <v>224</v>
      </c>
      <c r="G1590" s="1" t="s">
        <v>225</v>
      </c>
      <c r="H1590" s="1" t="s">
        <v>27</v>
      </c>
      <c r="I1590" s="1" t="s">
        <v>28</v>
      </c>
      <c r="J1590" s="1" t="s">
        <v>3780</v>
      </c>
      <c r="K1590" s="1" t="s">
        <v>183</v>
      </c>
      <c r="L1590">
        <v>80501</v>
      </c>
      <c r="M1590" s="1" t="s">
        <v>57</v>
      </c>
      <c r="N1590" s="1" t="s">
        <v>1856</v>
      </c>
      <c r="O1590" s="1" t="s">
        <v>33</v>
      </c>
      <c r="P1590" s="1" t="s">
        <v>59</v>
      </c>
      <c r="Q1590" s="1" t="s">
        <v>1857</v>
      </c>
      <c r="R1590">
        <v>266</v>
      </c>
      <c r="S1590">
        <v>3</v>
      </c>
      <c r="T1590">
        <v>0.2</v>
      </c>
      <c r="U1590">
        <v>-13</v>
      </c>
      <c r="V1590" s="1" t="s">
        <v>73</v>
      </c>
      <c r="W1590" s="1" t="s">
        <v>62</v>
      </c>
    </row>
    <row r="1591" spans="1:23" x14ac:dyDescent="0.35">
      <c r="A1591">
        <v>7533</v>
      </c>
      <c r="B1591" s="1" t="s">
        <v>3779</v>
      </c>
      <c r="C1591" s="2">
        <v>42538</v>
      </c>
      <c r="D1591" s="2">
        <v>42540</v>
      </c>
      <c r="E1591" s="1" t="s">
        <v>90</v>
      </c>
      <c r="F1591" s="1" t="s">
        <v>224</v>
      </c>
      <c r="G1591" s="1" t="s">
        <v>225</v>
      </c>
      <c r="H1591" s="1" t="s">
        <v>27</v>
      </c>
      <c r="I1591" s="1" t="s">
        <v>28</v>
      </c>
      <c r="J1591" s="1" t="s">
        <v>3780</v>
      </c>
      <c r="K1591" s="1" t="s">
        <v>183</v>
      </c>
      <c r="L1591">
        <v>80501</v>
      </c>
      <c r="M1591" s="1" t="s">
        <v>57</v>
      </c>
      <c r="N1591" s="1" t="s">
        <v>659</v>
      </c>
      <c r="O1591" s="1" t="s">
        <v>33</v>
      </c>
      <c r="P1591" s="1" t="s">
        <v>39</v>
      </c>
      <c r="Q1591" s="1" t="s">
        <v>660</v>
      </c>
      <c r="R1591">
        <v>483</v>
      </c>
      <c r="S1591">
        <v>4</v>
      </c>
      <c r="T1591">
        <v>0.2</v>
      </c>
      <c r="U1591">
        <v>54</v>
      </c>
      <c r="V1591" s="1" t="s">
        <v>73</v>
      </c>
      <c r="W1591" s="1" t="s">
        <v>62</v>
      </c>
    </row>
    <row r="1592" spans="1:23" x14ac:dyDescent="0.35">
      <c r="A1592">
        <v>7534</v>
      </c>
      <c r="B1592" s="1" t="s">
        <v>3781</v>
      </c>
      <c r="C1592" s="2">
        <v>42791</v>
      </c>
      <c r="D1592" s="2">
        <v>42795</v>
      </c>
      <c r="E1592" s="1" t="s">
        <v>42</v>
      </c>
      <c r="F1592" s="1" t="s">
        <v>3351</v>
      </c>
      <c r="G1592" s="1" t="s">
        <v>3352</v>
      </c>
      <c r="H1592" s="1" t="s">
        <v>27</v>
      </c>
      <c r="I1592" s="1" t="s">
        <v>28</v>
      </c>
      <c r="J1592" s="1" t="s">
        <v>3782</v>
      </c>
      <c r="K1592" s="1" t="s">
        <v>1039</v>
      </c>
      <c r="L1592">
        <v>27834</v>
      </c>
      <c r="M1592" s="1" t="s">
        <v>31</v>
      </c>
      <c r="N1592" s="1" t="s">
        <v>1031</v>
      </c>
      <c r="O1592" s="1" t="s">
        <v>33</v>
      </c>
      <c r="P1592" s="1" t="s">
        <v>39</v>
      </c>
      <c r="Q1592" s="1" t="s">
        <v>1032</v>
      </c>
      <c r="R1592">
        <v>197</v>
      </c>
      <c r="S1592">
        <v>2</v>
      </c>
      <c r="T1592">
        <v>0.2</v>
      </c>
      <c r="U1592">
        <v>-22</v>
      </c>
      <c r="V1592" s="1" t="s">
        <v>86</v>
      </c>
      <c r="W1592" s="1" t="s">
        <v>300</v>
      </c>
    </row>
    <row r="1593" spans="1:23" x14ac:dyDescent="0.35">
      <c r="A1593">
        <v>7535</v>
      </c>
      <c r="B1593" s="1" t="s">
        <v>3781</v>
      </c>
      <c r="C1593" s="2">
        <v>42791</v>
      </c>
      <c r="D1593" s="2">
        <v>42795</v>
      </c>
      <c r="E1593" s="1" t="s">
        <v>42</v>
      </c>
      <c r="F1593" s="1" t="s">
        <v>3351</v>
      </c>
      <c r="G1593" s="1" t="s">
        <v>3352</v>
      </c>
      <c r="H1593" s="1" t="s">
        <v>27</v>
      </c>
      <c r="I1593" s="1" t="s">
        <v>28</v>
      </c>
      <c r="J1593" s="1" t="s">
        <v>3782</v>
      </c>
      <c r="K1593" s="1" t="s">
        <v>1039</v>
      </c>
      <c r="L1593">
        <v>27834</v>
      </c>
      <c r="M1593" s="1" t="s">
        <v>31</v>
      </c>
      <c r="N1593" s="1" t="s">
        <v>351</v>
      </c>
      <c r="O1593" s="1" t="s">
        <v>33</v>
      </c>
      <c r="P1593" s="1" t="s">
        <v>34</v>
      </c>
      <c r="Q1593" s="1" t="s">
        <v>352</v>
      </c>
      <c r="R1593">
        <v>232</v>
      </c>
      <c r="S1593">
        <v>5</v>
      </c>
      <c r="T1593">
        <v>0.2</v>
      </c>
      <c r="U1593">
        <v>6</v>
      </c>
      <c r="V1593" s="1" t="s">
        <v>86</v>
      </c>
      <c r="W1593" s="1" t="s">
        <v>300</v>
      </c>
    </row>
    <row r="1594" spans="1:23" x14ac:dyDescent="0.35">
      <c r="A1594">
        <v>7537</v>
      </c>
      <c r="B1594" s="1" t="s">
        <v>3783</v>
      </c>
      <c r="C1594" s="2">
        <v>43072</v>
      </c>
      <c r="D1594" s="2">
        <v>43077</v>
      </c>
      <c r="E1594" s="1" t="s">
        <v>42</v>
      </c>
      <c r="F1594" s="1" t="s">
        <v>1794</v>
      </c>
      <c r="G1594" s="1" t="s">
        <v>1795</v>
      </c>
      <c r="H1594" s="1" t="s">
        <v>27</v>
      </c>
      <c r="I1594" s="1" t="s">
        <v>28</v>
      </c>
      <c r="J1594" s="1" t="s">
        <v>104</v>
      </c>
      <c r="K1594" s="1" t="s">
        <v>95</v>
      </c>
      <c r="L1594">
        <v>77041</v>
      </c>
      <c r="M1594" s="1" t="s">
        <v>96</v>
      </c>
      <c r="N1594" s="1" t="s">
        <v>3548</v>
      </c>
      <c r="O1594" s="1" t="s">
        <v>33</v>
      </c>
      <c r="P1594" s="1" t="s">
        <v>59</v>
      </c>
      <c r="Q1594" s="1" t="s">
        <v>3549</v>
      </c>
      <c r="R1594">
        <v>14</v>
      </c>
      <c r="S1594">
        <v>2</v>
      </c>
      <c r="T1594">
        <v>0.6</v>
      </c>
      <c r="U1594">
        <v>-14</v>
      </c>
      <c r="V1594" s="1" t="s">
        <v>61</v>
      </c>
      <c r="W1594" s="1" t="s">
        <v>99</v>
      </c>
    </row>
    <row r="1595" spans="1:23" x14ac:dyDescent="0.35">
      <c r="A1595">
        <v>7541</v>
      </c>
      <c r="B1595" s="1" t="s">
        <v>3784</v>
      </c>
      <c r="C1595" s="2">
        <v>43071</v>
      </c>
      <c r="D1595" s="2">
        <v>43075</v>
      </c>
      <c r="E1595" s="1" t="s">
        <v>42</v>
      </c>
      <c r="F1595" s="1" t="s">
        <v>3785</v>
      </c>
      <c r="G1595" s="1" t="s">
        <v>3786</v>
      </c>
      <c r="H1595" s="1" t="s">
        <v>93</v>
      </c>
      <c r="I1595" s="1" t="s">
        <v>28</v>
      </c>
      <c r="J1595" s="1" t="s">
        <v>268</v>
      </c>
      <c r="K1595" s="1" t="s">
        <v>183</v>
      </c>
      <c r="L1595">
        <v>80219</v>
      </c>
      <c r="M1595" s="1" t="s">
        <v>57</v>
      </c>
      <c r="N1595" s="1" t="s">
        <v>2818</v>
      </c>
      <c r="O1595" s="1" t="s">
        <v>33</v>
      </c>
      <c r="P1595" s="1" t="s">
        <v>34</v>
      </c>
      <c r="Q1595" s="1" t="s">
        <v>2819</v>
      </c>
      <c r="R1595">
        <v>242</v>
      </c>
      <c r="S1595">
        <v>8</v>
      </c>
      <c r="T1595">
        <v>0.7</v>
      </c>
      <c r="U1595">
        <v>-364</v>
      </c>
      <c r="V1595" s="1" t="s">
        <v>86</v>
      </c>
      <c r="W1595" s="1" t="s">
        <v>99</v>
      </c>
    </row>
    <row r="1596" spans="1:23" x14ac:dyDescent="0.35">
      <c r="A1596">
        <v>7543</v>
      </c>
      <c r="B1596" s="1" t="s">
        <v>3784</v>
      </c>
      <c r="C1596" s="2">
        <v>43071</v>
      </c>
      <c r="D1596" s="2">
        <v>43075</v>
      </c>
      <c r="E1596" s="1" t="s">
        <v>42</v>
      </c>
      <c r="F1596" s="1" t="s">
        <v>3785</v>
      </c>
      <c r="G1596" s="1" t="s">
        <v>3786</v>
      </c>
      <c r="H1596" s="1" t="s">
        <v>93</v>
      </c>
      <c r="I1596" s="1" t="s">
        <v>28</v>
      </c>
      <c r="J1596" s="1" t="s">
        <v>268</v>
      </c>
      <c r="K1596" s="1" t="s">
        <v>183</v>
      </c>
      <c r="L1596">
        <v>80219</v>
      </c>
      <c r="M1596" s="1" t="s">
        <v>57</v>
      </c>
      <c r="N1596" s="1" t="s">
        <v>1394</v>
      </c>
      <c r="O1596" s="1" t="s">
        <v>33</v>
      </c>
      <c r="P1596" s="1" t="s">
        <v>59</v>
      </c>
      <c r="Q1596" s="1" t="s">
        <v>1395</v>
      </c>
      <c r="R1596">
        <v>509</v>
      </c>
      <c r="S1596">
        <v>6</v>
      </c>
      <c r="T1596">
        <v>0.2</v>
      </c>
      <c r="U1596">
        <v>0</v>
      </c>
      <c r="V1596" s="1" t="s">
        <v>86</v>
      </c>
      <c r="W1596" s="1" t="s">
        <v>99</v>
      </c>
    </row>
    <row r="1597" spans="1:23" x14ac:dyDescent="0.35">
      <c r="A1597">
        <v>7545</v>
      </c>
      <c r="B1597" s="1" t="s">
        <v>3784</v>
      </c>
      <c r="C1597" s="2">
        <v>43071</v>
      </c>
      <c r="D1597" s="2">
        <v>43075</v>
      </c>
      <c r="E1597" s="1" t="s">
        <v>42</v>
      </c>
      <c r="F1597" s="1" t="s">
        <v>3785</v>
      </c>
      <c r="G1597" s="1" t="s">
        <v>3786</v>
      </c>
      <c r="H1597" s="1" t="s">
        <v>93</v>
      </c>
      <c r="I1597" s="1" t="s">
        <v>28</v>
      </c>
      <c r="J1597" s="1" t="s">
        <v>268</v>
      </c>
      <c r="K1597" s="1" t="s">
        <v>183</v>
      </c>
      <c r="L1597">
        <v>80219</v>
      </c>
      <c r="M1597" s="1" t="s">
        <v>57</v>
      </c>
      <c r="N1597" s="1" t="s">
        <v>808</v>
      </c>
      <c r="O1597" s="1" t="s">
        <v>33</v>
      </c>
      <c r="P1597" s="1" t="s">
        <v>39</v>
      </c>
      <c r="Q1597" s="1" t="s">
        <v>809</v>
      </c>
      <c r="R1597">
        <v>907</v>
      </c>
      <c r="S1597">
        <v>5</v>
      </c>
      <c r="T1597">
        <v>0.2</v>
      </c>
      <c r="U1597">
        <v>68</v>
      </c>
      <c r="V1597" s="1" t="s">
        <v>86</v>
      </c>
      <c r="W1597" s="1" t="s">
        <v>99</v>
      </c>
    </row>
    <row r="1598" spans="1:23" x14ac:dyDescent="0.35">
      <c r="A1598">
        <v>7550</v>
      </c>
      <c r="B1598" s="1" t="s">
        <v>3787</v>
      </c>
      <c r="C1598" s="2">
        <v>42618</v>
      </c>
      <c r="D1598" s="2">
        <v>42620</v>
      </c>
      <c r="E1598" s="1" t="s">
        <v>90</v>
      </c>
      <c r="F1598" s="1" t="s">
        <v>1826</v>
      </c>
      <c r="G1598" s="1" t="s">
        <v>1827</v>
      </c>
      <c r="H1598" s="1" t="s">
        <v>93</v>
      </c>
      <c r="I1598" s="1" t="s">
        <v>28</v>
      </c>
      <c r="J1598" s="1" t="s">
        <v>104</v>
      </c>
      <c r="K1598" s="1" t="s">
        <v>95</v>
      </c>
      <c r="L1598">
        <v>77036</v>
      </c>
      <c r="M1598" s="1" t="s">
        <v>96</v>
      </c>
      <c r="N1598" s="1" t="s">
        <v>1992</v>
      </c>
      <c r="O1598" s="1" t="s">
        <v>33</v>
      </c>
      <c r="P1598" s="1" t="s">
        <v>59</v>
      </c>
      <c r="Q1598" s="1" t="s">
        <v>1993</v>
      </c>
      <c r="R1598">
        <v>21</v>
      </c>
      <c r="S1598">
        <v>3</v>
      </c>
      <c r="T1598">
        <v>0.6</v>
      </c>
      <c r="U1598">
        <v>-12</v>
      </c>
      <c r="V1598" s="1" t="s">
        <v>73</v>
      </c>
      <c r="W1598" s="1" t="s">
        <v>80</v>
      </c>
    </row>
    <row r="1599" spans="1:23" x14ac:dyDescent="0.35">
      <c r="A1599">
        <v>7555</v>
      </c>
      <c r="B1599" s="1" t="s">
        <v>3788</v>
      </c>
      <c r="C1599" s="2">
        <v>41769</v>
      </c>
      <c r="D1599" s="2">
        <v>41773</v>
      </c>
      <c r="E1599" s="1" t="s">
        <v>24</v>
      </c>
      <c r="F1599" s="1" t="s">
        <v>866</v>
      </c>
      <c r="G1599" s="1" t="s">
        <v>867</v>
      </c>
      <c r="H1599" s="1" t="s">
        <v>27</v>
      </c>
      <c r="I1599" s="1" t="s">
        <v>28</v>
      </c>
      <c r="J1599" s="1" t="s">
        <v>68</v>
      </c>
      <c r="K1599" s="1" t="s">
        <v>69</v>
      </c>
      <c r="L1599">
        <v>19134</v>
      </c>
      <c r="M1599" s="1" t="s">
        <v>70</v>
      </c>
      <c r="N1599" s="1" t="s">
        <v>1139</v>
      </c>
      <c r="O1599" s="1" t="s">
        <v>33</v>
      </c>
      <c r="P1599" s="1" t="s">
        <v>34</v>
      </c>
      <c r="Q1599" s="1" t="s">
        <v>1140</v>
      </c>
      <c r="R1599">
        <v>350</v>
      </c>
      <c r="S1599">
        <v>7</v>
      </c>
      <c r="T1599">
        <v>0.5</v>
      </c>
      <c r="U1599">
        <v>-217</v>
      </c>
      <c r="V1599" s="1" t="s">
        <v>86</v>
      </c>
      <c r="W1599" s="1" t="s">
        <v>164</v>
      </c>
    </row>
    <row r="1600" spans="1:23" x14ac:dyDescent="0.35">
      <c r="A1600">
        <v>7561</v>
      </c>
      <c r="B1600" s="1" t="s">
        <v>3789</v>
      </c>
      <c r="C1600" s="2">
        <v>41944</v>
      </c>
      <c r="D1600" s="2">
        <v>41948</v>
      </c>
      <c r="E1600" s="1" t="s">
        <v>42</v>
      </c>
      <c r="F1600" s="1" t="s">
        <v>936</v>
      </c>
      <c r="G1600" s="1" t="s">
        <v>937</v>
      </c>
      <c r="H1600" s="1" t="s">
        <v>27</v>
      </c>
      <c r="I1600" s="1" t="s">
        <v>28</v>
      </c>
      <c r="J1600" s="1" t="s">
        <v>733</v>
      </c>
      <c r="K1600" s="1" t="s">
        <v>123</v>
      </c>
      <c r="L1600">
        <v>11561</v>
      </c>
      <c r="M1600" s="1" t="s">
        <v>70</v>
      </c>
      <c r="N1600" s="1" t="s">
        <v>1661</v>
      </c>
      <c r="O1600" s="1" t="s">
        <v>33</v>
      </c>
      <c r="P1600" s="1" t="s">
        <v>59</v>
      </c>
      <c r="Q1600" s="1" t="s">
        <v>1662</v>
      </c>
      <c r="R1600">
        <v>32</v>
      </c>
      <c r="S1600">
        <v>6</v>
      </c>
      <c r="T1600">
        <v>0</v>
      </c>
      <c r="U1600">
        <v>10</v>
      </c>
      <c r="V1600" s="1" t="s">
        <v>86</v>
      </c>
      <c r="W1600" s="1" t="s">
        <v>37</v>
      </c>
    </row>
    <row r="1601" spans="1:23" x14ac:dyDescent="0.35">
      <c r="A1601">
        <v>7562</v>
      </c>
      <c r="B1601" s="1" t="s">
        <v>3790</v>
      </c>
      <c r="C1601" s="2">
        <v>42734</v>
      </c>
      <c r="D1601" s="2">
        <v>42736</v>
      </c>
      <c r="E1601" s="1" t="s">
        <v>90</v>
      </c>
      <c r="F1601" s="1" t="s">
        <v>1063</v>
      </c>
      <c r="G1601" s="1" t="s">
        <v>1064</v>
      </c>
      <c r="H1601" s="1" t="s">
        <v>27</v>
      </c>
      <c r="I1601" s="1" t="s">
        <v>28</v>
      </c>
      <c r="J1601" s="1" t="s">
        <v>818</v>
      </c>
      <c r="K1601" s="1" t="s">
        <v>69</v>
      </c>
      <c r="L1601">
        <v>17602</v>
      </c>
      <c r="M1601" s="1" t="s">
        <v>70</v>
      </c>
      <c r="N1601" s="1" t="s">
        <v>38</v>
      </c>
      <c r="O1601" s="1" t="s">
        <v>33</v>
      </c>
      <c r="P1601" s="1" t="s">
        <v>39</v>
      </c>
      <c r="Q1601" s="1" t="s">
        <v>40</v>
      </c>
      <c r="R1601">
        <v>171</v>
      </c>
      <c r="S1601">
        <v>1</v>
      </c>
      <c r="T1601">
        <v>0.3</v>
      </c>
      <c r="U1601">
        <v>0</v>
      </c>
      <c r="V1601" s="1" t="s">
        <v>73</v>
      </c>
      <c r="W1601" s="1" t="s">
        <v>99</v>
      </c>
    </row>
    <row r="1602" spans="1:23" x14ac:dyDescent="0.35">
      <c r="A1602">
        <v>7563</v>
      </c>
      <c r="B1602" s="1" t="s">
        <v>3791</v>
      </c>
      <c r="C1602" s="2">
        <v>42616</v>
      </c>
      <c r="D1602" s="2">
        <v>42620</v>
      </c>
      <c r="E1602" s="1" t="s">
        <v>42</v>
      </c>
      <c r="F1602" s="1" t="s">
        <v>3792</v>
      </c>
      <c r="G1602" s="1" t="s">
        <v>3793</v>
      </c>
      <c r="H1602" s="1" t="s">
        <v>27</v>
      </c>
      <c r="I1602" s="1" t="s">
        <v>28</v>
      </c>
      <c r="J1602" s="1" t="s">
        <v>136</v>
      </c>
      <c r="K1602" s="1" t="s">
        <v>137</v>
      </c>
      <c r="L1602">
        <v>60610</v>
      </c>
      <c r="M1602" s="1" t="s">
        <v>96</v>
      </c>
      <c r="N1602" s="1" t="s">
        <v>2746</v>
      </c>
      <c r="O1602" s="1" t="s">
        <v>33</v>
      </c>
      <c r="P1602" s="1" t="s">
        <v>34</v>
      </c>
      <c r="Q1602" s="1" t="s">
        <v>2747</v>
      </c>
      <c r="R1602">
        <v>199</v>
      </c>
      <c r="S1602">
        <v>4</v>
      </c>
      <c r="T1602">
        <v>0.3</v>
      </c>
      <c r="U1602">
        <v>0</v>
      </c>
      <c r="V1602" s="1" t="s">
        <v>86</v>
      </c>
      <c r="W1602" s="1" t="s">
        <v>80</v>
      </c>
    </row>
    <row r="1603" spans="1:23" x14ac:dyDescent="0.35">
      <c r="A1603">
        <v>7565</v>
      </c>
      <c r="B1603" s="1" t="s">
        <v>3794</v>
      </c>
      <c r="C1603" s="2">
        <v>42399</v>
      </c>
      <c r="D1603" s="2">
        <v>42401</v>
      </c>
      <c r="E1603" s="1" t="s">
        <v>24</v>
      </c>
      <c r="F1603" s="1" t="s">
        <v>3795</v>
      </c>
      <c r="G1603" s="1" t="s">
        <v>3796</v>
      </c>
      <c r="H1603" s="1" t="s">
        <v>27</v>
      </c>
      <c r="I1603" s="1" t="s">
        <v>28</v>
      </c>
      <c r="J1603" s="1" t="s">
        <v>194</v>
      </c>
      <c r="K1603" s="1" t="s">
        <v>195</v>
      </c>
      <c r="L1603">
        <v>98103</v>
      </c>
      <c r="M1603" s="1" t="s">
        <v>57</v>
      </c>
      <c r="N1603" s="1" t="s">
        <v>1921</v>
      </c>
      <c r="O1603" s="1" t="s">
        <v>33</v>
      </c>
      <c r="P1603" s="1" t="s">
        <v>39</v>
      </c>
      <c r="Q1603" s="1" t="s">
        <v>1922</v>
      </c>
      <c r="R1603">
        <v>435</v>
      </c>
      <c r="S1603">
        <v>4</v>
      </c>
      <c r="T1603">
        <v>0.2</v>
      </c>
      <c r="U1603">
        <v>-60</v>
      </c>
      <c r="V1603" s="1" t="s">
        <v>73</v>
      </c>
      <c r="W1603" s="1" t="s">
        <v>172</v>
      </c>
    </row>
    <row r="1604" spans="1:23" x14ac:dyDescent="0.35">
      <c r="A1604">
        <v>7566</v>
      </c>
      <c r="B1604" s="1" t="s">
        <v>3794</v>
      </c>
      <c r="C1604" s="2">
        <v>42399</v>
      </c>
      <c r="D1604" s="2">
        <v>42401</v>
      </c>
      <c r="E1604" s="1" t="s">
        <v>24</v>
      </c>
      <c r="F1604" s="1" t="s">
        <v>3795</v>
      </c>
      <c r="G1604" s="1" t="s">
        <v>3796</v>
      </c>
      <c r="H1604" s="1" t="s">
        <v>27</v>
      </c>
      <c r="I1604" s="1" t="s">
        <v>28</v>
      </c>
      <c r="J1604" s="1" t="s">
        <v>194</v>
      </c>
      <c r="K1604" s="1" t="s">
        <v>195</v>
      </c>
      <c r="L1604">
        <v>98103</v>
      </c>
      <c r="M1604" s="1" t="s">
        <v>57</v>
      </c>
      <c r="N1604" s="1" t="s">
        <v>1606</v>
      </c>
      <c r="O1604" s="1" t="s">
        <v>33</v>
      </c>
      <c r="P1604" s="1" t="s">
        <v>34</v>
      </c>
      <c r="Q1604" s="1" t="s">
        <v>1607</v>
      </c>
      <c r="R1604">
        <v>49</v>
      </c>
      <c r="S1604">
        <v>1</v>
      </c>
      <c r="T1604">
        <v>0</v>
      </c>
      <c r="U1604">
        <v>8</v>
      </c>
      <c r="V1604" s="1" t="s">
        <v>73</v>
      </c>
      <c r="W1604" s="1" t="s">
        <v>172</v>
      </c>
    </row>
    <row r="1605" spans="1:23" x14ac:dyDescent="0.35">
      <c r="A1605">
        <v>7573</v>
      </c>
      <c r="B1605" s="1" t="s">
        <v>3797</v>
      </c>
      <c r="C1605" s="2">
        <v>41933</v>
      </c>
      <c r="D1605" s="2">
        <v>41938</v>
      </c>
      <c r="E1605" s="1" t="s">
        <v>42</v>
      </c>
      <c r="F1605" s="1" t="s">
        <v>1548</v>
      </c>
      <c r="G1605" s="1" t="s">
        <v>1549</v>
      </c>
      <c r="H1605" s="1" t="s">
        <v>93</v>
      </c>
      <c r="I1605" s="1" t="s">
        <v>28</v>
      </c>
      <c r="J1605" s="1" t="s">
        <v>3798</v>
      </c>
      <c r="K1605" s="1" t="s">
        <v>719</v>
      </c>
      <c r="L1605">
        <v>23602</v>
      </c>
      <c r="M1605" s="1" t="s">
        <v>31</v>
      </c>
      <c r="N1605" s="1" t="s">
        <v>1468</v>
      </c>
      <c r="O1605" s="1" t="s">
        <v>33</v>
      </c>
      <c r="P1605" s="1" t="s">
        <v>48</v>
      </c>
      <c r="Q1605" s="1" t="s">
        <v>1469</v>
      </c>
      <c r="R1605">
        <v>591</v>
      </c>
      <c r="S1605">
        <v>4</v>
      </c>
      <c r="T1605">
        <v>0</v>
      </c>
      <c r="U1605">
        <v>112</v>
      </c>
      <c r="V1605" s="1" t="s">
        <v>61</v>
      </c>
      <c r="W1605" s="1" t="s">
        <v>51</v>
      </c>
    </row>
    <row r="1606" spans="1:23" x14ac:dyDescent="0.35">
      <c r="A1606">
        <v>7579</v>
      </c>
      <c r="B1606" s="1" t="s">
        <v>3799</v>
      </c>
      <c r="C1606" s="2">
        <v>42722</v>
      </c>
      <c r="D1606" s="2">
        <v>42725</v>
      </c>
      <c r="E1606" s="1" t="s">
        <v>90</v>
      </c>
      <c r="F1606" s="1" t="s">
        <v>174</v>
      </c>
      <c r="G1606" s="1" t="s">
        <v>175</v>
      </c>
      <c r="H1606" s="1" t="s">
        <v>103</v>
      </c>
      <c r="I1606" s="1" t="s">
        <v>28</v>
      </c>
      <c r="J1606" s="1" t="s">
        <v>843</v>
      </c>
      <c r="K1606" s="1" t="s">
        <v>844</v>
      </c>
      <c r="L1606">
        <v>68104</v>
      </c>
      <c r="M1606" s="1" t="s">
        <v>96</v>
      </c>
      <c r="N1606" s="1" t="s">
        <v>628</v>
      </c>
      <c r="O1606" s="1" t="s">
        <v>33</v>
      </c>
      <c r="P1606" s="1" t="s">
        <v>39</v>
      </c>
      <c r="Q1606" s="1" t="s">
        <v>629</v>
      </c>
      <c r="R1606">
        <v>564</v>
      </c>
      <c r="S1606">
        <v>3</v>
      </c>
      <c r="T1606">
        <v>0</v>
      </c>
      <c r="U1606">
        <v>113</v>
      </c>
      <c r="V1606" s="1" t="s">
        <v>36</v>
      </c>
      <c r="W1606" s="1" t="s">
        <v>99</v>
      </c>
    </row>
    <row r="1607" spans="1:23" x14ac:dyDescent="0.35">
      <c r="A1607">
        <v>7583</v>
      </c>
      <c r="B1607" s="1" t="s">
        <v>3800</v>
      </c>
      <c r="C1607" s="2">
        <v>42110</v>
      </c>
      <c r="D1607" s="2">
        <v>42115</v>
      </c>
      <c r="E1607" s="1" t="s">
        <v>42</v>
      </c>
      <c r="F1607" s="1" t="s">
        <v>2127</v>
      </c>
      <c r="G1607" s="1" t="s">
        <v>2128</v>
      </c>
      <c r="H1607" s="1" t="s">
        <v>93</v>
      </c>
      <c r="I1607" s="1" t="s">
        <v>28</v>
      </c>
      <c r="J1607" s="1" t="s">
        <v>176</v>
      </c>
      <c r="K1607" s="1" t="s">
        <v>123</v>
      </c>
      <c r="L1607">
        <v>10024</v>
      </c>
      <c r="M1607" s="1" t="s">
        <v>70</v>
      </c>
      <c r="N1607" s="1" t="s">
        <v>124</v>
      </c>
      <c r="O1607" s="1" t="s">
        <v>33</v>
      </c>
      <c r="P1607" s="1" t="s">
        <v>39</v>
      </c>
      <c r="Q1607" s="1" t="s">
        <v>125</v>
      </c>
      <c r="R1607">
        <v>128</v>
      </c>
      <c r="S1607">
        <v>2</v>
      </c>
      <c r="T1607">
        <v>0.1</v>
      </c>
      <c r="U1607">
        <v>3</v>
      </c>
      <c r="V1607" s="1" t="s">
        <v>61</v>
      </c>
      <c r="W1607" s="1" t="s">
        <v>116</v>
      </c>
    </row>
    <row r="1608" spans="1:23" x14ac:dyDescent="0.35">
      <c r="A1608">
        <v>7589</v>
      </c>
      <c r="B1608" s="1" t="s">
        <v>3801</v>
      </c>
      <c r="C1608" s="2">
        <v>43055</v>
      </c>
      <c r="D1608" s="2">
        <v>43061</v>
      </c>
      <c r="E1608" s="1" t="s">
        <v>42</v>
      </c>
      <c r="F1608" s="1" t="s">
        <v>1296</v>
      </c>
      <c r="G1608" s="1" t="s">
        <v>1297</v>
      </c>
      <c r="H1608" s="1" t="s">
        <v>27</v>
      </c>
      <c r="I1608" s="1" t="s">
        <v>28</v>
      </c>
      <c r="J1608" s="1" t="s">
        <v>226</v>
      </c>
      <c r="K1608" s="1" t="s">
        <v>56</v>
      </c>
      <c r="L1608">
        <v>95661</v>
      </c>
      <c r="M1608" s="1" t="s">
        <v>57</v>
      </c>
      <c r="N1608" s="1" t="s">
        <v>1499</v>
      </c>
      <c r="O1608" s="1" t="s">
        <v>33</v>
      </c>
      <c r="P1608" s="1" t="s">
        <v>59</v>
      </c>
      <c r="Q1608" s="1" t="s">
        <v>1500</v>
      </c>
      <c r="R1608">
        <v>17</v>
      </c>
      <c r="S1608">
        <v>3</v>
      </c>
      <c r="T1608">
        <v>0</v>
      </c>
      <c r="U1608">
        <v>5</v>
      </c>
      <c r="V1608" s="1" t="s">
        <v>132</v>
      </c>
      <c r="W1608" s="1" t="s">
        <v>37</v>
      </c>
    </row>
    <row r="1609" spans="1:23" x14ac:dyDescent="0.35">
      <c r="A1609">
        <v>7591</v>
      </c>
      <c r="B1609" s="1" t="s">
        <v>3802</v>
      </c>
      <c r="C1609" s="2">
        <v>42618</v>
      </c>
      <c r="D1609" s="2">
        <v>42622</v>
      </c>
      <c r="E1609" s="1" t="s">
        <v>42</v>
      </c>
      <c r="F1609" s="1" t="s">
        <v>3173</v>
      </c>
      <c r="G1609" s="1" t="s">
        <v>3174</v>
      </c>
      <c r="H1609" s="1" t="s">
        <v>27</v>
      </c>
      <c r="I1609" s="1" t="s">
        <v>28</v>
      </c>
      <c r="J1609" s="1" t="s">
        <v>68</v>
      </c>
      <c r="K1609" s="1" t="s">
        <v>69</v>
      </c>
      <c r="L1609">
        <v>19134</v>
      </c>
      <c r="M1609" s="1" t="s">
        <v>70</v>
      </c>
      <c r="N1609" s="1" t="s">
        <v>152</v>
      </c>
      <c r="O1609" s="1" t="s">
        <v>33</v>
      </c>
      <c r="P1609" s="1" t="s">
        <v>59</v>
      </c>
      <c r="Q1609" s="1" t="s">
        <v>153</v>
      </c>
      <c r="R1609">
        <v>58</v>
      </c>
      <c r="S1609">
        <v>9</v>
      </c>
      <c r="T1609">
        <v>0.2</v>
      </c>
      <c r="U1609">
        <v>12</v>
      </c>
      <c r="V1609" s="1" t="s">
        <v>86</v>
      </c>
      <c r="W1609" s="1" t="s">
        <v>80</v>
      </c>
    </row>
    <row r="1610" spans="1:23" x14ac:dyDescent="0.35">
      <c r="A1610">
        <v>7592</v>
      </c>
      <c r="B1610" s="1" t="s">
        <v>3802</v>
      </c>
      <c r="C1610" s="2">
        <v>42618</v>
      </c>
      <c r="D1610" s="2">
        <v>42622</v>
      </c>
      <c r="E1610" s="1" t="s">
        <v>42</v>
      </c>
      <c r="F1610" s="1" t="s">
        <v>3173</v>
      </c>
      <c r="G1610" s="1" t="s">
        <v>3174</v>
      </c>
      <c r="H1610" s="1" t="s">
        <v>27</v>
      </c>
      <c r="I1610" s="1" t="s">
        <v>28</v>
      </c>
      <c r="J1610" s="1" t="s">
        <v>68</v>
      </c>
      <c r="K1610" s="1" t="s">
        <v>69</v>
      </c>
      <c r="L1610">
        <v>19134</v>
      </c>
      <c r="M1610" s="1" t="s">
        <v>70</v>
      </c>
      <c r="N1610" s="1" t="s">
        <v>138</v>
      </c>
      <c r="O1610" s="1" t="s">
        <v>33</v>
      </c>
      <c r="P1610" s="1" t="s">
        <v>39</v>
      </c>
      <c r="Q1610" s="1" t="s">
        <v>220</v>
      </c>
      <c r="R1610">
        <v>71</v>
      </c>
      <c r="S1610">
        <v>2</v>
      </c>
      <c r="T1610">
        <v>0.3</v>
      </c>
      <c r="U1610">
        <v>-19</v>
      </c>
      <c r="V1610" s="1" t="s">
        <v>86</v>
      </c>
      <c r="W1610" s="1" t="s">
        <v>80</v>
      </c>
    </row>
    <row r="1611" spans="1:23" x14ac:dyDescent="0.35">
      <c r="A1611">
        <v>7594</v>
      </c>
      <c r="B1611" s="1" t="s">
        <v>3802</v>
      </c>
      <c r="C1611" s="2">
        <v>42618</v>
      </c>
      <c r="D1611" s="2">
        <v>42622</v>
      </c>
      <c r="E1611" s="1" t="s">
        <v>42</v>
      </c>
      <c r="F1611" s="1" t="s">
        <v>3173</v>
      </c>
      <c r="G1611" s="1" t="s">
        <v>3174</v>
      </c>
      <c r="H1611" s="1" t="s">
        <v>27</v>
      </c>
      <c r="I1611" s="1" t="s">
        <v>28</v>
      </c>
      <c r="J1611" s="1" t="s">
        <v>68</v>
      </c>
      <c r="K1611" s="1" t="s">
        <v>69</v>
      </c>
      <c r="L1611">
        <v>19134</v>
      </c>
      <c r="M1611" s="1" t="s">
        <v>70</v>
      </c>
      <c r="N1611" s="1" t="s">
        <v>984</v>
      </c>
      <c r="O1611" s="1" t="s">
        <v>33</v>
      </c>
      <c r="P1611" s="1" t="s">
        <v>39</v>
      </c>
      <c r="Q1611" s="1" t="s">
        <v>985</v>
      </c>
      <c r="R1611">
        <v>887</v>
      </c>
      <c r="S1611">
        <v>3</v>
      </c>
      <c r="T1611">
        <v>0.3</v>
      </c>
      <c r="U1611">
        <v>-63</v>
      </c>
      <c r="V1611" s="1" t="s">
        <v>86</v>
      </c>
      <c r="W1611" s="1" t="s">
        <v>80</v>
      </c>
    </row>
    <row r="1612" spans="1:23" x14ac:dyDescent="0.35">
      <c r="A1612">
        <v>7605</v>
      </c>
      <c r="B1612" s="1" t="s">
        <v>3803</v>
      </c>
      <c r="C1612" s="2">
        <v>42517</v>
      </c>
      <c r="D1612" s="2">
        <v>42521</v>
      </c>
      <c r="E1612" s="1" t="s">
        <v>42</v>
      </c>
      <c r="F1612" s="1" t="s">
        <v>3301</v>
      </c>
      <c r="G1612" s="1" t="s">
        <v>3302</v>
      </c>
      <c r="H1612" s="1" t="s">
        <v>27</v>
      </c>
      <c r="I1612" s="1" t="s">
        <v>28</v>
      </c>
      <c r="J1612" s="1" t="s">
        <v>136</v>
      </c>
      <c r="K1612" s="1" t="s">
        <v>137</v>
      </c>
      <c r="L1612">
        <v>60623</v>
      </c>
      <c r="M1612" s="1" t="s">
        <v>96</v>
      </c>
      <c r="N1612" s="1" t="s">
        <v>2284</v>
      </c>
      <c r="O1612" s="1" t="s">
        <v>33</v>
      </c>
      <c r="P1612" s="1" t="s">
        <v>59</v>
      </c>
      <c r="Q1612" s="1" t="s">
        <v>2285</v>
      </c>
      <c r="R1612">
        <v>25</v>
      </c>
      <c r="S1612">
        <v>3</v>
      </c>
      <c r="T1612">
        <v>0.6</v>
      </c>
      <c r="U1612">
        <v>-33</v>
      </c>
      <c r="V1612" s="1" t="s">
        <v>86</v>
      </c>
      <c r="W1612" s="1" t="s">
        <v>164</v>
      </c>
    </row>
    <row r="1613" spans="1:23" x14ac:dyDescent="0.35">
      <c r="A1613">
        <v>7606</v>
      </c>
      <c r="B1613" s="1" t="s">
        <v>3803</v>
      </c>
      <c r="C1613" s="2">
        <v>42517</v>
      </c>
      <c r="D1613" s="2">
        <v>42521</v>
      </c>
      <c r="E1613" s="1" t="s">
        <v>42</v>
      </c>
      <c r="F1613" s="1" t="s">
        <v>3301</v>
      </c>
      <c r="G1613" s="1" t="s">
        <v>3302</v>
      </c>
      <c r="H1613" s="1" t="s">
        <v>27</v>
      </c>
      <c r="I1613" s="1" t="s">
        <v>28</v>
      </c>
      <c r="J1613" s="1" t="s">
        <v>136</v>
      </c>
      <c r="K1613" s="1" t="s">
        <v>137</v>
      </c>
      <c r="L1613">
        <v>60623</v>
      </c>
      <c r="M1613" s="1" t="s">
        <v>96</v>
      </c>
      <c r="N1613" s="1" t="s">
        <v>980</v>
      </c>
      <c r="O1613" s="1" t="s">
        <v>33</v>
      </c>
      <c r="P1613" s="1" t="s">
        <v>59</v>
      </c>
      <c r="Q1613" s="1" t="s">
        <v>981</v>
      </c>
      <c r="R1613">
        <v>6</v>
      </c>
      <c r="S1613">
        <v>2</v>
      </c>
      <c r="T1613">
        <v>0.6</v>
      </c>
      <c r="U1613">
        <v>-2</v>
      </c>
      <c r="V1613" s="1" t="s">
        <v>86</v>
      </c>
      <c r="W1613" s="1" t="s">
        <v>164</v>
      </c>
    </row>
    <row r="1614" spans="1:23" x14ac:dyDescent="0.35">
      <c r="A1614">
        <v>7615</v>
      </c>
      <c r="B1614" s="1" t="s">
        <v>3804</v>
      </c>
      <c r="C1614" s="2">
        <v>42240</v>
      </c>
      <c r="D1614" s="2">
        <v>42244</v>
      </c>
      <c r="E1614" s="1" t="s">
        <v>24</v>
      </c>
      <c r="F1614" s="1" t="s">
        <v>2139</v>
      </c>
      <c r="G1614" s="1" t="s">
        <v>2140</v>
      </c>
      <c r="H1614" s="1" t="s">
        <v>27</v>
      </c>
      <c r="I1614" s="1" t="s">
        <v>28</v>
      </c>
      <c r="J1614" s="1" t="s">
        <v>176</v>
      </c>
      <c r="K1614" s="1" t="s">
        <v>123</v>
      </c>
      <c r="L1614">
        <v>10035</v>
      </c>
      <c r="M1614" s="1" t="s">
        <v>70</v>
      </c>
      <c r="N1614" s="1" t="s">
        <v>653</v>
      </c>
      <c r="O1614" s="1" t="s">
        <v>33</v>
      </c>
      <c r="P1614" s="1" t="s">
        <v>59</v>
      </c>
      <c r="Q1614" s="1" t="s">
        <v>654</v>
      </c>
      <c r="R1614">
        <v>15</v>
      </c>
      <c r="S1614">
        <v>3</v>
      </c>
      <c r="T1614">
        <v>0</v>
      </c>
      <c r="U1614">
        <v>5</v>
      </c>
      <c r="V1614" s="1" t="s">
        <v>86</v>
      </c>
      <c r="W1614" s="1" t="s">
        <v>256</v>
      </c>
    </row>
    <row r="1615" spans="1:23" x14ac:dyDescent="0.35">
      <c r="A1615">
        <v>7619</v>
      </c>
      <c r="B1615" s="1" t="s">
        <v>3805</v>
      </c>
      <c r="C1615" s="2">
        <v>43035</v>
      </c>
      <c r="D1615" s="2">
        <v>43037</v>
      </c>
      <c r="E1615" s="1" t="s">
        <v>90</v>
      </c>
      <c r="F1615" s="1" t="s">
        <v>3806</v>
      </c>
      <c r="G1615" s="1" t="s">
        <v>3807</v>
      </c>
      <c r="H1615" s="1" t="s">
        <v>93</v>
      </c>
      <c r="I1615" s="1" t="s">
        <v>28</v>
      </c>
      <c r="J1615" s="1" t="s">
        <v>55</v>
      </c>
      <c r="K1615" s="1" t="s">
        <v>56</v>
      </c>
      <c r="L1615">
        <v>90032</v>
      </c>
      <c r="M1615" s="1" t="s">
        <v>57</v>
      </c>
      <c r="N1615" s="1" t="s">
        <v>63</v>
      </c>
      <c r="O1615" s="1" t="s">
        <v>33</v>
      </c>
      <c r="P1615" s="1" t="s">
        <v>48</v>
      </c>
      <c r="Q1615" s="1" t="s">
        <v>64</v>
      </c>
      <c r="R1615">
        <v>190</v>
      </c>
      <c r="S1615">
        <v>1</v>
      </c>
      <c r="T1615">
        <v>0.2</v>
      </c>
      <c r="U1615">
        <v>9</v>
      </c>
      <c r="V1615" s="1" t="s">
        <v>73</v>
      </c>
      <c r="W1615" s="1" t="s">
        <v>51</v>
      </c>
    </row>
    <row r="1616" spans="1:23" x14ac:dyDescent="0.35">
      <c r="A1616">
        <v>7622</v>
      </c>
      <c r="B1616" s="1" t="s">
        <v>3808</v>
      </c>
      <c r="C1616" s="2">
        <v>41968</v>
      </c>
      <c r="D1616" s="2">
        <v>41972</v>
      </c>
      <c r="E1616" s="1" t="s">
        <v>42</v>
      </c>
      <c r="F1616" s="1" t="s">
        <v>2943</v>
      </c>
      <c r="G1616" s="1" t="s">
        <v>2944</v>
      </c>
      <c r="H1616" s="1" t="s">
        <v>27</v>
      </c>
      <c r="I1616" s="1" t="s">
        <v>28</v>
      </c>
      <c r="J1616" s="1" t="s">
        <v>55</v>
      </c>
      <c r="K1616" s="1" t="s">
        <v>56</v>
      </c>
      <c r="L1616">
        <v>90004</v>
      </c>
      <c r="M1616" s="1" t="s">
        <v>57</v>
      </c>
      <c r="N1616" s="1" t="s">
        <v>808</v>
      </c>
      <c r="O1616" s="1" t="s">
        <v>33</v>
      </c>
      <c r="P1616" s="1" t="s">
        <v>39</v>
      </c>
      <c r="Q1616" s="1" t="s">
        <v>809</v>
      </c>
      <c r="R1616">
        <v>725</v>
      </c>
      <c r="S1616">
        <v>4</v>
      </c>
      <c r="T1616">
        <v>0.2</v>
      </c>
      <c r="U1616">
        <v>54</v>
      </c>
      <c r="V1616" s="1" t="s">
        <v>86</v>
      </c>
      <c r="W1616" s="1" t="s">
        <v>37</v>
      </c>
    </row>
    <row r="1617" spans="1:23" x14ac:dyDescent="0.35">
      <c r="A1617">
        <v>7626</v>
      </c>
      <c r="B1617" s="1" t="s">
        <v>3809</v>
      </c>
      <c r="C1617" s="2">
        <v>42147</v>
      </c>
      <c r="D1617" s="2">
        <v>42151</v>
      </c>
      <c r="E1617" s="1" t="s">
        <v>24</v>
      </c>
      <c r="F1617" s="1" t="s">
        <v>395</v>
      </c>
      <c r="G1617" s="1" t="s">
        <v>396</v>
      </c>
      <c r="H1617" s="1" t="s">
        <v>103</v>
      </c>
      <c r="I1617" s="1" t="s">
        <v>28</v>
      </c>
      <c r="J1617" s="1" t="s">
        <v>291</v>
      </c>
      <c r="K1617" s="1" t="s">
        <v>292</v>
      </c>
      <c r="L1617">
        <v>48234</v>
      </c>
      <c r="M1617" s="1" t="s">
        <v>96</v>
      </c>
      <c r="N1617" s="1" t="s">
        <v>1150</v>
      </c>
      <c r="O1617" s="1" t="s">
        <v>33</v>
      </c>
      <c r="P1617" s="1" t="s">
        <v>59</v>
      </c>
      <c r="Q1617" s="1" t="s">
        <v>1151</v>
      </c>
      <c r="R1617">
        <v>75</v>
      </c>
      <c r="S1617">
        <v>9</v>
      </c>
      <c r="T1617">
        <v>0</v>
      </c>
      <c r="U1617">
        <v>20</v>
      </c>
      <c r="V1617" s="1" t="s">
        <v>86</v>
      </c>
      <c r="W1617" s="1" t="s">
        <v>164</v>
      </c>
    </row>
    <row r="1618" spans="1:23" x14ac:dyDescent="0.35">
      <c r="A1618">
        <v>7632</v>
      </c>
      <c r="B1618" s="1" t="s">
        <v>3810</v>
      </c>
      <c r="C1618" s="2">
        <v>41728</v>
      </c>
      <c r="D1618" s="2">
        <v>41730</v>
      </c>
      <c r="E1618" s="1" t="s">
        <v>90</v>
      </c>
      <c r="F1618" s="1" t="s">
        <v>261</v>
      </c>
      <c r="G1618" s="1" t="s">
        <v>262</v>
      </c>
      <c r="H1618" s="1" t="s">
        <v>103</v>
      </c>
      <c r="I1618" s="1" t="s">
        <v>28</v>
      </c>
      <c r="J1618" s="1" t="s">
        <v>2252</v>
      </c>
      <c r="K1618" s="1" t="s">
        <v>95</v>
      </c>
      <c r="L1618">
        <v>78521</v>
      </c>
      <c r="M1618" s="1" t="s">
        <v>96</v>
      </c>
      <c r="N1618" s="1" t="s">
        <v>1006</v>
      </c>
      <c r="O1618" s="1" t="s">
        <v>33</v>
      </c>
      <c r="P1618" s="1" t="s">
        <v>39</v>
      </c>
      <c r="Q1618" s="1" t="s">
        <v>1007</v>
      </c>
      <c r="R1618">
        <v>127</v>
      </c>
      <c r="S1618">
        <v>7</v>
      </c>
      <c r="T1618">
        <v>0.3</v>
      </c>
      <c r="U1618">
        <v>-9</v>
      </c>
      <c r="V1618" s="1" t="s">
        <v>73</v>
      </c>
      <c r="W1618" s="1" t="s">
        <v>198</v>
      </c>
    </row>
    <row r="1619" spans="1:23" x14ac:dyDescent="0.35">
      <c r="A1619">
        <v>7633</v>
      </c>
      <c r="B1619" s="1" t="s">
        <v>3811</v>
      </c>
      <c r="C1619" s="2">
        <v>43098</v>
      </c>
      <c r="D1619" s="2">
        <v>43101</v>
      </c>
      <c r="E1619" s="1" t="s">
        <v>24</v>
      </c>
      <c r="F1619" s="1" t="s">
        <v>928</v>
      </c>
      <c r="G1619" s="1" t="s">
        <v>929</v>
      </c>
      <c r="H1619" s="1" t="s">
        <v>27</v>
      </c>
      <c r="I1619" s="1" t="s">
        <v>28</v>
      </c>
      <c r="J1619" s="1" t="s">
        <v>868</v>
      </c>
      <c r="K1619" s="1" t="s">
        <v>30</v>
      </c>
      <c r="L1619">
        <v>40214</v>
      </c>
      <c r="M1619" s="1" t="s">
        <v>31</v>
      </c>
      <c r="N1619" s="1" t="s">
        <v>397</v>
      </c>
      <c r="O1619" s="1" t="s">
        <v>33</v>
      </c>
      <c r="P1619" s="1" t="s">
        <v>39</v>
      </c>
      <c r="Q1619" s="1" t="s">
        <v>398</v>
      </c>
      <c r="R1619">
        <v>1208</v>
      </c>
      <c r="S1619">
        <v>8</v>
      </c>
      <c r="T1619">
        <v>0</v>
      </c>
      <c r="U1619">
        <v>314</v>
      </c>
      <c r="V1619" s="1" t="s">
        <v>36</v>
      </c>
      <c r="W1619" s="1" t="s">
        <v>99</v>
      </c>
    </row>
    <row r="1620" spans="1:23" x14ac:dyDescent="0.35">
      <c r="A1620">
        <v>7636</v>
      </c>
      <c r="B1620" s="1" t="s">
        <v>3811</v>
      </c>
      <c r="C1620" s="2">
        <v>43098</v>
      </c>
      <c r="D1620" s="2">
        <v>43101</v>
      </c>
      <c r="E1620" s="1" t="s">
        <v>24</v>
      </c>
      <c r="F1620" s="1" t="s">
        <v>928</v>
      </c>
      <c r="G1620" s="1" t="s">
        <v>929</v>
      </c>
      <c r="H1620" s="1" t="s">
        <v>27</v>
      </c>
      <c r="I1620" s="1" t="s">
        <v>28</v>
      </c>
      <c r="J1620" s="1" t="s">
        <v>868</v>
      </c>
      <c r="K1620" s="1" t="s">
        <v>30</v>
      </c>
      <c r="L1620">
        <v>40214</v>
      </c>
      <c r="M1620" s="1" t="s">
        <v>31</v>
      </c>
      <c r="N1620" s="1" t="s">
        <v>2337</v>
      </c>
      <c r="O1620" s="1" t="s">
        <v>33</v>
      </c>
      <c r="P1620" s="1" t="s">
        <v>39</v>
      </c>
      <c r="Q1620" s="1" t="s">
        <v>2338</v>
      </c>
      <c r="R1620">
        <v>301</v>
      </c>
      <c r="S1620">
        <v>1</v>
      </c>
      <c r="T1620">
        <v>0</v>
      </c>
      <c r="U1620">
        <v>87</v>
      </c>
      <c r="V1620" s="1" t="s">
        <v>36</v>
      </c>
      <c r="W1620" s="1" t="s">
        <v>99</v>
      </c>
    </row>
    <row r="1621" spans="1:23" x14ac:dyDescent="0.35">
      <c r="A1621">
        <v>7637</v>
      </c>
      <c r="B1621" s="1" t="s">
        <v>3811</v>
      </c>
      <c r="C1621" s="2">
        <v>43098</v>
      </c>
      <c r="D1621" s="2">
        <v>43101</v>
      </c>
      <c r="E1621" s="1" t="s">
        <v>24</v>
      </c>
      <c r="F1621" s="1" t="s">
        <v>928</v>
      </c>
      <c r="G1621" s="1" t="s">
        <v>929</v>
      </c>
      <c r="H1621" s="1" t="s">
        <v>27</v>
      </c>
      <c r="I1621" s="1" t="s">
        <v>28</v>
      </c>
      <c r="J1621" s="1" t="s">
        <v>868</v>
      </c>
      <c r="K1621" s="1" t="s">
        <v>30</v>
      </c>
      <c r="L1621">
        <v>40214</v>
      </c>
      <c r="M1621" s="1" t="s">
        <v>31</v>
      </c>
      <c r="N1621" s="1" t="s">
        <v>1093</v>
      </c>
      <c r="O1621" s="1" t="s">
        <v>33</v>
      </c>
      <c r="P1621" s="1" t="s">
        <v>39</v>
      </c>
      <c r="Q1621" s="1" t="s">
        <v>1094</v>
      </c>
      <c r="R1621">
        <v>259</v>
      </c>
      <c r="S1621">
        <v>3</v>
      </c>
      <c r="T1621">
        <v>0</v>
      </c>
      <c r="U1621">
        <v>78</v>
      </c>
      <c r="V1621" s="1" t="s">
        <v>36</v>
      </c>
      <c r="W1621" s="1" t="s">
        <v>99</v>
      </c>
    </row>
    <row r="1622" spans="1:23" x14ac:dyDescent="0.35">
      <c r="A1622">
        <v>7640</v>
      </c>
      <c r="B1622" s="1" t="s">
        <v>3812</v>
      </c>
      <c r="C1622" s="2">
        <v>42796</v>
      </c>
      <c r="D1622" s="2">
        <v>42802</v>
      </c>
      <c r="E1622" s="1" t="s">
        <v>42</v>
      </c>
      <c r="F1622" s="1" t="s">
        <v>2924</v>
      </c>
      <c r="G1622" s="1" t="s">
        <v>2925</v>
      </c>
      <c r="H1622" s="1" t="s">
        <v>93</v>
      </c>
      <c r="I1622" s="1" t="s">
        <v>28</v>
      </c>
      <c r="J1622" s="1" t="s">
        <v>233</v>
      </c>
      <c r="K1622" s="1" t="s">
        <v>203</v>
      </c>
      <c r="L1622">
        <v>19711</v>
      </c>
      <c r="M1622" s="1" t="s">
        <v>70</v>
      </c>
      <c r="N1622" s="1" t="s">
        <v>2313</v>
      </c>
      <c r="O1622" s="1" t="s">
        <v>33</v>
      </c>
      <c r="P1622" s="1" t="s">
        <v>34</v>
      </c>
      <c r="Q1622" s="1" t="s">
        <v>2314</v>
      </c>
      <c r="R1622">
        <v>442</v>
      </c>
      <c r="S1622">
        <v>2</v>
      </c>
      <c r="T1622">
        <v>0</v>
      </c>
      <c r="U1622">
        <v>102</v>
      </c>
      <c r="V1622" s="1" t="s">
        <v>132</v>
      </c>
      <c r="W1622" s="1" t="s">
        <v>198</v>
      </c>
    </row>
    <row r="1623" spans="1:23" x14ac:dyDescent="0.35">
      <c r="A1623">
        <v>7646</v>
      </c>
      <c r="B1623" s="1" t="s">
        <v>3813</v>
      </c>
      <c r="C1623" s="2">
        <v>42099</v>
      </c>
      <c r="D1623" s="2">
        <v>42105</v>
      </c>
      <c r="E1623" s="1" t="s">
        <v>42</v>
      </c>
      <c r="F1623" s="1" t="s">
        <v>2777</v>
      </c>
      <c r="G1623" s="1" t="s">
        <v>2778</v>
      </c>
      <c r="H1623" s="1" t="s">
        <v>93</v>
      </c>
      <c r="I1623" s="1" t="s">
        <v>28</v>
      </c>
      <c r="J1623" s="1" t="s">
        <v>55</v>
      </c>
      <c r="K1623" s="1" t="s">
        <v>56</v>
      </c>
      <c r="L1623">
        <v>90036</v>
      </c>
      <c r="M1623" s="1" t="s">
        <v>57</v>
      </c>
      <c r="N1623" s="1" t="s">
        <v>1098</v>
      </c>
      <c r="O1623" s="1" t="s">
        <v>33</v>
      </c>
      <c r="P1623" s="1" t="s">
        <v>39</v>
      </c>
      <c r="Q1623" s="1" t="s">
        <v>1099</v>
      </c>
      <c r="R1623">
        <v>892</v>
      </c>
      <c r="S1623">
        <v>3</v>
      </c>
      <c r="T1623">
        <v>0.2</v>
      </c>
      <c r="U1623">
        <v>89</v>
      </c>
      <c r="V1623" s="1" t="s">
        <v>132</v>
      </c>
      <c r="W1623" s="1" t="s">
        <v>116</v>
      </c>
    </row>
    <row r="1624" spans="1:23" x14ac:dyDescent="0.35">
      <c r="A1624">
        <v>7649</v>
      </c>
      <c r="B1624" s="1" t="s">
        <v>3814</v>
      </c>
      <c r="C1624" s="2">
        <v>42444</v>
      </c>
      <c r="D1624" s="2">
        <v>42445</v>
      </c>
      <c r="E1624" s="1" t="s">
        <v>90</v>
      </c>
      <c r="F1624" s="1" t="s">
        <v>3815</v>
      </c>
      <c r="G1624" s="1" t="s">
        <v>3816</v>
      </c>
      <c r="H1624" s="1" t="s">
        <v>93</v>
      </c>
      <c r="I1624" s="1" t="s">
        <v>28</v>
      </c>
      <c r="J1624" s="1" t="s">
        <v>331</v>
      </c>
      <c r="K1624" s="1" t="s">
        <v>56</v>
      </c>
      <c r="L1624">
        <v>94110</v>
      </c>
      <c r="M1624" s="1" t="s">
        <v>57</v>
      </c>
      <c r="N1624" s="1" t="s">
        <v>984</v>
      </c>
      <c r="O1624" s="1" t="s">
        <v>33</v>
      </c>
      <c r="P1624" s="1" t="s">
        <v>39</v>
      </c>
      <c r="Q1624" s="1" t="s">
        <v>985</v>
      </c>
      <c r="R1624">
        <v>1352</v>
      </c>
      <c r="S1624">
        <v>4</v>
      </c>
      <c r="T1624">
        <v>0.2</v>
      </c>
      <c r="U1624">
        <v>85</v>
      </c>
      <c r="V1624" s="1" t="s">
        <v>126</v>
      </c>
      <c r="W1624" s="1" t="s">
        <v>198</v>
      </c>
    </row>
    <row r="1625" spans="1:23" x14ac:dyDescent="0.35">
      <c r="A1625">
        <v>7650</v>
      </c>
      <c r="B1625" s="1" t="s">
        <v>3817</v>
      </c>
      <c r="C1625" s="2">
        <v>42365</v>
      </c>
      <c r="D1625" s="2">
        <v>42369</v>
      </c>
      <c r="E1625" s="1" t="s">
        <v>42</v>
      </c>
      <c r="F1625" s="1" t="s">
        <v>2682</v>
      </c>
      <c r="G1625" s="1" t="s">
        <v>2683</v>
      </c>
      <c r="H1625" s="1" t="s">
        <v>93</v>
      </c>
      <c r="I1625" s="1" t="s">
        <v>28</v>
      </c>
      <c r="J1625" s="1" t="s">
        <v>1773</v>
      </c>
      <c r="K1625" s="1" t="s">
        <v>234</v>
      </c>
      <c r="L1625">
        <v>43302</v>
      </c>
      <c r="M1625" s="1" t="s">
        <v>70</v>
      </c>
      <c r="N1625" s="1" t="s">
        <v>925</v>
      </c>
      <c r="O1625" s="1" t="s">
        <v>33</v>
      </c>
      <c r="P1625" s="1" t="s">
        <v>48</v>
      </c>
      <c r="Q1625" s="1" t="s">
        <v>926</v>
      </c>
      <c r="R1625">
        <v>1549</v>
      </c>
      <c r="S1625">
        <v>9</v>
      </c>
      <c r="T1625">
        <v>0.4</v>
      </c>
      <c r="U1625">
        <v>-465</v>
      </c>
      <c r="V1625" s="1" t="s">
        <v>86</v>
      </c>
      <c r="W1625" s="1" t="s">
        <v>99</v>
      </c>
    </row>
    <row r="1626" spans="1:23" x14ac:dyDescent="0.35">
      <c r="A1626">
        <v>7655</v>
      </c>
      <c r="B1626" s="1" t="s">
        <v>3818</v>
      </c>
      <c r="C1626" s="2">
        <v>42338</v>
      </c>
      <c r="D1626" s="2">
        <v>42340</v>
      </c>
      <c r="E1626" s="1" t="s">
        <v>24</v>
      </c>
      <c r="F1626" s="1" t="s">
        <v>3819</v>
      </c>
      <c r="G1626" s="1" t="s">
        <v>3820</v>
      </c>
      <c r="H1626" s="1" t="s">
        <v>27</v>
      </c>
      <c r="I1626" s="1" t="s">
        <v>28</v>
      </c>
      <c r="J1626" s="1" t="s">
        <v>2422</v>
      </c>
      <c r="K1626" s="1" t="s">
        <v>1343</v>
      </c>
      <c r="L1626">
        <v>89115</v>
      </c>
      <c r="M1626" s="1" t="s">
        <v>57</v>
      </c>
      <c r="N1626" s="1" t="s">
        <v>2968</v>
      </c>
      <c r="O1626" s="1" t="s">
        <v>33</v>
      </c>
      <c r="P1626" s="1" t="s">
        <v>59</v>
      </c>
      <c r="Q1626" s="1" t="s">
        <v>2969</v>
      </c>
      <c r="R1626">
        <v>81</v>
      </c>
      <c r="S1626">
        <v>4</v>
      </c>
      <c r="T1626">
        <v>0</v>
      </c>
      <c r="U1626">
        <v>29</v>
      </c>
      <c r="V1626" s="1" t="s">
        <v>73</v>
      </c>
      <c r="W1626" s="1" t="s">
        <v>37</v>
      </c>
    </row>
    <row r="1627" spans="1:23" x14ac:dyDescent="0.35">
      <c r="A1627">
        <v>7658</v>
      </c>
      <c r="B1627" s="1" t="s">
        <v>3821</v>
      </c>
      <c r="C1627" s="2">
        <v>41744</v>
      </c>
      <c r="D1627" s="2">
        <v>41744</v>
      </c>
      <c r="E1627" s="1" t="s">
        <v>428</v>
      </c>
      <c r="F1627" s="1" t="s">
        <v>134</v>
      </c>
      <c r="G1627" s="1" t="s">
        <v>135</v>
      </c>
      <c r="H1627" s="1" t="s">
        <v>103</v>
      </c>
      <c r="I1627" s="1" t="s">
        <v>28</v>
      </c>
      <c r="J1627" s="1" t="s">
        <v>55</v>
      </c>
      <c r="K1627" s="1" t="s">
        <v>56</v>
      </c>
      <c r="L1627">
        <v>90049</v>
      </c>
      <c r="M1627" s="1" t="s">
        <v>57</v>
      </c>
      <c r="N1627" s="1" t="s">
        <v>357</v>
      </c>
      <c r="O1627" s="1" t="s">
        <v>33</v>
      </c>
      <c r="P1627" s="1" t="s">
        <v>59</v>
      </c>
      <c r="Q1627" s="1" t="s">
        <v>358</v>
      </c>
      <c r="R1627">
        <v>188</v>
      </c>
      <c r="S1627">
        <v>4</v>
      </c>
      <c r="T1627">
        <v>0</v>
      </c>
      <c r="U1627">
        <v>77</v>
      </c>
      <c r="V1627" s="1" t="s">
        <v>433</v>
      </c>
      <c r="W1627" s="1" t="s">
        <v>116</v>
      </c>
    </row>
    <row r="1628" spans="1:23" x14ac:dyDescent="0.35">
      <c r="A1628">
        <v>7661</v>
      </c>
      <c r="B1628" s="1" t="s">
        <v>3822</v>
      </c>
      <c r="C1628" s="2">
        <v>41646</v>
      </c>
      <c r="D1628" s="2">
        <v>41651</v>
      </c>
      <c r="E1628" s="1" t="s">
        <v>42</v>
      </c>
      <c r="F1628" s="1" t="s">
        <v>2847</v>
      </c>
      <c r="G1628" s="1" t="s">
        <v>2848</v>
      </c>
      <c r="H1628" s="1" t="s">
        <v>27</v>
      </c>
      <c r="I1628" s="1" t="s">
        <v>28</v>
      </c>
      <c r="J1628" s="1" t="s">
        <v>1871</v>
      </c>
      <c r="K1628" s="1" t="s">
        <v>95</v>
      </c>
      <c r="L1628">
        <v>77340</v>
      </c>
      <c r="M1628" s="1" t="s">
        <v>96</v>
      </c>
      <c r="N1628" s="1" t="s">
        <v>554</v>
      </c>
      <c r="O1628" s="1" t="s">
        <v>33</v>
      </c>
      <c r="P1628" s="1" t="s">
        <v>59</v>
      </c>
      <c r="Q1628" s="1" t="s">
        <v>555</v>
      </c>
      <c r="R1628">
        <v>77</v>
      </c>
      <c r="S1628">
        <v>3</v>
      </c>
      <c r="T1628">
        <v>0.6</v>
      </c>
      <c r="U1628">
        <v>-54</v>
      </c>
      <c r="V1628" s="1" t="s">
        <v>61</v>
      </c>
      <c r="W1628" s="1" t="s">
        <v>172</v>
      </c>
    </row>
    <row r="1629" spans="1:23" x14ac:dyDescent="0.35">
      <c r="A1629">
        <v>7665</v>
      </c>
      <c r="B1629" s="1" t="s">
        <v>3823</v>
      </c>
      <c r="C1629" s="2">
        <v>41934</v>
      </c>
      <c r="D1629" s="2">
        <v>41938</v>
      </c>
      <c r="E1629" s="1" t="s">
        <v>42</v>
      </c>
      <c r="F1629" s="1" t="s">
        <v>3824</v>
      </c>
      <c r="G1629" s="1" t="s">
        <v>3825</v>
      </c>
      <c r="H1629" s="1" t="s">
        <v>93</v>
      </c>
      <c r="I1629" s="1" t="s">
        <v>28</v>
      </c>
      <c r="J1629" s="1" t="s">
        <v>3826</v>
      </c>
      <c r="K1629" s="1" t="s">
        <v>1409</v>
      </c>
      <c r="L1629">
        <v>71111</v>
      </c>
      <c r="M1629" s="1" t="s">
        <v>31</v>
      </c>
      <c r="N1629" s="1" t="s">
        <v>2398</v>
      </c>
      <c r="O1629" s="1" t="s">
        <v>33</v>
      </c>
      <c r="P1629" s="1" t="s">
        <v>59</v>
      </c>
      <c r="Q1629" s="1" t="s">
        <v>2399</v>
      </c>
      <c r="R1629">
        <v>130</v>
      </c>
      <c r="S1629">
        <v>4</v>
      </c>
      <c r="T1629">
        <v>0</v>
      </c>
      <c r="U1629">
        <v>10</v>
      </c>
      <c r="V1629" s="1" t="s">
        <v>86</v>
      </c>
      <c r="W1629" s="1" t="s">
        <v>51</v>
      </c>
    </row>
    <row r="1630" spans="1:23" x14ac:dyDescent="0.35">
      <c r="A1630">
        <v>7672</v>
      </c>
      <c r="B1630" s="1" t="s">
        <v>3827</v>
      </c>
      <c r="C1630" s="2">
        <v>42335</v>
      </c>
      <c r="D1630" s="2">
        <v>42337</v>
      </c>
      <c r="E1630" s="1" t="s">
        <v>24</v>
      </c>
      <c r="F1630" s="1" t="s">
        <v>3036</v>
      </c>
      <c r="G1630" s="1" t="s">
        <v>3037</v>
      </c>
      <c r="H1630" s="1" t="s">
        <v>103</v>
      </c>
      <c r="I1630" s="1" t="s">
        <v>28</v>
      </c>
      <c r="J1630" s="1" t="s">
        <v>1360</v>
      </c>
      <c r="K1630" s="1" t="s">
        <v>437</v>
      </c>
      <c r="L1630">
        <v>2149</v>
      </c>
      <c r="M1630" s="1" t="s">
        <v>70</v>
      </c>
      <c r="N1630" s="1" t="s">
        <v>2403</v>
      </c>
      <c r="O1630" s="1" t="s">
        <v>33</v>
      </c>
      <c r="P1630" s="1" t="s">
        <v>34</v>
      </c>
      <c r="Q1630" s="1" t="s">
        <v>2404</v>
      </c>
      <c r="R1630">
        <v>171</v>
      </c>
      <c r="S1630">
        <v>1</v>
      </c>
      <c r="T1630">
        <v>0</v>
      </c>
      <c r="U1630">
        <v>32</v>
      </c>
      <c r="V1630" s="1" t="s">
        <v>73</v>
      </c>
      <c r="W1630" s="1" t="s">
        <v>37</v>
      </c>
    </row>
    <row r="1631" spans="1:23" x14ac:dyDescent="0.35">
      <c r="A1631">
        <v>7673</v>
      </c>
      <c r="B1631" s="1" t="s">
        <v>3827</v>
      </c>
      <c r="C1631" s="2">
        <v>42335</v>
      </c>
      <c r="D1631" s="2">
        <v>42337</v>
      </c>
      <c r="E1631" s="1" t="s">
        <v>24</v>
      </c>
      <c r="F1631" s="1" t="s">
        <v>3036</v>
      </c>
      <c r="G1631" s="1" t="s">
        <v>3037</v>
      </c>
      <c r="H1631" s="1" t="s">
        <v>103</v>
      </c>
      <c r="I1631" s="1" t="s">
        <v>28</v>
      </c>
      <c r="J1631" s="1" t="s">
        <v>1360</v>
      </c>
      <c r="K1631" s="1" t="s">
        <v>437</v>
      </c>
      <c r="L1631">
        <v>2149</v>
      </c>
      <c r="M1631" s="1" t="s">
        <v>70</v>
      </c>
      <c r="N1631" s="1" t="s">
        <v>3828</v>
      </c>
      <c r="O1631" s="1" t="s">
        <v>33</v>
      </c>
      <c r="P1631" s="1" t="s">
        <v>59</v>
      </c>
      <c r="Q1631" s="1" t="s">
        <v>3829</v>
      </c>
      <c r="R1631">
        <v>39</v>
      </c>
      <c r="S1631">
        <v>3</v>
      </c>
      <c r="T1631">
        <v>0</v>
      </c>
      <c r="U1631">
        <v>5</v>
      </c>
      <c r="V1631" s="1" t="s">
        <v>73</v>
      </c>
      <c r="W1631" s="1" t="s">
        <v>37</v>
      </c>
    </row>
    <row r="1632" spans="1:23" x14ac:dyDescent="0.35">
      <c r="A1632">
        <v>7675</v>
      </c>
      <c r="B1632" s="1" t="s">
        <v>3827</v>
      </c>
      <c r="C1632" s="2">
        <v>42335</v>
      </c>
      <c r="D1632" s="2">
        <v>42337</v>
      </c>
      <c r="E1632" s="1" t="s">
        <v>24</v>
      </c>
      <c r="F1632" s="1" t="s">
        <v>3036</v>
      </c>
      <c r="G1632" s="1" t="s">
        <v>3037</v>
      </c>
      <c r="H1632" s="1" t="s">
        <v>103</v>
      </c>
      <c r="I1632" s="1" t="s">
        <v>28</v>
      </c>
      <c r="J1632" s="1" t="s">
        <v>1360</v>
      </c>
      <c r="K1632" s="1" t="s">
        <v>437</v>
      </c>
      <c r="L1632">
        <v>2149</v>
      </c>
      <c r="M1632" s="1" t="s">
        <v>70</v>
      </c>
      <c r="N1632" s="1" t="s">
        <v>1137</v>
      </c>
      <c r="O1632" s="1" t="s">
        <v>33</v>
      </c>
      <c r="P1632" s="1" t="s">
        <v>48</v>
      </c>
      <c r="Q1632" s="1" t="s">
        <v>1138</v>
      </c>
      <c r="R1632">
        <v>446</v>
      </c>
      <c r="S1632">
        <v>4</v>
      </c>
      <c r="T1632">
        <v>0.3</v>
      </c>
      <c r="U1632">
        <v>0</v>
      </c>
      <c r="V1632" s="1" t="s">
        <v>73</v>
      </c>
      <c r="W1632" s="1" t="s">
        <v>37</v>
      </c>
    </row>
    <row r="1633" spans="1:23" x14ac:dyDescent="0.35">
      <c r="A1633">
        <v>7681</v>
      </c>
      <c r="B1633" s="1" t="s">
        <v>3830</v>
      </c>
      <c r="C1633" s="2">
        <v>42004</v>
      </c>
      <c r="D1633" s="2">
        <v>42011</v>
      </c>
      <c r="E1633" s="1" t="s">
        <v>42</v>
      </c>
      <c r="F1633" s="1" t="s">
        <v>2298</v>
      </c>
      <c r="G1633" s="1" t="s">
        <v>2299</v>
      </c>
      <c r="H1633" s="1" t="s">
        <v>103</v>
      </c>
      <c r="I1633" s="1" t="s">
        <v>28</v>
      </c>
      <c r="J1633" s="1" t="s">
        <v>1647</v>
      </c>
      <c r="K1633" s="1" t="s">
        <v>1648</v>
      </c>
      <c r="L1633">
        <v>2908</v>
      </c>
      <c r="M1633" s="1" t="s">
        <v>70</v>
      </c>
      <c r="N1633" s="1" t="s">
        <v>1383</v>
      </c>
      <c r="O1633" s="1" t="s">
        <v>33</v>
      </c>
      <c r="P1633" s="1" t="s">
        <v>34</v>
      </c>
      <c r="Q1633" s="1" t="s">
        <v>1384</v>
      </c>
      <c r="R1633">
        <v>342</v>
      </c>
      <c r="S1633">
        <v>2</v>
      </c>
      <c r="T1633">
        <v>0</v>
      </c>
      <c r="U1633">
        <v>79</v>
      </c>
      <c r="V1633" s="1" t="s">
        <v>50</v>
      </c>
      <c r="W1633" s="1" t="s">
        <v>99</v>
      </c>
    </row>
    <row r="1634" spans="1:23" x14ac:dyDescent="0.35">
      <c r="A1634">
        <v>7682</v>
      </c>
      <c r="B1634" s="1" t="s">
        <v>3830</v>
      </c>
      <c r="C1634" s="2">
        <v>42004</v>
      </c>
      <c r="D1634" s="2">
        <v>42011</v>
      </c>
      <c r="E1634" s="1" t="s">
        <v>42</v>
      </c>
      <c r="F1634" s="1" t="s">
        <v>2298</v>
      </c>
      <c r="G1634" s="1" t="s">
        <v>2299</v>
      </c>
      <c r="H1634" s="1" t="s">
        <v>103</v>
      </c>
      <c r="I1634" s="1" t="s">
        <v>28</v>
      </c>
      <c r="J1634" s="1" t="s">
        <v>1647</v>
      </c>
      <c r="K1634" s="1" t="s">
        <v>1648</v>
      </c>
      <c r="L1634">
        <v>2908</v>
      </c>
      <c r="M1634" s="1" t="s">
        <v>70</v>
      </c>
      <c r="N1634" s="1" t="s">
        <v>107</v>
      </c>
      <c r="O1634" s="1" t="s">
        <v>33</v>
      </c>
      <c r="P1634" s="1" t="s">
        <v>39</v>
      </c>
      <c r="Q1634" s="1" t="s">
        <v>108</v>
      </c>
      <c r="R1634">
        <v>606</v>
      </c>
      <c r="S1634">
        <v>6</v>
      </c>
      <c r="T1634">
        <v>0</v>
      </c>
      <c r="U1634">
        <v>151</v>
      </c>
      <c r="V1634" s="1" t="s">
        <v>50</v>
      </c>
      <c r="W1634" s="1" t="s">
        <v>99</v>
      </c>
    </row>
    <row r="1635" spans="1:23" x14ac:dyDescent="0.35">
      <c r="A1635">
        <v>7687</v>
      </c>
      <c r="B1635" s="1" t="s">
        <v>3831</v>
      </c>
      <c r="C1635" s="2">
        <v>42699</v>
      </c>
      <c r="D1635" s="2">
        <v>42703</v>
      </c>
      <c r="E1635" s="1" t="s">
        <v>42</v>
      </c>
      <c r="F1635" s="1" t="s">
        <v>1938</v>
      </c>
      <c r="G1635" s="1" t="s">
        <v>1939</v>
      </c>
      <c r="H1635" s="1" t="s">
        <v>93</v>
      </c>
      <c r="I1635" s="1" t="s">
        <v>28</v>
      </c>
      <c r="J1635" s="1" t="s">
        <v>480</v>
      </c>
      <c r="K1635" s="1" t="s">
        <v>292</v>
      </c>
      <c r="L1635">
        <v>49201</v>
      </c>
      <c r="M1635" s="1" t="s">
        <v>96</v>
      </c>
      <c r="N1635" s="1" t="s">
        <v>787</v>
      </c>
      <c r="O1635" s="1" t="s">
        <v>33</v>
      </c>
      <c r="P1635" s="1" t="s">
        <v>48</v>
      </c>
      <c r="Q1635" s="1" t="s">
        <v>788</v>
      </c>
      <c r="R1635">
        <v>1569</v>
      </c>
      <c r="S1635">
        <v>9</v>
      </c>
      <c r="T1635">
        <v>0</v>
      </c>
      <c r="U1635">
        <v>329</v>
      </c>
      <c r="V1635" s="1" t="s">
        <v>86</v>
      </c>
      <c r="W1635" s="1" t="s">
        <v>37</v>
      </c>
    </row>
    <row r="1636" spans="1:23" x14ac:dyDescent="0.35">
      <c r="A1636">
        <v>7691</v>
      </c>
      <c r="B1636" s="1" t="s">
        <v>3832</v>
      </c>
      <c r="C1636" s="2">
        <v>42931</v>
      </c>
      <c r="D1636" s="2">
        <v>42933</v>
      </c>
      <c r="E1636" s="1" t="s">
        <v>90</v>
      </c>
      <c r="F1636" s="1" t="s">
        <v>1812</v>
      </c>
      <c r="G1636" s="1" t="s">
        <v>1813</v>
      </c>
      <c r="H1636" s="1" t="s">
        <v>93</v>
      </c>
      <c r="I1636" s="1" t="s">
        <v>28</v>
      </c>
      <c r="J1636" s="1" t="s">
        <v>1484</v>
      </c>
      <c r="K1636" s="1" t="s">
        <v>719</v>
      </c>
      <c r="L1636">
        <v>23434</v>
      </c>
      <c r="M1636" s="1" t="s">
        <v>31</v>
      </c>
      <c r="N1636" s="1" t="s">
        <v>413</v>
      </c>
      <c r="O1636" s="1" t="s">
        <v>33</v>
      </c>
      <c r="P1636" s="1" t="s">
        <v>48</v>
      </c>
      <c r="Q1636" s="1" t="s">
        <v>414</v>
      </c>
      <c r="R1636">
        <v>873</v>
      </c>
      <c r="S1636">
        <v>3</v>
      </c>
      <c r="T1636">
        <v>0</v>
      </c>
      <c r="U1636">
        <v>157</v>
      </c>
      <c r="V1636" s="1" t="s">
        <v>73</v>
      </c>
      <c r="W1636" s="1" t="s">
        <v>74</v>
      </c>
    </row>
    <row r="1637" spans="1:23" x14ac:dyDescent="0.35">
      <c r="A1637">
        <v>7695</v>
      </c>
      <c r="B1637" s="1" t="s">
        <v>3833</v>
      </c>
      <c r="C1637" s="2">
        <v>42451</v>
      </c>
      <c r="D1637" s="2">
        <v>42451</v>
      </c>
      <c r="E1637" s="1" t="s">
        <v>428</v>
      </c>
      <c r="F1637" s="1" t="s">
        <v>1406</v>
      </c>
      <c r="G1637" s="1" t="s">
        <v>1407</v>
      </c>
      <c r="H1637" s="1" t="s">
        <v>27</v>
      </c>
      <c r="I1637" s="1" t="s">
        <v>28</v>
      </c>
      <c r="J1637" s="1" t="s">
        <v>194</v>
      </c>
      <c r="K1637" s="1" t="s">
        <v>195</v>
      </c>
      <c r="L1637">
        <v>98103</v>
      </c>
      <c r="M1637" s="1" t="s">
        <v>57</v>
      </c>
      <c r="N1637" s="1" t="s">
        <v>1516</v>
      </c>
      <c r="O1637" s="1" t="s">
        <v>33</v>
      </c>
      <c r="P1637" s="1" t="s">
        <v>39</v>
      </c>
      <c r="Q1637" s="1" t="s">
        <v>1517</v>
      </c>
      <c r="R1637">
        <v>168</v>
      </c>
      <c r="S1637">
        <v>7</v>
      </c>
      <c r="T1637">
        <v>0.2</v>
      </c>
      <c r="U1637">
        <v>15</v>
      </c>
      <c r="V1637" s="1" t="s">
        <v>433</v>
      </c>
      <c r="W1637" s="1" t="s">
        <v>198</v>
      </c>
    </row>
    <row r="1638" spans="1:23" x14ac:dyDescent="0.35">
      <c r="A1638">
        <v>7702</v>
      </c>
      <c r="B1638" s="1" t="s">
        <v>3834</v>
      </c>
      <c r="C1638" s="2">
        <v>43083</v>
      </c>
      <c r="D1638" s="2">
        <v>43087</v>
      </c>
      <c r="E1638" s="1" t="s">
        <v>42</v>
      </c>
      <c r="F1638" s="1" t="s">
        <v>1740</v>
      </c>
      <c r="G1638" s="1" t="s">
        <v>1741</v>
      </c>
      <c r="H1638" s="1" t="s">
        <v>103</v>
      </c>
      <c r="I1638" s="1" t="s">
        <v>28</v>
      </c>
      <c r="J1638" s="1" t="s">
        <v>474</v>
      </c>
      <c r="K1638" s="1" t="s">
        <v>437</v>
      </c>
      <c r="L1638">
        <v>1841</v>
      </c>
      <c r="M1638" s="1" t="s">
        <v>70</v>
      </c>
      <c r="N1638" s="1" t="s">
        <v>309</v>
      </c>
      <c r="O1638" s="1" t="s">
        <v>33</v>
      </c>
      <c r="P1638" s="1" t="s">
        <v>48</v>
      </c>
      <c r="Q1638" s="1" t="s">
        <v>310</v>
      </c>
      <c r="R1638">
        <v>527</v>
      </c>
      <c r="S1638">
        <v>2</v>
      </c>
      <c r="T1638">
        <v>0.3</v>
      </c>
      <c r="U1638">
        <v>-53</v>
      </c>
      <c r="V1638" s="1" t="s">
        <v>86</v>
      </c>
      <c r="W1638" s="1" t="s">
        <v>99</v>
      </c>
    </row>
    <row r="1639" spans="1:23" x14ac:dyDescent="0.35">
      <c r="A1639">
        <v>7705</v>
      </c>
      <c r="B1639" s="1" t="s">
        <v>3835</v>
      </c>
      <c r="C1639" s="2">
        <v>42608</v>
      </c>
      <c r="D1639" s="2">
        <v>42615</v>
      </c>
      <c r="E1639" s="1" t="s">
        <v>42</v>
      </c>
      <c r="F1639" s="1" t="s">
        <v>1290</v>
      </c>
      <c r="G1639" s="1" t="s">
        <v>1291</v>
      </c>
      <c r="H1639" s="1" t="s">
        <v>27</v>
      </c>
      <c r="I1639" s="1" t="s">
        <v>28</v>
      </c>
      <c r="J1639" s="1" t="s">
        <v>291</v>
      </c>
      <c r="K1639" s="1" t="s">
        <v>292</v>
      </c>
      <c r="L1639">
        <v>48234</v>
      </c>
      <c r="M1639" s="1" t="s">
        <v>96</v>
      </c>
      <c r="N1639" s="1" t="s">
        <v>1043</v>
      </c>
      <c r="O1639" s="1" t="s">
        <v>33</v>
      </c>
      <c r="P1639" s="1" t="s">
        <v>48</v>
      </c>
      <c r="Q1639" s="1" t="s">
        <v>1044</v>
      </c>
      <c r="R1639">
        <v>448</v>
      </c>
      <c r="S1639">
        <v>4</v>
      </c>
      <c r="T1639">
        <v>0</v>
      </c>
      <c r="U1639">
        <v>99</v>
      </c>
      <c r="V1639" s="1" t="s">
        <v>50</v>
      </c>
      <c r="W1639" s="1" t="s">
        <v>256</v>
      </c>
    </row>
    <row r="1640" spans="1:23" x14ac:dyDescent="0.35">
      <c r="A1640">
        <v>7712</v>
      </c>
      <c r="B1640" s="1" t="s">
        <v>3836</v>
      </c>
      <c r="C1640" s="2">
        <v>43036</v>
      </c>
      <c r="D1640" s="2">
        <v>43038</v>
      </c>
      <c r="E1640" s="1" t="s">
        <v>24</v>
      </c>
      <c r="F1640" s="1" t="s">
        <v>2657</v>
      </c>
      <c r="G1640" s="1" t="s">
        <v>2658</v>
      </c>
      <c r="H1640" s="1" t="s">
        <v>27</v>
      </c>
      <c r="I1640" s="1" t="s">
        <v>28</v>
      </c>
      <c r="J1640" s="1" t="s">
        <v>1914</v>
      </c>
      <c r="K1640" s="1" t="s">
        <v>1039</v>
      </c>
      <c r="L1640">
        <v>28314</v>
      </c>
      <c r="M1640" s="1" t="s">
        <v>31</v>
      </c>
      <c r="N1640" s="1" t="s">
        <v>2058</v>
      </c>
      <c r="O1640" s="1" t="s">
        <v>33</v>
      </c>
      <c r="P1640" s="1" t="s">
        <v>59</v>
      </c>
      <c r="Q1640" s="1" t="s">
        <v>2059</v>
      </c>
      <c r="R1640">
        <v>78</v>
      </c>
      <c r="S1640">
        <v>3</v>
      </c>
      <c r="T1640">
        <v>0.2</v>
      </c>
      <c r="U1640">
        <v>16</v>
      </c>
      <c r="V1640" s="1" t="s">
        <v>73</v>
      </c>
      <c r="W1640" s="1" t="s">
        <v>51</v>
      </c>
    </row>
    <row r="1641" spans="1:23" x14ac:dyDescent="0.35">
      <c r="A1641">
        <v>7724</v>
      </c>
      <c r="B1641" s="1" t="s">
        <v>3837</v>
      </c>
      <c r="C1641" s="2">
        <v>42257</v>
      </c>
      <c r="D1641" s="2">
        <v>42261</v>
      </c>
      <c r="E1641" s="1" t="s">
        <v>42</v>
      </c>
      <c r="F1641" s="1" t="s">
        <v>3736</v>
      </c>
      <c r="G1641" s="1" t="s">
        <v>3737</v>
      </c>
      <c r="H1641" s="1" t="s">
        <v>93</v>
      </c>
      <c r="I1641" s="1" t="s">
        <v>28</v>
      </c>
      <c r="J1641" s="1" t="s">
        <v>2333</v>
      </c>
      <c r="K1641" s="1" t="s">
        <v>95</v>
      </c>
      <c r="L1641">
        <v>78745</v>
      </c>
      <c r="M1641" s="1" t="s">
        <v>96</v>
      </c>
      <c r="N1641" s="1" t="s">
        <v>1603</v>
      </c>
      <c r="O1641" s="1" t="s">
        <v>33</v>
      </c>
      <c r="P1641" s="1" t="s">
        <v>39</v>
      </c>
      <c r="Q1641" s="1" t="s">
        <v>1604</v>
      </c>
      <c r="R1641">
        <v>180</v>
      </c>
      <c r="S1641">
        <v>1</v>
      </c>
      <c r="T1641">
        <v>0.3</v>
      </c>
      <c r="U1641">
        <v>-3</v>
      </c>
      <c r="V1641" s="1" t="s">
        <v>86</v>
      </c>
      <c r="W1641" s="1" t="s">
        <v>80</v>
      </c>
    </row>
    <row r="1642" spans="1:23" x14ac:dyDescent="0.35">
      <c r="A1642">
        <v>7731</v>
      </c>
      <c r="B1642" s="1" t="s">
        <v>3838</v>
      </c>
      <c r="C1642" s="2">
        <v>42899</v>
      </c>
      <c r="D1642" s="2">
        <v>42905</v>
      </c>
      <c r="E1642" s="1" t="s">
        <v>42</v>
      </c>
      <c r="F1642" s="1" t="s">
        <v>3545</v>
      </c>
      <c r="G1642" s="1" t="s">
        <v>3546</v>
      </c>
      <c r="H1642" s="1" t="s">
        <v>103</v>
      </c>
      <c r="I1642" s="1" t="s">
        <v>28</v>
      </c>
      <c r="J1642" s="1" t="s">
        <v>194</v>
      </c>
      <c r="K1642" s="1" t="s">
        <v>195</v>
      </c>
      <c r="L1642">
        <v>98103</v>
      </c>
      <c r="M1642" s="1" t="s">
        <v>57</v>
      </c>
      <c r="N1642" s="1" t="s">
        <v>1620</v>
      </c>
      <c r="O1642" s="1" t="s">
        <v>33</v>
      </c>
      <c r="P1642" s="1" t="s">
        <v>39</v>
      </c>
      <c r="Q1642" s="1" t="s">
        <v>1621</v>
      </c>
      <c r="R1642">
        <v>291</v>
      </c>
      <c r="S1642">
        <v>4</v>
      </c>
      <c r="T1642">
        <v>0.2</v>
      </c>
      <c r="U1642">
        <v>-25</v>
      </c>
      <c r="V1642" s="1" t="s">
        <v>132</v>
      </c>
      <c r="W1642" s="1" t="s">
        <v>62</v>
      </c>
    </row>
    <row r="1643" spans="1:23" x14ac:dyDescent="0.35">
      <c r="A1643">
        <v>7749</v>
      </c>
      <c r="B1643" s="1" t="s">
        <v>3839</v>
      </c>
      <c r="C1643" s="2">
        <v>42173</v>
      </c>
      <c r="D1643" s="2">
        <v>42179</v>
      </c>
      <c r="E1643" s="1" t="s">
        <v>42</v>
      </c>
      <c r="F1643" s="1" t="s">
        <v>455</v>
      </c>
      <c r="G1643" s="1" t="s">
        <v>456</v>
      </c>
      <c r="H1643" s="1" t="s">
        <v>27</v>
      </c>
      <c r="I1643" s="1" t="s">
        <v>28</v>
      </c>
      <c r="J1643" s="1" t="s">
        <v>692</v>
      </c>
      <c r="K1643" s="1" t="s">
        <v>719</v>
      </c>
      <c r="L1643">
        <v>22204</v>
      </c>
      <c r="M1643" s="1" t="s">
        <v>31</v>
      </c>
      <c r="N1643" s="1" t="s">
        <v>2321</v>
      </c>
      <c r="O1643" s="1" t="s">
        <v>33</v>
      </c>
      <c r="P1643" s="1" t="s">
        <v>59</v>
      </c>
      <c r="Q1643" s="1" t="s">
        <v>2322</v>
      </c>
      <c r="R1643">
        <v>61</v>
      </c>
      <c r="S1643">
        <v>3</v>
      </c>
      <c r="T1643">
        <v>0</v>
      </c>
      <c r="U1643">
        <v>19</v>
      </c>
      <c r="V1643" s="1" t="s">
        <v>132</v>
      </c>
      <c r="W1643" s="1" t="s">
        <v>62</v>
      </c>
    </row>
    <row r="1644" spans="1:23" x14ac:dyDescent="0.35">
      <c r="A1644">
        <v>7754</v>
      </c>
      <c r="B1644" s="1" t="s">
        <v>3840</v>
      </c>
      <c r="C1644" s="2">
        <v>42338</v>
      </c>
      <c r="D1644" s="2">
        <v>42341</v>
      </c>
      <c r="E1644" s="1" t="s">
        <v>90</v>
      </c>
      <c r="F1644" s="1" t="s">
        <v>1223</v>
      </c>
      <c r="G1644" s="1" t="s">
        <v>1224</v>
      </c>
      <c r="H1644" s="1" t="s">
        <v>93</v>
      </c>
      <c r="I1644" s="1" t="s">
        <v>28</v>
      </c>
      <c r="J1644" s="1" t="s">
        <v>609</v>
      </c>
      <c r="K1644" s="1" t="s">
        <v>1039</v>
      </c>
      <c r="L1644">
        <v>28540</v>
      </c>
      <c r="M1644" s="1" t="s">
        <v>31</v>
      </c>
      <c r="N1644" s="1" t="s">
        <v>2143</v>
      </c>
      <c r="O1644" s="1" t="s">
        <v>33</v>
      </c>
      <c r="P1644" s="1" t="s">
        <v>59</v>
      </c>
      <c r="Q1644" s="1" t="s">
        <v>2144</v>
      </c>
      <c r="R1644">
        <v>17</v>
      </c>
      <c r="S1644">
        <v>2</v>
      </c>
      <c r="T1644">
        <v>0.2</v>
      </c>
      <c r="U1644">
        <v>1</v>
      </c>
      <c r="V1644" s="1" t="s">
        <v>36</v>
      </c>
      <c r="W1644" s="1" t="s">
        <v>37</v>
      </c>
    </row>
    <row r="1645" spans="1:23" x14ac:dyDescent="0.35">
      <c r="A1645">
        <v>7759</v>
      </c>
      <c r="B1645" s="1" t="s">
        <v>3841</v>
      </c>
      <c r="C1645" s="2">
        <v>43052</v>
      </c>
      <c r="D1645" s="2">
        <v>43055</v>
      </c>
      <c r="E1645" s="1" t="s">
        <v>24</v>
      </c>
      <c r="F1645" s="1" t="s">
        <v>1114</v>
      </c>
      <c r="G1645" s="1" t="s">
        <v>1115</v>
      </c>
      <c r="H1645" s="1" t="s">
        <v>93</v>
      </c>
      <c r="I1645" s="1" t="s">
        <v>28</v>
      </c>
      <c r="J1645" s="1" t="s">
        <v>2957</v>
      </c>
      <c r="K1645" s="1" t="s">
        <v>123</v>
      </c>
      <c r="L1645">
        <v>14215</v>
      </c>
      <c r="M1645" s="1" t="s">
        <v>70</v>
      </c>
      <c r="N1645" s="1" t="s">
        <v>2976</v>
      </c>
      <c r="O1645" s="1" t="s">
        <v>33</v>
      </c>
      <c r="P1645" s="1" t="s">
        <v>59</v>
      </c>
      <c r="Q1645" s="1" t="s">
        <v>2977</v>
      </c>
      <c r="R1645">
        <v>155</v>
      </c>
      <c r="S1645">
        <v>3</v>
      </c>
      <c r="T1645">
        <v>0</v>
      </c>
      <c r="U1645">
        <v>31</v>
      </c>
      <c r="V1645" s="1" t="s">
        <v>36</v>
      </c>
      <c r="W1645" s="1" t="s">
        <v>37</v>
      </c>
    </row>
    <row r="1646" spans="1:23" x14ac:dyDescent="0.35">
      <c r="A1646">
        <v>7766</v>
      </c>
      <c r="B1646" s="1" t="s">
        <v>3842</v>
      </c>
      <c r="C1646" s="2">
        <v>42959</v>
      </c>
      <c r="D1646" s="2">
        <v>42959</v>
      </c>
      <c r="E1646" s="1" t="s">
        <v>428</v>
      </c>
      <c r="F1646" s="1" t="s">
        <v>1938</v>
      </c>
      <c r="G1646" s="1" t="s">
        <v>1939</v>
      </c>
      <c r="H1646" s="1" t="s">
        <v>93</v>
      </c>
      <c r="I1646" s="1" t="s">
        <v>28</v>
      </c>
      <c r="J1646" s="1" t="s">
        <v>160</v>
      </c>
      <c r="K1646" s="1" t="s">
        <v>1092</v>
      </c>
      <c r="L1646">
        <v>21044</v>
      </c>
      <c r="M1646" s="1" t="s">
        <v>70</v>
      </c>
      <c r="N1646" s="1" t="s">
        <v>517</v>
      </c>
      <c r="O1646" s="1" t="s">
        <v>33</v>
      </c>
      <c r="P1646" s="1" t="s">
        <v>39</v>
      </c>
      <c r="Q1646" s="1" t="s">
        <v>518</v>
      </c>
      <c r="R1646">
        <v>1780</v>
      </c>
      <c r="S1646">
        <v>5</v>
      </c>
      <c r="T1646">
        <v>0</v>
      </c>
      <c r="U1646">
        <v>374</v>
      </c>
      <c r="V1646" s="1" t="s">
        <v>433</v>
      </c>
      <c r="W1646" s="1" t="s">
        <v>256</v>
      </c>
    </row>
    <row r="1647" spans="1:23" x14ac:dyDescent="0.35">
      <c r="A1647">
        <v>7784</v>
      </c>
      <c r="B1647" s="1" t="s">
        <v>3843</v>
      </c>
      <c r="C1647" s="2">
        <v>42678</v>
      </c>
      <c r="D1647" s="2">
        <v>42680</v>
      </c>
      <c r="E1647" s="1" t="s">
        <v>24</v>
      </c>
      <c r="F1647" s="1" t="s">
        <v>3844</v>
      </c>
      <c r="G1647" s="1" t="s">
        <v>3845</v>
      </c>
      <c r="H1647" s="1" t="s">
        <v>93</v>
      </c>
      <c r="I1647" s="1" t="s">
        <v>28</v>
      </c>
      <c r="J1647" s="1" t="s">
        <v>1530</v>
      </c>
      <c r="K1647" s="1" t="s">
        <v>1039</v>
      </c>
      <c r="L1647">
        <v>28205</v>
      </c>
      <c r="M1647" s="1" t="s">
        <v>31</v>
      </c>
      <c r="N1647" s="1" t="s">
        <v>371</v>
      </c>
      <c r="O1647" s="1" t="s">
        <v>33</v>
      </c>
      <c r="P1647" s="1" t="s">
        <v>48</v>
      </c>
      <c r="Q1647" s="1" t="s">
        <v>372</v>
      </c>
      <c r="R1647">
        <v>876</v>
      </c>
      <c r="S1647">
        <v>10</v>
      </c>
      <c r="T1647">
        <v>0.4</v>
      </c>
      <c r="U1647">
        <v>-292</v>
      </c>
      <c r="V1647" s="1" t="s">
        <v>73</v>
      </c>
      <c r="W1647" s="1" t="s">
        <v>37</v>
      </c>
    </row>
    <row r="1648" spans="1:23" x14ac:dyDescent="0.35">
      <c r="A1648">
        <v>7789</v>
      </c>
      <c r="B1648" s="1" t="s">
        <v>3846</v>
      </c>
      <c r="C1648" s="2">
        <v>42507</v>
      </c>
      <c r="D1648" s="2">
        <v>42510</v>
      </c>
      <c r="E1648" s="1" t="s">
        <v>90</v>
      </c>
      <c r="F1648" s="1" t="s">
        <v>3847</v>
      </c>
      <c r="G1648" s="1" t="s">
        <v>3848</v>
      </c>
      <c r="H1648" s="1" t="s">
        <v>27</v>
      </c>
      <c r="I1648" s="1" t="s">
        <v>28</v>
      </c>
      <c r="J1648" s="1" t="s">
        <v>136</v>
      </c>
      <c r="K1648" s="1" t="s">
        <v>137</v>
      </c>
      <c r="L1648">
        <v>60653</v>
      </c>
      <c r="M1648" s="1" t="s">
        <v>96</v>
      </c>
      <c r="N1648" s="1" t="s">
        <v>1545</v>
      </c>
      <c r="O1648" s="1" t="s">
        <v>33</v>
      </c>
      <c r="P1648" s="1" t="s">
        <v>59</v>
      </c>
      <c r="Q1648" s="1" t="s">
        <v>1546</v>
      </c>
      <c r="R1648">
        <v>23</v>
      </c>
      <c r="S1648">
        <v>3</v>
      </c>
      <c r="T1648">
        <v>0.6</v>
      </c>
      <c r="U1648">
        <v>-10</v>
      </c>
      <c r="V1648" s="1" t="s">
        <v>36</v>
      </c>
      <c r="W1648" s="1" t="s">
        <v>164</v>
      </c>
    </row>
    <row r="1649" spans="1:23" x14ac:dyDescent="0.35">
      <c r="A1649">
        <v>7800</v>
      </c>
      <c r="B1649" s="1" t="s">
        <v>3849</v>
      </c>
      <c r="C1649" s="2">
        <v>42818</v>
      </c>
      <c r="D1649" s="2">
        <v>42821</v>
      </c>
      <c r="E1649" s="1" t="s">
        <v>90</v>
      </c>
      <c r="F1649" s="1" t="s">
        <v>2034</v>
      </c>
      <c r="G1649" s="1" t="s">
        <v>2035</v>
      </c>
      <c r="H1649" s="1" t="s">
        <v>93</v>
      </c>
      <c r="I1649" s="1" t="s">
        <v>28</v>
      </c>
      <c r="J1649" s="1" t="s">
        <v>176</v>
      </c>
      <c r="K1649" s="1" t="s">
        <v>123</v>
      </c>
      <c r="L1649">
        <v>10035</v>
      </c>
      <c r="M1649" s="1" t="s">
        <v>70</v>
      </c>
      <c r="N1649" s="1" t="s">
        <v>491</v>
      </c>
      <c r="O1649" s="1" t="s">
        <v>33</v>
      </c>
      <c r="P1649" s="1" t="s">
        <v>39</v>
      </c>
      <c r="Q1649" s="1" t="s">
        <v>492</v>
      </c>
      <c r="R1649">
        <v>208</v>
      </c>
      <c r="S1649">
        <v>3</v>
      </c>
      <c r="T1649">
        <v>0.1</v>
      </c>
      <c r="U1649">
        <v>2</v>
      </c>
      <c r="V1649" s="1" t="s">
        <v>36</v>
      </c>
      <c r="W1649" s="1" t="s">
        <v>198</v>
      </c>
    </row>
    <row r="1650" spans="1:23" x14ac:dyDescent="0.35">
      <c r="A1650">
        <v>7802</v>
      </c>
      <c r="B1650" s="1" t="s">
        <v>3850</v>
      </c>
      <c r="C1650" s="2">
        <v>41722</v>
      </c>
      <c r="D1650" s="2">
        <v>41727</v>
      </c>
      <c r="E1650" s="1" t="s">
        <v>24</v>
      </c>
      <c r="F1650" s="1" t="s">
        <v>1165</v>
      </c>
      <c r="G1650" s="1" t="s">
        <v>1166</v>
      </c>
      <c r="H1650" s="1" t="s">
        <v>27</v>
      </c>
      <c r="I1650" s="1" t="s">
        <v>28</v>
      </c>
      <c r="J1650" s="1" t="s">
        <v>1136</v>
      </c>
      <c r="K1650" s="1" t="s">
        <v>56</v>
      </c>
      <c r="L1650">
        <v>93727</v>
      </c>
      <c r="M1650" s="1" t="s">
        <v>57</v>
      </c>
      <c r="N1650" s="1" t="s">
        <v>2968</v>
      </c>
      <c r="O1650" s="1" t="s">
        <v>33</v>
      </c>
      <c r="P1650" s="1" t="s">
        <v>59</v>
      </c>
      <c r="Q1650" s="1" t="s">
        <v>2969</v>
      </c>
      <c r="R1650">
        <v>40</v>
      </c>
      <c r="S1650">
        <v>2</v>
      </c>
      <c r="T1650">
        <v>0</v>
      </c>
      <c r="U1650">
        <v>15</v>
      </c>
      <c r="V1650" s="1" t="s">
        <v>61</v>
      </c>
      <c r="W1650" s="1" t="s">
        <v>198</v>
      </c>
    </row>
    <row r="1651" spans="1:23" x14ac:dyDescent="0.35">
      <c r="A1651">
        <v>7813</v>
      </c>
      <c r="B1651" s="1" t="s">
        <v>3851</v>
      </c>
      <c r="C1651" s="2">
        <v>42414</v>
      </c>
      <c r="D1651" s="2">
        <v>42415</v>
      </c>
      <c r="E1651" s="1" t="s">
        <v>90</v>
      </c>
      <c r="F1651" s="1" t="s">
        <v>192</v>
      </c>
      <c r="G1651" s="1" t="s">
        <v>193</v>
      </c>
      <c r="H1651" s="1" t="s">
        <v>27</v>
      </c>
      <c r="I1651" s="1" t="s">
        <v>28</v>
      </c>
      <c r="J1651" s="1" t="s">
        <v>2525</v>
      </c>
      <c r="K1651" s="1" t="s">
        <v>1092</v>
      </c>
      <c r="L1651">
        <v>20735</v>
      </c>
      <c r="M1651" s="1" t="s">
        <v>70</v>
      </c>
      <c r="N1651" s="1" t="s">
        <v>918</v>
      </c>
      <c r="O1651" s="1" t="s">
        <v>33</v>
      </c>
      <c r="P1651" s="1" t="s">
        <v>48</v>
      </c>
      <c r="Q1651" s="1" t="s">
        <v>919</v>
      </c>
      <c r="R1651">
        <v>550</v>
      </c>
      <c r="S1651">
        <v>3</v>
      </c>
      <c r="T1651">
        <v>0.3</v>
      </c>
      <c r="U1651">
        <v>-47</v>
      </c>
      <c r="V1651" s="1" t="s">
        <v>126</v>
      </c>
      <c r="W1651" s="1" t="s">
        <v>300</v>
      </c>
    </row>
    <row r="1652" spans="1:23" x14ac:dyDescent="0.35">
      <c r="A1652">
        <v>7814</v>
      </c>
      <c r="B1652" s="1" t="s">
        <v>3851</v>
      </c>
      <c r="C1652" s="2">
        <v>42414</v>
      </c>
      <c r="D1652" s="2">
        <v>42415</v>
      </c>
      <c r="E1652" s="1" t="s">
        <v>90</v>
      </c>
      <c r="F1652" s="1" t="s">
        <v>192</v>
      </c>
      <c r="G1652" s="1" t="s">
        <v>193</v>
      </c>
      <c r="H1652" s="1" t="s">
        <v>27</v>
      </c>
      <c r="I1652" s="1" t="s">
        <v>28</v>
      </c>
      <c r="J1652" s="1" t="s">
        <v>2525</v>
      </c>
      <c r="K1652" s="1" t="s">
        <v>1092</v>
      </c>
      <c r="L1652">
        <v>20735</v>
      </c>
      <c r="M1652" s="1" t="s">
        <v>70</v>
      </c>
      <c r="N1652" s="1" t="s">
        <v>340</v>
      </c>
      <c r="O1652" s="1" t="s">
        <v>33</v>
      </c>
      <c r="P1652" s="1" t="s">
        <v>59</v>
      </c>
      <c r="Q1652" s="1" t="s">
        <v>341</v>
      </c>
      <c r="R1652">
        <v>11</v>
      </c>
      <c r="S1652">
        <v>6</v>
      </c>
      <c r="T1652">
        <v>0</v>
      </c>
      <c r="U1652">
        <v>5</v>
      </c>
      <c r="V1652" s="1" t="s">
        <v>126</v>
      </c>
      <c r="W1652" s="1" t="s">
        <v>300</v>
      </c>
    </row>
    <row r="1653" spans="1:23" x14ac:dyDescent="0.35">
      <c r="A1653">
        <v>7815</v>
      </c>
      <c r="B1653" s="1" t="s">
        <v>3852</v>
      </c>
      <c r="C1653" s="2">
        <v>42894</v>
      </c>
      <c r="D1653" s="2">
        <v>42896</v>
      </c>
      <c r="E1653" s="1" t="s">
        <v>90</v>
      </c>
      <c r="F1653" s="1" t="s">
        <v>231</v>
      </c>
      <c r="G1653" s="1" t="s">
        <v>232</v>
      </c>
      <c r="H1653" s="1" t="s">
        <v>103</v>
      </c>
      <c r="I1653" s="1" t="s">
        <v>28</v>
      </c>
      <c r="J1653" s="1" t="s">
        <v>55</v>
      </c>
      <c r="K1653" s="1" t="s">
        <v>56</v>
      </c>
      <c r="L1653">
        <v>90049</v>
      </c>
      <c r="M1653" s="1" t="s">
        <v>57</v>
      </c>
      <c r="N1653" s="1" t="s">
        <v>84</v>
      </c>
      <c r="O1653" s="1" t="s">
        <v>33</v>
      </c>
      <c r="P1653" s="1" t="s">
        <v>34</v>
      </c>
      <c r="Q1653" s="1" t="s">
        <v>85</v>
      </c>
      <c r="R1653">
        <v>1498</v>
      </c>
      <c r="S1653">
        <v>2</v>
      </c>
      <c r="T1653">
        <v>0.15</v>
      </c>
      <c r="U1653">
        <v>141</v>
      </c>
      <c r="V1653" s="1" t="s">
        <v>73</v>
      </c>
      <c r="W1653" s="1" t="s">
        <v>62</v>
      </c>
    </row>
    <row r="1654" spans="1:23" x14ac:dyDescent="0.35">
      <c r="A1654">
        <v>7825</v>
      </c>
      <c r="B1654" s="1" t="s">
        <v>3853</v>
      </c>
      <c r="C1654" s="2">
        <v>41775</v>
      </c>
      <c r="D1654" s="2">
        <v>41782</v>
      </c>
      <c r="E1654" s="1" t="s">
        <v>42</v>
      </c>
      <c r="F1654" s="1" t="s">
        <v>3854</v>
      </c>
      <c r="G1654" s="1" t="s">
        <v>3855</v>
      </c>
      <c r="H1654" s="1" t="s">
        <v>93</v>
      </c>
      <c r="I1654" s="1" t="s">
        <v>28</v>
      </c>
      <c r="J1654" s="1" t="s">
        <v>55</v>
      </c>
      <c r="K1654" s="1" t="s">
        <v>56</v>
      </c>
      <c r="L1654">
        <v>90036</v>
      </c>
      <c r="M1654" s="1" t="s">
        <v>57</v>
      </c>
      <c r="N1654" s="1" t="s">
        <v>1895</v>
      </c>
      <c r="O1654" s="1" t="s">
        <v>33</v>
      </c>
      <c r="P1654" s="1" t="s">
        <v>39</v>
      </c>
      <c r="Q1654" s="1" t="s">
        <v>1896</v>
      </c>
      <c r="R1654">
        <v>233</v>
      </c>
      <c r="S1654">
        <v>5</v>
      </c>
      <c r="T1654">
        <v>0.2</v>
      </c>
      <c r="U1654">
        <v>17</v>
      </c>
      <c r="V1654" s="1" t="s">
        <v>50</v>
      </c>
      <c r="W1654" s="1" t="s">
        <v>164</v>
      </c>
    </row>
    <row r="1655" spans="1:23" x14ac:dyDescent="0.35">
      <c r="A1655">
        <v>7826</v>
      </c>
      <c r="B1655" s="1" t="s">
        <v>3856</v>
      </c>
      <c r="C1655" s="2">
        <v>42038</v>
      </c>
      <c r="D1655" s="2">
        <v>42042</v>
      </c>
      <c r="E1655" s="1" t="s">
        <v>42</v>
      </c>
      <c r="F1655" s="1" t="s">
        <v>3854</v>
      </c>
      <c r="G1655" s="1" t="s">
        <v>3855</v>
      </c>
      <c r="H1655" s="1" t="s">
        <v>93</v>
      </c>
      <c r="I1655" s="1" t="s">
        <v>28</v>
      </c>
      <c r="J1655" s="1" t="s">
        <v>2859</v>
      </c>
      <c r="K1655" s="1" t="s">
        <v>123</v>
      </c>
      <c r="L1655">
        <v>13440</v>
      </c>
      <c r="M1655" s="1" t="s">
        <v>70</v>
      </c>
      <c r="N1655" s="1" t="s">
        <v>107</v>
      </c>
      <c r="O1655" s="1" t="s">
        <v>33</v>
      </c>
      <c r="P1655" s="1" t="s">
        <v>39</v>
      </c>
      <c r="Q1655" s="1" t="s">
        <v>108</v>
      </c>
      <c r="R1655">
        <v>91</v>
      </c>
      <c r="S1655">
        <v>1</v>
      </c>
      <c r="T1655">
        <v>0.1</v>
      </c>
      <c r="U1655">
        <v>15</v>
      </c>
      <c r="V1655" s="1" t="s">
        <v>86</v>
      </c>
      <c r="W1655" s="1" t="s">
        <v>300</v>
      </c>
    </row>
    <row r="1656" spans="1:23" x14ac:dyDescent="0.35">
      <c r="A1656">
        <v>7829</v>
      </c>
      <c r="B1656" s="1" t="s">
        <v>3857</v>
      </c>
      <c r="C1656" s="2">
        <v>42120</v>
      </c>
      <c r="D1656" s="2">
        <v>42125</v>
      </c>
      <c r="E1656" s="1" t="s">
        <v>42</v>
      </c>
      <c r="F1656" s="1" t="s">
        <v>1963</v>
      </c>
      <c r="G1656" s="1" t="s">
        <v>1964</v>
      </c>
      <c r="H1656" s="1" t="s">
        <v>93</v>
      </c>
      <c r="I1656" s="1" t="s">
        <v>28</v>
      </c>
      <c r="J1656" s="1" t="s">
        <v>642</v>
      </c>
      <c r="K1656" s="1" t="s">
        <v>56</v>
      </c>
      <c r="L1656">
        <v>92105</v>
      </c>
      <c r="M1656" s="1" t="s">
        <v>57</v>
      </c>
      <c r="N1656" s="1" t="s">
        <v>2011</v>
      </c>
      <c r="O1656" s="1" t="s">
        <v>33</v>
      </c>
      <c r="P1656" s="1" t="s">
        <v>39</v>
      </c>
      <c r="Q1656" s="1" t="s">
        <v>2012</v>
      </c>
      <c r="R1656">
        <v>64</v>
      </c>
      <c r="S1656">
        <v>3</v>
      </c>
      <c r="T1656">
        <v>0.2</v>
      </c>
      <c r="U1656">
        <v>6</v>
      </c>
      <c r="V1656" s="1" t="s">
        <v>61</v>
      </c>
      <c r="W1656" s="1" t="s">
        <v>116</v>
      </c>
    </row>
    <row r="1657" spans="1:23" x14ac:dyDescent="0.35">
      <c r="A1657">
        <v>7835</v>
      </c>
      <c r="B1657" s="1" t="s">
        <v>3858</v>
      </c>
      <c r="C1657" s="2">
        <v>42107</v>
      </c>
      <c r="D1657" s="2">
        <v>42111</v>
      </c>
      <c r="E1657" s="1" t="s">
        <v>24</v>
      </c>
      <c r="F1657" s="1" t="s">
        <v>2966</v>
      </c>
      <c r="G1657" s="1" t="s">
        <v>2967</v>
      </c>
      <c r="H1657" s="1" t="s">
        <v>27</v>
      </c>
      <c r="I1657" s="1" t="s">
        <v>28</v>
      </c>
      <c r="J1657" s="1" t="s">
        <v>55</v>
      </c>
      <c r="K1657" s="1" t="s">
        <v>56</v>
      </c>
      <c r="L1657">
        <v>90045</v>
      </c>
      <c r="M1657" s="1" t="s">
        <v>57</v>
      </c>
      <c r="N1657" s="1" t="s">
        <v>1287</v>
      </c>
      <c r="O1657" s="1" t="s">
        <v>33</v>
      </c>
      <c r="P1657" s="1" t="s">
        <v>48</v>
      </c>
      <c r="Q1657" s="1" t="s">
        <v>1288</v>
      </c>
      <c r="R1657">
        <v>242</v>
      </c>
      <c r="S1657">
        <v>2</v>
      </c>
      <c r="T1657">
        <v>0.2</v>
      </c>
      <c r="U1657">
        <v>-15</v>
      </c>
      <c r="V1657" s="1" t="s">
        <v>86</v>
      </c>
      <c r="W1657" s="1" t="s">
        <v>116</v>
      </c>
    </row>
    <row r="1658" spans="1:23" x14ac:dyDescent="0.35">
      <c r="A1658">
        <v>7837</v>
      </c>
      <c r="B1658" s="1" t="s">
        <v>3859</v>
      </c>
      <c r="C1658" s="2">
        <v>42272</v>
      </c>
      <c r="D1658" s="2">
        <v>42277</v>
      </c>
      <c r="E1658" s="1" t="s">
        <v>42</v>
      </c>
      <c r="F1658" s="1" t="s">
        <v>2027</v>
      </c>
      <c r="G1658" s="1" t="s">
        <v>2028</v>
      </c>
      <c r="H1658" s="1" t="s">
        <v>93</v>
      </c>
      <c r="I1658" s="1" t="s">
        <v>28</v>
      </c>
      <c r="J1658" s="1" t="s">
        <v>194</v>
      </c>
      <c r="K1658" s="1" t="s">
        <v>195</v>
      </c>
      <c r="L1658">
        <v>98103</v>
      </c>
      <c r="M1658" s="1" t="s">
        <v>57</v>
      </c>
      <c r="N1658" s="1" t="s">
        <v>1282</v>
      </c>
      <c r="O1658" s="1" t="s">
        <v>33</v>
      </c>
      <c r="P1658" s="1" t="s">
        <v>39</v>
      </c>
      <c r="Q1658" s="1" t="s">
        <v>1283</v>
      </c>
      <c r="R1658">
        <v>307</v>
      </c>
      <c r="S1658">
        <v>4</v>
      </c>
      <c r="T1658">
        <v>0.2</v>
      </c>
      <c r="U1658">
        <v>-12</v>
      </c>
      <c r="V1658" s="1" t="s">
        <v>61</v>
      </c>
      <c r="W1658" s="1" t="s">
        <v>80</v>
      </c>
    </row>
    <row r="1659" spans="1:23" x14ac:dyDescent="0.35">
      <c r="A1659">
        <v>7841</v>
      </c>
      <c r="B1659" s="1" t="s">
        <v>3860</v>
      </c>
      <c r="C1659" s="2">
        <v>41726</v>
      </c>
      <c r="D1659" s="2">
        <v>41731</v>
      </c>
      <c r="E1659" s="1" t="s">
        <v>42</v>
      </c>
      <c r="F1659" s="1" t="s">
        <v>3131</v>
      </c>
      <c r="G1659" s="1" t="s">
        <v>3132</v>
      </c>
      <c r="H1659" s="1" t="s">
        <v>27</v>
      </c>
      <c r="I1659" s="1" t="s">
        <v>28</v>
      </c>
      <c r="J1659" s="1" t="s">
        <v>803</v>
      </c>
      <c r="K1659" s="1" t="s">
        <v>804</v>
      </c>
      <c r="L1659">
        <v>50315</v>
      </c>
      <c r="M1659" s="1" t="s">
        <v>96</v>
      </c>
      <c r="N1659" s="1" t="s">
        <v>1674</v>
      </c>
      <c r="O1659" s="1" t="s">
        <v>33</v>
      </c>
      <c r="P1659" s="1" t="s">
        <v>48</v>
      </c>
      <c r="Q1659" s="1" t="s">
        <v>1675</v>
      </c>
      <c r="R1659">
        <v>1185</v>
      </c>
      <c r="S1659">
        <v>4</v>
      </c>
      <c r="T1659">
        <v>0</v>
      </c>
      <c r="U1659">
        <v>107</v>
      </c>
      <c r="V1659" s="1" t="s">
        <v>61</v>
      </c>
      <c r="W1659" s="1" t="s">
        <v>198</v>
      </c>
    </row>
    <row r="1660" spans="1:23" x14ac:dyDescent="0.35">
      <c r="A1660">
        <v>7845</v>
      </c>
      <c r="B1660" s="1" t="s">
        <v>3861</v>
      </c>
      <c r="C1660" s="2">
        <v>42937</v>
      </c>
      <c r="D1660" s="2">
        <v>42941</v>
      </c>
      <c r="E1660" s="1" t="s">
        <v>42</v>
      </c>
      <c r="F1660" s="1" t="s">
        <v>3862</v>
      </c>
      <c r="G1660" s="1" t="s">
        <v>3863</v>
      </c>
      <c r="H1660" s="1" t="s">
        <v>27</v>
      </c>
      <c r="I1660" s="1" t="s">
        <v>28</v>
      </c>
      <c r="J1660" s="1" t="s">
        <v>2246</v>
      </c>
      <c r="K1660" s="1" t="s">
        <v>95</v>
      </c>
      <c r="L1660">
        <v>78577</v>
      </c>
      <c r="M1660" s="1" t="s">
        <v>96</v>
      </c>
      <c r="N1660" s="1" t="s">
        <v>1252</v>
      </c>
      <c r="O1660" s="1" t="s">
        <v>33</v>
      </c>
      <c r="P1660" s="1" t="s">
        <v>48</v>
      </c>
      <c r="Q1660" s="1" t="s">
        <v>1253</v>
      </c>
      <c r="R1660">
        <v>124</v>
      </c>
      <c r="S1660">
        <v>4</v>
      </c>
      <c r="T1660">
        <v>0.3</v>
      </c>
      <c r="U1660">
        <v>-21</v>
      </c>
      <c r="V1660" s="1" t="s">
        <v>86</v>
      </c>
      <c r="W1660" s="1" t="s">
        <v>74</v>
      </c>
    </row>
    <row r="1661" spans="1:23" x14ac:dyDescent="0.35">
      <c r="A1661">
        <v>7848</v>
      </c>
      <c r="B1661" s="1" t="s">
        <v>3864</v>
      </c>
      <c r="C1661" s="2">
        <v>42427</v>
      </c>
      <c r="D1661" s="2">
        <v>42431</v>
      </c>
      <c r="E1661" s="1" t="s">
        <v>42</v>
      </c>
      <c r="F1661" s="1" t="s">
        <v>3865</v>
      </c>
      <c r="G1661" s="1" t="s">
        <v>3866</v>
      </c>
      <c r="H1661" s="1" t="s">
        <v>27</v>
      </c>
      <c r="I1661" s="1" t="s">
        <v>28</v>
      </c>
      <c r="J1661" s="1" t="s">
        <v>104</v>
      </c>
      <c r="K1661" s="1" t="s">
        <v>95</v>
      </c>
      <c r="L1661">
        <v>77070</v>
      </c>
      <c r="M1661" s="1" t="s">
        <v>96</v>
      </c>
      <c r="N1661" s="1" t="s">
        <v>2798</v>
      </c>
      <c r="O1661" s="1" t="s">
        <v>33</v>
      </c>
      <c r="P1661" s="1" t="s">
        <v>59</v>
      </c>
      <c r="Q1661" s="1" t="s">
        <v>2799</v>
      </c>
      <c r="R1661">
        <v>16</v>
      </c>
      <c r="S1661">
        <v>2</v>
      </c>
      <c r="T1661">
        <v>0.6</v>
      </c>
      <c r="U1661">
        <v>-7</v>
      </c>
      <c r="V1661" s="1" t="s">
        <v>86</v>
      </c>
      <c r="W1661" s="1" t="s">
        <v>300</v>
      </c>
    </row>
    <row r="1662" spans="1:23" x14ac:dyDescent="0.35">
      <c r="A1662">
        <v>7866</v>
      </c>
      <c r="B1662" s="1" t="s">
        <v>3867</v>
      </c>
      <c r="C1662" s="2">
        <v>42199</v>
      </c>
      <c r="D1662" s="2">
        <v>42204</v>
      </c>
      <c r="E1662" s="1" t="s">
        <v>24</v>
      </c>
      <c r="F1662" s="1" t="s">
        <v>3868</v>
      </c>
      <c r="G1662" s="1" t="s">
        <v>3869</v>
      </c>
      <c r="H1662" s="1" t="s">
        <v>27</v>
      </c>
      <c r="I1662" s="1" t="s">
        <v>28</v>
      </c>
      <c r="J1662" s="1" t="s">
        <v>917</v>
      </c>
      <c r="K1662" s="1" t="s">
        <v>523</v>
      </c>
      <c r="L1662">
        <v>85204</v>
      </c>
      <c r="M1662" s="1" t="s">
        <v>57</v>
      </c>
      <c r="N1662" s="1" t="s">
        <v>249</v>
      </c>
      <c r="O1662" s="1" t="s">
        <v>33</v>
      </c>
      <c r="P1662" s="1" t="s">
        <v>39</v>
      </c>
      <c r="Q1662" s="1" t="s">
        <v>250</v>
      </c>
      <c r="R1662">
        <v>442</v>
      </c>
      <c r="S1662">
        <v>2</v>
      </c>
      <c r="T1662">
        <v>0.2</v>
      </c>
      <c r="U1662">
        <v>50</v>
      </c>
      <c r="V1662" s="1" t="s">
        <v>61</v>
      </c>
      <c r="W1662" s="1" t="s">
        <v>74</v>
      </c>
    </row>
    <row r="1663" spans="1:23" x14ac:dyDescent="0.35">
      <c r="A1663">
        <v>7867</v>
      </c>
      <c r="B1663" s="1" t="s">
        <v>3867</v>
      </c>
      <c r="C1663" s="2">
        <v>42199</v>
      </c>
      <c r="D1663" s="2">
        <v>42204</v>
      </c>
      <c r="E1663" s="1" t="s">
        <v>24</v>
      </c>
      <c r="F1663" s="1" t="s">
        <v>3868</v>
      </c>
      <c r="G1663" s="1" t="s">
        <v>3869</v>
      </c>
      <c r="H1663" s="1" t="s">
        <v>27</v>
      </c>
      <c r="I1663" s="1" t="s">
        <v>28</v>
      </c>
      <c r="J1663" s="1" t="s">
        <v>917</v>
      </c>
      <c r="K1663" s="1" t="s">
        <v>523</v>
      </c>
      <c r="L1663">
        <v>85204</v>
      </c>
      <c r="M1663" s="1" t="s">
        <v>57</v>
      </c>
      <c r="N1663" s="1" t="s">
        <v>2482</v>
      </c>
      <c r="O1663" s="1" t="s">
        <v>33</v>
      </c>
      <c r="P1663" s="1" t="s">
        <v>34</v>
      </c>
      <c r="Q1663" s="1" t="s">
        <v>2483</v>
      </c>
      <c r="R1663">
        <v>128</v>
      </c>
      <c r="S1663">
        <v>6</v>
      </c>
      <c r="T1663">
        <v>0.7</v>
      </c>
      <c r="U1663">
        <v>-192</v>
      </c>
      <c r="V1663" s="1" t="s">
        <v>61</v>
      </c>
      <c r="W1663" s="1" t="s">
        <v>74</v>
      </c>
    </row>
    <row r="1664" spans="1:23" x14ac:dyDescent="0.35">
      <c r="A1664">
        <v>7873</v>
      </c>
      <c r="B1664" s="1" t="s">
        <v>3870</v>
      </c>
      <c r="C1664" s="2">
        <v>42646</v>
      </c>
      <c r="D1664" s="2">
        <v>42650</v>
      </c>
      <c r="E1664" s="1" t="s">
        <v>42</v>
      </c>
      <c r="F1664" s="1" t="s">
        <v>2304</v>
      </c>
      <c r="G1664" s="1" t="s">
        <v>2305</v>
      </c>
      <c r="H1664" s="1" t="s">
        <v>103</v>
      </c>
      <c r="I1664" s="1" t="s">
        <v>28</v>
      </c>
      <c r="J1664" s="1" t="s">
        <v>3268</v>
      </c>
      <c r="K1664" s="1" t="s">
        <v>56</v>
      </c>
      <c r="L1664">
        <v>92630</v>
      </c>
      <c r="M1664" s="1" t="s">
        <v>57</v>
      </c>
      <c r="N1664" s="1" t="s">
        <v>209</v>
      </c>
      <c r="O1664" s="1" t="s">
        <v>33</v>
      </c>
      <c r="P1664" s="1" t="s">
        <v>39</v>
      </c>
      <c r="Q1664" s="1" t="s">
        <v>210</v>
      </c>
      <c r="R1664">
        <v>915</v>
      </c>
      <c r="S1664">
        <v>4</v>
      </c>
      <c r="T1664">
        <v>0.2</v>
      </c>
      <c r="U1664">
        <v>103</v>
      </c>
      <c r="V1664" s="1" t="s">
        <v>86</v>
      </c>
      <c r="W1664" s="1" t="s">
        <v>51</v>
      </c>
    </row>
    <row r="1665" spans="1:23" x14ac:dyDescent="0.35">
      <c r="A1665">
        <v>7879</v>
      </c>
      <c r="B1665" s="1" t="s">
        <v>3871</v>
      </c>
      <c r="C1665" s="2">
        <v>42703</v>
      </c>
      <c r="D1665" s="2">
        <v>42708</v>
      </c>
      <c r="E1665" s="1" t="s">
        <v>24</v>
      </c>
      <c r="F1665" s="1" t="s">
        <v>2116</v>
      </c>
      <c r="G1665" s="1" t="s">
        <v>2117</v>
      </c>
      <c r="H1665" s="1" t="s">
        <v>103</v>
      </c>
      <c r="I1665" s="1" t="s">
        <v>28</v>
      </c>
      <c r="J1665" s="1" t="s">
        <v>182</v>
      </c>
      <c r="K1665" s="1" t="s">
        <v>137</v>
      </c>
      <c r="L1665">
        <v>60505</v>
      </c>
      <c r="M1665" s="1" t="s">
        <v>96</v>
      </c>
      <c r="N1665" s="1" t="s">
        <v>3679</v>
      </c>
      <c r="O1665" s="1" t="s">
        <v>33</v>
      </c>
      <c r="P1665" s="1" t="s">
        <v>59</v>
      </c>
      <c r="Q1665" s="1" t="s">
        <v>3680</v>
      </c>
      <c r="R1665">
        <v>242</v>
      </c>
      <c r="S1665">
        <v>4</v>
      </c>
      <c r="T1665">
        <v>0.6</v>
      </c>
      <c r="U1665">
        <v>-303</v>
      </c>
      <c r="V1665" s="1" t="s">
        <v>61</v>
      </c>
      <c r="W1665" s="1" t="s">
        <v>37</v>
      </c>
    </row>
    <row r="1666" spans="1:23" x14ac:dyDescent="0.35">
      <c r="A1666">
        <v>7880</v>
      </c>
      <c r="B1666" s="1" t="s">
        <v>3872</v>
      </c>
      <c r="C1666" s="2">
        <v>42535</v>
      </c>
      <c r="D1666" s="2">
        <v>42542</v>
      </c>
      <c r="E1666" s="1" t="s">
        <v>42</v>
      </c>
      <c r="F1666" s="1" t="s">
        <v>3873</v>
      </c>
      <c r="G1666" s="1" t="s">
        <v>3874</v>
      </c>
      <c r="H1666" s="1" t="s">
        <v>93</v>
      </c>
      <c r="I1666" s="1" t="s">
        <v>28</v>
      </c>
      <c r="J1666" s="1" t="s">
        <v>68</v>
      </c>
      <c r="K1666" s="1" t="s">
        <v>69</v>
      </c>
      <c r="L1666">
        <v>19140</v>
      </c>
      <c r="M1666" s="1" t="s">
        <v>70</v>
      </c>
      <c r="N1666" s="1" t="s">
        <v>2822</v>
      </c>
      <c r="O1666" s="1" t="s">
        <v>33</v>
      </c>
      <c r="P1666" s="1" t="s">
        <v>48</v>
      </c>
      <c r="Q1666" s="1" t="s">
        <v>2823</v>
      </c>
      <c r="R1666">
        <v>337</v>
      </c>
      <c r="S1666">
        <v>2</v>
      </c>
      <c r="T1666">
        <v>0.4</v>
      </c>
      <c r="U1666">
        <v>-118</v>
      </c>
      <c r="V1666" s="1" t="s">
        <v>50</v>
      </c>
      <c r="W1666" s="1" t="s">
        <v>62</v>
      </c>
    </row>
    <row r="1667" spans="1:23" x14ac:dyDescent="0.35">
      <c r="A1667">
        <v>7886</v>
      </c>
      <c r="B1667" s="1" t="s">
        <v>3875</v>
      </c>
      <c r="C1667" s="2">
        <v>43072</v>
      </c>
      <c r="D1667" s="2">
        <v>43075</v>
      </c>
      <c r="E1667" s="1" t="s">
        <v>24</v>
      </c>
      <c r="F1667" s="1" t="s">
        <v>180</v>
      </c>
      <c r="G1667" s="1" t="s">
        <v>181</v>
      </c>
      <c r="H1667" s="1" t="s">
        <v>27</v>
      </c>
      <c r="I1667" s="1" t="s">
        <v>28</v>
      </c>
      <c r="J1667" s="1" t="s">
        <v>3876</v>
      </c>
      <c r="K1667" s="1" t="s">
        <v>183</v>
      </c>
      <c r="L1667">
        <v>80229</v>
      </c>
      <c r="M1667" s="1" t="s">
        <v>57</v>
      </c>
      <c r="N1667" s="1" t="s">
        <v>318</v>
      </c>
      <c r="O1667" s="1" t="s">
        <v>33</v>
      </c>
      <c r="P1667" s="1" t="s">
        <v>59</v>
      </c>
      <c r="Q1667" s="1" t="s">
        <v>319</v>
      </c>
      <c r="R1667">
        <v>23</v>
      </c>
      <c r="S1667">
        <v>3</v>
      </c>
      <c r="T1667">
        <v>0.2</v>
      </c>
      <c r="U1667">
        <v>7</v>
      </c>
      <c r="V1667" s="1" t="s">
        <v>36</v>
      </c>
      <c r="W1667" s="1" t="s">
        <v>99</v>
      </c>
    </row>
    <row r="1668" spans="1:23" x14ac:dyDescent="0.35">
      <c r="A1668">
        <v>7887</v>
      </c>
      <c r="B1668" s="1" t="s">
        <v>3875</v>
      </c>
      <c r="C1668" s="2">
        <v>43072</v>
      </c>
      <c r="D1668" s="2">
        <v>43075</v>
      </c>
      <c r="E1668" s="1" t="s">
        <v>24</v>
      </c>
      <c r="F1668" s="1" t="s">
        <v>180</v>
      </c>
      <c r="G1668" s="1" t="s">
        <v>181</v>
      </c>
      <c r="H1668" s="1" t="s">
        <v>27</v>
      </c>
      <c r="I1668" s="1" t="s">
        <v>28</v>
      </c>
      <c r="J1668" s="1" t="s">
        <v>3876</v>
      </c>
      <c r="K1668" s="1" t="s">
        <v>183</v>
      </c>
      <c r="L1668">
        <v>80229</v>
      </c>
      <c r="M1668" s="1" t="s">
        <v>57</v>
      </c>
      <c r="N1668" s="1" t="s">
        <v>1314</v>
      </c>
      <c r="O1668" s="1" t="s">
        <v>33</v>
      </c>
      <c r="P1668" s="1" t="s">
        <v>59</v>
      </c>
      <c r="Q1668" s="1" t="s">
        <v>1315</v>
      </c>
      <c r="R1668">
        <v>17</v>
      </c>
      <c r="S1668">
        <v>5</v>
      </c>
      <c r="T1668">
        <v>0.2</v>
      </c>
      <c r="U1668">
        <v>3</v>
      </c>
      <c r="V1668" s="1" t="s">
        <v>36</v>
      </c>
      <c r="W1668" s="1" t="s">
        <v>99</v>
      </c>
    </row>
    <row r="1669" spans="1:23" x14ac:dyDescent="0.35">
      <c r="A1669">
        <v>7888</v>
      </c>
      <c r="B1669" s="1" t="s">
        <v>3875</v>
      </c>
      <c r="C1669" s="2">
        <v>43072</v>
      </c>
      <c r="D1669" s="2">
        <v>43075</v>
      </c>
      <c r="E1669" s="1" t="s">
        <v>24</v>
      </c>
      <c r="F1669" s="1" t="s">
        <v>180</v>
      </c>
      <c r="G1669" s="1" t="s">
        <v>181</v>
      </c>
      <c r="H1669" s="1" t="s">
        <v>27</v>
      </c>
      <c r="I1669" s="1" t="s">
        <v>28</v>
      </c>
      <c r="J1669" s="1" t="s">
        <v>3876</v>
      </c>
      <c r="K1669" s="1" t="s">
        <v>183</v>
      </c>
      <c r="L1669">
        <v>80229</v>
      </c>
      <c r="M1669" s="1" t="s">
        <v>57</v>
      </c>
      <c r="N1669" s="1" t="s">
        <v>2798</v>
      </c>
      <c r="O1669" s="1" t="s">
        <v>33</v>
      </c>
      <c r="P1669" s="1" t="s">
        <v>59</v>
      </c>
      <c r="Q1669" s="1" t="s">
        <v>2799</v>
      </c>
      <c r="R1669">
        <v>16</v>
      </c>
      <c r="S1669">
        <v>1</v>
      </c>
      <c r="T1669">
        <v>0.2</v>
      </c>
      <c r="U1669">
        <v>5</v>
      </c>
      <c r="V1669" s="1" t="s">
        <v>36</v>
      </c>
      <c r="W1669" s="1" t="s">
        <v>99</v>
      </c>
    </row>
    <row r="1670" spans="1:23" x14ac:dyDescent="0.35">
      <c r="A1670">
        <v>7892</v>
      </c>
      <c r="B1670" s="1" t="s">
        <v>3877</v>
      </c>
      <c r="C1670" s="2">
        <v>42729</v>
      </c>
      <c r="D1670" s="2">
        <v>42733</v>
      </c>
      <c r="E1670" s="1" t="s">
        <v>42</v>
      </c>
      <c r="F1670" s="1" t="s">
        <v>3878</v>
      </c>
      <c r="G1670" s="1" t="s">
        <v>3879</v>
      </c>
      <c r="H1670" s="1" t="s">
        <v>27</v>
      </c>
      <c r="I1670" s="1" t="s">
        <v>28</v>
      </c>
      <c r="J1670" s="1" t="s">
        <v>1914</v>
      </c>
      <c r="K1670" s="1" t="s">
        <v>1061</v>
      </c>
      <c r="L1670">
        <v>72701</v>
      </c>
      <c r="M1670" s="1" t="s">
        <v>31</v>
      </c>
      <c r="N1670" s="1" t="s">
        <v>708</v>
      </c>
      <c r="O1670" s="1" t="s">
        <v>33</v>
      </c>
      <c r="P1670" s="1" t="s">
        <v>59</v>
      </c>
      <c r="Q1670" s="1" t="s">
        <v>709</v>
      </c>
      <c r="R1670">
        <v>344</v>
      </c>
      <c r="S1670">
        <v>5</v>
      </c>
      <c r="T1670">
        <v>0</v>
      </c>
      <c r="U1670">
        <v>138</v>
      </c>
      <c r="V1670" s="1" t="s">
        <v>86</v>
      </c>
      <c r="W1670" s="1" t="s">
        <v>99</v>
      </c>
    </row>
    <row r="1671" spans="1:23" x14ac:dyDescent="0.35">
      <c r="A1671">
        <v>7902</v>
      </c>
      <c r="B1671" s="1" t="s">
        <v>3880</v>
      </c>
      <c r="C1671" s="2">
        <v>42960</v>
      </c>
      <c r="D1671" s="2">
        <v>42965</v>
      </c>
      <c r="E1671" s="1" t="s">
        <v>42</v>
      </c>
      <c r="F1671" s="1" t="s">
        <v>3881</v>
      </c>
      <c r="G1671" s="1" t="s">
        <v>3882</v>
      </c>
      <c r="H1671" s="1" t="s">
        <v>27</v>
      </c>
      <c r="I1671" s="1" t="s">
        <v>28</v>
      </c>
      <c r="J1671" s="1" t="s">
        <v>143</v>
      </c>
      <c r="K1671" s="1" t="s">
        <v>144</v>
      </c>
      <c r="L1671">
        <v>38109</v>
      </c>
      <c r="M1671" s="1" t="s">
        <v>31</v>
      </c>
      <c r="N1671" s="1" t="s">
        <v>1126</v>
      </c>
      <c r="O1671" s="1" t="s">
        <v>33</v>
      </c>
      <c r="P1671" s="1" t="s">
        <v>59</v>
      </c>
      <c r="Q1671" s="1" t="s">
        <v>1127</v>
      </c>
      <c r="R1671">
        <v>32</v>
      </c>
      <c r="S1671">
        <v>1</v>
      </c>
      <c r="T1671">
        <v>0.2</v>
      </c>
      <c r="U1671">
        <v>0</v>
      </c>
      <c r="V1671" s="1" t="s">
        <v>61</v>
      </c>
      <c r="W1671" s="1" t="s">
        <v>256</v>
      </c>
    </row>
    <row r="1672" spans="1:23" x14ac:dyDescent="0.35">
      <c r="A1672">
        <v>7904</v>
      </c>
      <c r="B1672" s="1" t="s">
        <v>3880</v>
      </c>
      <c r="C1672" s="2">
        <v>42960</v>
      </c>
      <c r="D1672" s="2">
        <v>42965</v>
      </c>
      <c r="E1672" s="1" t="s">
        <v>42</v>
      </c>
      <c r="F1672" s="1" t="s">
        <v>3881</v>
      </c>
      <c r="G1672" s="1" t="s">
        <v>3882</v>
      </c>
      <c r="H1672" s="1" t="s">
        <v>27</v>
      </c>
      <c r="I1672" s="1" t="s">
        <v>28</v>
      </c>
      <c r="J1672" s="1" t="s">
        <v>143</v>
      </c>
      <c r="K1672" s="1" t="s">
        <v>144</v>
      </c>
      <c r="L1672">
        <v>38109</v>
      </c>
      <c r="M1672" s="1" t="s">
        <v>31</v>
      </c>
      <c r="N1672" s="1" t="s">
        <v>3594</v>
      </c>
      <c r="O1672" s="1" t="s">
        <v>33</v>
      </c>
      <c r="P1672" s="1" t="s">
        <v>39</v>
      </c>
      <c r="Q1672" s="1" t="s">
        <v>3595</v>
      </c>
      <c r="R1672">
        <v>424</v>
      </c>
      <c r="S1672">
        <v>2</v>
      </c>
      <c r="T1672">
        <v>0.2</v>
      </c>
      <c r="U1672">
        <v>48</v>
      </c>
      <c r="V1672" s="1" t="s">
        <v>61</v>
      </c>
      <c r="W1672" s="1" t="s">
        <v>256</v>
      </c>
    </row>
    <row r="1673" spans="1:23" x14ac:dyDescent="0.35">
      <c r="A1673">
        <v>7909</v>
      </c>
      <c r="B1673" s="1" t="s">
        <v>3883</v>
      </c>
      <c r="C1673" s="2">
        <v>42707</v>
      </c>
      <c r="D1673" s="2">
        <v>42711</v>
      </c>
      <c r="E1673" s="1" t="s">
        <v>42</v>
      </c>
      <c r="F1673" s="1" t="s">
        <v>2856</v>
      </c>
      <c r="G1673" s="1" t="s">
        <v>2857</v>
      </c>
      <c r="H1673" s="1" t="s">
        <v>27</v>
      </c>
      <c r="I1673" s="1" t="s">
        <v>28</v>
      </c>
      <c r="J1673" s="1" t="s">
        <v>3884</v>
      </c>
      <c r="K1673" s="1" t="s">
        <v>56</v>
      </c>
      <c r="L1673">
        <v>95037</v>
      </c>
      <c r="M1673" s="1" t="s">
        <v>57</v>
      </c>
      <c r="N1673" s="1" t="s">
        <v>1043</v>
      </c>
      <c r="O1673" s="1" t="s">
        <v>33</v>
      </c>
      <c r="P1673" s="1" t="s">
        <v>48</v>
      </c>
      <c r="Q1673" s="1" t="s">
        <v>1044</v>
      </c>
      <c r="R1673">
        <v>269</v>
      </c>
      <c r="S1673">
        <v>3</v>
      </c>
      <c r="T1673">
        <v>0.2</v>
      </c>
      <c r="U1673">
        <v>7</v>
      </c>
      <c r="V1673" s="1" t="s">
        <v>86</v>
      </c>
      <c r="W1673" s="1" t="s">
        <v>99</v>
      </c>
    </row>
    <row r="1674" spans="1:23" x14ac:dyDescent="0.35">
      <c r="A1674">
        <v>7912</v>
      </c>
      <c r="B1674" s="1" t="s">
        <v>3883</v>
      </c>
      <c r="C1674" s="2">
        <v>42707</v>
      </c>
      <c r="D1674" s="2">
        <v>42711</v>
      </c>
      <c r="E1674" s="1" t="s">
        <v>42</v>
      </c>
      <c r="F1674" s="1" t="s">
        <v>2856</v>
      </c>
      <c r="G1674" s="1" t="s">
        <v>2857</v>
      </c>
      <c r="H1674" s="1" t="s">
        <v>27</v>
      </c>
      <c r="I1674" s="1" t="s">
        <v>28</v>
      </c>
      <c r="J1674" s="1" t="s">
        <v>3884</v>
      </c>
      <c r="K1674" s="1" t="s">
        <v>56</v>
      </c>
      <c r="L1674">
        <v>95037</v>
      </c>
      <c r="M1674" s="1" t="s">
        <v>57</v>
      </c>
      <c r="N1674" s="1" t="s">
        <v>545</v>
      </c>
      <c r="O1674" s="1" t="s">
        <v>33</v>
      </c>
      <c r="P1674" s="1" t="s">
        <v>34</v>
      </c>
      <c r="Q1674" s="1" t="s">
        <v>546</v>
      </c>
      <c r="R1674">
        <v>206</v>
      </c>
      <c r="S1674">
        <v>2</v>
      </c>
      <c r="T1674">
        <v>0.15</v>
      </c>
      <c r="U1674">
        <v>-12</v>
      </c>
      <c r="V1674" s="1" t="s">
        <v>86</v>
      </c>
      <c r="W1674" s="1" t="s">
        <v>99</v>
      </c>
    </row>
    <row r="1675" spans="1:23" x14ac:dyDescent="0.35">
      <c r="A1675">
        <v>7913</v>
      </c>
      <c r="B1675" s="1" t="s">
        <v>3885</v>
      </c>
      <c r="C1675" s="2">
        <v>42488</v>
      </c>
      <c r="D1675" s="2">
        <v>42490</v>
      </c>
      <c r="E1675" s="1" t="s">
        <v>24</v>
      </c>
      <c r="F1675" s="1" t="s">
        <v>3792</v>
      </c>
      <c r="G1675" s="1" t="s">
        <v>3793</v>
      </c>
      <c r="H1675" s="1" t="s">
        <v>27</v>
      </c>
      <c r="I1675" s="1" t="s">
        <v>28</v>
      </c>
      <c r="J1675" s="1" t="s">
        <v>3660</v>
      </c>
      <c r="K1675" s="1" t="s">
        <v>137</v>
      </c>
      <c r="L1675">
        <v>60174</v>
      </c>
      <c r="M1675" s="1" t="s">
        <v>96</v>
      </c>
      <c r="N1675" s="1" t="s">
        <v>970</v>
      </c>
      <c r="O1675" s="1" t="s">
        <v>33</v>
      </c>
      <c r="P1675" s="1" t="s">
        <v>59</v>
      </c>
      <c r="Q1675" s="1" t="s">
        <v>971</v>
      </c>
      <c r="R1675">
        <v>30</v>
      </c>
      <c r="S1675">
        <v>2</v>
      </c>
      <c r="T1675">
        <v>0.6</v>
      </c>
      <c r="U1675">
        <v>-32</v>
      </c>
      <c r="V1675" s="1" t="s">
        <v>73</v>
      </c>
      <c r="W1675" s="1" t="s">
        <v>116</v>
      </c>
    </row>
    <row r="1676" spans="1:23" x14ac:dyDescent="0.35">
      <c r="A1676">
        <v>7917</v>
      </c>
      <c r="B1676" s="1" t="s">
        <v>3886</v>
      </c>
      <c r="C1676" s="2">
        <v>42328</v>
      </c>
      <c r="D1676" s="2">
        <v>42332</v>
      </c>
      <c r="E1676" s="1" t="s">
        <v>42</v>
      </c>
      <c r="F1676" s="1" t="s">
        <v>3887</v>
      </c>
      <c r="G1676" s="1" t="s">
        <v>3888</v>
      </c>
      <c r="H1676" s="1" t="s">
        <v>103</v>
      </c>
      <c r="I1676" s="1" t="s">
        <v>28</v>
      </c>
      <c r="J1676" s="1" t="s">
        <v>68</v>
      </c>
      <c r="K1676" s="1" t="s">
        <v>69</v>
      </c>
      <c r="L1676">
        <v>19140</v>
      </c>
      <c r="M1676" s="1" t="s">
        <v>70</v>
      </c>
      <c r="N1676" s="1" t="s">
        <v>1031</v>
      </c>
      <c r="O1676" s="1" t="s">
        <v>33</v>
      </c>
      <c r="P1676" s="1" t="s">
        <v>39</v>
      </c>
      <c r="Q1676" s="1" t="s">
        <v>1032</v>
      </c>
      <c r="R1676">
        <v>344</v>
      </c>
      <c r="S1676">
        <v>4</v>
      </c>
      <c r="T1676">
        <v>0.3</v>
      </c>
      <c r="U1676">
        <v>-93</v>
      </c>
      <c r="V1676" s="1" t="s">
        <v>86</v>
      </c>
      <c r="W1676" s="1" t="s">
        <v>37</v>
      </c>
    </row>
    <row r="1677" spans="1:23" x14ac:dyDescent="0.35">
      <c r="A1677">
        <v>7929</v>
      </c>
      <c r="B1677" s="1" t="s">
        <v>3889</v>
      </c>
      <c r="C1677" s="2">
        <v>43059</v>
      </c>
      <c r="D1677" s="2">
        <v>43063</v>
      </c>
      <c r="E1677" s="1" t="s">
        <v>24</v>
      </c>
      <c r="F1677" s="1" t="s">
        <v>1532</v>
      </c>
      <c r="G1677" s="1" t="s">
        <v>1533</v>
      </c>
      <c r="H1677" s="1" t="s">
        <v>93</v>
      </c>
      <c r="I1677" s="1" t="s">
        <v>28</v>
      </c>
      <c r="J1677" s="1" t="s">
        <v>176</v>
      </c>
      <c r="K1677" s="1" t="s">
        <v>123</v>
      </c>
      <c r="L1677">
        <v>10035</v>
      </c>
      <c r="M1677" s="1" t="s">
        <v>70</v>
      </c>
      <c r="N1677" s="1" t="s">
        <v>3548</v>
      </c>
      <c r="O1677" s="1" t="s">
        <v>33</v>
      </c>
      <c r="P1677" s="1" t="s">
        <v>59</v>
      </c>
      <c r="Q1677" s="1" t="s">
        <v>3549</v>
      </c>
      <c r="R1677">
        <v>51</v>
      </c>
      <c r="S1677">
        <v>3</v>
      </c>
      <c r="T1677">
        <v>0</v>
      </c>
      <c r="U1677">
        <v>9</v>
      </c>
      <c r="V1677" s="1" t="s">
        <v>86</v>
      </c>
      <c r="W1677" s="1" t="s">
        <v>37</v>
      </c>
    </row>
    <row r="1678" spans="1:23" x14ac:dyDescent="0.35">
      <c r="A1678">
        <v>7930</v>
      </c>
      <c r="B1678" s="1" t="s">
        <v>3890</v>
      </c>
      <c r="C1678" s="2">
        <v>42941</v>
      </c>
      <c r="D1678" s="2">
        <v>42943</v>
      </c>
      <c r="E1678" s="1" t="s">
        <v>90</v>
      </c>
      <c r="F1678" s="1" t="s">
        <v>3891</v>
      </c>
      <c r="G1678" s="1" t="s">
        <v>3892</v>
      </c>
      <c r="H1678" s="1" t="s">
        <v>103</v>
      </c>
      <c r="I1678" s="1" t="s">
        <v>28</v>
      </c>
      <c r="J1678" s="1" t="s">
        <v>1742</v>
      </c>
      <c r="K1678" s="1" t="s">
        <v>95</v>
      </c>
      <c r="L1678">
        <v>75217</v>
      </c>
      <c r="M1678" s="1" t="s">
        <v>96</v>
      </c>
      <c r="N1678" s="1" t="s">
        <v>1570</v>
      </c>
      <c r="O1678" s="1" t="s">
        <v>33</v>
      </c>
      <c r="P1678" s="1" t="s">
        <v>48</v>
      </c>
      <c r="Q1678" s="1" t="s">
        <v>1571</v>
      </c>
      <c r="R1678">
        <v>298</v>
      </c>
      <c r="S1678">
        <v>6</v>
      </c>
      <c r="T1678">
        <v>0.3</v>
      </c>
      <c r="U1678">
        <v>-4</v>
      </c>
      <c r="V1678" s="1" t="s">
        <v>73</v>
      </c>
      <c r="W1678" s="1" t="s">
        <v>74</v>
      </c>
    </row>
    <row r="1679" spans="1:23" x14ac:dyDescent="0.35">
      <c r="A1679">
        <v>7932</v>
      </c>
      <c r="B1679" s="1" t="s">
        <v>3893</v>
      </c>
      <c r="C1679" s="2">
        <v>42566</v>
      </c>
      <c r="D1679" s="2">
        <v>42571</v>
      </c>
      <c r="E1679" s="1" t="s">
        <v>42</v>
      </c>
      <c r="F1679" s="1" t="s">
        <v>2415</v>
      </c>
      <c r="G1679" s="1" t="s">
        <v>2416</v>
      </c>
      <c r="H1679" s="1" t="s">
        <v>93</v>
      </c>
      <c r="I1679" s="1" t="s">
        <v>28</v>
      </c>
      <c r="J1679" s="1" t="s">
        <v>3401</v>
      </c>
      <c r="K1679" s="1" t="s">
        <v>1520</v>
      </c>
      <c r="L1679">
        <v>97206</v>
      </c>
      <c r="M1679" s="1" t="s">
        <v>57</v>
      </c>
      <c r="N1679" s="1" t="s">
        <v>469</v>
      </c>
      <c r="O1679" s="1" t="s">
        <v>33</v>
      </c>
      <c r="P1679" s="1" t="s">
        <v>39</v>
      </c>
      <c r="Q1679" s="1" t="s">
        <v>470</v>
      </c>
      <c r="R1679">
        <v>230</v>
      </c>
      <c r="S1679">
        <v>3</v>
      </c>
      <c r="T1679">
        <v>0.2</v>
      </c>
      <c r="U1679">
        <v>23</v>
      </c>
      <c r="V1679" s="1" t="s">
        <v>61</v>
      </c>
      <c r="W1679" s="1" t="s">
        <v>74</v>
      </c>
    </row>
    <row r="1680" spans="1:23" x14ac:dyDescent="0.35">
      <c r="A1680">
        <v>7941</v>
      </c>
      <c r="B1680" s="1" t="s">
        <v>3894</v>
      </c>
      <c r="C1680" s="2">
        <v>42718</v>
      </c>
      <c r="D1680" s="2">
        <v>42721</v>
      </c>
      <c r="E1680" s="1" t="s">
        <v>90</v>
      </c>
      <c r="F1680" s="1" t="s">
        <v>289</v>
      </c>
      <c r="G1680" s="1" t="s">
        <v>290</v>
      </c>
      <c r="H1680" s="1" t="s">
        <v>93</v>
      </c>
      <c r="I1680" s="1" t="s">
        <v>28</v>
      </c>
      <c r="J1680" s="1" t="s">
        <v>642</v>
      </c>
      <c r="K1680" s="1" t="s">
        <v>56</v>
      </c>
      <c r="L1680">
        <v>92037</v>
      </c>
      <c r="M1680" s="1" t="s">
        <v>57</v>
      </c>
      <c r="N1680" s="1" t="s">
        <v>138</v>
      </c>
      <c r="O1680" s="1" t="s">
        <v>33</v>
      </c>
      <c r="P1680" s="1" t="s">
        <v>39</v>
      </c>
      <c r="Q1680" s="1" t="s">
        <v>220</v>
      </c>
      <c r="R1680">
        <v>81</v>
      </c>
      <c r="S1680">
        <v>2</v>
      </c>
      <c r="T1680">
        <v>0.2</v>
      </c>
      <c r="U1680">
        <v>-9</v>
      </c>
      <c r="V1680" s="1" t="s">
        <v>36</v>
      </c>
      <c r="W1680" s="1" t="s">
        <v>99</v>
      </c>
    </row>
    <row r="1681" spans="1:23" x14ac:dyDescent="0.35">
      <c r="A1681">
        <v>7949</v>
      </c>
      <c r="B1681" s="1" t="s">
        <v>3895</v>
      </c>
      <c r="C1681" s="2">
        <v>41699</v>
      </c>
      <c r="D1681" s="2">
        <v>41703</v>
      </c>
      <c r="E1681" s="1" t="s">
        <v>42</v>
      </c>
      <c r="F1681" s="1" t="s">
        <v>2139</v>
      </c>
      <c r="G1681" s="1" t="s">
        <v>2140</v>
      </c>
      <c r="H1681" s="1" t="s">
        <v>27</v>
      </c>
      <c r="I1681" s="1" t="s">
        <v>28</v>
      </c>
      <c r="J1681" s="1" t="s">
        <v>1377</v>
      </c>
      <c r="K1681" s="1" t="s">
        <v>95</v>
      </c>
      <c r="L1681">
        <v>79907</v>
      </c>
      <c r="M1681" s="1" t="s">
        <v>96</v>
      </c>
      <c r="N1681" s="1" t="s">
        <v>1093</v>
      </c>
      <c r="O1681" s="1" t="s">
        <v>33</v>
      </c>
      <c r="P1681" s="1" t="s">
        <v>39</v>
      </c>
      <c r="Q1681" s="1" t="s">
        <v>1094</v>
      </c>
      <c r="R1681">
        <v>362</v>
      </c>
      <c r="S1681">
        <v>6</v>
      </c>
      <c r="T1681">
        <v>0.3</v>
      </c>
      <c r="U1681">
        <v>0</v>
      </c>
      <c r="V1681" s="1" t="s">
        <v>86</v>
      </c>
      <c r="W1681" s="1" t="s">
        <v>198</v>
      </c>
    </row>
    <row r="1682" spans="1:23" x14ac:dyDescent="0.35">
      <c r="A1682">
        <v>7950</v>
      </c>
      <c r="B1682" s="1" t="s">
        <v>3895</v>
      </c>
      <c r="C1682" s="2">
        <v>41699</v>
      </c>
      <c r="D1682" s="2">
        <v>41703</v>
      </c>
      <c r="E1682" s="1" t="s">
        <v>42</v>
      </c>
      <c r="F1682" s="1" t="s">
        <v>2139</v>
      </c>
      <c r="G1682" s="1" t="s">
        <v>2140</v>
      </c>
      <c r="H1682" s="1" t="s">
        <v>27</v>
      </c>
      <c r="I1682" s="1" t="s">
        <v>28</v>
      </c>
      <c r="J1682" s="1" t="s">
        <v>1377</v>
      </c>
      <c r="K1682" s="1" t="s">
        <v>95</v>
      </c>
      <c r="L1682">
        <v>79907</v>
      </c>
      <c r="M1682" s="1" t="s">
        <v>96</v>
      </c>
      <c r="N1682" s="1" t="s">
        <v>946</v>
      </c>
      <c r="O1682" s="1" t="s">
        <v>33</v>
      </c>
      <c r="P1682" s="1" t="s">
        <v>59</v>
      </c>
      <c r="Q1682" s="1" t="s">
        <v>947</v>
      </c>
      <c r="R1682">
        <v>64</v>
      </c>
      <c r="S1682">
        <v>6</v>
      </c>
      <c r="T1682">
        <v>0.6</v>
      </c>
      <c r="U1682">
        <v>-35</v>
      </c>
      <c r="V1682" s="1" t="s">
        <v>86</v>
      </c>
      <c r="W1682" s="1" t="s">
        <v>198</v>
      </c>
    </row>
    <row r="1683" spans="1:23" x14ac:dyDescent="0.35">
      <c r="A1683">
        <v>7956</v>
      </c>
      <c r="B1683" s="1" t="s">
        <v>3896</v>
      </c>
      <c r="C1683" s="2">
        <v>43013</v>
      </c>
      <c r="D1683" s="2">
        <v>43018</v>
      </c>
      <c r="E1683" s="1" t="s">
        <v>42</v>
      </c>
      <c r="F1683" s="1" t="s">
        <v>1670</v>
      </c>
      <c r="G1683" s="1" t="s">
        <v>1671</v>
      </c>
      <c r="H1683" s="1" t="s">
        <v>93</v>
      </c>
      <c r="I1683" s="1" t="s">
        <v>28</v>
      </c>
      <c r="J1683" s="1" t="s">
        <v>3434</v>
      </c>
      <c r="K1683" s="1" t="s">
        <v>56</v>
      </c>
      <c r="L1683">
        <v>95928</v>
      </c>
      <c r="M1683" s="1" t="s">
        <v>57</v>
      </c>
      <c r="N1683" s="1" t="s">
        <v>1921</v>
      </c>
      <c r="O1683" s="1" t="s">
        <v>33</v>
      </c>
      <c r="P1683" s="1" t="s">
        <v>39</v>
      </c>
      <c r="Q1683" s="1" t="s">
        <v>1922</v>
      </c>
      <c r="R1683">
        <v>435</v>
      </c>
      <c r="S1683">
        <v>4</v>
      </c>
      <c r="T1683">
        <v>0.2</v>
      </c>
      <c r="U1683">
        <v>-60</v>
      </c>
      <c r="V1683" s="1" t="s">
        <v>61</v>
      </c>
      <c r="W1683" s="1" t="s">
        <v>51</v>
      </c>
    </row>
    <row r="1684" spans="1:23" x14ac:dyDescent="0.35">
      <c r="A1684">
        <v>7959</v>
      </c>
      <c r="B1684" s="1" t="s">
        <v>3896</v>
      </c>
      <c r="C1684" s="2">
        <v>43013</v>
      </c>
      <c r="D1684" s="2">
        <v>43018</v>
      </c>
      <c r="E1684" s="1" t="s">
        <v>42</v>
      </c>
      <c r="F1684" s="1" t="s">
        <v>1670</v>
      </c>
      <c r="G1684" s="1" t="s">
        <v>1671</v>
      </c>
      <c r="H1684" s="1" t="s">
        <v>93</v>
      </c>
      <c r="I1684" s="1" t="s">
        <v>28</v>
      </c>
      <c r="J1684" s="1" t="s">
        <v>3434</v>
      </c>
      <c r="K1684" s="1" t="s">
        <v>56</v>
      </c>
      <c r="L1684">
        <v>95928</v>
      </c>
      <c r="M1684" s="1" t="s">
        <v>57</v>
      </c>
      <c r="N1684" s="1" t="s">
        <v>2264</v>
      </c>
      <c r="O1684" s="1" t="s">
        <v>33</v>
      </c>
      <c r="P1684" s="1" t="s">
        <v>59</v>
      </c>
      <c r="Q1684" s="1" t="s">
        <v>2265</v>
      </c>
      <c r="R1684">
        <v>73</v>
      </c>
      <c r="S1684">
        <v>5</v>
      </c>
      <c r="T1684">
        <v>0</v>
      </c>
      <c r="U1684">
        <v>27</v>
      </c>
      <c r="V1684" s="1" t="s">
        <v>61</v>
      </c>
      <c r="W1684" s="1" t="s">
        <v>51</v>
      </c>
    </row>
    <row r="1685" spans="1:23" x14ac:dyDescent="0.35">
      <c r="A1685">
        <v>7960</v>
      </c>
      <c r="B1685" s="1" t="s">
        <v>3896</v>
      </c>
      <c r="C1685" s="2">
        <v>43013</v>
      </c>
      <c r="D1685" s="2">
        <v>43018</v>
      </c>
      <c r="E1685" s="1" t="s">
        <v>42</v>
      </c>
      <c r="F1685" s="1" t="s">
        <v>1670</v>
      </c>
      <c r="G1685" s="1" t="s">
        <v>1671</v>
      </c>
      <c r="H1685" s="1" t="s">
        <v>93</v>
      </c>
      <c r="I1685" s="1" t="s">
        <v>28</v>
      </c>
      <c r="J1685" s="1" t="s">
        <v>3434</v>
      </c>
      <c r="K1685" s="1" t="s">
        <v>56</v>
      </c>
      <c r="L1685">
        <v>95928</v>
      </c>
      <c r="M1685" s="1" t="s">
        <v>57</v>
      </c>
      <c r="N1685" s="1" t="s">
        <v>1065</v>
      </c>
      <c r="O1685" s="1" t="s">
        <v>33</v>
      </c>
      <c r="P1685" s="1" t="s">
        <v>48</v>
      </c>
      <c r="Q1685" s="1" t="s">
        <v>1066</v>
      </c>
      <c r="R1685">
        <v>206</v>
      </c>
      <c r="S1685">
        <v>3</v>
      </c>
      <c r="T1685">
        <v>0.2</v>
      </c>
      <c r="U1685">
        <v>5</v>
      </c>
      <c r="V1685" s="1" t="s">
        <v>61</v>
      </c>
      <c r="W1685" s="1" t="s">
        <v>51</v>
      </c>
    </row>
    <row r="1686" spans="1:23" x14ac:dyDescent="0.35">
      <c r="A1686">
        <v>7968</v>
      </c>
      <c r="B1686" s="1" t="s">
        <v>3897</v>
      </c>
      <c r="C1686" s="2">
        <v>42653</v>
      </c>
      <c r="D1686" s="2">
        <v>42655</v>
      </c>
      <c r="E1686" s="1" t="s">
        <v>90</v>
      </c>
      <c r="F1686" s="1" t="s">
        <v>2467</v>
      </c>
      <c r="G1686" s="1" t="s">
        <v>2468</v>
      </c>
      <c r="H1686" s="1" t="s">
        <v>93</v>
      </c>
      <c r="I1686" s="1" t="s">
        <v>28</v>
      </c>
      <c r="J1686" s="1" t="s">
        <v>268</v>
      </c>
      <c r="K1686" s="1" t="s">
        <v>183</v>
      </c>
      <c r="L1686">
        <v>80219</v>
      </c>
      <c r="M1686" s="1" t="s">
        <v>57</v>
      </c>
      <c r="N1686" s="1" t="s">
        <v>3898</v>
      </c>
      <c r="O1686" s="1" t="s">
        <v>33</v>
      </c>
      <c r="P1686" s="1" t="s">
        <v>34</v>
      </c>
      <c r="Q1686" s="1" t="s">
        <v>3899</v>
      </c>
      <c r="R1686">
        <v>91</v>
      </c>
      <c r="S1686">
        <v>3</v>
      </c>
      <c r="T1686">
        <v>0.7</v>
      </c>
      <c r="U1686">
        <v>-191</v>
      </c>
      <c r="V1686" s="1" t="s">
        <v>73</v>
      </c>
      <c r="W1686" s="1" t="s">
        <v>51</v>
      </c>
    </row>
    <row r="1687" spans="1:23" x14ac:dyDescent="0.35">
      <c r="A1687">
        <v>7970</v>
      </c>
      <c r="B1687" s="1" t="s">
        <v>3897</v>
      </c>
      <c r="C1687" s="2">
        <v>42653</v>
      </c>
      <c r="D1687" s="2">
        <v>42655</v>
      </c>
      <c r="E1687" s="1" t="s">
        <v>90</v>
      </c>
      <c r="F1687" s="1" t="s">
        <v>2467</v>
      </c>
      <c r="G1687" s="1" t="s">
        <v>2468</v>
      </c>
      <c r="H1687" s="1" t="s">
        <v>93</v>
      </c>
      <c r="I1687" s="1" t="s">
        <v>28</v>
      </c>
      <c r="J1687" s="1" t="s">
        <v>268</v>
      </c>
      <c r="K1687" s="1" t="s">
        <v>183</v>
      </c>
      <c r="L1687">
        <v>80219</v>
      </c>
      <c r="M1687" s="1" t="s">
        <v>57</v>
      </c>
      <c r="N1687" s="1" t="s">
        <v>659</v>
      </c>
      <c r="O1687" s="1" t="s">
        <v>33</v>
      </c>
      <c r="P1687" s="1" t="s">
        <v>39</v>
      </c>
      <c r="Q1687" s="1" t="s">
        <v>660</v>
      </c>
      <c r="R1687">
        <v>121</v>
      </c>
      <c r="S1687">
        <v>1</v>
      </c>
      <c r="T1687">
        <v>0.2</v>
      </c>
      <c r="U1687">
        <v>14</v>
      </c>
      <c r="V1687" s="1" t="s">
        <v>73</v>
      </c>
      <c r="W1687" s="1" t="s">
        <v>51</v>
      </c>
    </row>
    <row r="1688" spans="1:23" x14ac:dyDescent="0.35">
      <c r="A1688">
        <v>7975</v>
      </c>
      <c r="B1688" s="1" t="s">
        <v>3900</v>
      </c>
      <c r="C1688" s="2">
        <v>42232</v>
      </c>
      <c r="D1688" s="2">
        <v>42236</v>
      </c>
      <c r="E1688" s="1" t="s">
        <v>42</v>
      </c>
      <c r="F1688" s="1" t="s">
        <v>2620</v>
      </c>
      <c r="G1688" s="1" t="s">
        <v>2621</v>
      </c>
      <c r="H1688" s="1" t="s">
        <v>93</v>
      </c>
      <c r="I1688" s="1" t="s">
        <v>28</v>
      </c>
      <c r="J1688" s="1" t="s">
        <v>68</v>
      </c>
      <c r="K1688" s="1" t="s">
        <v>69</v>
      </c>
      <c r="L1688">
        <v>19134</v>
      </c>
      <c r="M1688" s="1" t="s">
        <v>70</v>
      </c>
      <c r="N1688" s="1" t="s">
        <v>1394</v>
      </c>
      <c r="O1688" s="1" t="s">
        <v>33</v>
      </c>
      <c r="P1688" s="1" t="s">
        <v>59</v>
      </c>
      <c r="Q1688" s="1" t="s">
        <v>1395</v>
      </c>
      <c r="R1688">
        <v>254</v>
      </c>
      <c r="S1688">
        <v>3</v>
      </c>
      <c r="T1688">
        <v>0.2</v>
      </c>
      <c r="U1688">
        <v>0</v>
      </c>
      <c r="V1688" s="1" t="s">
        <v>86</v>
      </c>
      <c r="W1688" s="1" t="s">
        <v>256</v>
      </c>
    </row>
    <row r="1689" spans="1:23" x14ac:dyDescent="0.35">
      <c r="A1689">
        <v>7983</v>
      </c>
      <c r="B1689" s="1" t="s">
        <v>3901</v>
      </c>
      <c r="C1689" s="2">
        <v>41892</v>
      </c>
      <c r="D1689" s="2">
        <v>41895</v>
      </c>
      <c r="E1689" s="1" t="s">
        <v>90</v>
      </c>
      <c r="F1689" s="1" t="s">
        <v>66</v>
      </c>
      <c r="G1689" s="1" t="s">
        <v>67</v>
      </c>
      <c r="H1689" s="1" t="s">
        <v>27</v>
      </c>
      <c r="I1689" s="1" t="s">
        <v>28</v>
      </c>
      <c r="J1689" s="1" t="s">
        <v>3902</v>
      </c>
      <c r="K1689" s="1" t="s">
        <v>365</v>
      </c>
      <c r="L1689">
        <v>7011</v>
      </c>
      <c r="M1689" s="1" t="s">
        <v>70</v>
      </c>
      <c r="N1689" s="1" t="s">
        <v>1540</v>
      </c>
      <c r="O1689" s="1" t="s">
        <v>33</v>
      </c>
      <c r="P1689" s="1" t="s">
        <v>59</v>
      </c>
      <c r="Q1689" s="1" t="s">
        <v>1541</v>
      </c>
      <c r="R1689">
        <v>255</v>
      </c>
      <c r="S1689">
        <v>5</v>
      </c>
      <c r="T1689">
        <v>0</v>
      </c>
      <c r="U1689">
        <v>76</v>
      </c>
      <c r="V1689" s="1" t="s">
        <v>36</v>
      </c>
      <c r="W1689" s="1" t="s">
        <v>80</v>
      </c>
    </row>
    <row r="1690" spans="1:23" x14ac:dyDescent="0.35">
      <c r="A1690">
        <v>7995</v>
      </c>
      <c r="B1690" s="1" t="s">
        <v>3903</v>
      </c>
      <c r="C1690" s="2">
        <v>42328</v>
      </c>
      <c r="D1690" s="2">
        <v>42331</v>
      </c>
      <c r="E1690" s="1" t="s">
        <v>24</v>
      </c>
      <c r="F1690" s="1" t="s">
        <v>1444</v>
      </c>
      <c r="G1690" s="1" t="s">
        <v>1445</v>
      </c>
      <c r="H1690" s="1" t="s">
        <v>27</v>
      </c>
      <c r="I1690" s="1" t="s">
        <v>28</v>
      </c>
      <c r="J1690" s="1" t="s">
        <v>182</v>
      </c>
      <c r="K1690" s="1" t="s">
        <v>183</v>
      </c>
      <c r="L1690">
        <v>80013</v>
      </c>
      <c r="M1690" s="1" t="s">
        <v>57</v>
      </c>
      <c r="N1690" s="1" t="s">
        <v>418</v>
      </c>
      <c r="O1690" s="1" t="s">
        <v>33</v>
      </c>
      <c r="P1690" s="1" t="s">
        <v>34</v>
      </c>
      <c r="Q1690" s="1" t="s">
        <v>419</v>
      </c>
      <c r="R1690">
        <v>146</v>
      </c>
      <c r="S1690">
        <v>6</v>
      </c>
      <c r="T1690">
        <v>0.7</v>
      </c>
      <c r="U1690">
        <v>-248</v>
      </c>
      <c r="V1690" s="1" t="s">
        <v>36</v>
      </c>
      <c r="W1690" s="1" t="s">
        <v>37</v>
      </c>
    </row>
    <row r="1691" spans="1:23" x14ac:dyDescent="0.35">
      <c r="A1691">
        <v>7998</v>
      </c>
      <c r="B1691" s="1" t="s">
        <v>3904</v>
      </c>
      <c r="C1691" s="2">
        <v>43042</v>
      </c>
      <c r="D1691" s="2">
        <v>43044</v>
      </c>
      <c r="E1691" s="1" t="s">
        <v>90</v>
      </c>
      <c r="F1691" s="1" t="s">
        <v>3905</v>
      </c>
      <c r="G1691" s="1" t="s">
        <v>3906</v>
      </c>
      <c r="H1691" s="1" t="s">
        <v>103</v>
      </c>
      <c r="I1691" s="1" t="s">
        <v>28</v>
      </c>
      <c r="J1691" s="1" t="s">
        <v>642</v>
      </c>
      <c r="K1691" s="1" t="s">
        <v>56</v>
      </c>
      <c r="L1691">
        <v>92037</v>
      </c>
      <c r="M1691" s="1" t="s">
        <v>57</v>
      </c>
      <c r="N1691" s="1" t="s">
        <v>787</v>
      </c>
      <c r="O1691" s="1" t="s">
        <v>33</v>
      </c>
      <c r="P1691" s="1" t="s">
        <v>48</v>
      </c>
      <c r="Q1691" s="1" t="s">
        <v>788</v>
      </c>
      <c r="R1691">
        <v>1673</v>
      </c>
      <c r="S1691">
        <v>12</v>
      </c>
      <c r="T1691">
        <v>0.2</v>
      </c>
      <c r="U1691">
        <v>21</v>
      </c>
      <c r="V1691" s="1" t="s">
        <v>73</v>
      </c>
      <c r="W1691" s="1" t="s">
        <v>37</v>
      </c>
    </row>
    <row r="1692" spans="1:23" x14ac:dyDescent="0.35">
      <c r="A1692">
        <v>7999</v>
      </c>
      <c r="B1692" s="1" t="s">
        <v>3907</v>
      </c>
      <c r="C1692" s="2">
        <v>41763</v>
      </c>
      <c r="D1692" s="2">
        <v>41766</v>
      </c>
      <c r="E1692" s="1" t="s">
        <v>90</v>
      </c>
      <c r="F1692" s="1" t="s">
        <v>2762</v>
      </c>
      <c r="G1692" s="1" t="s">
        <v>2763</v>
      </c>
      <c r="H1692" s="1" t="s">
        <v>93</v>
      </c>
      <c r="I1692" s="1" t="s">
        <v>28</v>
      </c>
      <c r="J1692" s="1" t="s">
        <v>194</v>
      </c>
      <c r="K1692" s="1" t="s">
        <v>195</v>
      </c>
      <c r="L1692">
        <v>98105</v>
      </c>
      <c r="M1692" s="1" t="s">
        <v>57</v>
      </c>
      <c r="N1692" s="1" t="s">
        <v>1074</v>
      </c>
      <c r="O1692" s="1" t="s">
        <v>33</v>
      </c>
      <c r="P1692" s="1" t="s">
        <v>59</v>
      </c>
      <c r="Q1692" s="1" t="s">
        <v>1075</v>
      </c>
      <c r="R1692">
        <v>12</v>
      </c>
      <c r="S1692">
        <v>7</v>
      </c>
      <c r="T1692">
        <v>0</v>
      </c>
      <c r="U1692">
        <v>4</v>
      </c>
      <c r="V1692" s="1" t="s">
        <v>36</v>
      </c>
      <c r="W1692" s="1" t="s">
        <v>164</v>
      </c>
    </row>
    <row r="1693" spans="1:23" x14ac:dyDescent="0.35">
      <c r="A1693">
        <v>8005</v>
      </c>
      <c r="B1693" s="1" t="s">
        <v>3908</v>
      </c>
      <c r="C1693" s="2">
        <v>41974</v>
      </c>
      <c r="D1693" s="2">
        <v>41976</v>
      </c>
      <c r="E1693" s="1" t="s">
        <v>90</v>
      </c>
      <c r="F1693" s="1" t="s">
        <v>2696</v>
      </c>
      <c r="G1693" s="1" t="s">
        <v>2697</v>
      </c>
      <c r="H1693" s="1" t="s">
        <v>27</v>
      </c>
      <c r="I1693" s="1" t="s">
        <v>28</v>
      </c>
      <c r="J1693" s="1" t="s">
        <v>2046</v>
      </c>
      <c r="K1693" s="1" t="s">
        <v>437</v>
      </c>
      <c r="L1693">
        <v>1852</v>
      </c>
      <c r="M1693" s="1" t="s">
        <v>70</v>
      </c>
      <c r="N1693" s="1" t="s">
        <v>873</v>
      </c>
      <c r="O1693" s="1" t="s">
        <v>33</v>
      </c>
      <c r="P1693" s="1" t="s">
        <v>59</v>
      </c>
      <c r="Q1693" s="1" t="s">
        <v>874</v>
      </c>
      <c r="R1693">
        <v>46</v>
      </c>
      <c r="S1693">
        <v>3</v>
      </c>
      <c r="T1693">
        <v>0</v>
      </c>
      <c r="U1693">
        <v>16</v>
      </c>
      <c r="V1693" s="1" t="s">
        <v>73</v>
      </c>
      <c r="W1693" s="1" t="s">
        <v>99</v>
      </c>
    </row>
    <row r="1694" spans="1:23" x14ac:dyDescent="0.35">
      <c r="A1694">
        <v>8006</v>
      </c>
      <c r="B1694" s="1" t="s">
        <v>3908</v>
      </c>
      <c r="C1694" s="2">
        <v>41974</v>
      </c>
      <c r="D1694" s="2">
        <v>41976</v>
      </c>
      <c r="E1694" s="1" t="s">
        <v>90</v>
      </c>
      <c r="F1694" s="1" t="s">
        <v>2696</v>
      </c>
      <c r="G1694" s="1" t="s">
        <v>2697</v>
      </c>
      <c r="H1694" s="1" t="s">
        <v>27</v>
      </c>
      <c r="I1694" s="1" t="s">
        <v>28</v>
      </c>
      <c r="J1694" s="1" t="s">
        <v>2046</v>
      </c>
      <c r="K1694" s="1" t="s">
        <v>437</v>
      </c>
      <c r="L1694">
        <v>1852</v>
      </c>
      <c r="M1694" s="1" t="s">
        <v>70</v>
      </c>
      <c r="N1694" s="1" t="s">
        <v>1102</v>
      </c>
      <c r="O1694" s="1" t="s">
        <v>33</v>
      </c>
      <c r="P1694" s="1" t="s">
        <v>59</v>
      </c>
      <c r="Q1694" s="1" t="s">
        <v>1103</v>
      </c>
      <c r="R1694">
        <v>10</v>
      </c>
      <c r="S1694">
        <v>2</v>
      </c>
      <c r="T1694">
        <v>0</v>
      </c>
      <c r="U1694">
        <v>3</v>
      </c>
      <c r="V1694" s="1" t="s">
        <v>73</v>
      </c>
      <c r="W1694" s="1" t="s">
        <v>99</v>
      </c>
    </row>
    <row r="1695" spans="1:23" x14ac:dyDescent="0.35">
      <c r="A1695">
        <v>8010</v>
      </c>
      <c r="B1695" s="1" t="s">
        <v>3909</v>
      </c>
      <c r="C1695" s="2">
        <v>42325</v>
      </c>
      <c r="D1695" s="2">
        <v>42332</v>
      </c>
      <c r="E1695" s="1" t="s">
        <v>42</v>
      </c>
      <c r="F1695" s="1" t="s">
        <v>2696</v>
      </c>
      <c r="G1695" s="1" t="s">
        <v>2697</v>
      </c>
      <c r="H1695" s="1" t="s">
        <v>27</v>
      </c>
      <c r="I1695" s="1" t="s">
        <v>28</v>
      </c>
      <c r="J1695" s="1" t="s">
        <v>3019</v>
      </c>
      <c r="K1695" s="1" t="s">
        <v>1525</v>
      </c>
      <c r="L1695">
        <v>73120</v>
      </c>
      <c r="M1695" s="1" t="s">
        <v>96</v>
      </c>
      <c r="N1695" s="1" t="s">
        <v>3594</v>
      </c>
      <c r="O1695" s="1" t="s">
        <v>33</v>
      </c>
      <c r="P1695" s="1" t="s">
        <v>39</v>
      </c>
      <c r="Q1695" s="1" t="s">
        <v>3595</v>
      </c>
      <c r="R1695">
        <v>1324</v>
      </c>
      <c r="S1695">
        <v>5</v>
      </c>
      <c r="T1695">
        <v>0</v>
      </c>
      <c r="U1695">
        <v>384</v>
      </c>
      <c r="V1695" s="1" t="s">
        <v>50</v>
      </c>
      <c r="W1695" s="1" t="s">
        <v>37</v>
      </c>
    </row>
    <row r="1696" spans="1:23" x14ac:dyDescent="0.35">
      <c r="A1696">
        <v>8016</v>
      </c>
      <c r="B1696" s="1" t="s">
        <v>3910</v>
      </c>
      <c r="C1696" s="2">
        <v>42880</v>
      </c>
      <c r="D1696" s="2">
        <v>42880</v>
      </c>
      <c r="E1696" s="1" t="s">
        <v>428</v>
      </c>
      <c r="F1696" s="1" t="s">
        <v>1718</v>
      </c>
      <c r="G1696" s="1" t="s">
        <v>1719</v>
      </c>
      <c r="H1696" s="1" t="s">
        <v>27</v>
      </c>
      <c r="I1696" s="1" t="s">
        <v>28</v>
      </c>
      <c r="J1696" s="1" t="s">
        <v>176</v>
      </c>
      <c r="K1696" s="1" t="s">
        <v>123</v>
      </c>
      <c r="L1696">
        <v>10009</v>
      </c>
      <c r="M1696" s="1" t="s">
        <v>70</v>
      </c>
      <c r="N1696" s="1" t="s">
        <v>680</v>
      </c>
      <c r="O1696" s="1" t="s">
        <v>33</v>
      </c>
      <c r="P1696" s="1" t="s">
        <v>59</v>
      </c>
      <c r="Q1696" s="1" t="s">
        <v>681</v>
      </c>
      <c r="R1696">
        <v>19</v>
      </c>
      <c r="S1696">
        <v>3</v>
      </c>
      <c r="T1696">
        <v>0</v>
      </c>
      <c r="U1696">
        <v>6</v>
      </c>
      <c r="V1696" s="1" t="s">
        <v>433</v>
      </c>
      <c r="W1696" s="1" t="s">
        <v>164</v>
      </c>
    </row>
    <row r="1697" spans="1:23" x14ac:dyDescent="0.35">
      <c r="A1697">
        <v>8017</v>
      </c>
      <c r="B1697" s="1" t="s">
        <v>3911</v>
      </c>
      <c r="C1697" s="2">
        <v>41891</v>
      </c>
      <c r="D1697" s="2">
        <v>41893</v>
      </c>
      <c r="E1697" s="1" t="s">
        <v>90</v>
      </c>
      <c r="F1697" s="1" t="s">
        <v>1018</v>
      </c>
      <c r="G1697" s="1" t="s">
        <v>1019</v>
      </c>
      <c r="H1697" s="1" t="s">
        <v>103</v>
      </c>
      <c r="I1697" s="1" t="s">
        <v>28</v>
      </c>
      <c r="J1697" s="1" t="s">
        <v>818</v>
      </c>
      <c r="K1697" s="1" t="s">
        <v>234</v>
      </c>
      <c r="L1697">
        <v>43130</v>
      </c>
      <c r="M1697" s="1" t="s">
        <v>70</v>
      </c>
      <c r="N1697" s="1" t="s">
        <v>1837</v>
      </c>
      <c r="O1697" s="1" t="s">
        <v>33</v>
      </c>
      <c r="P1697" s="1" t="s">
        <v>59</v>
      </c>
      <c r="Q1697" s="1" t="s">
        <v>1838</v>
      </c>
      <c r="R1697">
        <v>61</v>
      </c>
      <c r="S1697">
        <v>6</v>
      </c>
      <c r="T1697">
        <v>0.2</v>
      </c>
      <c r="U1697">
        <v>13</v>
      </c>
      <c r="V1697" s="1" t="s">
        <v>73</v>
      </c>
      <c r="W1697" s="1" t="s">
        <v>80</v>
      </c>
    </row>
    <row r="1698" spans="1:23" x14ac:dyDescent="0.35">
      <c r="A1698">
        <v>8024</v>
      </c>
      <c r="B1698" s="1" t="s">
        <v>3912</v>
      </c>
      <c r="C1698" s="2">
        <v>41841</v>
      </c>
      <c r="D1698" s="2">
        <v>41845</v>
      </c>
      <c r="E1698" s="1" t="s">
        <v>42</v>
      </c>
      <c r="F1698" s="1" t="s">
        <v>1869</v>
      </c>
      <c r="G1698" s="1" t="s">
        <v>1870</v>
      </c>
      <c r="H1698" s="1" t="s">
        <v>93</v>
      </c>
      <c r="I1698" s="1" t="s">
        <v>28</v>
      </c>
      <c r="J1698" s="1" t="s">
        <v>1742</v>
      </c>
      <c r="K1698" s="1" t="s">
        <v>95</v>
      </c>
      <c r="L1698">
        <v>75217</v>
      </c>
      <c r="M1698" s="1" t="s">
        <v>96</v>
      </c>
      <c r="N1698" s="1" t="s">
        <v>628</v>
      </c>
      <c r="O1698" s="1" t="s">
        <v>33</v>
      </c>
      <c r="P1698" s="1" t="s">
        <v>39</v>
      </c>
      <c r="Q1698" s="1" t="s">
        <v>629</v>
      </c>
      <c r="R1698">
        <v>658</v>
      </c>
      <c r="S1698">
        <v>5</v>
      </c>
      <c r="T1698">
        <v>0.3</v>
      </c>
      <c r="U1698">
        <v>-94</v>
      </c>
      <c r="V1698" s="1" t="s">
        <v>86</v>
      </c>
      <c r="W1698" s="1" t="s">
        <v>74</v>
      </c>
    </row>
    <row r="1699" spans="1:23" x14ac:dyDescent="0.35">
      <c r="A1699">
        <v>8026</v>
      </c>
      <c r="B1699" s="1" t="s">
        <v>3913</v>
      </c>
      <c r="C1699" s="2">
        <v>42258</v>
      </c>
      <c r="D1699" s="2">
        <v>42262</v>
      </c>
      <c r="E1699" s="1" t="s">
        <v>24</v>
      </c>
      <c r="F1699" s="1" t="s">
        <v>3157</v>
      </c>
      <c r="G1699" s="1" t="s">
        <v>3158</v>
      </c>
      <c r="H1699" s="1" t="s">
        <v>93</v>
      </c>
      <c r="I1699" s="1" t="s">
        <v>28</v>
      </c>
      <c r="J1699" s="1" t="s">
        <v>176</v>
      </c>
      <c r="K1699" s="1" t="s">
        <v>123</v>
      </c>
      <c r="L1699">
        <v>10035</v>
      </c>
      <c r="M1699" s="1" t="s">
        <v>70</v>
      </c>
      <c r="N1699" s="1" t="s">
        <v>3620</v>
      </c>
      <c r="O1699" s="1" t="s">
        <v>33</v>
      </c>
      <c r="P1699" s="1" t="s">
        <v>59</v>
      </c>
      <c r="Q1699" s="1" t="s">
        <v>3621</v>
      </c>
      <c r="R1699">
        <v>211</v>
      </c>
      <c r="S1699">
        <v>2</v>
      </c>
      <c r="T1699">
        <v>0</v>
      </c>
      <c r="U1699">
        <v>51</v>
      </c>
      <c r="V1699" s="1" t="s">
        <v>86</v>
      </c>
      <c r="W1699" s="1" t="s">
        <v>80</v>
      </c>
    </row>
    <row r="1700" spans="1:23" x14ac:dyDescent="0.35">
      <c r="A1700">
        <v>8031</v>
      </c>
      <c r="B1700" s="1" t="s">
        <v>3914</v>
      </c>
      <c r="C1700" s="2">
        <v>42376</v>
      </c>
      <c r="D1700" s="2">
        <v>42380</v>
      </c>
      <c r="E1700" s="1" t="s">
        <v>42</v>
      </c>
      <c r="F1700" s="1" t="s">
        <v>1312</v>
      </c>
      <c r="G1700" s="1" t="s">
        <v>1313</v>
      </c>
      <c r="H1700" s="1" t="s">
        <v>27</v>
      </c>
      <c r="I1700" s="1" t="s">
        <v>28</v>
      </c>
      <c r="J1700" s="1" t="s">
        <v>531</v>
      </c>
      <c r="K1700" s="1" t="s">
        <v>95</v>
      </c>
      <c r="L1700">
        <v>79109</v>
      </c>
      <c r="M1700" s="1" t="s">
        <v>96</v>
      </c>
      <c r="N1700" s="1" t="s">
        <v>1314</v>
      </c>
      <c r="O1700" s="1" t="s">
        <v>33</v>
      </c>
      <c r="P1700" s="1" t="s">
        <v>59</v>
      </c>
      <c r="Q1700" s="1" t="s">
        <v>2025</v>
      </c>
      <c r="R1700">
        <v>23</v>
      </c>
      <c r="S1700">
        <v>3</v>
      </c>
      <c r="T1700">
        <v>0.6</v>
      </c>
      <c r="U1700">
        <v>-11</v>
      </c>
      <c r="V1700" s="1" t="s">
        <v>86</v>
      </c>
      <c r="W1700" s="1" t="s">
        <v>172</v>
      </c>
    </row>
    <row r="1701" spans="1:23" x14ac:dyDescent="0.35">
      <c r="A1701">
        <v>8035</v>
      </c>
      <c r="B1701" s="1" t="s">
        <v>3915</v>
      </c>
      <c r="C1701" s="2">
        <v>42180</v>
      </c>
      <c r="D1701" s="2">
        <v>42183</v>
      </c>
      <c r="E1701" s="1" t="s">
        <v>90</v>
      </c>
      <c r="F1701" s="1" t="s">
        <v>1794</v>
      </c>
      <c r="G1701" s="1" t="s">
        <v>1795</v>
      </c>
      <c r="H1701" s="1" t="s">
        <v>27</v>
      </c>
      <c r="I1701" s="1" t="s">
        <v>28</v>
      </c>
      <c r="J1701" s="1" t="s">
        <v>104</v>
      </c>
      <c r="K1701" s="1" t="s">
        <v>95</v>
      </c>
      <c r="L1701">
        <v>77041</v>
      </c>
      <c r="M1701" s="1" t="s">
        <v>96</v>
      </c>
      <c r="N1701" s="1" t="s">
        <v>1981</v>
      </c>
      <c r="O1701" s="1" t="s">
        <v>33</v>
      </c>
      <c r="P1701" s="1" t="s">
        <v>59</v>
      </c>
      <c r="Q1701" s="1" t="s">
        <v>1982</v>
      </c>
      <c r="R1701">
        <v>75</v>
      </c>
      <c r="S1701">
        <v>9</v>
      </c>
      <c r="T1701">
        <v>0.6</v>
      </c>
      <c r="U1701">
        <v>-21</v>
      </c>
      <c r="V1701" s="1" t="s">
        <v>36</v>
      </c>
      <c r="W1701" s="1" t="s">
        <v>62</v>
      </c>
    </row>
    <row r="1702" spans="1:23" x14ac:dyDescent="0.35">
      <c r="A1702">
        <v>8039</v>
      </c>
      <c r="B1702" s="1" t="s">
        <v>3916</v>
      </c>
      <c r="C1702" s="2">
        <v>42916</v>
      </c>
      <c r="D1702" s="2">
        <v>42918</v>
      </c>
      <c r="E1702" s="1" t="s">
        <v>24</v>
      </c>
      <c r="F1702" s="1" t="s">
        <v>2509</v>
      </c>
      <c r="G1702" s="1" t="s">
        <v>2510</v>
      </c>
      <c r="H1702" s="1" t="s">
        <v>27</v>
      </c>
      <c r="I1702" s="1" t="s">
        <v>28</v>
      </c>
      <c r="J1702" s="1" t="s">
        <v>55</v>
      </c>
      <c r="K1702" s="1" t="s">
        <v>56</v>
      </c>
      <c r="L1702">
        <v>90032</v>
      </c>
      <c r="M1702" s="1" t="s">
        <v>57</v>
      </c>
      <c r="N1702" s="1" t="s">
        <v>1459</v>
      </c>
      <c r="O1702" s="1" t="s">
        <v>33</v>
      </c>
      <c r="P1702" s="1" t="s">
        <v>34</v>
      </c>
      <c r="Q1702" s="1" t="s">
        <v>1460</v>
      </c>
      <c r="R1702">
        <v>436</v>
      </c>
      <c r="S1702">
        <v>3</v>
      </c>
      <c r="T1702">
        <v>0.15</v>
      </c>
      <c r="U1702">
        <v>5</v>
      </c>
      <c r="V1702" s="1" t="s">
        <v>73</v>
      </c>
      <c r="W1702" s="1" t="s">
        <v>62</v>
      </c>
    </row>
    <row r="1703" spans="1:23" x14ac:dyDescent="0.35">
      <c r="A1703">
        <v>8040</v>
      </c>
      <c r="B1703" s="1" t="s">
        <v>3917</v>
      </c>
      <c r="C1703" s="2">
        <v>42968</v>
      </c>
      <c r="D1703" s="2">
        <v>42972</v>
      </c>
      <c r="E1703" s="1" t="s">
        <v>24</v>
      </c>
      <c r="F1703" s="1" t="s">
        <v>3918</v>
      </c>
      <c r="G1703" s="1" t="s">
        <v>3919</v>
      </c>
      <c r="H1703" s="1" t="s">
        <v>93</v>
      </c>
      <c r="I1703" s="1" t="s">
        <v>28</v>
      </c>
      <c r="J1703" s="1" t="s">
        <v>194</v>
      </c>
      <c r="K1703" s="1" t="s">
        <v>195</v>
      </c>
      <c r="L1703">
        <v>98115</v>
      </c>
      <c r="M1703" s="1" t="s">
        <v>57</v>
      </c>
      <c r="N1703" s="1" t="s">
        <v>258</v>
      </c>
      <c r="O1703" s="1" t="s">
        <v>33</v>
      </c>
      <c r="P1703" s="1" t="s">
        <v>39</v>
      </c>
      <c r="Q1703" s="1" t="s">
        <v>259</v>
      </c>
      <c r="R1703">
        <v>389</v>
      </c>
      <c r="S1703">
        <v>6</v>
      </c>
      <c r="T1703">
        <v>0.2</v>
      </c>
      <c r="U1703">
        <v>39</v>
      </c>
      <c r="V1703" s="1" t="s">
        <v>86</v>
      </c>
      <c r="W1703" s="1" t="s">
        <v>256</v>
      </c>
    </row>
    <row r="1704" spans="1:23" x14ac:dyDescent="0.35">
      <c r="A1704">
        <v>8044</v>
      </c>
      <c r="B1704" s="1" t="s">
        <v>3920</v>
      </c>
      <c r="C1704" s="2">
        <v>42805</v>
      </c>
      <c r="D1704" s="2">
        <v>42809</v>
      </c>
      <c r="E1704" s="1" t="s">
        <v>42</v>
      </c>
      <c r="F1704" s="1" t="s">
        <v>1046</v>
      </c>
      <c r="G1704" s="1" t="s">
        <v>1047</v>
      </c>
      <c r="H1704" s="1" t="s">
        <v>103</v>
      </c>
      <c r="I1704" s="1" t="s">
        <v>28</v>
      </c>
      <c r="J1704" s="1" t="s">
        <v>3921</v>
      </c>
      <c r="K1704" s="1" t="s">
        <v>437</v>
      </c>
      <c r="L1704">
        <v>2138</v>
      </c>
      <c r="M1704" s="1" t="s">
        <v>70</v>
      </c>
      <c r="N1704" s="1" t="s">
        <v>3922</v>
      </c>
      <c r="O1704" s="1" t="s">
        <v>33</v>
      </c>
      <c r="P1704" s="1" t="s">
        <v>59</v>
      </c>
      <c r="Q1704" s="1" t="s">
        <v>3923</v>
      </c>
      <c r="R1704">
        <v>27</v>
      </c>
      <c r="S1704">
        <v>1</v>
      </c>
      <c r="T1704">
        <v>0</v>
      </c>
      <c r="U1704">
        <v>12</v>
      </c>
      <c r="V1704" s="1" t="s">
        <v>86</v>
      </c>
      <c r="W1704" s="1" t="s">
        <v>198</v>
      </c>
    </row>
    <row r="1705" spans="1:23" x14ac:dyDescent="0.35">
      <c r="A1705">
        <v>8051</v>
      </c>
      <c r="B1705" s="1" t="s">
        <v>3924</v>
      </c>
      <c r="C1705" s="2">
        <v>41908</v>
      </c>
      <c r="D1705" s="2">
        <v>41912</v>
      </c>
      <c r="E1705" s="1" t="s">
        <v>42</v>
      </c>
      <c r="F1705" s="1" t="s">
        <v>3925</v>
      </c>
      <c r="G1705" s="1" t="s">
        <v>3926</v>
      </c>
      <c r="H1705" s="1" t="s">
        <v>93</v>
      </c>
      <c r="I1705" s="1" t="s">
        <v>28</v>
      </c>
      <c r="J1705" s="1" t="s">
        <v>68</v>
      </c>
      <c r="K1705" s="1" t="s">
        <v>69</v>
      </c>
      <c r="L1705">
        <v>19140</v>
      </c>
      <c r="M1705" s="1" t="s">
        <v>70</v>
      </c>
      <c r="N1705" s="1" t="s">
        <v>946</v>
      </c>
      <c r="O1705" s="1" t="s">
        <v>33</v>
      </c>
      <c r="P1705" s="1" t="s">
        <v>59</v>
      </c>
      <c r="Q1705" s="1" t="s">
        <v>947</v>
      </c>
      <c r="R1705">
        <v>21</v>
      </c>
      <c r="S1705">
        <v>1</v>
      </c>
      <c r="T1705">
        <v>0.2</v>
      </c>
      <c r="U1705">
        <v>5</v>
      </c>
      <c r="V1705" s="1" t="s">
        <v>86</v>
      </c>
      <c r="W1705" s="1" t="s">
        <v>80</v>
      </c>
    </row>
    <row r="1706" spans="1:23" x14ac:dyDescent="0.35">
      <c r="A1706">
        <v>8056</v>
      </c>
      <c r="B1706" s="1" t="s">
        <v>3927</v>
      </c>
      <c r="C1706" s="2">
        <v>42244</v>
      </c>
      <c r="D1706" s="2">
        <v>42251</v>
      </c>
      <c r="E1706" s="1" t="s">
        <v>42</v>
      </c>
      <c r="F1706" s="1" t="s">
        <v>690</v>
      </c>
      <c r="G1706" s="1" t="s">
        <v>691</v>
      </c>
      <c r="H1706" s="1" t="s">
        <v>27</v>
      </c>
      <c r="I1706" s="1" t="s">
        <v>28</v>
      </c>
      <c r="J1706" s="1" t="s">
        <v>55</v>
      </c>
      <c r="K1706" s="1" t="s">
        <v>56</v>
      </c>
      <c r="L1706">
        <v>90049</v>
      </c>
      <c r="M1706" s="1" t="s">
        <v>57</v>
      </c>
      <c r="N1706" s="1" t="s">
        <v>280</v>
      </c>
      <c r="O1706" s="1" t="s">
        <v>33</v>
      </c>
      <c r="P1706" s="1" t="s">
        <v>34</v>
      </c>
      <c r="Q1706" s="1" t="s">
        <v>281</v>
      </c>
      <c r="R1706">
        <v>308</v>
      </c>
      <c r="S1706">
        <v>2</v>
      </c>
      <c r="T1706">
        <v>0.15</v>
      </c>
      <c r="U1706">
        <v>29</v>
      </c>
      <c r="V1706" s="1" t="s">
        <v>50</v>
      </c>
      <c r="W1706" s="1" t="s">
        <v>256</v>
      </c>
    </row>
    <row r="1707" spans="1:23" x14ac:dyDescent="0.35">
      <c r="A1707">
        <v>8060</v>
      </c>
      <c r="B1707" s="1" t="s">
        <v>3927</v>
      </c>
      <c r="C1707" s="2">
        <v>42244</v>
      </c>
      <c r="D1707" s="2">
        <v>42251</v>
      </c>
      <c r="E1707" s="1" t="s">
        <v>42</v>
      </c>
      <c r="F1707" s="1" t="s">
        <v>690</v>
      </c>
      <c r="G1707" s="1" t="s">
        <v>691</v>
      </c>
      <c r="H1707" s="1" t="s">
        <v>27</v>
      </c>
      <c r="I1707" s="1" t="s">
        <v>28</v>
      </c>
      <c r="J1707" s="1" t="s">
        <v>55</v>
      </c>
      <c r="K1707" s="1" t="s">
        <v>56</v>
      </c>
      <c r="L1707">
        <v>90049</v>
      </c>
      <c r="M1707" s="1" t="s">
        <v>57</v>
      </c>
      <c r="N1707" s="1" t="s">
        <v>1364</v>
      </c>
      <c r="O1707" s="1" t="s">
        <v>33</v>
      </c>
      <c r="P1707" s="1" t="s">
        <v>59</v>
      </c>
      <c r="Q1707" s="1" t="s">
        <v>426</v>
      </c>
      <c r="R1707">
        <v>4</v>
      </c>
      <c r="S1707">
        <v>2</v>
      </c>
      <c r="T1707">
        <v>0</v>
      </c>
      <c r="U1707">
        <v>2</v>
      </c>
      <c r="V1707" s="1" t="s">
        <v>50</v>
      </c>
      <c r="W1707" s="1" t="s">
        <v>256</v>
      </c>
    </row>
    <row r="1708" spans="1:23" x14ac:dyDescent="0.35">
      <c r="A1708">
        <v>8069</v>
      </c>
      <c r="B1708" s="1" t="s">
        <v>3928</v>
      </c>
      <c r="C1708" s="2">
        <v>42297</v>
      </c>
      <c r="D1708" s="2">
        <v>42301</v>
      </c>
      <c r="E1708" s="1" t="s">
        <v>42</v>
      </c>
      <c r="F1708" s="1" t="s">
        <v>1041</v>
      </c>
      <c r="G1708" s="1" t="s">
        <v>1042</v>
      </c>
      <c r="H1708" s="1" t="s">
        <v>93</v>
      </c>
      <c r="I1708" s="1" t="s">
        <v>28</v>
      </c>
      <c r="J1708" s="1" t="s">
        <v>331</v>
      </c>
      <c r="K1708" s="1" t="s">
        <v>56</v>
      </c>
      <c r="L1708">
        <v>94109</v>
      </c>
      <c r="M1708" s="1" t="s">
        <v>57</v>
      </c>
      <c r="N1708" s="1" t="s">
        <v>2516</v>
      </c>
      <c r="O1708" s="1" t="s">
        <v>33</v>
      </c>
      <c r="P1708" s="1" t="s">
        <v>59</v>
      </c>
      <c r="Q1708" s="1" t="s">
        <v>2517</v>
      </c>
      <c r="R1708">
        <v>16</v>
      </c>
      <c r="S1708">
        <v>6</v>
      </c>
      <c r="T1708">
        <v>0</v>
      </c>
      <c r="U1708">
        <v>6</v>
      </c>
      <c r="V1708" s="1" t="s">
        <v>86</v>
      </c>
      <c r="W1708" s="1" t="s">
        <v>51</v>
      </c>
    </row>
    <row r="1709" spans="1:23" x14ac:dyDescent="0.35">
      <c r="A1709">
        <v>8071</v>
      </c>
      <c r="B1709" s="1" t="s">
        <v>3929</v>
      </c>
      <c r="C1709" s="2">
        <v>42736</v>
      </c>
      <c r="D1709" s="2">
        <v>42740</v>
      </c>
      <c r="E1709" s="1" t="s">
        <v>42</v>
      </c>
      <c r="F1709" s="1" t="s">
        <v>2657</v>
      </c>
      <c r="G1709" s="1" t="s">
        <v>2658</v>
      </c>
      <c r="H1709" s="1" t="s">
        <v>27</v>
      </c>
      <c r="I1709" s="1" t="s">
        <v>28</v>
      </c>
      <c r="J1709" s="1" t="s">
        <v>1871</v>
      </c>
      <c r="K1709" s="1" t="s">
        <v>95</v>
      </c>
      <c r="L1709">
        <v>77340</v>
      </c>
      <c r="M1709" s="1" t="s">
        <v>96</v>
      </c>
      <c r="N1709" s="1" t="s">
        <v>2172</v>
      </c>
      <c r="O1709" s="1" t="s">
        <v>33</v>
      </c>
      <c r="P1709" s="1" t="s">
        <v>59</v>
      </c>
      <c r="Q1709" s="1" t="s">
        <v>2173</v>
      </c>
      <c r="R1709">
        <v>141</v>
      </c>
      <c r="S1709">
        <v>5</v>
      </c>
      <c r="T1709">
        <v>0.6</v>
      </c>
      <c r="U1709">
        <v>-187</v>
      </c>
      <c r="V1709" s="1" t="s">
        <v>86</v>
      </c>
      <c r="W1709" s="1" t="s">
        <v>172</v>
      </c>
    </row>
    <row r="1710" spans="1:23" x14ac:dyDescent="0.35">
      <c r="A1710">
        <v>8072</v>
      </c>
      <c r="B1710" s="1" t="s">
        <v>3929</v>
      </c>
      <c r="C1710" s="2">
        <v>42736</v>
      </c>
      <c r="D1710" s="2">
        <v>42740</v>
      </c>
      <c r="E1710" s="1" t="s">
        <v>42</v>
      </c>
      <c r="F1710" s="1" t="s">
        <v>2657</v>
      </c>
      <c r="G1710" s="1" t="s">
        <v>2658</v>
      </c>
      <c r="H1710" s="1" t="s">
        <v>27</v>
      </c>
      <c r="I1710" s="1" t="s">
        <v>28</v>
      </c>
      <c r="J1710" s="1" t="s">
        <v>1871</v>
      </c>
      <c r="K1710" s="1" t="s">
        <v>95</v>
      </c>
      <c r="L1710">
        <v>77340</v>
      </c>
      <c r="M1710" s="1" t="s">
        <v>96</v>
      </c>
      <c r="N1710" s="1" t="s">
        <v>824</v>
      </c>
      <c r="O1710" s="1" t="s">
        <v>33</v>
      </c>
      <c r="P1710" s="1" t="s">
        <v>39</v>
      </c>
      <c r="Q1710" s="1" t="s">
        <v>825</v>
      </c>
      <c r="R1710">
        <v>311</v>
      </c>
      <c r="S1710">
        <v>4</v>
      </c>
      <c r="T1710">
        <v>0.3</v>
      </c>
      <c r="U1710">
        <v>-27</v>
      </c>
      <c r="V1710" s="1" t="s">
        <v>86</v>
      </c>
      <c r="W1710" s="1" t="s">
        <v>172</v>
      </c>
    </row>
    <row r="1711" spans="1:23" x14ac:dyDescent="0.35">
      <c r="A1711">
        <v>8077</v>
      </c>
      <c r="B1711" s="1" t="s">
        <v>3930</v>
      </c>
      <c r="C1711" s="2">
        <v>42178</v>
      </c>
      <c r="D1711" s="2">
        <v>42184</v>
      </c>
      <c r="E1711" s="1" t="s">
        <v>42</v>
      </c>
      <c r="F1711" s="1" t="s">
        <v>1715</v>
      </c>
      <c r="G1711" s="1" t="s">
        <v>1716</v>
      </c>
      <c r="H1711" s="1" t="s">
        <v>93</v>
      </c>
      <c r="I1711" s="1" t="s">
        <v>28</v>
      </c>
      <c r="J1711" s="1" t="s">
        <v>3931</v>
      </c>
      <c r="K1711" s="1" t="s">
        <v>670</v>
      </c>
      <c r="L1711">
        <v>30344</v>
      </c>
      <c r="M1711" s="1" t="s">
        <v>31</v>
      </c>
      <c r="N1711" s="1" t="s">
        <v>838</v>
      </c>
      <c r="O1711" s="1" t="s">
        <v>33</v>
      </c>
      <c r="P1711" s="1" t="s">
        <v>59</v>
      </c>
      <c r="Q1711" s="1" t="s">
        <v>839</v>
      </c>
      <c r="R1711">
        <v>27</v>
      </c>
      <c r="S1711">
        <v>3</v>
      </c>
      <c r="T1711">
        <v>0</v>
      </c>
      <c r="U1711">
        <v>9</v>
      </c>
      <c r="V1711" s="1" t="s">
        <v>132</v>
      </c>
      <c r="W1711" s="1" t="s">
        <v>62</v>
      </c>
    </row>
    <row r="1712" spans="1:23" x14ac:dyDescent="0.35">
      <c r="A1712">
        <v>8086</v>
      </c>
      <c r="B1712" s="1" t="s">
        <v>3932</v>
      </c>
      <c r="C1712" s="2">
        <v>42663</v>
      </c>
      <c r="D1712" s="2">
        <v>42669</v>
      </c>
      <c r="E1712" s="1" t="s">
        <v>42</v>
      </c>
      <c r="F1712" s="1" t="s">
        <v>3933</v>
      </c>
      <c r="G1712" s="1" t="s">
        <v>3934</v>
      </c>
      <c r="H1712" s="1" t="s">
        <v>103</v>
      </c>
      <c r="I1712" s="1" t="s">
        <v>28</v>
      </c>
      <c r="J1712" s="1" t="s">
        <v>692</v>
      </c>
      <c r="K1712" s="1" t="s">
        <v>719</v>
      </c>
      <c r="L1712">
        <v>22204</v>
      </c>
      <c r="M1712" s="1" t="s">
        <v>31</v>
      </c>
      <c r="N1712" s="1" t="s">
        <v>496</v>
      </c>
      <c r="O1712" s="1" t="s">
        <v>33</v>
      </c>
      <c r="P1712" s="1" t="s">
        <v>59</v>
      </c>
      <c r="Q1712" s="1" t="s">
        <v>497</v>
      </c>
      <c r="R1712">
        <v>61</v>
      </c>
      <c r="S1712">
        <v>5</v>
      </c>
      <c r="T1712">
        <v>0</v>
      </c>
      <c r="U1712">
        <v>18</v>
      </c>
      <c r="V1712" s="1" t="s">
        <v>132</v>
      </c>
      <c r="W1712" s="1" t="s">
        <v>51</v>
      </c>
    </row>
    <row r="1713" spans="1:23" x14ac:dyDescent="0.35">
      <c r="A1713">
        <v>8094</v>
      </c>
      <c r="B1713" s="1" t="s">
        <v>3935</v>
      </c>
      <c r="C1713" s="2">
        <v>42943</v>
      </c>
      <c r="D1713" s="2">
        <v>42948</v>
      </c>
      <c r="E1713" s="1" t="s">
        <v>24</v>
      </c>
      <c r="F1713" s="1" t="s">
        <v>1771</v>
      </c>
      <c r="G1713" s="1" t="s">
        <v>1772</v>
      </c>
      <c r="H1713" s="1" t="s">
        <v>27</v>
      </c>
      <c r="I1713" s="1" t="s">
        <v>28</v>
      </c>
      <c r="J1713" s="1" t="s">
        <v>194</v>
      </c>
      <c r="K1713" s="1" t="s">
        <v>195</v>
      </c>
      <c r="L1713">
        <v>98115</v>
      </c>
      <c r="M1713" s="1" t="s">
        <v>57</v>
      </c>
      <c r="N1713" s="1" t="s">
        <v>930</v>
      </c>
      <c r="O1713" s="1" t="s">
        <v>33</v>
      </c>
      <c r="P1713" s="1" t="s">
        <v>59</v>
      </c>
      <c r="Q1713" s="1" t="s">
        <v>319</v>
      </c>
      <c r="R1713">
        <v>24</v>
      </c>
      <c r="S1713">
        <v>3</v>
      </c>
      <c r="T1713">
        <v>0</v>
      </c>
      <c r="U1713">
        <v>11</v>
      </c>
      <c r="V1713" s="1" t="s">
        <v>61</v>
      </c>
      <c r="W1713" s="1" t="s">
        <v>74</v>
      </c>
    </row>
    <row r="1714" spans="1:23" x14ac:dyDescent="0.35">
      <c r="A1714">
        <v>8106</v>
      </c>
      <c r="B1714" s="1" t="s">
        <v>3936</v>
      </c>
      <c r="C1714" s="2">
        <v>42783</v>
      </c>
      <c r="D1714" s="2">
        <v>42785</v>
      </c>
      <c r="E1714" s="1" t="s">
        <v>90</v>
      </c>
      <c r="F1714" s="1" t="s">
        <v>3937</v>
      </c>
      <c r="G1714" s="1" t="s">
        <v>3938</v>
      </c>
      <c r="H1714" s="1" t="s">
        <v>103</v>
      </c>
      <c r="I1714" s="1" t="s">
        <v>28</v>
      </c>
      <c r="J1714" s="1" t="s">
        <v>104</v>
      </c>
      <c r="K1714" s="1" t="s">
        <v>95</v>
      </c>
      <c r="L1714">
        <v>77041</v>
      </c>
      <c r="M1714" s="1" t="s">
        <v>96</v>
      </c>
      <c r="N1714" s="1" t="s">
        <v>537</v>
      </c>
      <c r="O1714" s="1" t="s">
        <v>33</v>
      </c>
      <c r="P1714" s="1" t="s">
        <v>34</v>
      </c>
      <c r="Q1714" s="1" t="s">
        <v>538</v>
      </c>
      <c r="R1714">
        <v>89</v>
      </c>
      <c r="S1714">
        <v>1</v>
      </c>
      <c r="T1714">
        <v>0.32</v>
      </c>
      <c r="U1714">
        <v>-17</v>
      </c>
      <c r="V1714" s="1" t="s">
        <v>73</v>
      </c>
      <c r="W1714" s="1" t="s">
        <v>300</v>
      </c>
    </row>
    <row r="1715" spans="1:23" x14ac:dyDescent="0.35">
      <c r="A1715">
        <v>8109</v>
      </c>
      <c r="B1715" s="1" t="s">
        <v>3939</v>
      </c>
      <c r="C1715" s="2">
        <v>43077</v>
      </c>
      <c r="D1715" s="2">
        <v>43084</v>
      </c>
      <c r="E1715" s="1" t="s">
        <v>42</v>
      </c>
      <c r="F1715" s="1" t="s">
        <v>762</v>
      </c>
      <c r="G1715" s="1" t="s">
        <v>763</v>
      </c>
      <c r="H1715" s="1" t="s">
        <v>27</v>
      </c>
      <c r="I1715" s="1" t="s">
        <v>28</v>
      </c>
      <c r="J1715" s="1" t="s">
        <v>68</v>
      </c>
      <c r="K1715" s="1" t="s">
        <v>69</v>
      </c>
      <c r="L1715">
        <v>19140</v>
      </c>
      <c r="M1715" s="1" t="s">
        <v>70</v>
      </c>
      <c r="N1715" s="1" t="s">
        <v>491</v>
      </c>
      <c r="O1715" s="1" t="s">
        <v>33</v>
      </c>
      <c r="P1715" s="1" t="s">
        <v>39</v>
      </c>
      <c r="Q1715" s="1" t="s">
        <v>492</v>
      </c>
      <c r="R1715">
        <v>216</v>
      </c>
      <c r="S1715">
        <v>4</v>
      </c>
      <c r="T1715">
        <v>0.3</v>
      </c>
      <c r="U1715">
        <v>-59</v>
      </c>
      <c r="V1715" s="1" t="s">
        <v>50</v>
      </c>
      <c r="W1715" s="1" t="s">
        <v>99</v>
      </c>
    </row>
    <row r="1716" spans="1:23" x14ac:dyDescent="0.35">
      <c r="A1716">
        <v>8111</v>
      </c>
      <c r="B1716" s="1" t="s">
        <v>3940</v>
      </c>
      <c r="C1716" s="2">
        <v>43057</v>
      </c>
      <c r="D1716" s="2">
        <v>43062</v>
      </c>
      <c r="E1716" s="1" t="s">
        <v>42</v>
      </c>
      <c r="F1716" s="1" t="s">
        <v>3941</v>
      </c>
      <c r="G1716" s="1" t="s">
        <v>3942</v>
      </c>
      <c r="H1716" s="1" t="s">
        <v>27</v>
      </c>
      <c r="I1716" s="1" t="s">
        <v>28</v>
      </c>
      <c r="J1716" s="1" t="s">
        <v>136</v>
      </c>
      <c r="K1716" s="1" t="s">
        <v>137</v>
      </c>
      <c r="L1716">
        <v>60623</v>
      </c>
      <c r="M1716" s="1" t="s">
        <v>96</v>
      </c>
      <c r="N1716" s="1" t="s">
        <v>2183</v>
      </c>
      <c r="O1716" s="1" t="s">
        <v>33</v>
      </c>
      <c r="P1716" s="1" t="s">
        <v>39</v>
      </c>
      <c r="Q1716" s="1" t="s">
        <v>2184</v>
      </c>
      <c r="R1716">
        <v>127</v>
      </c>
      <c r="S1716">
        <v>2</v>
      </c>
      <c r="T1716">
        <v>0.3</v>
      </c>
      <c r="U1716">
        <v>-25</v>
      </c>
      <c r="V1716" s="1" t="s">
        <v>61</v>
      </c>
      <c r="W1716" s="1" t="s">
        <v>37</v>
      </c>
    </row>
    <row r="1717" spans="1:23" x14ac:dyDescent="0.35">
      <c r="A1717">
        <v>8112</v>
      </c>
      <c r="B1717" s="1" t="s">
        <v>3943</v>
      </c>
      <c r="C1717" s="2">
        <v>42705</v>
      </c>
      <c r="D1717" s="2">
        <v>42707</v>
      </c>
      <c r="E1717" s="1" t="s">
        <v>24</v>
      </c>
      <c r="F1717" s="1" t="s">
        <v>3819</v>
      </c>
      <c r="G1717" s="1" t="s">
        <v>3820</v>
      </c>
      <c r="H1717" s="1" t="s">
        <v>27</v>
      </c>
      <c r="I1717" s="1" t="s">
        <v>28</v>
      </c>
      <c r="J1717" s="1" t="s">
        <v>1748</v>
      </c>
      <c r="K1717" s="1" t="s">
        <v>95</v>
      </c>
      <c r="L1717">
        <v>76903</v>
      </c>
      <c r="M1717" s="1" t="s">
        <v>96</v>
      </c>
      <c r="N1717" s="1" t="s">
        <v>593</v>
      </c>
      <c r="O1717" s="1" t="s">
        <v>33</v>
      </c>
      <c r="P1717" s="1" t="s">
        <v>39</v>
      </c>
      <c r="Q1717" s="1" t="s">
        <v>594</v>
      </c>
      <c r="R1717">
        <v>248</v>
      </c>
      <c r="S1717">
        <v>5</v>
      </c>
      <c r="T1717">
        <v>0.3</v>
      </c>
      <c r="U1717">
        <v>-18</v>
      </c>
      <c r="V1717" s="1" t="s">
        <v>73</v>
      </c>
      <c r="W1717" s="1" t="s">
        <v>99</v>
      </c>
    </row>
    <row r="1718" spans="1:23" x14ac:dyDescent="0.35">
      <c r="A1718">
        <v>8114</v>
      </c>
      <c r="B1718" s="1" t="s">
        <v>3943</v>
      </c>
      <c r="C1718" s="2">
        <v>42705</v>
      </c>
      <c r="D1718" s="2">
        <v>42707</v>
      </c>
      <c r="E1718" s="1" t="s">
        <v>24</v>
      </c>
      <c r="F1718" s="1" t="s">
        <v>3819</v>
      </c>
      <c r="G1718" s="1" t="s">
        <v>3820</v>
      </c>
      <c r="H1718" s="1" t="s">
        <v>27</v>
      </c>
      <c r="I1718" s="1" t="s">
        <v>28</v>
      </c>
      <c r="J1718" s="1" t="s">
        <v>1748</v>
      </c>
      <c r="K1718" s="1" t="s">
        <v>95</v>
      </c>
      <c r="L1718">
        <v>76903</v>
      </c>
      <c r="M1718" s="1" t="s">
        <v>96</v>
      </c>
      <c r="N1718" s="1" t="s">
        <v>301</v>
      </c>
      <c r="O1718" s="1" t="s">
        <v>33</v>
      </c>
      <c r="P1718" s="1" t="s">
        <v>39</v>
      </c>
      <c r="Q1718" s="1" t="s">
        <v>302</v>
      </c>
      <c r="R1718">
        <v>85</v>
      </c>
      <c r="S1718">
        <v>2</v>
      </c>
      <c r="T1718">
        <v>0.3</v>
      </c>
      <c r="U1718">
        <v>-1</v>
      </c>
      <c r="V1718" s="1" t="s">
        <v>73</v>
      </c>
      <c r="W1718" s="1" t="s">
        <v>99</v>
      </c>
    </row>
    <row r="1719" spans="1:23" x14ac:dyDescent="0.35">
      <c r="A1719">
        <v>8116</v>
      </c>
      <c r="B1719" s="1" t="s">
        <v>3944</v>
      </c>
      <c r="C1719" s="2">
        <v>42976</v>
      </c>
      <c r="D1719" s="2">
        <v>42982</v>
      </c>
      <c r="E1719" s="1" t="s">
        <v>42</v>
      </c>
      <c r="F1719" s="1" t="s">
        <v>1591</v>
      </c>
      <c r="G1719" s="1" t="s">
        <v>1592</v>
      </c>
      <c r="H1719" s="1" t="s">
        <v>93</v>
      </c>
      <c r="I1719" s="1" t="s">
        <v>28</v>
      </c>
      <c r="J1719" s="1" t="s">
        <v>55</v>
      </c>
      <c r="K1719" s="1" t="s">
        <v>56</v>
      </c>
      <c r="L1719">
        <v>90049</v>
      </c>
      <c r="M1719" s="1" t="s">
        <v>57</v>
      </c>
      <c r="N1719" s="1" t="s">
        <v>3697</v>
      </c>
      <c r="O1719" s="1" t="s">
        <v>33</v>
      </c>
      <c r="P1719" s="1" t="s">
        <v>59</v>
      </c>
      <c r="Q1719" s="1" t="s">
        <v>3698</v>
      </c>
      <c r="R1719">
        <v>148</v>
      </c>
      <c r="S1719">
        <v>3</v>
      </c>
      <c r="T1719">
        <v>0</v>
      </c>
      <c r="U1719">
        <v>41</v>
      </c>
      <c r="V1719" s="1" t="s">
        <v>132</v>
      </c>
      <c r="W1719" s="1" t="s">
        <v>256</v>
      </c>
    </row>
    <row r="1720" spans="1:23" x14ac:dyDescent="0.35">
      <c r="A1720">
        <v>8119</v>
      </c>
      <c r="B1720" s="1" t="s">
        <v>3945</v>
      </c>
      <c r="C1720" s="2">
        <v>42938</v>
      </c>
      <c r="D1720" s="2">
        <v>42943</v>
      </c>
      <c r="E1720" s="1" t="s">
        <v>42</v>
      </c>
      <c r="F1720" s="1" t="s">
        <v>2660</v>
      </c>
      <c r="G1720" s="1" t="s">
        <v>2661</v>
      </c>
      <c r="H1720" s="1" t="s">
        <v>27</v>
      </c>
      <c r="I1720" s="1" t="s">
        <v>28</v>
      </c>
      <c r="J1720" s="1" t="s">
        <v>136</v>
      </c>
      <c r="K1720" s="1" t="s">
        <v>137</v>
      </c>
      <c r="L1720">
        <v>60653</v>
      </c>
      <c r="M1720" s="1" t="s">
        <v>96</v>
      </c>
      <c r="N1720" s="1" t="s">
        <v>628</v>
      </c>
      <c r="O1720" s="1" t="s">
        <v>33</v>
      </c>
      <c r="P1720" s="1" t="s">
        <v>39</v>
      </c>
      <c r="Q1720" s="1" t="s">
        <v>629</v>
      </c>
      <c r="R1720">
        <v>526</v>
      </c>
      <c r="S1720">
        <v>4</v>
      </c>
      <c r="T1720">
        <v>0.3</v>
      </c>
      <c r="U1720">
        <v>-75</v>
      </c>
      <c r="V1720" s="1" t="s">
        <v>61</v>
      </c>
      <c r="W1720" s="1" t="s">
        <v>74</v>
      </c>
    </row>
    <row r="1721" spans="1:23" x14ac:dyDescent="0.35">
      <c r="A1721">
        <v>8120</v>
      </c>
      <c r="B1721" s="1" t="s">
        <v>3946</v>
      </c>
      <c r="C1721" s="2">
        <v>42685</v>
      </c>
      <c r="D1721" s="2">
        <v>42690</v>
      </c>
      <c r="E1721" s="1" t="s">
        <v>42</v>
      </c>
      <c r="F1721" s="1" t="s">
        <v>618</v>
      </c>
      <c r="G1721" s="1" t="s">
        <v>619</v>
      </c>
      <c r="H1721" s="1" t="s">
        <v>27</v>
      </c>
      <c r="I1721" s="1" t="s">
        <v>28</v>
      </c>
      <c r="J1721" s="1" t="s">
        <v>331</v>
      </c>
      <c r="K1721" s="1" t="s">
        <v>56</v>
      </c>
      <c r="L1721">
        <v>94110</v>
      </c>
      <c r="M1721" s="1" t="s">
        <v>57</v>
      </c>
      <c r="N1721" s="1" t="s">
        <v>189</v>
      </c>
      <c r="O1721" s="1" t="s">
        <v>33</v>
      </c>
      <c r="P1721" s="1" t="s">
        <v>59</v>
      </c>
      <c r="Q1721" s="1" t="s">
        <v>190</v>
      </c>
      <c r="R1721">
        <v>42</v>
      </c>
      <c r="S1721">
        <v>2</v>
      </c>
      <c r="T1721">
        <v>0</v>
      </c>
      <c r="U1721">
        <v>11</v>
      </c>
      <c r="V1721" s="1" t="s">
        <v>61</v>
      </c>
      <c r="W1721" s="1" t="s">
        <v>37</v>
      </c>
    </row>
    <row r="1722" spans="1:23" x14ac:dyDescent="0.35">
      <c r="A1722">
        <v>8121</v>
      </c>
      <c r="B1722" s="1" t="s">
        <v>3946</v>
      </c>
      <c r="C1722" s="2">
        <v>42685</v>
      </c>
      <c r="D1722" s="2">
        <v>42690</v>
      </c>
      <c r="E1722" s="1" t="s">
        <v>42</v>
      </c>
      <c r="F1722" s="1" t="s">
        <v>618</v>
      </c>
      <c r="G1722" s="1" t="s">
        <v>619</v>
      </c>
      <c r="H1722" s="1" t="s">
        <v>27</v>
      </c>
      <c r="I1722" s="1" t="s">
        <v>28</v>
      </c>
      <c r="J1722" s="1" t="s">
        <v>331</v>
      </c>
      <c r="K1722" s="1" t="s">
        <v>56</v>
      </c>
      <c r="L1722">
        <v>94110</v>
      </c>
      <c r="M1722" s="1" t="s">
        <v>57</v>
      </c>
      <c r="N1722" s="1" t="s">
        <v>628</v>
      </c>
      <c r="O1722" s="1" t="s">
        <v>33</v>
      </c>
      <c r="P1722" s="1" t="s">
        <v>39</v>
      </c>
      <c r="Q1722" s="1" t="s">
        <v>629</v>
      </c>
      <c r="R1722">
        <v>451</v>
      </c>
      <c r="S1722">
        <v>3</v>
      </c>
      <c r="T1722">
        <v>0.2</v>
      </c>
      <c r="U1722">
        <v>0</v>
      </c>
      <c r="V1722" s="1" t="s">
        <v>61</v>
      </c>
      <c r="W1722" s="1" t="s">
        <v>37</v>
      </c>
    </row>
    <row r="1723" spans="1:23" x14ac:dyDescent="0.35">
      <c r="A1723">
        <v>8125</v>
      </c>
      <c r="B1723" s="1" t="s">
        <v>3947</v>
      </c>
      <c r="C1723" s="2">
        <v>42985</v>
      </c>
      <c r="D1723" s="2">
        <v>42990</v>
      </c>
      <c r="E1723" s="1" t="s">
        <v>42</v>
      </c>
      <c r="F1723" s="1" t="s">
        <v>1878</v>
      </c>
      <c r="G1723" s="1" t="s">
        <v>1879</v>
      </c>
      <c r="H1723" s="1" t="s">
        <v>27</v>
      </c>
      <c r="I1723" s="1" t="s">
        <v>28</v>
      </c>
      <c r="J1723" s="1" t="s">
        <v>3948</v>
      </c>
      <c r="K1723" s="1" t="s">
        <v>56</v>
      </c>
      <c r="L1723">
        <v>95351</v>
      </c>
      <c r="M1723" s="1" t="s">
        <v>57</v>
      </c>
      <c r="N1723" s="1" t="s">
        <v>298</v>
      </c>
      <c r="O1723" s="1" t="s">
        <v>33</v>
      </c>
      <c r="P1723" s="1" t="s">
        <v>39</v>
      </c>
      <c r="Q1723" s="1" t="s">
        <v>299</v>
      </c>
      <c r="R1723">
        <v>162</v>
      </c>
      <c r="S1723">
        <v>2</v>
      </c>
      <c r="T1723">
        <v>0.2</v>
      </c>
      <c r="U1723">
        <v>-28</v>
      </c>
      <c r="V1723" s="1" t="s">
        <v>61</v>
      </c>
      <c r="W1723" s="1" t="s">
        <v>80</v>
      </c>
    </row>
    <row r="1724" spans="1:23" x14ac:dyDescent="0.35">
      <c r="A1724">
        <v>8129</v>
      </c>
      <c r="B1724" s="1" t="s">
        <v>3949</v>
      </c>
      <c r="C1724" s="2">
        <v>42973</v>
      </c>
      <c r="D1724" s="2">
        <v>42979</v>
      </c>
      <c r="E1724" s="1" t="s">
        <v>42</v>
      </c>
      <c r="F1724" s="1" t="s">
        <v>110</v>
      </c>
      <c r="G1724" s="1" t="s">
        <v>111</v>
      </c>
      <c r="H1724" s="1" t="s">
        <v>27</v>
      </c>
      <c r="I1724" s="1" t="s">
        <v>28</v>
      </c>
      <c r="J1724" s="1" t="s">
        <v>136</v>
      </c>
      <c r="K1724" s="1" t="s">
        <v>137</v>
      </c>
      <c r="L1724">
        <v>60610</v>
      </c>
      <c r="M1724" s="1" t="s">
        <v>96</v>
      </c>
      <c r="N1724" s="1" t="s">
        <v>759</v>
      </c>
      <c r="O1724" s="1" t="s">
        <v>33</v>
      </c>
      <c r="P1724" s="1" t="s">
        <v>59</v>
      </c>
      <c r="Q1724" s="1" t="s">
        <v>760</v>
      </c>
      <c r="R1724">
        <v>65</v>
      </c>
      <c r="S1724">
        <v>5</v>
      </c>
      <c r="T1724">
        <v>0.6</v>
      </c>
      <c r="U1724">
        <v>-44</v>
      </c>
      <c r="V1724" s="1" t="s">
        <v>132</v>
      </c>
      <c r="W1724" s="1" t="s">
        <v>256</v>
      </c>
    </row>
    <row r="1725" spans="1:23" x14ac:dyDescent="0.35">
      <c r="A1725">
        <v>8134</v>
      </c>
      <c r="B1725" s="1" t="s">
        <v>3950</v>
      </c>
      <c r="C1725" s="2">
        <v>42285</v>
      </c>
      <c r="D1725" s="2">
        <v>42290</v>
      </c>
      <c r="E1725" s="1" t="s">
        <v>42</v>
      </c>
      <c r="F1725" s="1" t="s">
        <v>91</v>
      </c>
      <c r="G1725" s="1" t="s">
        <v>92</v>
      </c>
      <c r="H1725" s="1" t="s">
        <v>93</v>
      </c>
      <c r="I1725" s="1" t="s">
        <v>28</v>
      </c>
      <c r="J1725" s="1" t="s">
        <v>1742</v>
      </c>
      <c r="K1725" s="1" t="s">
        <v>95</v>
      </c>
      <c r="L1725">
        <v>75081</v>
      </c>
      <c r="M1725" s="1" t="s">
        <v>96</v>
      </c>
      <c r="N1725" s="1" t="s">
        <v>147</v>
      </c>
      <c r="O1725" s="1" t="s">
        <v>33</v>
      </c>
      <c r="P1725" s="1" t="s">
        <v>59</v>
      </c>
      <c r="Q1725" s="1" t="s">
        <v>148</v>
      </c>
      <c r="R1725">
        <v>73</v>
      </c>
      <c r="S1725">
        <v>3</v>
      </c>
      <c r="T1725">
        <v>0.6</v>
      </c>
      <c r="U1725">
        <v>-71</v>
      </c>
      <c r="V1725" s="1" t="s">
        <v>61</v>
      </c>
      <c r="W1725" s="1" t="s">
        <v>51</v>
      </c>
    </row>
    <row r="1726" spans="1:23" x14ac:dyDescent="0.35">
      <c r="A1726">
        <v>8137</v>
      </c>
      <c r="B1726" s="1" t="s">
        <v>3951</v>
      </c>
      <c r="C1726" s="2">
        <v>42594</v>
      </c>
      <c r="D1726" s="2">
        <v>42598</v>
      </c>
      <c r="E1726" s="1" t="s">
        <v>42</v>
      </c>
      <c r="F1726" s="1" t="s">
        <v>3952</v>
      </c>
      <c r="G1726" s="1" t="s">
        <v>3953</v>
      </c>
      <c r="H1726" s="1" t="s">
        <v>93</v>
      </c>
      <c r="I1726" s="1" t="s">
        <v>28</v>
      </c>
      <c r="J1726" s="1" t="s">
        <v>577</v>
      </c>
      <c r="K1726" s="1" t="s">
        <v>46</v>
      </c>
      <c r="L1726">
        <v>33801</v>
      </c>
      <c r="M1726" s="1" t="s">
        <v>31</v>
      </c>
      <c r="N1726" s="1" t="s">
        <v>371</v>
      </c>
      <c r="O1726" s="1" t="s">
        <v>33</v>
      </c>
      <c r="P1726" s="1" t="s">
        <v>48</v>
      </c>
      <c r="Q1726" s="1" t="s">
        <v>372</v>
      </c>
      <c r="R1726">
        <v>562</v>
      </c>
      <c r="S1726">
        <v>7</v>
      </c>
      <c r="T1726">
        <v>0.45</v>
      </c>
      <c r="U1726">
        <v>-256</v>
      </c>
      <c r="V1726" s="1" t="s">
        <v>86</v>
      </c>
      <c r="W1726" s="1" t="s">
        <v>256</v>
      </c>
    </row>
    <row r="1727" spans="1:23" x14ac:dyDescent="0.35">
      <c r="A1727">
        <v>8138</v>
      </c>
      <c r="B1727" s="1" t="s">
        <v>3954</v>
      </c>
      <c r="C1727" s="2">
        <v>41952</v>
      </c>
      <c r="D1727" s="2">
        <v>41956</v>
      </c>
      <c r="E1727" s="1" t="s">
        <v>42</v>
      </c>
      <c r="F1727" s="1" t="s">
        <v>3366</v>
      </c>
      <c r="G1727" s="1" t="s">
        <v>3367</v>
      </c>
      <c r="H1727" s="1" t="s">
        <v>103</v>
      </c>
      <c r="I1727" s="1" t="s">
        <v>28</v>
      </c>
      <c r="J1727" s="1" t="s">
        <v>176</v>
      </c>
      <c r="K1727" s="1" t="s">
        <v>123</v>
      </c>
      <c r="L1727">
        <v>10035</v>
      </c>
      <c r="M1727" s="1" t="s">
        <v>70</v>
      </c>
      <c r="N1727" s="1" t="s">
        <v>357</v>
      </c>
      <c r="O1727" s="1" t="s">
        <v>33</v>
      </c>
      <c r="P1727" s="1" t="s">
        <v>59</v>
      </c>
      <c r="Q1727" s="1" t="s">
        <v>1246</v>
      </c>
      <c r="R1727">
        <v>57</v>
      </c>
      <c r="S1727">
        <v>9</v>
      </c>
      <c r="T1727">
        <v>0</v>
      </c>
      <c r="U1727">
        <v>21</v>
      </c>
      <c r="V1727" s="1" t="s">
        <v>86</v>
      </c>
      <c r="W1727" s="1" t="s">
        <v>37</v>
      </c>
    </row>
    <row r="1728" spans="1:23" x14ac:dyDescent="0.35">
      <c r="A1728">
        <v>8144</v>
      </c>
      <c r="B1728" s="1" t="s">
        <v>3955</v>
      </c>
      <c r="C1728" s="2">
        <v>42405</v>
      </c>
      <c r="D1728" s="2">
        <v>42410</v>
      </c>
      <c r="E1728" s="1" t="s">
        <v>42</v>
      </c>
      <c r="F1728" s="1" t="s">
        <v>1893</v>
      </c>
      <c r="G1728" s="1" t="s">
        <v>1894</v>
      </c>
      <c r="H1728" s="1" t="s">
        <v>27</v>
      </c>
      <c r="I1728" s="1" t="s">
        <v>28</v>
      </c>
      <c r="J1728" s="1" t="s">
        <v>642</v>
      </c>
      <c r="K1728" s="1" t="s">
        <v>56</v>
      </c>
      <c r="L1728">
        <v>92037</v>
      </c>
      <c r="M1728" s="1" t="s">
        <v>57</v>
      </c>
      <c r="N1728" s="1" t="s">
        <v>787</v>
      </c>
      <c r="O1728" s="1" t="s">
        <v>33</v>
      </c>
      <c r="P1728" s="1" t="s">
        <v>48</v>
      </c>
      <c r="Q1728" s="1" t="s">
        <v>788</v>
      </c>
      <c r="R1728">
        <v>558</v>
      </c>
      <c r="S1728">
        <v>4</v>
      </c>
      <c r="T1728">
        <v>0.2</v>
      </c>
      <c r="U1728">
        <v>7</v>
      </c>
      <c r="V1728" s="1" t="s">
        <v>61</v>
      </c>
      <c r="W1728" s="1" t="s">
        <v>300</v>
      </c>
    </row>
    <row r="1729" spans="1:23" x14ac:dyDescent="0.35">
      <c r="A1729">
        <v>8151</v>
      </c>
      <c r="B1729" s="1" t="s">
        <v>3956</v>
      </c>
      <c r="C1729" s="2">
        <v>41665</v>
      </c>
      <c r="D1729" s="2">
        <v>41668</v>
      </c>
      <c r="E1729" s="1" t="s">
        <v>90</v>
      </c>
      <c r="F1729" s="1" t="s">
        <v>2777</v>
      </c>
      <c r="G1729" s="1" t="s">
        <v>2778</v>
      </c>
      <c r="H1729" s="1" t="s">
        <v>93</v>
      </c>
      <c r="I1729" s="1" t="s">
        <v>28</v>
      </c>
      <c r="J1729" s="1" t="s">
        <v>3957</v>
      </c>
      <c r="K1729" s="1" t="s">
        <v>1829</v>
      </c>
      <c r="L1729">
        <v>57701</v>
      </c>
      <c r="M1729" s="1" t="s">
        <v>96</v>
      </c>
      <c r="N1729" s="1" t="s">
        <v>813</v>
      </c>
      <c r="O1729" s="1" t="s">
        <v>33</v>
      </c>
      <c r="P1729" s="1" t="s">
        <v>34</v>
      </c>
      <c r="Q1729" s="1" t="s">
        <v>814</v>
      </c>
      <c r="R1729">
        <v>142</v>
      </c>
      <c r="S1729">
        <v>2</v>
      </c>
      <c r="T1729">
        <v>0</v>
      </c>
      <c r="U1729">
        <v>40</v>
      </c>
      <c r="V1729" s="1" t="s">
        <v>36</v>
      </c>
      <c r="W1729" s="1" t="s">
        <v>172</v>
      </c>
    </row>
    <row r="1730" spans="1:23" x14ac:dyDescent="0.35">
      <c r="A1730">
        <v>8157</v>
      </c>
      <c r="B1730" s="1" t="s">
        <v>3958</v>
      </c>
      <c r="C1730" s="2">
        <v>42647</v>
      </c>
      <c r="D1730" s="2">
        <v>42652</v>
      </c>
      <c r="E1730" s="1" t="s">
        <v>42</v>
      </c>
      <c r="F1730" s="1" t="s">
        <v>782</v>
      </c>
      <c r="G1730" s="1" t="s">
        <v>783</v>
      </c>
      <c r="H1730" s="1" t="s">
        <v>27</v>
      </c>
      <c r="I1730" s="1" t="s">
        <v>28</v>
      </c>
      <c r="J1730" s="1" t="s">
        <v>2757</v>
      </c>
      <c r="K1730" s="1" t="s">
        <v>1092</v>
      </c>
      <c r="L1730">
        <v>21215</v>
      </c>
      <c r="M1730" s="1" t="s">
        <v>70</v>
      </c>
      <c r="N1730" s="1" t="s">
        <v>1257</v>
      </c>
      <c r="O1730" s="1" t="s">
        <v>33</v>
      </c>
      <c r="P1730" s="1" t="s">
        <v>48</v>
      </c>
      <c r="Q1730" s="1" t="s">
        <v>1258</v>
      </c>
      <c r="R1730">
        <v>239</v>
      </c>
      <c r="S1730">
        <v>2</v>
      </c>
      <c r="T1730">
        <v>0.3</v>
      </c>
      <c r="U1730">
        <v>-24</v>
      </c>
      <c r="V1730" s="1" t="s">
        <v>61</v>
      </c>
      <c r="W1730" s="1" t="s">
        <v>51</v>
      </c>
    </row>
    <row r="1731" spans="1:23" x14ac:dyDescent="0.35">
      <c r="A1731">
        <v>8161</v>
      </c>
      <c r="B1731" s="1" t="s">
        <v>3959</v>
      </c>
      <c r="C1731" s="2">
        <v>42416</v>
      </c>
      <c r="D1731" s="2">
        <v>42420</v>
      </c>
      <c r="E1731" s="1" t="s">
        <v>42</v>
      </c>
      <c r="F1731" s="1" t="s">
        <v>3960</v>
      </c>
      <c r="G1731" s="1" t="s">
        <v>3961</v>
      </c>
      <c r="H1731" s="1" t="s">
        <v>27</v>
      </c>
      <c r="I1731" s="1" t="s">
        <v>28</v>
      </c>
      <c r="J1731" s="1" t="s">
        <v>364</v>
      </c>
      <c r="K1731" s="1" t="s">
        <v>365</v>
      </c>
      <c r="L1731">
        <v>7109</v>
      </c>
      <c r="M1731" s="1" t="s">
        <v>70</v>
      </c>
      <c r="N1731" s="1" t="s">
        <v>3219</v>
      </c>
      <c r="O1731" s="1" t="s">
        <v>33</v>
      </c>
      <c r="P1731" s="1" t="s">
        <v>39</v>
      </c>
      <c r="Q1731" s="1" t="s">
        <v>3220</v>
      </c>
      <c r="R1731">
        <v>228</v>
      </c>
      <c r="S1731">
        <v>2</v>
      </c>
      <c r="T1731">
        <v>0</v>
      </c>
      <c r="U1731">
        <v>36</v>
      </c>
      <c r="V1731" s="1" t="s">
        <v>86</v>
      </c>
      <c r="W1731" s="1" t="s">
        <v>300</v>
      </c>
    </row>
    <row r="1732" spans="1:23" x14ac:dyDescent="0.35">
      <c r="A1732">
        <v>8164</v>
      </c>
      <c r="B1732" s="1" t="s">
        <v>3962</v>
      </c>
      <c r="C1732" s="2">
        <v>42310</v>
      </c>
      <c r="D1732" s="2">
        <v>42314</v>
      </c>
      <c r="E1732" s="1" t="s">
        <v>42</v>
      </c>
      <c r="F1732" s="1" t="s">
        <v>816</v>
      </c>
      <c r="G1732" s="1" t="s">
        <v>817</v>
      </c>
      <c r="H1732" s="1" t="s">
        <v>27</v>
      </c>
      <c r="I1732" s="1" t="s">
        <v>28</v>
      </c>
      <c r="J1732" s="1" t="s">
        <v>642</v>
      </c>
      <c r="K1732" s="1" t="s">
        <v>56</v>
      </c>
      <c r="L1732">
        <v>92105</v>
      </c>
      <c r="M1732" s="1" t="s">
        <v>57</v>
      </c>
      <c r="N1732" s="1" t="s">
        <v>1965</v>
      </c>
      <c r="O1732" s="1" t="s">
        <v>33</v>
      </c>
      <c r="P1732" s="1" t="s">
        <v>59</v>
      </c>
      <c r="Q1732" s="1" t="s">
        <v>1966</v>
      </c>
      <c r="R1732">
        <v>97</v>
      </c>
      <c r="S1732">
        <v>6</v>
      </c>
      <c r="T1732">
        <v>0</v>
      </c>
      <c r="U1732">
        <v>34</v>
      </c>
      <c r="V1732" s="1" t="s">
        <v>86</v>
      </c>
      <c r="W1732" s="1" t="s">
        <v>37</v>
      </c>
    </row>
    <row r="1733" spans="1:23" x14ac:dyDescent="0.35">
      <c r="A1733">
        <v>8167</v>
      </c>
      <c r="B1733" s="1" t="s">
        <v>3962</v>
      </c>
      <c r="C1733" s="2">
        <v>42310</v>
      </c>
      <c r="D1733" s="2">
        <v>42314</v>
      </c>
      <c r="E1733" s="1" t="s">
        <v>42</v>
      </c>
      <c r="F1733" s="1" t="s">
        <v>816</v>
      </c>
      <c r="G1733" s="1" t="s">
        <v>817</v>
      </c>
      <c r="H1733" s="1" t="s">
        <v>27</v>
      </c>
      <c r="I1733" s="1" t="s">
        <v>28</v>
      </c>
      <c r="J1733" s="1" t="s">
        <v>642</v>
      </c>
      <c r="K1733" s="1" t="s">
        <v>56</v>
      </c>
      <c r="L1733">
        <v>92105</v>
      </c>
      <c r="M1733" s="1" t="s">
        <v>57</v>
      </c>
      <c r="N1733" s="1" t="s">
        <v>1970</v>
      </c>
      <c r="O1733" s="1" t="s">
        <v>33</v>
      </c>
      <c r="P1733" s="1" t="s">
        <v>34</v>
      </c>
      <c r="Q1733" s="1" t="s">
        <v>1971</v>
      </c>
      <c r="R1733">
        <v>512</v>
      </c>
      <c r="S1733">
        <v>3</v>
      </c>
      <c r="T1733">
        <v>0.15</v>
      </c>
      <c r="U1733">
        <v>-30</v>
      </c>
      <c r="V1733" s="1" t="s">
        <v>86</v>
      </c>
      <c r="W1733" s="1" t="s">
        <v>37</v>
      </c>
    </row>
    <row r="1734" spans="1:23" x14ac:dyDescent="0.35">
      <c r="A1734">
        <v>8168</v>
      </c>
      <c r="B1734" s="1" t="s">
        <v>3963</v>
      </c>
      <c r="C1734" s="2">
        <v>42582</v>
      </c>
      <c r="D1734" s="2">
        <v>42587</v>
      </c>
      <c r="E1734" s="1" t="s">
        <v>42</v>
      </c>
      <c r="F1734" s="1" t="s">
        <v>2579</v>
      </c>
      <c r="G1734" s="1" t="s">
        <v>2580</v>
      </c>
      <c r="H1734" s="1" t="s">
        <v>93</v>
      </c>
      <c r="I1734" s="1" t="s">
        <v>28</v>
      </c>
      <c r="J1734" s="1" t="s">
        <v>331</v>
      </c>
      <c r="K1734" s="1" t="s">
        <v>56</v>
      </c>
      <c r="L1734">
        <v>94122</v>
      </c>
      <c r="M1734" s="1" t="s">
        <v>57</v>
      </c>
      <c r="N1734" s="1" t="s">
        <v>734</v>
      </c>
      <c r="O1734" s="1" t="s">
        <v>33</v>
      </c>
      <c r="P1734" s="1" t="s">
        <v>48</v>
      </c>
      <c r="Q1734" s="1" t="s">
        <v>735</v>
      </c>
      <c r="R1734">
        <v>863</v>
      </c>
      <c r="S1734">
        <v>7</v>
      </c>
      <c r="T1734">
        <v>0.2</v>
      </c>
      <c r="U1734">
        <v>-32</v>
      </c>
      <c r="V1734" s="1" t="s">
        <v>61</v>
      </c>
      <c r="W1734" s="1" t="s">
        <v>74</v>
      </c>
    </row>
    <row r="1735" spans="1:23" x14ac:dyDescent="0.35">
      <c r="A1735">
        <v>8169</v>
      </c>
      <c r="B1735" s="1" t="s">
        <v>3964</v>
      </c>
      <c r="C1735" s="2">
        <v>43045</v>
      </c>
      <c r="D1735" s="2">
        <v>43052</v>
      </c>
      <c r="E1735" s="1" t="s">
        <v>42</v>
      </c>
      <c r="F1735" s="1" t="s">
        <v>1847</v>
      </c>
      <c r="G1735" s="1" t="s">
        <v>1848</v>
      </c>
      <c r="H1735" s="1" t="s">
        <v>103</v>
      </c>
      <c r="I1735" s="1" t="s">
        <v>28</v>
      </c>
      <c r="J1735" s="1" t="s">
        <v>194</v>
      </c>
      <c r="K1735" s="1" t="s">
        <v>195</v>
      </c>
      <c r="L1735">
        <v>98105</v>
      </c>
      <c r="M1735" s="1" t="s">
        <v>57</v>
      </c>
      <c r="N1735" s="1" t="s">
        <v>413</v>
      </c>
      <c r="O1735" s="1" t="s">
        <v>33</v>
      </c>
      <c r="P1735" s="1" t="s">
        <v>48</v>
      </c>
      <c r="Q1735" s="1" t="s">
        <v>414</v>
      </c>
      <c r="R1735">
        <v>2037</v>
      </c>
      <c r="S1735">
        <v>7</v>
      </c>
      <c r="T1735">
        <v>0</v>
      </c>
      <c r="U1735">
        <v>367</v>
      </c>
      <c r="V1735" s="1" t="s">
        <v>50</v>
      </c>
      <c r="W1735" s="1" t="s">
        <v>37</v>
      </c>
    </row>
    <row r="1736" spans="1:23" x14ac:dyDescent="0.35">
      <c r="A1736">
        <v>8170</v>
      </c>
      <c r="B1736" s="1" t="s">
        <v>3964</v>
      </c>
      <c r="C1736" s="2">
        <v>43045</v>
      </c>
      <c r="D1736" s="2">
        <v>43052</v>
      </c>
      <c r="E1736" s="1" t="s">
        <v>42</v>
      </c>
      <c r="F1736" s="1" t="s">
        <v>1847</v>
      </c>
      <c r="G1736" s="1" t="s">
        <v>1848</v>
      </c>
      <c r="H1736" s="1" t="s">
        <v>103</v>
      </c>
      <c r="I1736" s="1" t="s">
        <v>28</v>
      </c>
      <c r="J1736" s="1" t="s">
        <v>194</v>
      </c>
      <c r="K1736" s="1" t="s">
        <v>195</v>
      </c>
      <c r="L1736">
        <v>98105</v>
      </c>
      <c r="M1736" s="1" t="s">
        <v>57</v>
      </c>
      <c r="N1736" s="1" t="s">
        <v>408</v>
      </c>
      <c r="O1736" s="1" t="s">
        <v>33</v>
      </c>
      <c r="P1736" s="1" t="s">
        <v>39</v>
      </c>
      <c r="Q1736" s="1" t="s">
        <v>409</v>
      </c>
      <c r="R1736">
        <v>450</v>
      </c>
      <c r="S1736">
        <v>2</v>
      </c>
      <c r="T1736">
        <v>0.2</v>
      </c>
      <c r="U1736">
        <v>-73</v>
      </c>
      <c r="V1736" s="1" t="s">
        <v>50</v>
      </c>
      <c r="W1736" s="1" t="s">
        <v>37</v>
      </c>
    </row>
    <row r="1737" spans="1:23" x14ac:dyDescent="0.35">
      <c r="A1737">
        <v>8180</v>
      </c>
      <c r="B1737" s="1" t="s">
        <v>3965</v>
      </c>
      <c r="C1737" s="2">
        <v>42218</v>
      </c>
      <c r="D1737" s="2">
        <v>42222</v>
      </c>
      <c r="E1737" s="1" t="s">
        <v>42</v>
      </c>
      <c r="F1737" s="1" t="s">
        <v>591</v>
      </c>
      <c r="G1737" s="1" t="s">
        <v>592</v>
      </c>
      <c r="H1737" s="1" t="s">
        <v>27</v>
      </c>
      <c r="I1737" s="1" t="s">
        <v>28</v>
      </c>
      <c r="J1737" s="1" t="s">
        <v>881</v>
      </c>
      <c r="K1737" s="1" t="s">
        <v>1520</v>
      </c>
      <c r="L1737">
        <v>97477</v>
      </c>
      <c r="M1737" s="1" t="s">
        <v>57</v>
      </c>
      <c r="N1737" s="1" t="s">
        <v>2569</v>
      </c>
      <c r="O1737" s="1" t="s">
        <v>33</v>
      </c>
      <c r="P1737" s="1" t="s">
        <v>48</v>
      </c>
      <c r="Q1737" s="1" t="s">
        <v>2570</v>
      </c>
      <c r="R1737">
        <v>278</v>
      </c>
      <c r="S1737">
        <v>4</v>
      </c>
      <c r="T1737">
        <v>0.5</v>
      </c>
      <c r="U1737">
        <v>-189</v>
      </c>
      <c r="V1737" s="1" t="s">
        <v>86</v>
      </c>
      <c r="W1737" s="1" t="s">
        <v>256</v>
      </c>
    </row>
    <row r="1738" spans="1:23" x14ac:dyDescent="0.35">
      <c r="A1738">
        <v>8181</v>
      </c>
      <c r="B1738" s="1" t="s">
        <v>3966</v>
      </c>
      <c r="C1738" s="2">
        <v>42329</v>
      </c>
      <c r="D1738" s="2">
        <v>42333</v>
      </c>
      <c r="E1738" s="1" t="s">
        <v>42</v>
      </c>
      <c r="F1738" s="1" t="s">
        <v>3015</v>
      </c>
      <c r="G1738" s="1" t="s">
        <v>3016</v>
      </c>
      <c r="H1738" s="1" t="s">
        <v>27</v>
      </c>
      <c r="I1738" s="1" t="s">
        <v>28</v>
      </c>
      <c r="J1738" s="1" t="s">
        <v>68</v>
      </c>
      <c r="K1738" s="1" t="s">
        <v>69</v>
      </c>
      <c r="L1738">
        <v>19120</v>
      </c>
      <c r="M1738" s="1" t="s">
        <v>70</v>
      </c>
      <c r="N1738" s="1" t="s">
        <v>1250</v>
      </c>
      <c r="O1738" s="1" t="s">
        <v>33</v>
      </c>
      <c r="P1738" s="1" t="s">
        <v>48</v>
      </c>
      <c r="Q1738" s="1" t="s">
        <v>1251</v>
      </c>
      <c r="R1738">
        <v>1253</v>
      </c>
      <c r="S1738">
        <v>8</v>
      </c>
      <c r="T1738">
        <v>0.4</v>
      </c>
      <c r="U1738">
        <v>-480</v>
      </c>
      <c r="V1738" s="1" t="s">
        <v>86</v>
      </c>
      <c r="W1738" s="1" t="s">
        <v>37</v>
      </c>
    </row>
    <row r="1739" spans="1:23" x14ac:dyDescent="0.35">
      <c r="A1739">
        <v>8183</v>
      </c>
      <c r="B1739" s="1" t="s">
        <v>3967</v>
      </c>
      <c r="C1739" s="2">
        <v>42873</v>
      </c>
      <c r="D1739" s="2">
        <v>42877</v>
      </c>
      <c r="E1739" s="1" t="s">
        <v>42</v>
      </c>
      <c r="F1739" s="1" t="s">
        <v>1831</v>
      </c>
      <c r="G1739" s="1" t="s">
        <v>1832</v>
      </c>
      <c r="H1739" s="1" t="s">
        <v>93</v>
      </c>
      <c r="I1739" s="1" t="s">
        <v>28</v>
      </c>
      <c r="J1739" s="1" t="s">
        <v>136</v>
      </c>
      <c r="K1739" s="1" t="s">
        <v>137</v>
      </c>
      <c r="L1739">
        <v>60653</v>
      </c>
      <c r="M1739" s="1" t="s">
        <v>96</v>
      </c>
      <c r="N1739" s="1" t="s">
        <v>1545</v>
      </c>
      <c r="O1739" s="1" t="s">
        <v>33</v>
      </c>
      <c r="P1739" s="1" t="s">
        <v>59</v>
      </c>
      <c r="Q1739" s="1" t="s">
        <v>1546</v>
      </c>
      <c r="R1739">
        <v>23</v>
      </c>
      <c r="S1739">
        <v>3</v>
      </c>
      <c r="T1739">
        <v>0.6</v>
      </c>
      <c r="U1739">
        <v>-10</v>
      </c>
      <c r="V1739" s="1" t="s">
        <v>86</v>
      </c>
      <c r="W1739" s="1" t="s">
        <v>164</v>
      </c>
    </row>
    <row r="1740" spans="1:23" x14ac:dyDescent="0.35">
      <c r="A1740">
        <v>8184</v>
      </c>
      <c r="B1740" s="1" t="s">
        <v>3967</v>
      </c>
      <c r="C1740" s="2">
        <v>42873</v>
      </c>
      <c r="D1740" s="2">
        <v>42877</v>
      </c>
      <c r="E1740" s="1" t="s">
        <v>42</v>
      </c>
      <c r="F1740" s="1" t="s">
        <v>1831</v>
      </c>
      <c r="G1740" s="1" t="s">
        <v>1832</v>
      </c>
      <c r="H1740" s="1" t="s">
        <v>93</v>
      </c>
      <c r="I1740" s="1" t="s">
        <v>28</v>
      </c>
      <c r="J1740" s="1" t="s">
        <v>136</v>
      </c>
      <c r="K1740" s="1" t="s">
        <v>137</v>
      </c>
      <c r="L1740">
        <v>60653</v>
      </c>
      <c r="M1740" s="1" t="s">
        <v>96</v>
      </c>
      <c r="N1740" s="1" t="s">
        <v>382</v>
      </c>
      <c r="O1740" s="1" t="s">
        <v>33</v>
      </c>
      <c r="P1740" s="1" t="s">
        <v>59</v>
      </c>
      <c r="Q1740" s="1" t="s">
        <v>383</v>
      </c>
      <c r="R1740">
        <v>2</v>
      </c>
      <c r="S1740">
        <v>1</v>
      </c>
      <c r="T1740">
        <v>0.6</v>
      </c>
      <c r="U1740">
        <v>-1</v>
      </c>
      <c r="V1740" s="1" t="s">
        <v>86</v>
      </c>
      <c r="W1740" s="1" t="s">
        <v>164</v>
      </c>
    </row>
    <row r="1741" spans="1:23" x14ac:dyDescent="0.35">
      <c r="A1741">
        <v>8187</v>
      </c>
      <c r="B1741" s="1" t="s">
        <v>3968</v>
      </c>
      <c r="C1741" s="2">
        <v>42260</v>
      </c>
      <c r="D1741" s="2">
        <v>42264</v>
      </c>
      <c r="E1741" s="1" t="s">
        <v>24</v>
      </c>
      <c r="F1741" s="1" t="s">
        <v>1475</v>
      </c>
      <c r="G1741" s="1" t="s">
        <v>1476</v>
      </c>
      <c r="H1741" s="1" t="s">
        <v>27</v>
      </c>
      <c r="I1741" s="1" t="s">
        <v>28</v>
      </c>
      <c r="J1741" s="1" t="s">
        <v>136</v>
      </c>
      <c r="K1741" s="1" t="s">
        <v>137</v>
      </c>
      <c r="L1741">
        <v>60623</v>
      </c>
      <c r="M1741" s="1" t="s">
        <v>96</v>
      </c>
      <c r="N1741" s="1" t="s">
        <v>254</v>
      </c>
      <c r="O1741" s="1" t="s">
        <v>33</v>
      </c>
      <c r="P1741" s="1" t="s">
        <v>39</v>
      </c>
      <c r="Q1741" s="1" t="s">
        <v>255</v>
      </c>
      <c r="R1741">
        <v>170</v>
      </c>
      <c r="S1741">
        <v>4</v>
      </c>
      <c r="T1741">
        <v>0.3</v>
      </c>
      <c r="U1741">
        <v>-12</v>
      </c>
      <c r="V1741" s="1" t="s">
        <v>86</v>
      </c>
      <c r="W1741" s="1" t="s">
        <v>80</v>
      </c>
    </row>
    <row r="1742" spans="1:23" x14ac:dyDescent="0.35">
      <c r="A1742">
        <v>8192</v>
      </c>
      <c r="B1742" s="1" t="s">
        <v>3969</v>
      </c>
      <c r="C1742" s="2">
        <v>43056</v>
      </c>
      <c r="D1742" s="2">
        <v>43060</v>
      </c>
      <c r="E1742" s="1" t="s">
        <v>42</v>
      </c>
      <c r="F1742" s="1" t="s">
        <v>2136</v>
      </c>
      <c r="G1742" s="1" t="s">
        <v>2137</v>
      </c>
      <c r="H1742" s="1" t="s">
        <v>27</v>
      </c>
      <c r="I1742" s="1" t="s">
        <v>28</v>
      </c>
      <c r="J1742" s="1" t="s">
        <v>176</v>
      </c>
      <c r="K1742" s="1" t="s">
        <v>123</v>
      </c>
      <c r="L1742">
        <v>10011</v>
      </c>
      <c r="M1742" s="1" t="s">
        <v>70</v>
      </c>
      <c r="N1742" s="1" t="s">
        <v>357</v>
      </c>
      <c r="O1742" s="1" t="s">
        <v>33</v>
      </c>
      <c r="P1742" s="1" t="s">
        <v>59</v>
      </c>
      <c r="Q1742" s="1" t="s">
        <v>358</v>
      </c>
      <c r="R1742">
        <v>188</v>
      </c>
      <c r="S1742">
        <v>4</v>
      </c>
      <c r="T1742">
        <v>0</v>
      </c>
      <c r="U1742">
        <v>77</v>
      </c>
      <c r="V1742" s="1" t="s">
        <v>86</v>
      </c>
      <c r="W1742" s="1" t="s">
        <v>37</v>
      </c>
    </row>
    <row r="1743" spans="1:23" x14ac:dyDescent="0.35">
      <c r="A1743">
        <v>8195</v>
      </c>
      <c r="B1743" s="1" t="s">
        <v>3970</v>
      </c>
      <c r="C1743" s="2">
        <v>42338</v>
      </c>
      <c r="D1743" s="2">
        <v>42341</v>
      </c>
      <c r="E1743" s="1" t="s">
        <v>90</v>
      </c>
      <c r="F1743" s="1" t="s">
        <v>640</v>
      </c>
      <c r="G1743" s="1" t="s">
        <v>641</v>
      </c>
      <c r="H1743" s="1" t="s">
        <v>27</v>
      </c>
      <c r="I1743" s="1" t="s">
        <v>28</v>
      </c>
      <c r="J1743" s="1" t="s">
        <v>3971</v>
      </c>
      <c r="K1743" s="1" t="s">
        <v>1039</v>
      </c>
      <c r="L1743">
        <v>27707</v>
      </c>
      <c r="M1743" s="1" t="s">
        <v>31</v>
      </c>
      <c r="N1743" s="1" t="s">
        <v>316</v>
      </c>
      <c r="O1743" s="1" t="s">
        <v>33</v>
      </c>
      <c r="P1743" s="1" t="s">
        <v>59</v>
      </c>
      <c r="Q1743" s="1" t="s">
        <v>317</v>
      </c>
      <c r="R1743">
        <v>336</v>
      </c>
      <c r="S1743">
        <v>2</v>
      </c>
      <c r="T1743">
        <v>0.2</v>
      </c>
      <c r="U1743">
        <v>25</v>
      </c>
      <c r="V1743" s="1" t="s">
        <v>36</v>
      </c>
      <c r="W1743" s="1" t="s">
        <v>37</v>
      </c>
    </row>
    <row r="1744" spans="1:23" x14ac:dyDescent="0.35">
      <c r="A1744">
        <v>8204</v>
      </c>
      <c r="B1744" s="1" t="s">
        <v>3972</v>
      </c>
      <c r="C1744" s="2">
        <v>42316</v>
      </c>
      <c r="D1744" s="2">
        <v>42316</v>
      </c>
      <c r="E1744" s="1" t="s">
        <v>428</v>
      </c>
      <c r="F1744" s="1" t="s">
        <v>2500</v>
      </c>
      <c r="G1744" s="1" t="s">
        <v>2501</v>
      </c>
      <c r="H1744" s="1" t="s">
        <v>93</v>
      </c>
      <c r="I1744" s="1" t="s">
        <v>28</v>
      </c>
      <c r="J1744" s="1" t="s">
        <v>176</v>
      </c>
      <c r="K1744" s="1" t="s">
        <v>123</v>
      </c>
      <c r="L1744">
        <v>10024</v>
      </c>
      <c r="M1744" s="1" t="s">
        <v>70</v>
      </c>
      <c r="N1744" s="1" t="s">
        <v>3578</v>
      </c>
      <c r="O1744" s="1" t="s">
        <v>33</v>
      </c>
      <c r="P1744" s="1" t="s">
        <v>59</v>
      </c>
      <c r="Q1744" s="1" t="s">
        <v>3579</v>
      </c>
      <c r="R1744">
        <v>12</v>
      </c>
      <c r="S1744">
        <v>3</v>
      </c>
      <c r="T1744">
        <v>0</v>
      </c>
      <c r="U1744">
        <v>5</v>
      </c>
      <c r="V1744" s="1" t="s">
        <v>433</v>
      </c>
      <c r="W1744" s="1" t="s">
        <v>37</v>
      </c>
    </row>
    <row r="1745" spans="1:23" x14ac:dyDescent="0.35">
      <c r="A1745">
        <v>8206</v>
      </c>
      <c r="B1745" s="1" t="s">
        <v>3972</v>
      </c>
      <c r="C1745" s="2">
        <v>42316</v>
      </c>
      <c r="D1745" s="2">
        <v>42316</v>
      </c>
      <c r="E1745" s="1" t="s">
        <v>428</v>
      </c>
      <c r="F1745" s="1" t="s">
        <v>2500</v>
      </c>
      <c r="G1745" s="1" t="s">
        <v>2501</v>
      </c>
      <c r="H1745" s="1" t="s">
        <v>93</v>
      </c>
      <c r="I1745" s="1" t="s">
        <v>28</v>
      </c>
      <c r="J1745" s="1" t="s">
        <v>176</v>
      </c>
      <c r="K1745" s="1" t="s">
        <v>123</v>
      </c>
      <c r="L1745">
        <v>10024</v>
      </c>
      <c r="M1745" s="1" t="s">
        <v>70</v>
      </c>
      <c r="N1745" s="1" t="s">
        <v>798</v>
      </c>
      <c r="O1745" s="1" t="s">
        <v>33</v>
      </c>
      <c r="P1745" s="1" t="s">
        <v>39</v>
      </c>
      <c r="Q1745" s="1" t="s">
        <v>799</v>
      </c>
      <c r="R1745">
        <v>578</v>
      </c>
      <c r="S1745">
        <v>2</v>
      </c>
      <c r="T1745">
        <v>0.1</v>
      </c>
      <c r="U1745">
        <v>116</v>
      </c>
      <c r="V1745" s="1" t="s">
        <v>433</v>
      </c>
      <c r="W1745" s="1" t="s">
        <v>37</v>
      </c>
    </row>
    <row r="1746" spans="1:23" x14ac:dyDescent="0.35">
      <c r="A1746">
        <v>8207</v>
      </c>
      <c r="B1746" s="1" t="s">
        <v>3973</v>
      </c>
      <c r="C1746" s="2">
        <v>42120</v>
      </c>
      <c r="D1746" s="2">
        <v>42124</v>
      </c>
      <c r="E1746" s="1" t="s">
        <v>42</v>
      </c>
      <c r="F1746" s="1" t="s">
        <v>822</v>
      </c>
      <c r="G1746" s="1" t="s">
        <v>823</v>
      </c>
      <c r="H1746" s="1" t="s">
        <v>27</v>
      </c>
      <c r="I1746" s="1" t="s">
        <v>28</v>
      </c>
      <c r="J1746" s="1" t="s">
        <v>3974</v>
      </c>
      <c r="K1746" s="1" t="s">
        <v>46</v>
      </c>
      <c r="L1746">
        <v>32114</v>
      </c>
      <c r="M1746" s="1" t="s">
        <v>31</v>
      </c>
      <c r="N1746" s="1" t="s">
        <v>47</v>
      </c>
      <c r="O1746" s="1" t="s">
        <v>33</v>
      </c>
      <c r="P1746" s="1" t="s">
        <v>48</v>
      </c>
      <c r="Q1746" s="1" t="s">
        <v>49</v>
      </c>
      <c r="R1746">
        <v>192</v>
      </c>
      <c r="S1746">
        <v>1</v>
      </c>
      <c r="T1746">
        <v>0.45</v>
      </c>
      <c r="U1746">
        <v>-77</v>
      </c>
      <c r="V1746" s="1" t="s">
        <v>86</v>
      </c>
      <c r="W1746" s="1" t="s">
        <v>116</v>
      </c>
    </row>
    <row r="1747" spans="1:23" x14ac:dyDescent="0.35">
      <c r="A1747">
        <v>8212</v>
      </c>
      <c r="B1747" s="1" t="s">
        <v>3975</v>
      </c>
      <c r="C1747" s="2">
        <v>42681</v>
      </c>
      <c r="D1747" s="2">
        <v>42686</v>
      </c>
      <c r="E1747" s="1" t="s">
        <v>42</v>
      </c>
      <c r="F1747" s="1" t="s">
        <v>1340</v>
      </c>
      <c r="G1747" s="1" t="s">
        <v>1341</v>
      </c>
      <c r="H1747" s="1" t="s">
        <v>27</v>
      </c>
      <c r="I1747" s="1" t="s">
        <v>28</v>
      </c>
      <c r="J1747" s="1" t="s">
        <v>1742</v>
      </c>
      <c r="K1747" s="1" t="s">
        <v>95</v>
      </c>
      <c r="L1747">
        <v>75220</v>
      </c>
      <c r="M1747" s="1" t="s">
        <v>96</v>
      </c>
      <c r="N1747" s="1" t="s">
        <v>3976</v>
      </c>
      <c r="O1747" s="1" t="s">
        <v>33</v>
      </c>
      <c r="P1747" s="1" t="s">
        <v>59</v>
      </c>
      <c r="Q1747" s="1" t="s">
        <v>3977</v>
      </c>
      <c r="R1747">
        <v>44</v>
      </c>
      <c r="S1747">
        <v>5</v>
      </c>
      <c r="T1747">
        <v>0.6</v>
      </c>
      <c r="U1747">
        <v>-18</v>
      </c>
      <c r="V1747" s="1" t="s">
        <v>61</v>
      </c>
      <c r="W1747" s="1" t="s">
        <v>37</v>
      </c>
    </row>
    <row r="1748" spans="1:23" x14ac:dyDescent="0.35">
      <c r="A1748">
        <v>8219</v>
      </c>
      <c r="B1748" s="1" t="s">
        <v>3978</v>
      </c>
      <c r="C1748" s="2">
        <v>41915</v>
      </c>
      <c r="D1748" s="2">
        <v>41919</v>
      </c>
      <c r="E1748" s="1" t="s">
        <v>42</v>
      </c>
      <c r="F1748" s="1" t="s">
        <v>3941</v>
      </c>
      <c r="G1748" s="1" t="s">
        <v>3942</v>
      </c>
      <c r="H1748" s="1" t="s">
        <v>27</v>
      </c>
      <c r="I1748" s="1" t="s">
        <v>28</v>
      </c>
      <c r="J1748" s="1" t="s">
        <v>1742</v>
      </c>
      <c r="K1748" s="1" t="s">
        <v>95</v>
      </c>
      <c r="L1748">
        <v>75217</v>
      </c>
      <c r="M1748" s="1" t="s">
        <v>96</v>
      </c>
      <c r="N1748" s="1" t="s">
        <v>1424</v>
      </c>
      <c r="O1748" s="1" t="s">
        <v>33</v>
      </c>
      <c r="P1748" s="1" t="s">
        <v>59</v>
      </c>
      <c r="Q1748" s="1" t="s">
        <v>1425</v>
      </c>
      <c r="R1748">
        <v>32</v>
      </c>
      <c r="S1748">
        <v>3</v>
      </c>
      <c r="T1748">
        <v>0.6</v>
      </c>
      <c r="U1748">
        <v>-19</v>
      </c>
      <c r="V1748" s="1" t="s">
        <v>86</v>
      </c>
      <c r="W1748" s="1" t="s">
        <v>51</v>
      </c>
    </row>
    <row r="1749" spans="1:23" x14ac:dyDescent="0.35">
      <c r="A1749">
        <v>8228</v>
      </c>
      <c r="B1749" s="1" t="s">
        <v>3979</v>
      </c>
      <c r="C1749" s="2">
        <v>42464</v>
      </c>
      <c r="D1749" s="2">
        <v>42468</v>
      </c>
      <c r="E1749" s="1" t="s">
        <v>24</v>
      </c>
      <c r="F1749" s="1" t="s">
        <v>1823</v>
      </c>
      <c r="G1749" s="1" t="s">
        <v>1824</v>
      </c>
      <c r="H1749" s="1" t="s">
        <v>103</v>
      </c>
      <c r="I1749" s="1" t="s">
        <v>28</v>
      </c>
      <c r="J1749" s="1" t="s">
        <v>122</v>
      </c>
      <c r="K1749" s="1" t="s">
        <v>123</v>
      </c>
      <c r="L1749">
        <v>12180</v>
      </c>
      <c r="M1749" s="1" t="s">
        <v>70</v>
      </c>
      <c r="N1749" s="1" t="s">
        <v>599</v>
      </c>
      <c r="O1749" s="1" t="s">
        <v>33</v>
      </c>
      <c r="P1749" s="1" t="s">
        <v>59</v>
      </c>
      <c r="Q1749" s="1" t="s">
        <v>600</v>
      </c>
      <c r="R1749">
        <v>83</v>
      </c>
      <c r="S1749">
        <v>2</v>
      </c>
      <c r="T1749">
        <v>0</v>
      </c>
      <c r="U1749">
        <v>7</v>
      </c>
      <c r="V1749" s="1" t="s">
        <v>86</v>
      </c>
      <c r="W1749" s="1" t="s">
        <v>116</v>
      </c>
    </row>
    <row r="1750" spans="1:23" x14ac:dyDescent="0.35">
      <c r="A1750">
        <v>8232</v>
      </c>
      <c r="B1750" s="1" t="s">
        <v>3980</v>
      </c>
      <c r="C1750" s="2">
        <v>42551</v>
      </c>
      <c r="D1750" s="2">
        <v>42553</v>
      </c>
      <c r="E1750" s="1" t="s">
        <v>24</v>
      </c>
      <c r="F1750" s="1" t="s">
        <v>212</v>
      </c>
      <c r="G1750" s="1" t="s">
        <v>213</v>
      </c>
      <c r="H1750" s="1" t="s">
        <v>27</v>
      </c>
      <c r="I1750" s="1" t="s">
        <v>28</v>
      </c>
      <c r="J1750" s="1" t="s">
        <v>2817</v>
      </c>
      <c r="K1750" s="1" t="s">
        <v>670</v>
      </c>
      <c r="L1750">
        <v>30328</v>
      </c>
      <c r="M1750" s="1" t="s">
        <v>31</v>
      </c>
      <c r="N1750" s="1" t="s">
        <v>280</v>
      </c>
      <c r="O1750" s="1" t="s">
        <v>33</v>
      </c>
      <c r="P1750" s="1" t="s">
        <v>34</v>
      </c>
      <c r="Q1750" s="1" t="s">
        <v>281</v>
      </c>
      <c r="R1750">
        <v>1267</v>
      </c>
      <c r="S1750">
        <v>7</v>
      </c>
      <c r="T1750">
        <v>0</v>
      </c>
      <c r="U1750">
        <v>291</v>
      </c>
      <c r="V1750" s="1" t="s">
        <v>73</v>
      </c>
      <c r="W1750" s="1" t="s">
        <v>62</v>
      </c>
    </row>
    <row r="1751" spans="1:23" x14ac:dyDescent="0.35">
      <c r="A1751">
        <v>8236</v>
      </c>
      <c r="B1751" s="1" t="s">
        <v>3981</v>
      </c>
      <c r="C1751" s="2">
        <v>42856</v>
      </c>
      <c r="D1751" s="2">
        <v>42861</v>
      </c>
      <c r="E1751" s="1" t="s">
        <v>42</v>
      </c>
      <c r="F1751" s="1" t="s">
        <v>1348</v>
      </c>
      <c r="G1751" s="1" t="s">
        <v>1349</v>
      </c>
      <c r="H1751" s="1" t="s">
        <v>27</v>
      </c>
      <c r="I1751" s="1" t="s">
        <v>28</v>
      </c>
      <c r="J1751" s="1" t="s">
        <v>609</v>
      </c>
      <c r="K1751" s="1" t="s">
        <v>46</v>
      </c>
      <c r="L1751">
        <v>32216</v>
      </c>
      <c r="M1751" s="1" t="s">
        <v>31</v>
      </c>
      <c r="N1751" s="1" t="s">
        <v>524</v>
      </c>
      <c r="O1751" s="1" t="s">
        <v>33</v>
      </c>
      <c r="P1751" s="1" t="s">
        <v>48</v>
      </c>
      <c r="Q1751" s="1" t="s">
        <v>525</v>
      </c>
      <c r="R1751">
        <v>933</v>
      </c>
      <c r="S1751">
        <v>4</v>
      </c>
      <c r="T1751">
        <v>0.45</v>
      </c>
      <c r="U1751">
        <v>-458</v>
      </c>
      <c r="V1751" s="1" t="s">
        <v>61</v>
      </c>
      <c r="W1751" s="1" t="s">
        <v>164</v>
      </c>
    </row>
    <row r="1752" spans="1:23" x14ac:dyDescent="0.35">
      <c r="A1752">
        <v>8237</v>
      </c>
      <c r="B1752" s="1" t="s">
        <v>3981</v>
      </c>
      <c r="C1752" s="2">
        <v>42856</v>
      </c>
      <c r="D1752" s="2">
        <v>42861</v>
      </c>
      <c r="E1752" s="1" t="s">
        <v>42</v>
      </c>
      <c r="F1752" s="1" t="s">
        <v>1348</v>
      </c>
      <c r="G1752" s="1" t="s">
        <v>1349</v>
      </c>
      <c r="H1752" s="1" t="s">
        <v>27</v>
      </c>
      <c r="I1752" s="1" t="s">
        <v>28</v>
      </c>
      <c r="J1752" s="1" t="s">
        <v>609</v>
      </c>
      <c r="K1752" s="1" t="s">
        <v>46</v>
      </c>
      <c r="L1752">
        <v>32216</v>
      </c>
      <c r="M1752" s="1" t="s">
        <v>31</v>
      </c>
      <c r="N1752" s="1" t="s">
        <v>604</v>
      </c>
      <c r="O1752" s="1" t="s">
        <v>33</v>
      </c>
      <c r="P1752" s="1" t="s">
        <v>39</v>
      </c>
      <c r="Q1752" s="1" t="s">
        <v>605</v>
      </c>
      <c r="R1752">
        <v>2804</v>
      </c>
      <c r="S1752">
        <v>5</v>
      </c>
      <c r="T1752">
        <v>0.2</v>
      </c>
      <c r="U1752">
        <v>0</v>
      </c>
      <c r="V1752" s="1" t="s">
        <v>61</v>
      </c>
      <c r="W1752" s="1" t="s">
        <v>164</v>
      </c>
    </row>
    <row r="1753" spans="1:23" x14ac:dyDescent="0.35">
      <c r="A1753">
        <v>8241</v>
      </c>
      <c r="B1753" s="1" t="s">
        <v>3982</v>
      </c>
      <c r="C1753" s="2">
        <v>43028</v>
      </c>
      <c r="D1753" s="2">
        <v>43028</v>
      </c>
      <c r="E1753" s="1" t="s">
        <v>428</v>
      </c>
      <c r="F1753" s="1" t="s">
        <v>3983</v>
      </c>
      <c r="G1753" s="1" t="s">
        <v>3984</v>
      </c>
      <c r="H1753" s="1" t="s">
        <v>27</v>
      </c>
      <c r="I1753" s="1" t="s">
        <v>28</v>
      </c>
      <c r="J1753" s="1" t="s">
        <v>609</v>
      </c>
      <c r="K1753" s="1" t="s">
        <v>46</v>
      </c>
      <c r="L1753">
        <v>32216</v>
      </c>
      <c r="M1753" s="1" t="s">
        <v>31</v>
      </c>
      <c r="N1753" s="1" t="s">
        <v>2790</v>
      </c>
      <c r="O1753" s="1" t="s">
        <v>33</v>
      </c>
      <c r="P1753" s="1" t="s">
        <v>59</v>
      </c>
      <c r="Q1753" s="1" t="s">
        <v>2791</v>
      </c>
      <c r="R1753">
        <v>44</v>
      </c>
      <c r="S1753">
        <v>4</v>
      </c>
      <c r="T1753">
        <v>0.2</v>
      </c>
      <c r="U1753">
        <v>6</v>
      </c>
      <c r="V1753" s="1" t="s">
        <v>433</v>
      </c>
      <c r="W1753" s="1" t="s">
        <v>51</v>
      </c>
    </row>
    <row r="1754" spans="1:23" x14ac:dyDescent="0.35">
      <c r="A1754">
        <v>8245</v>
      </c>
      <c r="B1754" s="1" t="s">
        <v>3985</v>
      </c>
      <c r="C1754" s="2">
        <v>41863</v>
      </c>
      <c r="D1754" s="2">
        <v>41867</v>
      </c>
      <c r="E1754" s="1" t="s">
        <v>42</v>
      </c>
      <c r="F1754" s="1" t="s">
        <v>2851</v>
      </c>
      <c r="G1754" s="1" t="s">
        <v>2852</v>
      </c>
      <c r="H1754" s="1" t="s">
        <v>27</v>
      </c>
      <c r="I1754" s="1" t="s">
        <v>28</v>
      </c>
      <c r="J1754" s="1" t="s">
        <v>331</v>
      </c>
      <c r="K1754" s="1" t="s">
        <v>56</v>
      </c>
      <c r="L1754">
        <v>94122</v>
      </c>
      <c r="M1754" s="1" t="s">
        <v>57</v>
      </c>
      <c r="N1754" s="1" t="s">
        <v>1521</v>
      </c>
      <c r="O1754" s="1" t="s">
        <v>33</v>
      </c>
      <c r="P1754" s="1" t="s">
        <v>59</v>
      </c>
      <c r="Q1754" s="1" t="s">
        <v>1522</v>
      </c>
      <c r="R1754">
        <v>85</v>
      </c>
      <c r="S1754">
        <v>3</v>
      </c>
      <c r="T1754">
        <v>0</v>
      </c>
      <c r="U1754">
        <v>32</v>
      </c>
      <c r="V1754" s="1" t="s">
        <v>86</v>
      </c>
      <c r="W1754" s="1" t="s">
        <v>256</v>
      </c>
    </row>
    <row r="1755" spans="1:23" x14ac:dyDescent="0.35">
      <c r="A1755">
        <v>8251</v>
      </c>
      <c r="B1755" s="1" t="s">
        <v>3986</v>
      </c>
      <c r="C1755" s="2">
        <v>42068</v>
      </c>
      <c r="D1755" s="2">
        <v>42072</v>
      </c>
      <c r="E1755" s="1" t="s">
        <v>24</v>
      </c>
      <c r="F1755" s="1" t="s">
        <v>1684</v>
      </c>
      <c r="G1755" s="1" t="s">
        <v>1685</v>
      </c>
      <c r="H1755" s="1" t="s">
        <v>27</v>
      </c>
      <c r="I1755" s="1" t="s">
        <v>28</v>
      </c>
      <c r="J1755" s="1" t="s">
        <v>136</v>
      </c>
      <c r="K1755" s="1" t="s">
        <v>137</v>
      </c>
      <c r="L1755">
        <v>60653</v>
      </c>
      <c r="M1755" s="1" t="s">
        <v>96</v>
      </c>
      <c r="N1755" s="1" t="s">
        <v>425</v>
      </c>
      <c r="O1755" s="1" t="s">
        <v>33</v>
      </c>
      <c r="P1755" s="1" t="s">
        <v>59</v>
      </c>
      <c r="Q1755" s="1" t="s">
        <v>426</v>
      </c>
      <c r="R1755">
        <v>5</v>
      </c>
      <c r="S1755">
        <v>2</v>
      </c>
      <c r="T1755">
        <v>0.6</v>
      </c>
      <c r="U1755">
        <v>-2</v>
      </c>
      <c r="V1755" s="1" t="s">
        <v>86</v>
      </c>
      <c r="W1755" s="1" t="s">
        <v>198</v>
      </c>
    </row>
    <row r="1756" spans="1:23" x14ac:dyDescent="0.35">
      <c r="A1756">
        <v>8268</v>
      </c>
      <c r="B1756" s="1" t="s">
        <v>3987</v>
      </c>
      <c r="C1756" s="2">
        <v>42765</v>
      </c>
      <c r="D1756" s="2">
        <v>42772</v>
      </c>
      <c r="E1756" s="1" t="s">
        <v>42</v>
      </c>
      <c r="F1756" s="1" t="s">
        <v>3988</v>
      </c>
      <c r="G1756" s="1" t="s">
        <v>3989</v>
      </c>
      <c r="H1756" s="1" t="s">
        <v>27</v>
      </c>
      <c r="I1756" s="1" t="s">
        <v>28</v>
      </c>
      <c r="J1756" s="1" t="s">
        <v>182</v>
      </c>
      <c r="K1756" s="1" t="s">
        <v>137</v>
      </c>
      <c r="L1756">
        <v>60505</v>
      </c>
      <c r="M1756" s="1" t="s">
        <v>96</v>
      </c>
      <c r="N1756" s="1" t="s">
        <v>2569</v>
      </c>
      <c r="O1756" s="1" t="s">
        <v>33</v>
      </c>
      <c r="P1756" s="1" t="s">
        <v>48</v>
      </c>
      <c r="Q1756" s="1" t="s">
        <v>2570</v>
      </c>
      <c r="R1756">
        <v>69</v>
      </c>
      <c r="S1756">
        <v>1</v>
      </c>
      <c r="T1756">
        <v>0.5</v>
      </c>
      <c r="U1756">
        <v>-47</v>
      </c>
      <c r="V1756" s="1" t="s">
        <v>50</v>
      </c>
      <c r="W1756" s="1" t="s">
        <v>172</v>
      </c>
    </row>
    <row r="1757" spans="1:23" x14ac:dyDescent="0.35">
      <c r="A1757">
        <v>8272</v>
      </c>
      <c r="B1757" s="1" t="s">
        <v>3990</v>
      </c>
      <c r="C1757" s="2">
        <v>42729</v>
      </c>
      <c r="D1757" s="2">
        <v>42735</v>
      </c>
      <c r="E1757" s="1" t="s">
        <v>42</v>
      </c>
      <c r="F1757" s="1" t="s">
        <v>1612</v>
      </c>
      <c r="G1757" s="1" t="s">
        <v>1613</v>
      </c>
      <c r="H1757" s="1" t="s">
        <v>27</v>
      </c>
      <c r="I1757" s="1" t="s">
        <v>28</v>
      </c>
      <c r="J1757" s="1" t="s">
        <v>176</v>
      </c>
      <c r="K1757" s="1" t="s">
        <v>123</v>
      </c>
      <c r="L1757">
        <v>10009</v>
      </c>
      <c r="M1757" s="1" t="s">
        <v>70</v>
      </c>
      <c r="N1757" s="1" t="s">
        <v>517</v>
      </c>
      <c r="O1757" s="1" t="s">
        <v>33</v>
      </c>
      <c r="P1757" s="1" t="s">
        <v>39</v>
      </c>
      <c r="Q1757" s="1" t="s">
        <v>518</v>
      </c>
      <c r="R1757">
        <v>2563</v>
      </c>
      <c r="S1757">
        <v>8</v>
      </c>
      <c r="T1757">
        <v>0.1</v>
      </c>
      <c r="U1757">
        <v>313</v>
      </c>
      <c r="V1757" s="1" t="s">
        <v>132</v>
      </c>
      <c r="W1757" s="1" t="s">
        <v>99</v>
      </c>
    </row>
    <row r="1758" spans="1:23" x14ac:dyDescent="0.35">
      <c r="A1758">
        <v>8273</v>
      </c>
      <c r="B1758" s="1" t="s">
        <v>3991</v>
      </c>
      <c r="C1758" s="2">
        <v>42663</v>
      </c>
      <c r="D1758" s="2">
        <v>42668</v>
      </c>
      <c r="E1758" s="1" t="s">
        <v>42</v>
      </c>
      <c r="F1758" s="1" t="s">
        <v>2591</v>
      </c>
      <c r="G1758" s="1" t="s">
        <v>2592</v>
      </c>
      <c r="H1758" s="1" t="s">
        <v>93</v>
      </c>
      <c r="I1758" s="1" t="s">
        <v>28</v>
      </c>
      <c r="J1758" s="1" t="s">
        <v>3597</v>
      </c>
      <c r="K1758" s="1" t="s">
        <v>56</v>
      </c>
      <c r="L1758">
        <v>92020</v>
      </c>
      <c r="M1758" s="1" t="s">
        <v>57</v>
      </c>
      <c r="N1758" s="1" t="s">
        <v>2991</v>
      </c>
      <c r="O1758" s="1" t="s">
        <v>33</v>
      </c>
      <c r="P1758" s="1" t="s">
        <v>39</v>
      </c>
      <c r="Q1758" s="1" t="s">
        <v>2992</v>
      </c>
      <c r="R1758">
        <v>387</v>
      </c>
      <c r="S1758">
        <v>4</v>
      </c>
      <c r="T1758">
        <v>0.2</v>
      </c>
      <c r="U1758">
        <v>5</v>
      </c>
      <c r="V1758" s="1" t="s">
        <v>61</v>
      </c>
      <c r="W1758" s="1" t="s">
        <v>51</v>
      </c>
    </row>
    <row r="1759" spans="1:23" x14ac:dyDescent="0.35">
      <c r="A1759">
        <v>8282</v>
      </c>
      <c r="B1759" s="1" t="s">
        <v>3992</v>
      </c>
      <c r="C1759" s="2">
        <v>42864</v>
      </c>
      <c r="D1759" s="2">
        <v>42865</v>
      </c>
      <c r="E1759" s="1" t="s">
        <v>90</v>
      </c>
      <c r="F1759" s="1" t="s">
        <v>572</v>
      </c>
      <c r="G1759" s="1" t="s">
        <v>573</v>
      </c>
      <c r="H1759" s="1" t="s">
        <v>93</v>
      </c>
      <c r="I1759" s="1" t="s">
        <v>28</v>
      </c>
      <c r="J1759" s="1" t="s">
        <v>609</v>
      </c>
      <c r="K1759" s="1" t="s">
        <v>1039</v>
      </c>
      <c r="L1759">
        <v>28540</v>
      </c>
      <c r="M1759" s="1" t="s">
        <v>31</v>
      </c>
      <c r="N1759" s="1" t="s">
        <v>1093</v>
      </c>
      <c r="O1759" s="1" t="s">
        <v>33</v>
      </c>
      <c r="P1759" s="1" t="s">
        <v>39</v>
      </c>
      <c r="Q1759" s="1" t="s">
        <v>1094</v>
      </c>
      <c r="R1759">
        <v>207</v>
      </c>
      <c r="S1759">
        <v>3</v>
      </c>
      <c r="T1759">
        <v>0.2</v>
      </c>
      <c r="U1759">
        <v>26</v>
      </c>
      <c r="V1759" s="1" t="s">
        <v>126</v>
      </c>
      <c r="W1759" s="1" t="s">
        <v>164</v>
      </c>
    </row>
    <row r="1760" spans="1:23" x14ac:dyDescent="0.35">
      <c r="A1760">
        <v>8286</v>
      </c>
      <c r="B1760" s="1" t="s">
        <v>3993</v>
      </c>
      <c r="C1760" s="2">
        <v>42359</v>
      </c>
      <c r="D1760" s="2">
        <v>42364</v>
      </c>
      <c r="E1760" s="1" t="s">
        <v>24</v>
      </c>
      <c r="F1760" s="1" t="s">
        <v>1227</v>
      </c>
      <c r="G1760" s="1" t="s">
        <v>1228</v>
      </c>
      <c r="H1760" s="1" t="s">
        <v>103</v>
      </c>
      <c r="I1760" s="1" t="s">
        <v>28</v>
      </c>
      <c r="J1760" s="1" t="s">
        <v>3660</v>
      </c>
      <c r="K1760" s="1" t="s">
        <v>137</v>
      </c>
      <c r="L1760">
        <v>60174</v>
      </c>
      <c r="M1760" s="1" t="s">
        <v>96</v>
      </c>
      <c r="N1760" s="1" t="s">
        <v>610</v>
      </c>
      <c r="O1760" s="1" t="s">
        <v>33</v>
      </c>
      <c r="P1760" s="1" t="s">
        <v>59</v>
      </c>
      <c r="Q1760" s="1" t="s">
        <v>611</v>
      </c>
      <c r="R1760">
        <v>52</v>
      </c>
      <c r="S1760">
        <v>3</v>
      </c>
      <c r="T1760">
        <v>0.6</v>
      </c>
      <c r="U1760">
        <v>-34</v>
      </c>
      <c r="V1760" s="1" t="s">
        <v>61</v>
      </c>
      <c r="W1760" s="1" t="s">
        <v>99</v>
      </c>
    </row>
    <row r="1761" spans="1:23" x14ac:dyDescent="0.35">
      <c r="A1761">
        <v>8298</v>
      </c>
      <c r="B1761" s="1" t="s">
        <v>3994</v>
      </c>
      <c r="C1761" s="2">
        <v>42190</v>
      </c>
      <c r="D1761" s="2">
        <v>42196</v>
      </c>
      <c r="E1761" s="1" t="s">
        <v>42</v>
      </c>
      <c r="F1761" s="1" t="s">
        <v>2538</v>
      </c>
      <c r="G1761" s="1" t="s">
        <v>2539</v>
      </c>
      <c r="H1761" s="1" t="s">
        <v>93</v>
      </c>
      <c r="I1761" s="1" t="s">
        <v>28</v>
      </c>
      <c r="J1761" s="1" t="s">
        <v>1530</v>
      </c>
      <c r="K1761" s="1" t="s">
        <v>1039</v>
      </c>
      <c r="L1761">
        <v>28205</v>
      </c>
      <c r="M1761" s="1" t="s">
        <v>31</v>
      </c>
      <c r="N1761" s="1" t="s">
        <v>2014</v>
      </c>
      <c r="O1761" s="1" t="s">
        <v>33</v>
      </c>
      <c r="P1761" s="1" t="s">
        <v>59</v>
      </c>
      <c r="Q1761" s="1" t="s">
        <v>2015</v>
      </c>
      <c r="R1761">
        <v>5</v>
      </c>
      <c r="S1761">
        <v>2</v>
      </c>
      <c r="T1761">
        <v>0.2</v>
      </c>
      <c r="U1761">
        <v>1</v>
      </c>
      <c r="V1761" s="1" t="s">
        <v>132</v>
      </c>
      <c r="W1761" s="1" t="s">
        <v>74</v>
      </c>
    </row>
    <row r="1762" spans="1:23" x14ac:dyDescent="0.35">
      <c r="A1762">
        <v>8303</v>
      </c>
      <c r="B1762" s="1" t="s">
        <v>3995</v>
      </c>
      <c r="C1762" s="2">
        <v>42942</v>
      </c>
      <c r="D1762" s="2">
        <v>42948</v>
      </c>
      <c r="E1762" s="1" t="s">
        <v>42</v>
      </c>
      <c r="F1762" s="1" t="s">
        <v>3996</v>
      </c>
      <c r="G1762" s="1" t="s">
        <v>3997</v>
      </c>
      <c r="H1762" s="1" t="s">
        <v>93</v>
      </c>
      <c r="I1762" s="1" t="s">
        <v>28</v>
      </c>
      <c r="J1762" s="1" t="s">
        <v>55</v>
      </c>
      <c r="K1762" s="1" t="s">
        <v>56</v>
      </c>
      <c r="L1762">
        <v>90036</v>
      </c>
      <c r="M1762" s="1" t="s">
        <v>57</v>
      </c>
      <c r="N1762" s="1" t="s">
        <v>858</v>
      </c>
      <c r="O1762" s="1" t="s">
        <v>33</v>
      </c>
      <c r="P1762" s="1" t="s">
        <v>39</v>
      </c>
      <c r="Q1762" s="1" t="s">
        <v>859</v>
      </c>
      <c r="R1762">
        <v>362</v>
      </c>
      <c r="S1762">
        <v>3</v>
      </c>
      <c r="T1762">
        <v>0.2</v>
      </c>
      <c r="U1762">
        <v>45</v>
      </c>
      <c r="V1762" s="1" t="s">
        <v>132</v>
      </c>
      <c r="W1762" s="1" t="s">
        <v>74</v>
      </c>
    </row>
    <row r="1763" spans="1:23" x14ac:dyDescent="0.35">
      <c r="A1763">
        <v>8305</v>
      </c>
      <c r="B1763" s="1" t="s">
        <v>3998</v>
      </c>
      <c r="C1763" s="2">
        <v>43042</v>
      </c>
      <c r="D1763" s="2">
        <v>43048</v>
      </c>
      <c r="E1763" s="1" t="s">
        <v>42</v>
      </c>
      <c r="F1763" s="1" t="s">
        <v>2366</v>
      </c>
      <c r="G1763" s="1" t="s">
        <v>2367</v>
      </c>
      <c r="H1763" s="1" t="s">
        <v>27</v>
      </c>
      <c r="I1763" s="1" t="s">
        <v>28</v>
      </c>
      <c r="J1763" s="1" t="s">
        <v>2088</v>
      </c>
      <c r="K1763" s="1" t="s">
        <v>56</v>
      </c>
      <c r="L1763">
        <v>93309</v>
      </c>
      <c r="M1763" s="1" t="s">
        <v>57</v>
      </c>
      <c r="N1763" s="1" t="s">
        <v>3192</v>
      </c>
      <c r="O1763" s="1" t="s">
        <v>33</v>
      </c>
      <c r="P1763" s="1" t="s">
        <v>48</v>
      </c>
      <c r="Q1763" s="1" t="s">
        <v>3193</v>
      </c>
      <c r="R1763">
        <v>486</v>
      </c>
      <c r="S1763">
        <v>4</v>
      </c>
      <c r="T1763">
        <v>0.2</v>
      </c>
      <c r="U1763">
        <v>36</v>
      </c>
      <c r="V1763" s="1" t="s">
        <v>132</v>
      </c>
      <c r="W1763" s="1" t="s">
        <v>37</v>
      </c>
    </row>
    <row r="1764" spans="1:23" x14ac:dyDescent="0.35">
      <c r="A1764">
        <v>8311</v>
      </c>
      <c r="B1764" s="1" t="s">
        <v>3999</v>
      </c>
      <c r="C1764" s="2">
        <v>41699</v>
      </c>
      <c r="D1764" s="2">
        <v>41705</v>
      </c>
      <c r="E1764" s="1" t="s">
        <v>42</v>
      </c>
      <c r="F1764" s="1" t="s">
        <v>4000</v>
      </c>
      <c r="G1764" s="1" t="s">
        <v>4001</v>
      </c>
      <c r="H1764" s="1" t="s">
        <v>27</v>
      </c>
      <c r="I1764" s="1" t="s">
        <v>28</v>
      </c>
      <c r="J1764" s="1" t="s">
        <v>104</v>
      </c>
      <c r="K1764" s="1" t="s">
        <v>95</v>
      </c>
      <c r="L1764">
        <v>77036</v>
      </c>
      <c r="M1764" s="1" t="s">
        <v>96</v>
      </c>
      <c r="N1764" s="1" t="s">
        <v>1802</v>
      </c>
      <c r="O1764" s="1" t="s">
        <v>33</v>
      </c>
      <c r="P1764" s="1" t="s">
        <v>48</v>
      </c>
      <c r="Q1764" s="1" t="s">
        <v>1803</v>
      </c>
      <c r="R1764">
        <v>377</v>
      </c>
      <c r="S1764">
        <v>3</v>
      </c>
      <c r="T1764">
        <v>0.3</v>
      </c>
      <c r="U1764">
        <v>-43</v>
      </c>
      <c r="V1764" s="1" t="s">
        <v>132</v>
      </c>
      <c r="W1764" s="1" t="s">
        <v>198</v>
      </c>
    </row>
    <row r="1765" spans="1:23" x14ac:dyDescent="0.35">
      <c r="A1765">
        <v>8312</v>
      </c>
      <c r="B1765" s="1" t="s">
        <v>4002</v>
      </c>
      <c r="C1765" s="2">
        <v>42761</v>
      </c>
      <c r="D1765" s="2">
        <v>42766</v>
      </c>
      <c r="E1765" s="1" t="s">
        <v>42</v>
      </c>
      <c r="F1765" s="1" t="s">
        <v>3040</v>
      </c>
      <c r="G1765" s="1" t="s">
        <v>3041</v>
      </c>
      <c r="H1765" s="1" t="s">
        <v>27</v>
      </c>
      <c r="I1765" s="1" t="s">
        <v>28</v>
      </c>
      <c r="J1765" s="1" t="s">
        <v>350</v>
      </c>
      <c r="K1765" s="1" t="s">
        <v>670</v>
      </c>
      <c r="L1765">
        <v>31907</v>
      </c>
      <c r="M1765" s="1" t="s">
        <v>31</v>
      </c>
      <c r="N1765" s="1" t="s">
        <v>204</v>
      </c>
      <c r="O1765" s="1" t="s">
        <v>33</v>
      </c>
      <c r="P1765" s="1" t="s">
        <v>59</v>
      </c>
      <c r="Q1765" s="1" t="s">
        <v>205</v>
      </c>
      <c r="R1765">
        <v>63</v>
      </c>
      <c r="S1765">
        <v>4</v>
      </c>
      <c r="T1765">
        <v>0</v>
      </c>
      <c r="U1765">
        <v>24</v>
      </c>
      <c r="V1765" s="1" t="s">
        <v>61</v>
      </c>
      <c r="W1765" s="1" t="s">
        <v>172</v>
      </c>
    </row>
    <row r="1766" spans="1:23" x14ac:dyDescent="0.35">
      <c r="A1766">
        <v>8314</v>
      </c>
      <c r="B1766" s="1" t="s">
        <v>4003</v>
      </c>
      <c r="C1766" s="2">
        <v>41832</v>
      </c>
      <c r="D1766" s="2">
        <v>41836</v>
      </c>
      <c r="E1766" s="1" t="s">
        <v>42</v>
      </c>
      <c r="F1766" s="1" t="s">
        <v>1046</v>
      </c>
      <c r="G1766" s="1" t="s">
        <v>1047</v>
      </c>
      <c r="H1766" s="1" t="s">
        <v>103</v>
      </c>
      <c r="I1766" s="1" t="s">
        <v>28</v>
      </c>
      <c r="J1766" s="1" t="s">
        <v>2990</v>
      </c>
      <c r="K1766" s="1" t="s">
        <v>95</v>
      </c>
      <c r="L1766">
        <v>77573</v>
      </c>
      <c r="M1766" s="1" t="s">
        <v>96</v>
      </c>
      <c r="N1766" s="1" t="s">
        <v>1085</v>
      </c>
      <c r="O1766" s="1" t="s">
        <v>33</v>
      </c>
      <c r="P1766" s="1" t="s">
        <v>39</v>
      </c>
      <c r="Q1766" s="1" t="s">
        <v>1086</v>
      </c>
      <c r="R1766">
        <v>512</v>
      </c>
      <c r="S1766">
        <v>3</v>
      </c>
      <c r="T1766">
        <v>0.3</v>
      </c>
      <c r="U1766">
        <v>-15</v>
      </c>
      <c r="V1766" s="1" t="s">
        <v>86</v>
      </c>
      <c r="W1766" s="1" t="s">
        <v>74</v>
      </c>
    </row>
    <row r="1767" spans="1:23" x14ac:dyDescent="0.35">
      <c r="A1767">
        <v>8333</v>
      </c>
      <c r="B1767" s="1" t="s">
        <v>4004</v>
      </c>
      <c r="C1767" s="2">
        <v>42438</v>
      </c>
      <c r="D1767" s="2">
        <v>42441</v>
      </c>
      <c r="E1767" s="1" t="s">
        <v>90</v>
      </c>
      <c r="F1767" s="1" t="s">
        <v>3583</v>
      </c>
      <c r="G1767" s="1" t="s">
        <v>3584</v>
      </c>
      <c r="H1767" s="1" t="s">
        <v>27</v>
      </c>
      <c r="I1767" s="1" t="s">
        <v>28</v>
      </c>
      <c r="J1767" s="1" t="s">
        <v>4005</v>
      </c>
      <c r="K1767" s="1" t="s">
        <v>437</v>
      </c>
      <c r="L1767">
        <v>1810</v>
      </c>
      <c r="M1767" s="1" t="s">
        <v>70</v>
      </c>
      <c r="N1767" s="1" t="s">
        <v>593</v>
      </c>
      <c r="O1767" s="1" t="s">
        <v>33</v>
      </c>
      <c r="P1767" s="1" t="s">
        <v>39</v>
      </c>
      <c r="Q1767" s="1" t="s">
        <v>594</v>
      </c>
      <c r="R1767">
        <v>355</v>
      </c>
      <c r="S1767">
        <v>5</v>
      </c>
      <c r="T1767">
        <v>0</v>
      </c>
      <c r="U1767">
        <v>89</v>
      </c>
      <c r="V1767" s="1" t="s">
        <v>36</v>
      </c>
      <c r="W1767" s="1" t="s">
        <v>198</v>
      </c>
    </row>
    <row r="1768" spans="1:23" x14ac:dyDescent="0.35">
      <c r="A1768">
        <v>8340</v>
      </c>
      <c r="B1768" s="1" t="s">
        <v>4006</v>
      </c>
      <c r="C1768" s="2">
        <v>42838</v>
      </c>
      <c r="D1768" s="2">
        <v>42842</v>
      </c>
      <c r="E1768" s="1" t="s">
        <v>42</v>
      </c>
      <c r="F1768" s="1" t="s">
        <v>3409</v>
      </c>
      <c r="G1768" s="1" t="s">
        <v>3410</v>
      </c>
      <c r="H1768" s="1" t="s">
        <v>93</v>
      </c>
      <c r="I1768" s="1" t="s">
        <v>28</v>
      </c>
      <c r="J1768" s="1" t="s">
        <v>2029</v>
      </c>
      <c r="K1768" s="1" t="s">
        <v>56</v>
      </c>
      <c r="L1768">
        <v>92345</v>
      </c>
      <c r="M1768" s="1" t="s">
        <v>57</v>
      </c>
      <c r="N1768" s="1" t="s">
        <v>1620</v>
      </c>
      <c r="O1768" s="1" t="s">
        <v>33</v>
      </c>
      <c r="P1768" s="1" t="s">
        <v>39</v>
      </c>
      <c r="Q1768" s="1" t="s">
        <v>1621</v>
      </c>
      <c r="R1768">
        <v>437</v>
      </c>
      <c r="S1768">
        <v>6</v>
      </c>
      <c r="T1768">
        <v>0.2</v>
      </c>
      <c r="U1768">
        <v>-38</v>
      </c>
      <c r="V1768" s="1" t="s">
        <v>86</v>
      </c>
      <c r="W1768" s="1" t="s">
        <v>116</v>
      </c>
    </row>
    <row r="1769" spans="1:23" x14ac:dyDescent="0.35">
      <c r="A1769">
        <v>8345</v>
      </c>
      <c r="B1769" s="1" t="s">
        <v>4007</v>
      </c>
      <c r="C1769" s="2">
        <v>41719</v>
      </c>
      <c r="D1769" s="2">
        <v>41723</v>
      </c>
      <c r="E1769" s="1" t="s">
        <v>42</v>
      </c>
      <c r="F1769" s="1" t="s">
        <v>836</v>
      </c>
      <c r="G1769" s="1" t="s">
        <v>837</v>
      </c>
      <c r="H1769" s="1" t="s">
        <v>27</v>
      </c>
      <c r="I1769" s="1" t="s">
        <v>28</v>
      </c>
      <c r="J1769" s="1" t="s">
        <v>3127</v>
      </c>
      <c r="K1769" s="1" t="s">
        <v>144</v>
      </c>
      <c r="L1769">
        <v>37918</v>
      </c>
      <c r="M1769" s="1" t="s">
        <v>31</v>
      </c>
      <c r="N1769" s="1" t="s">
        <v>1293</v>
      </c>
      <c r="O1769" s="1" t="s">
        <v>33</v>
      </c>
      <c r="P1769" s="1" t="s">
        <v>59</v>
      </c>
      <c r="Q1769" s="1" t="s">
        <v>1294</v>
      </c>
      <c r="R1769">
        <v>33</v>
      </c>
      <c r="S1769">
        <v>3</v>
      </c>
      <c r="T1769">
        <v>0.2</v>
      </c>
      <c r="U1769">
        <v>7</v>
      </c>
      <c r="V1769" s="1" t="s">
        <v>86</v>
      </c>
      <c r="W1769" s="1" t="s">
        <v>198</v>
      </c>
    </row>
    <row r="1770" spans="1:23" x14ac:dyDescent="0.35">
      <c r="A1770">
        <v>8346</v>
      </c>
      <c r="B1770" s="1" t="s">
        <v>4007</v>
      </c>
      <c r="C1770" s="2">
        <v>41719</v>
      </c>
      <c r="D1770" s="2">
        <v>41723</v>
      </c>
      <c r="E1770" s="1" t="s">
        <v>42</v>
      </c>
      <c r="F1770" s="1" t="s">
        <v>836</v>
      </c>
      <c r="G1770" s="1" t="s">
        <v>837</v>
      </c>
      <c r="H1770" s="1" t="s">
        <v>27</v>
      </c>
      <c r="I1770" s="1" t="s">
        <v>28</v>
      </c>
      <c r="J1770" s="1" t="s">
        <v>3127</v>
      </c>
      <c r="K1770" s="1" t="s">
        <v>144</v>
      </c>
      <c r="L1770">
        <v>37918</v>
      </c>
      <c r="M1770" s="1" t="s">
        <v>31</v>
      </c>
      <c r="N1770" s="1" t="s">
        <v>2183</v>
      </c>
      <c r="O1770" s="1" t="s">
        <v>33</v>
      </c>
      <c r="P1770" s="1" t="s">
        <v>39</v>
      </c>
      <c r="Q1770" s="1" t="s">
        <v>2184</v>
      </c>
      <c r="R1770">
        <v>218</v>
      </c>
      <c r="S1770">
        <v>3</v>
      </c>
      <c r="T1770">
        <v>0.2</v>
      </c>
      <c r="U1770">
        <v>-11</v>
      </c>
      <c r="V1770" s="1" t="s">
        <v>86</v>
      </c>
      <c r="W1770" s="1" t="s">
        <v>198</v>
      </c>
    </row>
    <row r="1771" spans="1:23" x14ac:dyDescent="0.35">
      <c r="A1771">
        <v>8347</v>
      </c>
      <c r="B1771" s="1" t="s">
        <v>4008</v>
      </c>
      <c r="C1771" s="2">
        <v>42124</v>
      </c>
      <c r="D1771" s="2">
        <v>42128</v>
      </c>
      <c r="E1771" s="1" t="s">
        <v>42</v>
      </c>
      <c r="F1771" s="1" t="s">
        <v>1323</v>
      </c>
      <c r="G1771" s="1" t="s">
        <v>1324</v>
      </c>
      <c r="H1771" s="1" t="s">
        <v>93</v>
      </c>
      <c r="I1771" s="1" t="s">
        <v>28</v>
      </c>
      <c r="J1771" s="1" t="s">
        <v>474</v>
      </c>
      <c r="K1771" s="1" t="s">
        <v>437</v>
      </c>
      <c r="L1771">
        <v>1841</v>
      </c>
      <c r="M1771" s="1" t="s">
        <v>70</v>
      </c>
      <c r="N1771" s="1" t="s">
        <v>274</v>
      </c>
      <c r="O1771" s="1" t="s">
        <v>33</v>
      </c>
      <c r="P1771" s="1" t="s">
        <v>59</v>
      </c>
      <c r="Q1771" s="1" t="s">
        <v>275</v>
      </c>
      <c r="R1771">
        <v>31</v>
      </c>
      <c r="S1771">
        <v>5</v>
      </c>
      <c r="T1771">
        <v>0</v>
      </c>
      <c r="U1771">
        <v>13</v>
      </c>
      <c r="V1771" s="1" t="s">
        <v>86</v>
      </c>
      <c r="W1771" s="1" t="s">
        <v>116</v>
      </c>
    </row>
    <row r="1772" spans="1:23" x14ac:dyDescent="0.35">
      <c r="A1772">
        <v>8348</v>
      </c>
      <c r="B1772" s="1" t="s">
        <v>4008</v>
      </c>
      <c r="C1772" s="2">
        <v>42124</v>
      </c>
      <c r="D1772" s="2">
        <v>42128</v>
      </c>
      <c r="E1772" s="1" t="s">
        <v>42</v>
      </c>
      <c r="F1772" s="1" t="s">
        <v>1323</v>
      </c>
      <c r="G1772" s="1" t="s">
        <v>1324</v>
      </c>
      <c r="H1772" s="1" t="s">
        <v>93</v>
      </c>
      <c r="I1772" s="1" t="s">
        <v>28</v>
      </c>
      <c r="J1772" s="1" t="s">
        <v>474</v>
      </c>
      <c r="K1772" s="1" t="s">
        <v>437</v>
      </c>
      <c r="L1772">
        <v>1841</v>
      </c>
      <c r="M1772" s="1" t="s">
        <v>70</v>
      </c>
      <c r="N1772" s="1" t="s">
        <v>2207</v>
      </c>
      <c r="O1772" s="1" t="s">
        <v>33</v>
      </c>
      <c r="P1772" s="1" t="s">
        <v>59</v>
      </c>
      <c r="Q1772" s="1" t="s">
        <v>2208</v>
      </c>
      <c r="R1772">
        <v>9</v>
      </c>
      <c r="S1772">
        <v>1</v>
      </c>
      <c r="T1772">
        <v>0</v>
      </c>
      <c r="U1772">
        <v>4</v>
      </c>
      <c r="V1772" s="1" t="s">
        <v>86</v>
      </c>
      <c r="W1772" s="1" t="s">
        <v>116</v>
      </c>
    </row>
    <row r="1773" spans="1:23" x14ac:dyDescent="0.35">
      <c r="A1773">
        <v>8350</v>
      </c>
      <c r="B1773" s="1" t="s">
        <v>4008</v>
      </c>
      <c r="C1773" s="2">
        <v>42124</v>
      </c>
      <c r="D1773" s="2">
        <v>42128</v>
      </c>
      <c r="E1773" s="1" t="s">
        <v>42</v>
      </c>
      <c r="F1773" s="1" t="s">
        <v>1323</v>
      </c>
      <c r="G1773" s="1" t="s">
        <v>1324</v>
      </c>
      <c r="H1773" s="1" t="s">
        <v>93</v>
      </c>
      <c r="I1773" s="1" t="s">
        <v>28</v>
      </c>
      <c r="J1773" s="1" t="s">
        <v>474</v>
      </c>
      <c r="K1773" s="1" t="s">
        <v>437</v>
      </c>
      <c r="L1773">
        <v>1841</v>
      </c>
      <c r="M1773" s="1" t="s">
        <v>70</v>
      </c>
      <c r="N1773" s="1" t="s">
        <v>3046</v>
      </c>
      <c r="O1773" s="1" t="s">
        <v>33</v>
      </c>
      <c r="P1773" s="1" t="s">
        <v>59</v>
      </c>
      <c r="Q1773" s="1" t="s">
        <v>3047</v>
      </c>
      <c r="R1773">
        <v>24</v>
      </c>
      <c r="S1773">
        <v>5</v>
      </c>
      <c r="T1773">
        <v>0</v>
      </c>
      <c r="U1773">
        <v>10</v>
      </c>
      <c r="V1773" s="1" t="s">
        <v>86</v>
      </c>
      <c r="W1773" s="1" t="s">
        <v>116</v>
      </c>
    </row>
    <row r="1774" spans="1:23" x14ac:dyDescent="0.35">
      <c r="A1774">
        <v>8352</v>
      </c>
      <c r="B1774" s="1" t="s">
        <v>4009</v>
      </c>
      <c r="C1774" s="2">
        <v>42858</v>
      </c>
      <c r="D1774" s="2">
        <v>42863</v>
      </c>
      <c r="E1774" s="1" t="s">
        <v>42</v>
      </c>
      <c r="F1774" s="1" t="s">
        <v>2003</v>
      </c>
      <c r="G1774" s="1" t="s">
        <v>2004</v>
      </c>
      <c r="H1774" s="1" t="s">
        <v>93</v>
      </c>
      <c r="I1774" s="1" t="s">
        <v>28</v>
      </c>
      <c r="J1774" s="1" t="s">
        <v>68</v>
      </c>
      <c r="K1774" s="1" t="s">
        <v>69</v>
      </c>
      <c r="L1774">
        <v>19134</v>
      </c>
      <c r="M1774" s="1" t="s">
        <v>70</v>
      </c>
      <c r="N1774" s="1" t="s">
        <v>3226</v>
      </c>
      <c r="O1774" s="1" t="s">
        <v>33</v>
      </c>
      <c r="P1774" s="1" t="s">
        <v>59</v>
      </c>
      <c r="Q1774" s="1" t="s">
        <v>3227</v>
      </c>
      <c r="R1774">
        <v>32</v>
      </c>
      <c r="S1774">
        <v>2</v>
      </c>
      <c r="T1774">
        <v>0.2</v>
      </c>
      <c r="U1774">
        <v>7</v>
      </c>
      <c r="V1774" s="1" t="s">
        <v>61</v>
      </c>
      <c r="W1774" s="1" t="s">
        <v>164</v>
      </c>
    </row>
    <row r="1775" spans="1:23" x14ac:dyDescent="0.35">
      <c r="A1775">
        <v>8354</v>
      </c>
      <c r="B1775" s="1" t="s">
        <v>4009</v>
      </c>
      <c r="C1775" s="2">
        <v>42858</v>
      </c>
      <c r="D1775" s="2">
        <v>42863</v>
      </c>
      <c r="E1775" s="1" t="s">
        <v>42</v>
      </c>
      <c r="F1775" s="1" t="s">
        <v>2003</v>
      </c>
      <c r="G1775" s="1" t="s">
        <v>2004</v>
      </c>
      <c r="H1775" s="1" t="s">
        <v>93</v>
      </c>
      <c r="I1775" s="1" t="s">
        <v>28</v>
      </c>
      <c r="J1775" s="1" t="s">
        <v>68</v>
      </c>
      <c r="K1775" s="1" t="s">
        <v>69</v>
      </c>
      <c r="L1775">
        <v>19134</v>
      </c>
      <c r="M1775" s="1" t="s">
        <v>70</v>
      </c>
      <c r="N1775" s="1" t="s">
        <v>293</v>
      </c>
      <c r="O1775" s="1" t="s">
        <v>33</v>
      </c>
      <c r="P1775" s="1" t="s">
        <v>48</v>
      </c>
      <c r="Q1775" s="1" t="s">
        <v>294</v>
      </c>
      <c r="R1775">
        <v>373</v>
      </c>
      <c r="S1775">
        <v>5</v>
      </c>
      <c r="T1775">
        <v>0.4</v>
      </c>
      <c r="U1775">
        <v>-112</v>
      </c>
      <c r="V1775" s="1" t="s">
        <v>61</v>
      </c>
      <c r="W1775" s="1" t="s">
        <v>164</v>
      </c>
    </row>
    <row r="1776" spans="1:23" x14ac:dyDescent="0.35">
      <c r="A1776">
        <v>8357</v>
      </c>
      <c r="B1776" s="1" t="s">
        <v>4010</v>
      </c>
      <c r="C1776" s="2">
        <v>42608</v>
      </c>
      <c r="D1776" s="2">
        <v>42612</v>
      </c>
      <c r="E1776" s="1" t="s">
        <v>42</v>
      </c>
      <c r="F1776" s="1" t="s">
        <v>3452</v>
      </c>
      <c r="G1776" s="1" t="s">
        <v>3453</v>
      </c>
      <c r="H1776" s="1" t="s">
        <v>27</v>
      </c>
      <c r="I1776" s="1" t="s">
        <v>28</v>
      </c>
      <c r="J1776" s="1" t="s">
        <v>4011</v>
      </c>
      <c r="K1776" s="1" t="s">
        <v>670</v>
      </c>
      <c r="L1776">
        <v>30605</v>
      </c>
      <c r="M1776" s="1" t="s">
        <v>31</v>
      </c>
      <c r="N1776" s="1" t="s">
        <v>1799</v>
      </c>
      <c r="O1776" s="1" t="s">
        <v>33</v>
      </c>
      <c r="P1776" s="1" t="s">
        <v>59</v>
      </c>
      <c r="Q1776" s="1" t="s">
        <v>1800</v>
      </c>
      <c r="R1776">
        <v>187</v>
      </c>
      <c r="S1776">
        <v>3</v>
      </c>
      <c r="T1776">
        <v>0</v>
      </c>
      <c r="U1776">
        <v>41</v>
      </c>
      <c r="V1776" s="1" t="s">
        <v>86</v>
      </c>
      <c r="W1776" s="1" t="s">
        <v>256</v>
      </c>
    </row>
    <row r="1777" spans="1:23" x14ac:dyDescent="0.35">
      <c r="A1777">
        <v>8363</v>
      </c>
      <c r="B1777" s="1" t="s">
        <v>4012</v>
      </c>
      <c r="C1777" s="2">
        <v>42737</v>
      </c>
      <c r="D1777" s="2">
        <v>42739</v>
      </c>
      <c r="E1777" s="1" t="s">
        <v>24</v>
      </c>
      <c r="F1777" s="1" t="s">
        <v>3878</v>
      </c>
      <c r="G1777" s="1" t="s">
        <v>3879</v>
      </c>
      <c r="H1777" s="1" t="s">
        <v>27</v>
      </c>
      <c r="I1777" s="1" t="s">
        <v>28</v>
      </c>
      <c r="J1777" s="1" t="s">
        <v>1377</v>
      </c>
      <c r="K1777" s="1" t="s">
        <v>95</v>
      </c>
      <c r="L1777">
        <v>79907</v>
      </c>
      <c r="M1777" s="1" t="s">
        <v>96</v>
      </c>
      <c r="N1777" s="1" t="s">
        <v>1250</v>
      </c>
      <c r="O1777" s="1" t="s">
        <v>33</v>
      </c>
      <c r="P1777" s="1" t="s">
        <v>48</v>
      </c>
      <c r="Q1777" s="1" t="s">
        <v>1251</v>
      </c>
      <c r="R1777">
        <v>913</v>
      </c>
      <c r="S1777">
        <v>5</v>
      </c>
      <c r="T1777">
        <v>0.3</v>
      </c>
      <c r="U1777">
        <v>-170</v>
      </c>
      <c r="V1777" s="1" t="s">
        <v>73</v>
      </c>
      <c r="W1777" s="1" t="s">
        <v>172</v>
      </c>
    </row>
    <row r="1778" spans="1:23" x14ac:dyDescent="0.35">
      <c r="A1778">
        <v>8370</v>
      </c>
      <c r="B1778" s="1" t="s">
        <v>4013</v>
      </c>
      <c r="C1778" s="2">
        <v>42532</v>
      </c>
      <c r="D1778" s="2">
        <v>42537</v>
      </c>
      <c r="E1778" s="1" t="s">
        <v>42</v>
      </c>
      <c r="F1778" s="1" t="s">
        <v>742</v>
      </c>
      <c r="G1778" s="1" t="s">
        <v>743</v>
      </c>
      <c r="H1778" s="1" t="s">
        <v>27</v>
      </c>
      <c r="I1778" s="1" t="s">
        <v>28</v>
      </c>
      <c r="J1778" s="1" t="s">
        <v>55</v>
      </c>
      <c r="K1778" s="1" t="s">
        <v>56</v>
      </c>
      <c r="L1778">
        <v>90049</v>
      </c>
      <c r="M1778" s="1" t="s">
        <v>57</v>
      </c>
      <c r="N1778" s="1" t="s">
        <v>309</v>
      </c>
      <c r="O1778" s="1" t="s">
        <v>33</v>
      </c>
      <c r="P1778" s="1" t="s">
        <v>48</v>
      </c>
      <c r="Q1778" s="1" t="s">
        <v>310</v>
      </c>
      <c r="R1778">
        <v>903</v>
      </c>
      <c r="S1778">
        <v>3</v>
      </c>
      <c r="T1778">
        <v>0.2</v>
      </c>
      <c r="U1778">
        <v>34</v>
      </c>
      <c r="V1778" s="1" t="s">
        <v>61</v>
      </c>
      <c r="W1778" s="1" t="s">
        <v>62</v>
      </c>
    </row>
    <row r="1779" spans="1:23" x14ac:dyDescent="0.35">
      <c r="A1779">
        <v>8371</v>
      </c>
      <c r="B1779" s="1" t="s">
        <v>4014</v>
      </c>
      <c r="C1779" s="2">
        <v>42660</v>
      </c>
      <c r="D1779" s="2">
        <v>42664</v>
      </c>
      <c r="E1779" s="1" t="s">
        <v>42</v>
      </c>
      <c r="F1779" s="1" t="s">
        <v>2898</v>
      </c>
      <c r="G1779" s="1" t="s">
        <v>2899</v>
      </c>
      <c r="H1779" s="1" t="s">
        <v>103</v>
      </c>
      <c r="I1779" s="1" t="s">
        <v>28</v>
      </c>
      <c r="J1779" s="1" t="s">
        <v>1136</v>
      </c>
      <c r="K1779" s="1" t="s">
        <v>56</v>
      </c>
      <c r="L1779">
        <v>93727</v>
      </c>
      <c r="M1779" s="1" t="s">
        <v>57</v>
      </c>
      <c r="N1779" s="1" t="s">
        <v>2746</v>
      </c>
      <c r="O1779" s="1" t="s">
        <v>33</v>
      </c>
      <c r="P1779" s="1" t="s">
        <v>34</v>
      </c>
      <c r="Q1779" s="1" t="s">
        <v>2747</v>
      </c>
      <c r="R1779">
        <v>121</v>
      </c>
      <c r="S1779">
        <v>2</v>
      </c>
      <c r="T1779">
        <v>0.15</v>
      </c>
      <c r="U1779">
        <v>21</v>
      </c>
      <c r="V1779" s="1" t="s">
        <v>86</v>
      </c>
      <c r="W1779" s="1" t="s">
        <v>51</v>
      </c>
    </row>
    <row r="1780" spans="1:23" x14ac:dyDescent="0.35">
      <c r="A1780">
        <v>8373</v>
      </c>
      <c r="B1780" s="1" t="s">
        <v>4015</v>
      </c>
      <c r="C1780" s="2">
        <v>42698</v>
      </c>
      <c r="D1780" s="2">
        <v>42705</v>
      </c>
      <c r="E1780" s="1" t="s">
        <v>42</v>
      </c>
      <c r="F1780" s="1" t="s">
        <v>4016</v>
      </c>
      <c r="G1780" s="1" t="s">
        <v>4017</v>
      </c>
      <c r="H1780" s="1" t="s">
        <v>103</v>
      </c>
      <c r="I1780" s="1" t="s">
        <v>28</v>
      </c>
      <c r="J1780" s="1" t="s">
        <v>194</v>
      </c>
      <c r="K1780" s="1" t="s">
        <v>195</v>
      </c>
      <c r="L1780">
        <v>98105</v>
      </c>
      <c r="M1780" s="1" t="s">
        <v>57</v>
      </c>
      <c r="N1780" s="1" t="s">
        <v>1152</v>
      </c>
      <c r="O1780" s="1" t="s">
        <v>33</v>
      </c>
      <c r="P1780" s="1" t="s">
        <v>59</v>
      </c>
      <c r="Q1780" s="1" t="s">
        <v>1153</v>
      </c>
      <c r="R1780">
        <v>82</v>
      </c>
      <c r="S1780">
        <v>3</v>
      </c>
      <c r="T1780">
        <v>0</v>
      </c>
      <c r="U1780">
        <v>34</v>
      </c>
      <c r="V1780" s="1" t="s">
        <v>50</v>
      </c>
      <c r="W1780" s="1" t="s">
        <v>37</v>
      </c>
    </row>
    <row r="1781" spans="1:23" x14ac:dyDescent="0.35">
      <c r="A1781">
        <v>8383</v>
      </c>
      <c r="B1781" s="1" t="s">
        <v>4018</v>
      </c>
      <c r="C1781" s="2">
        <v>42408</v>
      </c>
      <c r="D1781" s="2">
        <v>42415</v>
      </c>
      <c r="E1781" s="1" t="s">
        <v>42</v>
      </c>
      <c r="F1781" s="1" t="s">
        <v>4019</v>
      </c>
      <c r="G1781" s="1" t="s">
        <v>4020</v>
      </c>
      <c r="H1781" s="1" t="s">
        <v>93</v>
      </c>
      <c r="I1781" s="1" t="s">
        <v>28</v>
      </c>
      <c r="J1781" s="1" t="s">
        <v>104</v>
      </c>
      <c r="K1781" s="1" t="s">
        <v>95</v>
      </c>
      <c r="L1781">
        <v>77036</v>
      </c>
      <c r="M1781" s="1" t="s">
        <v>96</v>
      </c>
      <c r="N1781" s="1" t="s">
        <v>1093</v>
      </c>
      <c r="O1781" s="1" t="s">
        <v>33</v>
      </c>
      <c r="P1781" s="1" t="s">
        <v>39</v>
      </c>
      <c r="Q1781" s="1" t="s">
        <v>1094</v>
      </c>
      <c r="R1781">
        <v>242</v>
      </c>
      <c r="S1781">
        <v>4</v>
      </c>
      <c r="T1781">
        <v>0.3</v>
      </c>
      <c r="U1781">
        <v>0</v>
      </c>
      <c r="V1781" s="1" t="s">
        <v>50</v>
      </c>
      <c r="W1781" s="1" t="s">
        <v>300</v>
      </c>
    </row>
    <row r="1782" spans="1:23" x14ac:dyDescent="0.35">
      <c r="A1782">
        <v>8392</v>
      </c>
      <c r="B1782" s="1" t="s">
        <v>4021</v>
      </c>
      <c r="C1782" s="2">
        <v>43092</v>
      </c>
      <c r="D1782" s="2">
        <v>43099</v>
      </c>
      <c r="E1782" s="1" t="s">
        <v>42</v>
      </c>
      <c r="F1782" s="1" t="s">
        <v>2233</v>
      </c>
      <c r="G1782" s="1" t="s">
        <v>2234</v>
      </c>
      <c r="H1782" s="1" t="s">
        <v>103</v>
      </c>
      <c r="I1782" s="1" t="s">
        <v>28</v>
      </c>
      <c r="J1782" s="1" t="s">
        <v>4022</v>
      </c>
      <c r="K1782" s="1" t="s">
        <v>432</v>
      </c>
      <c r="L1782">
        <v>6810</v>
      </c>
      <c r="M1782" s="1" t="s">
        <v>70</v>
      </c>
      <c r="N1782" s="1" t="s">
        <v>1293</v>
      </c>
      <c r="O1782" s="1" t="s">
        <v>33</v>
      </c>
      <c r="P1782" s="1" t="s">
        <v>59</v>
      </c>
      <c r="Q1782" s="1" t="s">
        <v>1294</v>
      </c>
      <c r="R1782">
        <v>27</v>
      </c>
      <c r="S1782">
        <v>2</v>
      </c>
      <c r="T1782">
        <v>0</v>
      </c>
      <c r="U1782">
        <v>10</v>
      </c>
      <c r="V1782" s="1" t="s">
        <v>50</v>
      </c>
      <c r="W1782" s="1" t="s">
        <v>99</v>
      </c>
    </row>
    <row r="1783" spans="1:23" x14ac:dyDescent="0.35">
      <c r="A1783">
        <v>8394</v>
      </c>
      <c r="B1783" s="1" t="s">
        <v>4023</v>
      </c>
      <c r="C1783" s="2">
        <v>42705</v>
      </c>
      <c r="D1783" s="2">
        <v>42710</v>
      </c>
      <c r="E1783" s="1" t="s">
        <v>24</v>
      </c>
      <c r="F1783" s="1" t="s">
        <v>4024</v>
      </c>
      <c r="G1783" s="1" t="s">
        <v>4025</v>
      </c>
      <c r="H1783" s="1" t="s">
        <v>27</v>
      </c>
      <c r="I1783" s="1" t="s">
        <v>28</v>
      </c>
      <c r="J1783" s="1" t="s">
        <v>240</v>
      </c>
      <c r="K1783" s="1" t="s">
        <v>437</v>
      </c>
      <c r="L1783">
        <v>2038</v>
      </c>
      <c r="M1783" s="1" t="s">
        <v>70</v>
      </c>
      <c r="N1783" s="1" t="s">
        <v>1986</v>
      </c>
      <c r="O1783" s="1" t="s">
        <v>33</v>
      </c>
      <c r="P1783" s="1" t="s">
        <v>59</v>
      </c>
      <c r="Q1783" s="1" t="s">
        <v>1987</v>
      </c>
      <c r="R1783">
        <v>111</v>
      </c>
      <c r="S1783">
        <v>5</v>
      </c>
      <c r="T1783">
        <v>0</v>
      </c>
      <c r="U1783">
        <v>49</v>
      </c>
      <c r="V1783" s="1" t="s">
        <v>61</v>
      </c>
      <c r="W1783" s="1" t="s">
        <v>99</v>
      </c>
    </row>
    <row r="1784" spans="1:23" x14ac:dyDescent="0.35">
      <c r="A1784">
        <v>8396</v>
      </c>
      <c r="B1784" s="1" t="s">
        <v>4023</v>
      </c>
      <c r="C1784" s="2">
        <v>42705</v>
      </c>
      <c r="D1784" s="2">
        <v>42710</v>
      </c>
      <c r="E1784" s="1" t="s">
        <v>24</v>
      </c>
      <c r="F1784" s="1" t="s">
        <v>4024</v>
      </c>
      <c r="G1784" s="1" t="s">
        <v>4025</v>
      </c>
      <c r="H1784" s="1" t="s">
        <v>27</v>
      </c>
      <c r="I1784" s="1" t="s">
        <v>28</v>
      </c>
      <c r="J1784" s="1" t="s">
        <v>240</v>
      </c>
      <c r="K1784" s="1" t="s">
        <v>437</v>
      </c>
      <c r="L1784">
        <v>2038</v>
      </c>
      <c r="M1784" s="1" t="s">
        <v>70</v>
      </c>
      <c r="N1784" s="1" t="s">
        <v>787</v>
      </c>
      <c r="O1784" s="1" t="s">
        <v>33</v>
      </c>
      <c r="P1784" s="1" t="s">
        <v>48</v>
      </c>
      <c r="Q1784" s="1" t="s">
        <v>788</v>
      </c>
      <c r="R1784">
        <v>366</v>
      </c>
      <c r="S1784">
        <v>3</v>
      </c>
      <c r="T1784">
        <v>0.3</v>
      </c>
      <c r="U1784">
        <v>-47</v>
      </c>
      <c r="V1784" s="1" t="s">
        <v>61</v>
      </c>
      <c r="W1784" s="1" t="s">
        <v>99</v>
      </c>
    </row>
    <row r="1785" spans="1:23" x14ac:dyDescent="0.35">
      <c r="A1785">
        <v>8399</v>
      </c>
      <c r="B1785" s="1" t="s">
        <v>4026</v>
      </c>
      <c r="C1785" s="2">
        <v>43041</v>
      </c>
      <c r="D1785" s="2">
        <v>43046</v>
      </c>
      <c r="E1785" s="1" t="s">
        <v>24</v>
      </c>
      <c r="F1785" s="1" t="s">
        <v>3088</v>
      </c>
      <c r="G1785" s="1" t="s">
        <v>3089</v>
      </c>
      <c r="H1785" s="1" t="s">
        <v>103</v>
      </c>
      <c r="I1785" s="1" t="s">
        <v>28</v>
      </c>
      <c r="J1785" s="1" t="s">
        <v>881</v>
      </c>
      <c r="K1785" s="1" t="s">
        <v>234</v>
      </c>
      <c r="L1785">
        <v>45503</v>
      </c>
      <c r="M1785" s="1" t="s">
        <v>70</v>
      </c>
      <c r="N1785" s="1" t="s">
        <v>1167</v>
      </c>
      <c r="O1785" s="1" t="s">
        <v>33</v>
      </c>
      <c r="P1785" s="1" t="s">
        <v>39</v>
      </c>
      <c r="Q1785" s="1" t="s">
        <v>1168</v>
      </c>
      <c r="R1785">
        <v>155</v>
      </c>
      <c r="S1785">
        <v>2</v>
      </c>
      <c r="T1785">
        <v>0.3</v>
      </c>
      <c r="U1785">
        <v>-36</v>
      </c>
      <c r="V1785" s="1" t="s">
        <v>61</v>
      </c>
      <c r="W1785" s="1" t="s">
        <v>37</v>
      </c>
    </row>
    <row r="1786" spans="1:23" x14ac:dyDescent="0.35">
      <c r="A1786">
        <v>8402</v>
      </c>
      <c r="B1786" s="1" t="s">
        <v>4027</v>
      </c>
      <c r="C1786" s="2">
        <v>42343</v>
      </c>
      <c r="D1786" s="2">
        <v>42347</v>
      </c>
      <c r="E1786" s="1" t="s">
        <v>24</v>
      </c>
      <c r="F1786" s="1" t="s">
        <v>4028</v>
      </c>
      <c r="G1786" s="1" t="s">
        <v>4029</v>
      </c>
      <c r="H1786" s="1" t="s">
        <v>27</v>
      </c>
      <c r="I1786" s="1" t="s">
        <v>28</v>
      </c>
      <c r="J1786" s="1" t="s">
        <v>176</v>
      </c>
      <c r="K1786" s="1" t="s">
        <v>123</v>
      </c>
      <c r="L1786">
        <v>10009</v>
      </c>
      <c r="M1786" s="1" t="s">
        <v>70</v>
      </c>
      <c r="N1786" s="1" t="s">
        <v>2431</v>
      </c>
      <c r="O1786" s="1" t="s">
        <v>33</v>
      </c>
      <c r="P1786" s="1" t="s">
        <v>39</v>
      </c>
      <c r="Q1786" s="1" t="s">
        <v>2432</v>
      </c>
      <c r="R1786">
        <v>165</v>
      </c>
      <c r="S1786">
        <v>3</v>
      </c>
      <c r="T1786">
        <v>0.1</v>
      </c>
      <c r="U1786">
        <v>13</v>
      </c>
      <c r="V1786" s="1" t="s">
        <v>86</v>
      </c>
      <c r="W1786" s="1" t="s">
        <v>99</v>
      </c>
    </row>
    <row r="1787" spans="1:23" x14ac:dyDescent="0.35">
      <c r="A1787">
        <v>8405</v>
      </c>
      <c r="B1787" s="1" t="s">
        <v>4030</v>
      </c>
      <c r="C1787" s="2">
        <v>42924</v>
      </c>
      <c r="D1787" s="2">
        <v>42928</v>
      </c>
      <c r="E1787" s="1" t="s">
        <v>42</v>
      </c>
      <c r="F1787" s="1" t="s">
        <v>4031</v>
      </c>
      <c r="G1787" s="1" t="s">
        <v>4032</v>
      </c>
      <c r="H1787" s="1" t="s">
        <v>93</v>
      </c>
      <c r="I1787" s="1" t="s">
        <v>28</v>
      </c>
      <c r="J1787" s="1" t="s">
        <v>233</v>
      </c>
      <c r="K1787" s="1" t="s">
        <v>203</v>
      </c>
      <c r="L1787">
        <v>19711</v>
      </c>
      <c r="M1787" s="1" t="s">
        <v>70</v>
      </c>
      <c r="N1787" s="1" t="s">
        <v>2284</v>
      </c>
      <c r="O1787" s="1" t="s">
        <v>33</v>
      </c>
      <c r="P1787" s="1" t="s">
        <v>59</v>
      </c>
      <c r="Q1787" s="1" t="s">
        <v>2285</v>
      </c>
      <c r="R1787">
        <v>84</v>
      </c>
      <c r="S1787">
        <v>4</v>
      </c>
      <c r="T1787">
        <v>0</v>
      </c>
      <c r="U1787">
        <v>6</v>
      </c>
      <c r="V1787" s="1" t="s">
        <v>86</v>
      </c>
      <c r="W1787" s="1" t="s">
        <v>74</v>
      </c>
    </row>
    <row r="1788" spans="1:23" x14ac:dyDescent="0.35">
      <c r="A1788">
        <v>8407</v>
      </c>
      <c r="B1788" s="1" t="s">
        <v>4030</v>
      </c>
      <c r="C1788" s="2">
        <v>42924</v>
      </c>
      <c r="D1788" s="2">
        <v>42928</v>
      </c>
      <c r="E1788" s="1" t="s">
        <v>42</v>
      </c>
      <c r="F1788" s="1" t="s">
        <v>4031</v>
      </c>
      <c r="G1788" s="1" t="s">
        <v>4032</v>
      </c>
      <c r="H1788" s="1" t="s">
        <v>93</v>
      </c>
      <c r="I1788" s="1" t="s">
        <v>28</v>
      </c>
      <c r="J1788" s="1" t="s">
        <v>233</v>
      </c>
      <c r="K1788" s="1" t="s">
        <v>203</v>
      </c>
      <c r="L1788">
        <v>19711</v>
      </c>
      <c r="M1788" s="1" t="s">
        <v>70</v>
      </c>
      <c r="N1788" s="1" t="s">
        <v>3585</v>
      </c>
      <c r="O1788" s="1" t="s">
        <v>33</v>
      </c>
      <c r="P1788" s="1" t="s">
        <v>59</v>
      </c>
      <c r="Q1788" s="1" t="s">
        <v>3586</v>
      </c>
      <c r="R1788">
        <v>40</v>
      </c>
      <c r="S1788">
        <v>2</v>
      </c>
      <c r="T1788">
        <v>0</v>
      </c>
      <c r="U1788">
        <v>9</v>
      </c>
      <c r="V1788" s="1" t="s">
        <v>86</v>
      </c>
      <c r="W1788" s="1" t="s">
        <v>74</v>
      </c>
    </row>
    <row r="1789" spans="1:23" x14ac:dyDescent="0.35">
      <c r="A1789">
        <v>8411</v>
      </c>
      <c r="B1789" s="1" t="s">
        <v>4033</v>
      </c>
      <c r="C1789" s="2">
        <v>42689</v>
      </c>
      <c r="D1789" s="2">
        <v>42689</v>
      </c>
      <c r="E1789" s="1" t="s">
        <v>428</v>
      </c>
      <c r="F1789" s="1" t="s">
        <v>3521</v>
      </c>
      <c r="G1789" s="1" t="s">
        <v>3522</v>
      </c>
      <c r="H1789" s="1" t="s">
        <v>93</v>
      </c>
      <c r="I1789" s="1" t="s">
        <v>28</v>
      </c>
      <c r="J1789" s="1" t="s">
        <v>3034</v>
      </c>
      <c r="K1789" s="1" t="s">
        <v>1039</v>
      </c>
      <c r="L1789">
        <v>27217</v>
      </c>
      <c r="M1789" s="1" t="s">
        <v>31</v>
      </c>
      <c r="N1789" s="1" t="s">
        <v>196</v>
      </c>
      <c r="O1789" s="1" t="s">
        <v>33</v>
      </c>
      <c r="P1789" s="1" t="s">
        <v>48</v>
      </c>
      <c r="Q1789" s="1" t="s">
        <v>197</v>
      </c>
      <c r="R1789">
        <v>630</v>
      </c>
      <c r="S1789">
        <v>4</v>
      </c>
      <c r="T1789">
        <v>0.4</v>
      </c>
      <c r="U1789">
        <v>-200</v>
      </c>
      <c r="V1789" s="1" t="s">
        <v>433</v>
      </c>
      <c r="W1789" s="1" t="s">
        <v>37</v>
      </c>
    </row>
    <row r="1790" spans="1:23" x14ac:dyDescent="0.35">
      <c r="A1790">
        <v>8413</v>
      </c>
      <c r="B1790" s="1" t="s">
        <v>4034</v>
      </c>
      <c r="C1790" s="2">
        <v>42804</v>
      </c>
      <c r="D1790" s="2">
        <v>42808</v>
      </c>
      <c r="E1790" s="1" t="s">
        <v>42</v>
      </c>
      <c r="F1790" s="1" t="s">
        <v>1386</v>
      </c>
      <c r="G1790" s="1" t="s">
        <v>1387</v>
      </c>
      <c r="H1790" s="1" t="s">
        <v>27</v>
      </c>
      <c r="I1790" s="1" t="s">
        <v>28</v>
      </c>
      <c r="J1790" s="1" t="s">
        <v>1742</v>
      </c>
      <c r="K1790" s="1" t="s">
        <v>95</v>
      </c>
      <c r="L1790">
        <v>75217</v>
      </c>
      <c r="M1790" s="1" t="s">
        <v>96</v>
      </c>
      <c r="N1790" s="1" t="s">
        <v>765</v>
      </c>
      <c r="O1790" s="1" t="s">
        <v>33</v>
      </c>
      <c r="P1790" s="1" t="s">
        <v>48</v>
      </c>
      <c r="Q1790" s="1" t="s">
        <v>766</v>
      </c>
      <c r="R1790">
        <v>933</v>
      </c>
      <c r="S1790">
        <v>4</v>
      </c>
      <c r="T1790">
        <v>0.3</v>
      </c>
      <c r="U1790">
        <v>-173</v>
      </c>
      <c r="V1790" s="1" t="s">
        <v>86</v>
      </c>
      <c r="W1790" s="1" t="s">
        <v>198</v>
      </c>
    </row>
    <row r="1791" spans="1:23" x14ac:dyDescent="0.35">
      <c r="A1791">
        <v>8419</v>
      </c>
      <c r="B1791" s="1" t="s">
        <v>4035</v>
      </c>
      <c r="C1791" s="2">
        <v>42864</v>
      </c>
      <c r="D1791" s="2">
        <v>42866</v>
      </c>
      <c r="E1791" s="1" t="s">
        <v>90</v>
      </c>
      <c r="F1791" s="1" t="s">
        <v>2442</v>
      </c>
      <c r="G1791" s="1" t="s">
        <v>2443</v>
      </c>
      <c r="H1791" s="1" t="s">
        <v>103</v>
      </c>
      <c r="I1791" s="1" t="s">
        <v>28</v>
      </c>
      <c r="J1791" s="1" t="s">
        <v>194</v>
      </c>
      <c r="K1791" s="1" t="s">
        <v>195</v>
      </c>
      <c r="L1791">
        <v>98105</v>
      </c>
      <c r="M1791" s="1" t="s">
        <v>57</v>
      </c>
      <c r="N1791" s="1" t="s">
        <v>925</v>
      </c>
      <c r="O1791" s="1" t="s">
        <v>33</v>
      </c>
      <c r="P1791" s="1" t="s">
        <v>48</v>
      </c>
      <c r="Q1791" s="1" t="s">
        <v>926</v>
      </c>
      <c r="R1791">
        <v>287</v>
      </c>
      <c r="S1791">
        <v>1</v>
      </c>
      <c r="T1791">
        <v>0</v>
      </c>
      <c r="U1791">
        <v>63</v>
      </c>
      <c r="V1791" s="1" t="s">
        <v>73</v>
      </c>
      <c r="W1791" s="1" t="s">
        <v>164</v>
      </c>
    </row>
    <row r="1792" spans="1:23" x14ac:dyDescent="0.35">
      <c r="A1792">
        <v>8424</v>
      </c>
      <c r="B1792" s="1" t="s">
        <v>4036</v>
      </c>
      <c r="C1792" s="2">
        <v>43020</v>
      </c>
      <c r="D1792" s="2">
        <v>43024</v>
      </c>
      <c r="E1792" s="1" t="s">
        <v>42</v>
      </c>
      <c r="F1792" s="1" t="s">
        <v>4037</v>
      </c>
      <c r="G1792" s="1" t="s">
        <v>4038</v>
      </c>
      <c r="H1792" s="1" t="s">
        <v>27</v>
      </c>
      <c r="I1792" s="1" t="s">
        <v>28</v>
      </c>
      <c r="J1792" s="1" t="s">
        <v>2063</v>
      </c>
      <c r="K1792" s="1" t="s">
        <v>365</v>
      </c>
      <c r="L1792">
        <v>8701</v>
      </c>
      <c r="M1792" s="1" t="s">
        <v>70</v>
      </c>
      <c r="N1792" s="1" t="s">
        <v>2798</v>
      </c>
      <c r="O1792" s="1" t="s">
        <v>33</v>
      </c>
      <c r="P1792" s="1" t="s">
        <v>59</v>
      </c>
      <c r="Q1792" s="1" t="s">
        <v>2799</v>
      </c>
      <c r="R1792">
        <v>40</v>
      </c>
      <c r="S1792">
        <v>2</v>
      </c>
      <c r="T1792">
        <v>0</v>
      </c>
      <c r="U1792">
        <v>17</v>
      </c>
      <c r="V1792" s="1" t="s">
        <v>86</v>
      </c>
      <c r="W1792" s="1" t="s">
        <v>51</v>
      </c>
    </row>
    <row r="1793" spans="1:23" x14ac:dyDescent="0.35">
      <c r="A1793">
        <v>8425</v>
      </c>
      <c r="B1793" s="1" t="s">
        <v>4036</v>
      </c>
      <c r="C1793" s="2">
        <v>43020</v>
      </c>
      <c r="D1793" s="2">
        <v>43024</v>
      </c>
      <c r="E1793" s="1" t="s">
        <v>42</v>
      </c>
      <c r="F1793" s="1" t="s">
        <v>4037</v>
      </c>
      <c r="G1793" s="1" t="s">
        <v>4038</v>
      </c>
      <c r="H1793" s="1" t="s">
        <v>27</v>
      </c>
      <c r="I1793" s="1" t="s">
        <v>28</v>
      </c>
      <c r="J1793" s="1" t="s">
        <v>2063</v>
      </c>
      <c r="K1793" s="1" t="s">
        <v>365</v>
      </c>
      <c r="L1793">
        <v>8701</v>
      </c>
      <c r="M1793" s="1" t="s">
        <v>70</v>
      </c>
      <c r="N1793" s="1" t="s">
        <v>2031</v>
      </c>
      <c r="O1793" s="1" t="s">
        <v>33</v>
      </c>
      <c r="P1793" s="1" t="s">
        <v>34</v>
      </c>
      <c r="Q1793" s="1" t="s">
        <v>2032</v>
      </c>
      <c r="R1793">
        <v>2155</v>
      </c>
      <c r="S1793">
        <v>5</v>
      </c>
      <c r="T1793">
        <v>0</v>
      </c>
      <c r="U1793">
        <v>129</v>
      </c>
      <c r="V1793" s="1" t="s">
        <v>86</v>
      </c>
      <c r="W1793" s="1" t="s">
        <v>51</v>
      </c>
    </row>
    <row r="1794" spans="1:23" x14ac:dyDescent="0.35">
      <c r="A1794">
        <v>8430</v>
      </c>
      <c r="B1794" s="1" t="s">
        <v>4039</v>
      </c>
      <c r="C1794" s="2">
        <v>42723</v>
      </c>
      <c r="D1794" s="2">
        <v>42725</v>
      </c>
      <c r="E1794" s="1" t="s">
        <v>24</v>
      </c>
      <c r="F1794" s="1" t="s">
        <v>2229</v>
      </c>
      <c r="G1794" s="1" t="s">
        <v>2230</v>
      </c>
      <c r="H1794" s="1" t="s">
        <v>27</v>
      </c>
      <c r="I1794" s="1" t="s">
        <v>28</v>
      </c>
      <c r="J1794" s="1" t="s">
        <v>3332</v>
      </c>
      <c r="K1794" s="1" t="s">
        <v>69</v>
      </c>
      <c r="L1794">
        <v>19601</v>
      </c>
      <c r="M1794" s="1" t="s">
        <v>70</v>
      </c>
      <c r="N1794" s="1" t="s">
        <v>2609</v>
      </c>
      <c r="O1794" s="1" t="s">
        <v>33</v>
      </c>
      <c r="P1794" s="1" t="s">
        <v>59</v>
      </c>
      <c r="Q1794" s="1" t="s">
        <v>2610</v>
      </c>
      <c r="R1794">
        <v>304</v>
      </c>
      <c r="S1794">
        <v>5</v>
      </c>
      <c r="T1794">
        <v>0.2</v>
      </c>
      <c r="U1794">
        <v>-30</v>
      </c>
      <c r="V1794" s="1" t="s">
        <v>73</v>
      </c>
      <c r="W1794" s="1" t="s">
        <v>99</v>
      </c>
    </row>
    <row r="1795" spans="1:23" x14ac:dyDescent="0.35">
      <c r="A1795">
        <v>8432</v>
      </c>
      <c r="B1795" s="1" t="s">
        <v>4040</v>
      </c>
      <c r="C1795" s="2">
        <v>43047</v>
      </c>
      <c r="D1795" s="2">
        <v>43052</v>
      </c>
      <c r="E1795" s="1" t="s">
        <v>42</v>
      </c>
      <c r="F1795" s="1" t="s">
        <v>2101</v>
      </c>
      <c r="G1795" s="1" t="s">
        <v>2102</v>
      </c>
      <c r="H1795" s="1" t="s">
        <v>93</v>
      </c>
      <c r="I1795" s="1" t="s">
        <v>28</v>
      </c>
      <c r="J1795" s="1" t="s">
        <v>2757</v>
      </c>
      <c r="K1795" s="1" t="s">
        <v>1092</v>
      </c>
      <c r="L1795">
        <v>21215</v>
      </c>
      <c r="M1795" s="1" t="s">
        <v>70</v>
      </c>
      <c r="N1795" s="1" t="s">
        <v>1152</v>
      </c>
      <c r="O1795" s="1" t="s">
        <v>33</v>
      </c>
      <c r="P1795" s="1" t="s">
        <v>59</v>
      </c>
      <c r="Q1795" s="1" t="s">
        <v>1153</v>
      </c>
      <c r="R1795">
        <v>274</v>
      </c>
      <c r="S1795">
        <v>10</v>
      </c>
      <c r="T1795">
        <v>0</v>
      </c>
      <c r="U1795">
        <v>112</v>
      </c>
      <c r="V1795" s="1" t="s">
        <v>61</v>
      </c>
      <c r="W1795" s="1" t="s">
        <v>37</v>
      </c>
    </row>
    <row r="1796" spans="1:23" x14ac:dyDescent="0.35">
      <c r="A1796">
        <v>8435</v>
      </c>
      <c r="B1796" s="1" t="s">
        <v>4041</v>
      </c>
      <c r="C1796" s="2">
        <v>41896</v>
      </c>
      <c r="D1796" s="2">
        <v>41900</v>
      </c>
      <c r="E1796" s="1" t="s">
        <v>24</v>
      </c>
      <c r="F1796" s="1" t="s">
        <v>1841</v>
      </c>
      <c r="G1796" s="1" t="s">
        <v>1842</v>
      </c>
      <c r="H1796" s="1" t="s">
        <v>93</v>
      </c>
      <c r="I1796" s="1" t="s">
        <v>28</v>
      </c>
      <c r="J1796" s="1" t="s">
        <v>2099</v>
      </c>
      <c r="K1796" s="1" t="s">
        <v>95</v>
      </c>
      <c r="L1796">
        <v>78415</v>
      </c>
      <c r="M1796" s="1" t="s">
        <v>96</v>
      </c>
      <c r="N1796" s="1" t="s">
        <v>2240</v>
      </c>
      <c r="O1796" s="1" t="s">
        <v>33</v>
      </c>
      <c r="P1796" s="1" t="s">
        <v>59</v>
      </c>
      <c r="Q1796" s="1" t="s">
        <v>2241</v>
      </c>
      <c r="R1796">
        <v>10</v>
      </c>
      <c r="S1796">
        <v>5</v>
      </c>
      <c r="T1796">
        <v>0.6</v>
      </c>
      <c r="U1796">
        <v>-7</v>
      </c>
      <c r="V1796" s="1" t="s">
        <v>86</v>
      </c>
      <c r="W1796" s="1" t="s">
        <v>80</v>
      </c>
    </row>
    <row r="1797" spans="1:23" x14ac:dyDescent="0.35">
      <c r="A1797">
        <v>8446</v>
      </c>
      <c r="B1797" s="1" t="s">
        <v>4042</v>
      </c>
      <c r="C1797" s="2">
        <v>43031</v>
      </c>
      <c r="D1797" s="2">
        <v>43032</v>
      </c>
      <c r="E1797" s="1" t="s">
        <v>90</v>
      </c>
      <c r="F1797" s="1" t="s">
        <v>1559</v>
      </c>
      <c r="G1797" s="1" t="s">
        <v>1560</v>
      </c>
      <c r="H1797" s="1" t="s">
        <v>93</v>
      </c>
      <c r="I1797" s="1" t="s">
        <v>28</v>
      </c>
      <c r="J1797" s="1" t="s">
        <v>2742</v>
      </c>
      <c r="K1797" s="1" t="s">
        <v>1648</v>
      </c>
      <c r="L1797">
        <v>2920</v>
      </c>
      <c r="M1797" s="1" t="s">
        <v>70</v>
      </c>
      <c r="N1797" s="1" t="s">
        <v>1262</v>
      </c>
      <c r="O1797" s="1" t="s">
        <v>33</v>
      </c>
      <c r="P1797" s="1" t="s">
        <v>48</v>
      </c>
      <c r="Q1797" s="1" t="s">
        <v>1066</v>
      </c>
      <c r="R1797">
        <v>241</v>
      </c>
      <c r="S1797">
        <v>4</v>
      </c>
      <c r="T1797">
        <v>0.3</v>
      </c>
      <c r="U1797">
        <v>-14</v>
      </c>
      <c r="V1797" s="1" t="s">
        <v>126</v>
      </c>
      <c r="W1797" s="1" t="s">
        <v>51</v>
      </c>
    </row>
    <row r="1798" spans="1:23" x14ac:dyDescent="0.35">
      <c r="A1798">
        <v>8447</v>
      </c>
      <c r="B1798" s="1" t="s">
        <v>4042</v>
      </c>
      <c r="C1798" s="2">
        <v>43031</v>
      </c>
      <c r="D1798" s="2">
        <v>43032</v>
      </c>
      <c r="E1798" s="1" t="s">
        <v>90</v>
      </c>
      <c r="F1798" s="1" t="s">
        <v>1559</v>
      </c>
      <c r="G1798" s="1" t="s">
        <v>1560</v>
      </c>
      <c r="H1798" s="1" t="s">
        <v>93</v>
      </c>
      <c r="I1798" s="1" t="s">
        <v>28</v>
      </c>
      <c r="J1798" s="1" t="s">
        <v>2742</v>
      </c>
      <c r="K1798" s="1" t="s">
        <v>1648</v>
      </c>
      <c r="L1798">
        <v>2920</v>
      </c>
      <c r="M1798" s="1" t="s">
        <v>70</v>
      </c>
      <c r="N1798" s="1" t="s">
        <v>2192</v>
      </c>
      <c r="O1798" s="1" t="s">
        <v>33</v>
      </c>
      <c r="P1798" s="1" t="s">
        <v>59</v>
      </c>
      <c r="Q1798" s="1" t="s">
        <v>2193</v>
      </c>
      <c r="R1798">
        <v>35</v>
      </c>
      <c r="S1798">
        <v>4</v>
      </c>
      <c r="T1798">
        <v>0</v>
      </c>
      <c r="U1798">
        <v>15</v>
      </c>
      <c r="V1798" s="1" t="s">
        <v>126</v>
      </c>
      <c r="W1798" s="1" t="s">
        <v>51</v>
      </c>
    </row>
    <row r="1799" spans="1:23" x14ac:dyDescent="0.35">
      <c r="A1799">
        <v>8448</v>
      </c>
      <c r="B1799" s="1" t="s">
        <v>4042</v>
      </c>
      <c r="C1799" s="2">
        <v>43031</v>
      </c>
      <c r="D1799" s="2">
        <v>43032</v>
      </c>
      <c r="E1799" s="1" t="s">
        <v>90</v>
      </c>
      <c r="F1799" s="1" t="s">
        <v>1559</v>
      </c>
      <c r="G1799" s="1" t="s">
        <v>1560</v>
      </c>
      <c r="H1799" s="1" t="s">
        <v>93</v>
      </c>
      <c r="I1799" s="1" t="s">
        <v>28</v>
      </c>
      <c r="J1799" s="1" t="s">
        <v>2742</v>
      </c>
      <c r="K1799" s="1" t="s">
        <v>1648</v>
      </c>
      <c r="L1799">
        <v>2920</v>
      </c>
      <c r="M1799" s="1" t="s">
        <v>70</v>
      </c>
      <c r="N1799" s="1" t="s">
        <v>3620</v>
      </c>
      <c r="O1799" s="1" t="s">
        <v>33</v>
      </c>
      <c r="P1799" s="1" t="s">
        <v>59</v>
      </c>
      <c r="Q1799" s="1" t="s">
        <v>3621</v>
      </c>
      <c r="R1799">
        <v>211</v>
      </c>
      <c r="S1799">
        <v>2</v>
      </c>
      <c r="T1799">
        <v>0</v>
      </c>
      <c r="U1799">
        <v>51</v>
      </c>
      <c r="V1799" s="1" t="s">
        <v>126</v>
      </c>
      <c r="W1799" s="1" t="s">
        <v>51</v>
      </c>
    </row>
    <row r="1800" spans="1:23" x14ac:dyDescent="0.35">
      <c r="A1800">
        <v>8449</v>
      </c>
      <c r="B1800" s="1" t="s">
        <v>4042</v>
      </c>
      <c r="C1800" s="2">
        <v>43031</v>
      </c>
      <c r="D1800" s="2">
        <v>43032</v>
      </c>
      <c r="E1800" s="1" t="s">
        <v>90</v>
      </c>
      <c r="F1800" s="1" t="s">
        <v>1559</v>
      </c>
      <c r="G1800" s="1" t="s">
        <v>1560</v>
      </c>
      <c r="H1800" s="1" t="s">
        <v>93</v>
      </c>
      <c r="I1800" s="1" t="s">
        <v>28</v>
      </c>
      <c r="J1800" s="1" t="s">
        <v>2742</v>
      </c>
      <c r="K1800" s="1" t="s">
        <v>1648</v>
      </c>
      <c r="L1800">
        <v>2920</v>
      </c>
      <c r="M1800" s="1" t="s">
        <v>70</v>
      </c>
      <c r="N1800" s="1" t="s">
        <v>438</v>
      </c>
      <c r="O1800" s="1" t="s">
        <v>33</v>
      </c>
      <c r="P1800" s="1" t="s">
        <v>48</v>
      </c>
      <c r="Q1800" s="1" t="s">
        <v>439</v>
      </c>
      <c r="R1800">
        <v>638</v>
      </c>
      <c r="S1800">
        <v>3</v>
      </c>
      <c r="T1800">
        <v>0.3</v>
      </c>
      <c r="U1800">
        <v>-128</v>
      </c>
      <c r="V1800" s="1" t="s">
        <v>126</v>
      </c>
      <c r="W1800" s="1" t="s">
        <v>51</v>
      </c>
    </row>
    <row r="1801" spans="1:23" x14ac:dyDescent="0.35">
      <c r="A1801">
        <v>8453</v>
      </c>
      <c r="B1801" s="1" t="s">
        <v>4043</v>
      </c>
      <c r="C1801" s="2">
        <v>42478</v>
      </c>
      <c r="D1801" s="2">
        <v>42483</v>
      </c>
      <c r="E1801" s="1" t="s">
        <v>42</v>
      </c>
      <c r="F1801" s="1" t="s">
        <v>3184</v>
      </c>
      <c r="G1801" s="1" t="s">
        <v>3185</v>
      </c>
      <c r="H1801" s="1" t="s">
        <v>93</v>
      </c>
      <c r="I1801" s="1" t="s">
        <v>28</v>
      </c>
      <c r="J1801" s="1" t="s">
        <v>104</v>
      </c>
      <c r="K1801" s="1" t="s">
        <v>95</v>
      </c>
      <c r="L1801">
        <v>77070</v>
      </c>
      <c r="M1801" s="1" t="s">
        <v>96</v>
      </c>
      <c r="N1801" s="1" t="s">
        <v>1031</v>
      </c>
      <c r="O1801" s="1" t="s">
        <v>33</v>
      </c>
      <c r="P1801" s="1" t="s">
        <v>39</v>
      </c>
      <c r="Q1801" s="1" t="s">
        <v>1032</v>
      </c>
      <c r="R1801">
        <v>344</v>
      </c>
      <c r="S1801">
        <v>4</v>
      </c>
      <c r="T1801">
        <v>0.3</v>
      </c>
      <c r="U1801">
        <v>-93</v>
      </c>
      <c r="V1801" s="1" t="s">
        <v>61</v>
      </c>
      <c r="W1801" s="1" t="s">
        <v>116</v>
      </c>
    </row>
    <row r="1802" spans="1:23" x14ac:dyDescent="0.35">
      <c r="A1802">
        <v>8455</v>
      </c>
      <c r="B1802" s="1" t="s">
        <v>4043</v>
      </c>
      <c r="C1802" s="2">
        <v>42478</v>
      </c>
      <c r="D1802" s="2">
        <v>42483</v>
      </c>
      <c r="E1802" s="1" t="s">
        <v>42</v>
      </c>
      <c r="F1802" s="1" t="s">
        <v>3184</v>
      </c>
      <c r="G1802" s="1" t="s">
        <v>3185</v>
      </c>
      <c r="H1802" s="1" t="s">
        <v>93</v>
      </c>
      <c r="I1802" s="1" t="s">
        <v>28</v>
      </c>
      <c r="J1802" s="1" t="s">
        <v>104</v>
      </c>
      <c r="K1802" s="1" t="s">
        <v>95</v>
      </c>
      <c r="L1802">
        <v>77070</v>
      </c>
      <c r="M1802" s="1" t="s">
        <v>96</v>
      </c>
      <c r="N1802" s="1" t="s">
        <v>1758</v>
      </c>
      <c r="O1802" s="1" t="s">
        <v>33</v>
      </c>
      <c r="P1802" s="1" t="s">
        <v>59</v>
      </c>
      <c r="Q1802" s="1" t="s">
        <v>1759</v>
      </c>
      <c r="R1802">
        <v>128</v>
      </c>
      <c r="S1802">
        <v>5</v>
      </c>
      <c r="T1802">
        <v>0.6</v>
      </c>
      <c r="U1802">
        <v>-67</v>
      </c>
      <c r="V1802" s="1" t="s">
        <v>61</v>
      </c>
      <c r="W1802" s="1" t="s">
        <v>116</v>
      </c>
    </row>
    <row r="1803" spans="1:23" x14ac:dyDescent="0.35">
      <c r="A1803">
        <v>8457</v>
      </c>
      <c r="B1803" s="1" t="s">
        <v>4044</v>
      </c>
      <c r="C1803" s="2">
        <v>42883</v>
      </c>
      <c r="D1803" s="2">
        <v>42888</v>
      </c>
      <c r="E1803" s="1" t="s">
        <v>24</v>
      </c>
      <c r="F1803" s="1" t="s">
        <v>2665</v>
      </c>
      <c r="G1803" s="1" t="s">
        <v>2666</v>
      </c>
      <c r="H1803" s="1" t="s">
        <v>93</v>
      </c>
      <c r="I1803" s="1" t="s">
        <v>28</v>
      </c>
      <c r="J1803" s="1" t="s">
        <v>136</v>
      </c>
      <c r="K1803" s="1" t="s">
        <v>137</v>
      </c>
      <c r="L1803">
        <v>60653</v>
      </c>
      <c r="M1803" s="1" t="s">
        <v>96</v>
      </c>
      <c r="N1803" s="1" t="s">
        <v>138</v>
      </c>
      <c r="O1803" s="1" t="s">
        <v>33</v>
      </c>
      <c r="P1803" s="1" t="s">
        <v>39</v>
      </c>
      <c r="Q1803" s="1" t="s">
        <v>220</v>
      </c>
      <c r="R1803">
        <v>107</v>
      </c>
      <c r="S1803">
        <v>3</v>
      </c>
      <c r="T1803">
        <v>0.3</v>
      </c>
      <c r="U1803">
        <v>-29</v>
      </c>
      <c r="V1803" s="1" t="s">
        <v>61</v>
      </c>
      <c r="W1803" s="1" t="s">
        <v>164</v>
      </c>
    </row>
    <row r="1804" spans="1:23" x14ac:dyDescent="0.35">
      <c r="A1804">
        <v>8469</v>
      </c>
      <c r="B1804" s="1" t="s">
        <v>4045</v>
      </c>
      <c r="C1804" s="2">
        <v>42685</v>
      </c>
      <c r="D1804" s="2">
        <v>42691</v>
      </c>
      <c r="E1804" s="1" t="s">
        <v>42</v>
      </c>
      <c r="F1804" s="1" t="s">
        <v>726</v>
      </c>
      <c r="G1804" s="1" t="s">
        <v>727</v>
      </c>
      <c r="H1804" s="1" t="s">
        <v>93</v>
      </c>
      <c r="I1804" s="1" t="s">
        <v>28</v>
      </c>
      <c r="J1804" s="1" t="s">
        <v>4046</v>
      </c>
      <c r="K1804" s="1" t="s">
        <v>113</v>
      </c>
      <c r="L1804">
        <v>46060</v>
      </c>
      <c r="M1804" s="1" t="s">
        <v>96</v>
      </c>
      <c r="N1804" s="1" t="s">
        <v>1814</v>
      </c>
      <c r="O1804" s="1" t="s">
        <v>33</v>
      </c>
      <c r="P1804" s="1" t="s">
        <v>48</v>
      </c>
      <c r="Q1804" s="1" t="s">
        <v>1815</v>
      </c>
      <c r="R1804">
        <v>2679</v>
      </c>
      <c r="S1804">
        <v>6</v>
      </c>
      <c r="T1804">
        <v>0</v>
      </c>
      <c r="U1804">
        <v>241</v>
      </c>
      <c r="V1804" s="1" t="s">
        <v>132</v>
      </c>
      <c r="W1804" s="1" t="s">
        <v>37</v>
      </c>
    </row>
    <row r="1805" spans="1:23" x14ac:dyDescent="0.35">
      <c r="A1805">
        <v>8470</v>
      </c>
      <c r="B1805" s="1" t="s">
        <v>4047</v>
      </c>
      <c r="C1805" s="2">
        <v>42848</v>
      </c>
      <c r="D1805" s="2">
        <v>42852</v>
      </c>
      <c r="E1805" s="1" t="s">
        <v>42</v>
      </c>
      <c r="F1805" s="1" t="s">
        <v>174</v>
      </c>
      <c r="G1805" s="1" t="s">
        <v>175</v>
      </c>
      <c r="H1805" s="1" t="s">
        <v>103</v>
      </c>
      <c r="I1805" s="1" t="s">
        <v>28</v>
      </c>
      <c r="J1805" s="1" t="s">
        <v>4048</v>
      </c>
      <c r="K1805" s="1" t="s">
        <v>144</v>
      </c>
      <c r="L1805">
        <v>37042</v>
      </c>
      <c r="M1805" s="1" t="s">
        <v>31</v>
      </c>
      <c r="N1805" s="1" t="s">
        <v>459</v>
      </c>
      <c r="O1805" s="1" t="s">
        <v>33</v>
      </c>
      <c r="P1805" s="1" t="s">
        <v>34</v>
      </c>
      <c r="Q1805" s="1" t="s">
        <v>460</v>
      </c>
      <c r="R1805">
        <v>387</v>
      </c>
      <c r="S1805">
        <v>4</v>
      </c>
      <c r="T1805">
        <v>0.2</v>
      </c>
      <c r="U1805">
        <v>-15</v>
      </c>
      <c r="V1805" s="1" t="s">
        <v>86</v>
      </c>
      <c r="W1805" s="1" t="s">
        <v>116</v>
      </c>
    </row>
    <row r="1806" spans="1:23" x14ac:dyDescent="0.35">
      <c r="A1806">
        <v>8472</v>
      </c>
      <c r="B1806" s="1" t="s">
        <v>4047</v>
      </c>
      <c r="C1806" s="2">
        <v>42848</v>
      </c>
      <c r="D1806" s="2">
        <v>42852</v>
      </c>
      <c r="E1806" s="1" t="s">
        <v>42</v>
      </c>
      <c r="F1806" s="1" t="s">
        <v>174</v>
      </c>
      <c r="G1806" s="1" t="s">
        <v>175</v>
      </c>
      <c r="H1806" s="1" t="s">
        <v>103</v>
      </c>
      <c r="I1806" s="1" t="s">
        <v>28</v>
      </c>
      <c r="J1806" s="1" t="s">
        <v>4048</v>
      </c>
      <c r="K1806" s="1" t="s">
        <v>144</v>
      </c>
      <c r="L1806">
        <v>37042</v>
      </c>
      <c r="M1806" s="1" t="s">
        <v>31</v>
      </c>
      <c r="N1806" s="1" t="s">
        <v>2398</v>
      </c>
      <c r="O1806" s="1" t="s">
        <v>33</v>
      </c>
      <c r="P1806" s="1" t="s">
        <v>59</v>
      </c>
      <c r="Q1806" s="1" t="s">
        <v>2399</v>
      </c>
      <c r="R1806">
        <v>78</v>
      </c>
      <c r="S1806">
        <v>3</v>
      </c>
      <c r="T1806">
        <v>0.2</v>
      </c>
      <c r="U1806">
        <v>-12</v>
      </c>
      <c r="V1806" s="1" t="s">
        <v>86</v>
      </c>
      <c r="W1806" s="1" t="s">
        <v>116</v>
      </c>
    </row>
    <row r="1807" spans="1:23" x14ac:dyDescent="0.35">
      <c r="A1807">
        <v>8485</v>
      </c>
      <c r="B1807" s="1" t="s">
        <v>4049</v>
      </c>
      <c r="C1807" s="2">
        <v>43002</v>
      </c>
      <c r="D1807" s="2">
        <v>43002</v>
      </c>
      <c r="E1807" s="1" t="s">
        <v>428</v>
      </c>
      <c r="F1807" s="1" t="s">
        <v>467</v>
      </c>
      <c r="G1807" s="1" t="s">
        <v>468</v>
      </c>
      <c r="H1807" s="1" t="s">
        <v>27</v>
      </c>
      <c r="I1807" s="1" t="s">
        <v>28</v>
      </c>
      <c r="J1807" s="1" t="s">
        <v>194</v>
      </c>
      <c r="K1807" s="1" t="s">
        <v>195</v>
      </c>
      <c r="L1807">
        <v>98115</v>
      </c>
      <c r="M1807" s="1" t="s">
        <v>57</v>
      </c>
      <c r="N1807" s="1" t="s">
        <v>700</v>
      </c>
      <c r="O1807" s="1" t="s">
        <v>33</v>
      </c>
      <c r="P1807" s="1" t="s">
        <v>59</v>
      </c>
      <c r="Q1807" s="1" t="s">
        <v>701</v>
      </c>
      <c r="R1807">
        <v>200</v>
      </c>
      <c r="S1807">
        <v>10</v>
      </c>
      <c r="T1807">
        <v>0</v>
      </c>
      <c r="U1807">
        <v>72</v>
      </c>
      <c r="V1807" s="1" t="s">
        <v>433</v>
      </c>
      <c r="W1807" s="1" t="s">
        <v>80</v>
      </c>
    </row>
    <row r="1808" spans="1:23" x14ac:dyDescent="0.35">
      <c r="A1808">
        <v>8491</v>
      </c>
      <c r="B1808" s="1" t="s">
        <v>4050</v>
      </c>
      <c r="C1808" s="2">
        <v>42402</v>
      </c>
      <c r="D1808" s="2">
        <v>42404</v>
      </c>
      <c r="E1808" s="1" t="s">
        <v>24</v>
      </c>
      <c r="F1808" s="1" t="s">
        <v>1989</v>
      </c>
      <c r="G1808" s="1" t="s">
        <v>1990</v>
      </c>
      <c r="H1808" s="1" t="s">
        <v>27</v>
      </c>
      <c r="I1808" s="1" t="s">
        <v>28</v>
      </c>
      <c r="J1808" s="1" t="s">
        <v>692</v>
      </c>
      <c r="K1808" s="1" t="s">
        <v>719</v>
      </c>
      <c r="L1808">
        <v>22204</v>
      </c>
      <c r="M1808" s="1" t="s">
        <v>31</v>
      </c>
      <c r="N1808" s="1" t="s">
        <v>2516</v>
      </c>
      <c r="O1808" s="1" t="s">
        <v>33</v>
      </c>
      <c r="P1808" s="1" t="s">
        <v>59</v>
      </c>
      <c r="Q1808" s="1" t="s">
        <v>2517</v>
      </c>
      <c r="R1808">
        <v>19</v>
      </c>
      <c r="S1808">
        <v>7</v>
      </c>
      <c r="T1808">
        <v>0</v>
      </c>
      <c r="U1808">
        <v>7</v>
      </c>
      <c r="V1808" s="1" t="s">
        <v>73</v>
      </c>
      <c r="W1808" s="1" t="s">
        <v>300</v>
      </c>
    </row>
    <row r="1809" spans="1:23" x14ac:dyDescent="0.35">
      <c r="A1809">
        <v>8503</v>
      </c>
      <c r="B1809" s="1" t="s">
        <v>4051</v>
      </c>
      <c r="C1809" s="2">
        <v>42064</v>
      </c>
      <c r="D1809" s="2">
        <v>42066</v>
      </c>
      <c r="E1809" s="1" t="s">
        <v>24</v>
      </c>
      <c r="F1809" s="1" t="s">
        <v>3259</v>
      </c>
      <c r="G1809" s="1" t="s">
        <v>3260</v>
      </c>
      <c r="H1809" s="1" t="s">
        <v>93</v>
      </c>
      <c r="I1809" s="1" t="s">
        <v>28</v>
      </c>
      <c r="J1809" s="1" t="s">
        <v>55</v>
      </c>
      <c r="K1809" s="1" t="s">
        <v>56</v>
      </c>
      <c r="L1809">
        <v>90045</v>
      </c>
      <c r="M1809" s="1" t="s">
        <v>57</v>
      </c>
      <c r="N1809" s="1" t="s">
        <v>491</v>
      </c>
      <c r="O1809" s="1" t="s">
        <v>33</v>
      </c>
      <c r="P1809" s="1" t="s">
        <v>39</v>
      </c>
      <c r="Q1809" s="1" t="s">
        <v>492</v>
      </c>
      <c r="R1809">
        <v>185</v>
      </c>
      <c r="S1809">
        <v>3</v>
      </c>
      <c r="T1809">
        <v>0.2</v>
      </c>
      <c r="U1809">
        <v>-21</v>
      </c>
      <c r="V1809" s="1" t="s">
        <v>73</v>
      </c>
      <c r="W1809" s="1" t="s">
        <v>198</v>
      </c>
    </row>
    <row r="1810" spans="1:23" x14ac:dyDescent="0.35">
      <c r="A1810">
        <v>8505</v>
      </c>
      <c r="B1810" s="1" t="s">
        <v>4052</v>
      </c>
      <c r="C1810" s="2">
        <v>42492</v>
      </c>
      <c r="D1810" s="2">
        <v>42496</v>
      </c>
      <c r="E1810" s="1" t="s">
        <v>42</v>
      </c>
      <c r="F1810" s="1" t="s">
        <v>2939</v>
      </c>
      <c r="G1810" s="1" t="s">
        <v>2940</v>
      </c>
      <c r="H1810" s="1" t="s">
        <v>27</v>
      </c>
      <c r="I1810" s="1" t="s">
        <v>28</v>
      </c>
      <c r="J1810" s="1" t="s">
        <v>531</v>
      </c>
      <c r="K1810" s="1" t="s">
        <v>95</v>
      </c>
      <c r="L1810">
        <v>79109</v>
      </c>
      <c r="M1810" s="1" t="s">
        <v>96</v>
      </c>
      <c r="N1810" s="1" t="s">
        <v>2581</v>
      </c>
      <c r="O1810" s="1" t="s">
        <v>33</v>
      </c>
      <c r="P1810" s="1" t="s">
        <v>39</v>
      </c>
      <c r="Q1810" s="1" t="s">
        <v>2582</v>
      </c>
      <c r="R1810">
        <v>367</v>
      </c>
      <c r="S1810">
        <v>4</v>
      </c>
      <c r="T1810">
        <v>0.3</v>
      </c>
      <c r="U1810">
        <v>-110</v>
      </c>
      <c r="V1810" s="1" t="s">
        <v>86</v>
      </c>
      <c r="W1810" s="1" t="s">
        <v>164</v>
      </c>
    </row>
    <row r="1811" spans="1:23" x14ac:dyDescent="0.35">
      <c r="A1811">
        <v>8513</v>
      </c>
      <c r="B1811" s="1" t="s">
        <v>4053</v>
      </c>
      <c r="C1811" s="2">
        <v>42402</v>
      </c>
      <c r="D1811" s="2">
        <v>42408</v>
      </c>
      <c r="E1811" s="1" t="s">
        <v>42</v>
      </c>
      <c r="F1811" s="1" t="s">
        <v>1041</v>
      </c>
      <c r="G1811" s="1" t="s">
        <v>1042</v>
      </c>
      <c r="H1811" s="1" t="s">
        <v>93</v>
      </c>
      <c r="I1811" s="1" t="s">
        <v>28</v>
      </c>
      <c r="J1811" s="1" t="s">
        <v>104</v>
      </c>
      <c r="K1811" s="1" t="s">
        <v>95</v>
      </c>
      <c r="L1811">
        <v>77041</v>
      </c>
      <c r="M1811" s="1" t="s">
        <v>96</v>
      </c>
      <c r="N1811" s="1" t="s">
        <v>923</v>
      </c>
      <c r="O1811" s="1" t="s">
        <v>33</v>
      </c>
      <c r="P1811" s="1" t="s">
        <v>59</v>
      </c>
      <c r="Q1811" s="1" t="s">
        <v>924</v>
      </c>
      <c r="R1811">
        <v>74</v>
      </c>
      <c r="S1811">
        <v>2</v>
      </c>
      <c r="T1811">
        <v>0.6</v>
      </c>
      <c r="U1811">
        <v>-77</v>
      </c>
      <c r="V1811" s="1" t="s">
        <v>132</v>
      </c>
      <c r="W1811" s="1" t="s">
        <v>300</v>
      </c>
    </row>
    <row r="1812" spans="1:23" x14ac:dyDescent="0.35">
      <c r="A1812">
        <v>8518</v>
      </c>
      <c r="B1812" s="1" t="s">
        <v>4054</v>
      </c>
      <c r="C1812" s="2">
        <v>42890</v>
      </c>
      <c r="D1812" s="2">
        <v>42893</v>
      </c>
      <c r="E1812" s="1" t="s">
        <v>24</v>
      </c>
      <c r="F1812" s="1" t="s">
        <v>4055</v>
      </c>
      <c r="G1812" s="1" t="s">
        <v>4056</v>
      </c>
      <c r="H1812" s="1" t="s">
        <v>27</v>
      </c>
      <c r="I1812" s="1" t="s">
        <v>28</v>
      </c>
      <c r="J1812" s="1" t="s">
        <v>4057</v>
      </c>
      <c r="K1812" s="1" t="s">
        <v>95</v>
      </c>
      <c r="L1812">
        <v>75034</v>
      </c>
      <c r="M1812" s="1" t="s">
        <v>96</v>
      </c>
      <c r="N1812" s="1" t="s">
        <v>1837</v>
      </c>
      <c r="O1812" s="1" t="s">
        <v>33</v>
      </c>
      <c r="P1812" s="1" t="s">
        <v>59</v>
      </c>
      <c r="Q1812" s="1" t="s">
        <v>1838</v>
      </c>
      <c r="R1812">
        <v>30</v>
      </c>
      <c r="S1812">
        <v>6</v>
      </c>
      <c r="T1812">
        <v>0.6</v>
      </c>
      <c r="U1812">
        <v>-17</v>
      </c>
      <c r="V1812" s="1" t="s">
        <v>36</v>
      </c>
      <c r="W1812" s="1" t="s">
        <v>62</v>
      </c>
    </row>
    <row r="1813" spans="1:23" x14ac:dyDescent="0.35">
      <c r="A1813">
        <v>8519</v>
      </c>
      <c r="B1813" s="1" t="s">
        <v>4058</v>
      </c>
      <c r="C1813" s="2">
        <v>43073</v>
      </c>
      <c r="D1813" s="2">
        <v>43079</v>
      </c>
      <c r="E1813" s="1" t="s">
        <v>42</v>
      </c>
      <c r="F1813" s="1" t="s">
        <v>3715</v>
      </c>
      <c r="G1813" s="1" t="s">
        <v>3716</v>
      </c>
      <c r="H1813" s="1" t="s">
        <v>27</v>
      </c>
      <c r="I1813" s="1" t="s">
        <v>28</v>
      </c>
      <c r="J1813" s="1" t="s">
        <v>3566</v>
      </c>
      <c r="K1813" s="1" t="s">
        <v>365</v>
      </c>
      <c r="L1813">
        <v>7501</v>
      </c>
      <c r="M1813" s="1" t="s">
        <v>70</v>
      </c>
      <c r="N1813" s="1" t="s">
        <v>3828</v>
      </c>
      <c r="O1813" s="1" t="s">
        <v>33</v>
      </c>
      <c r="P1813" s="1" t="s">
        <v>59</v>
      </c>
      <c r="Q1813" s="1" t="s">
        <v>3829</v>
      </c>
      <c r="R1813">
        <v>13</v>
      </c>
      <c r="S1813">
        <v>1</v>
      </c>
      <c r="T1813">
        <v>0</v>
      </c>
      <c r="U1813">
        <v>2</v>
      </c>
      <c r="V1813" s="1" t="s">
        <v>132</v>
      </c>
      <c r="W1813" s="1" t="s">
        <v>99</v>
      </c>
    </row>
    <row r="1814" spans="1:23" x14ac:dyDescent="0.35">
      <c r="A1814">
        <v>8520</v>
      </c>
      <c r="B1814" s="1" t="s">
        <v>4058</v>
      </c>
      <c r="C1814" s="2">
        <v>43073</v>
      </c>
      <c r="D1814" s="2">
        <v>43079</v>
      </c>
      <c r="E1814" s="1" t="s">
        <v>42</v>
      </c>
      <c r="F1814" s="1" t="s">
        <v>3715</v>
      </c>
      <c r="G1814" s="1" t="s">
        <v>3716</v>
      </c>
      <c r="H1814" s="1" t="s">
        <v>27</v>
      </c>
      <c r="I1814" s="1" t="s">
        <v>28</v>
      </c>
      <c r="J1814" s="1" t="s">
        <v>3566</v>
      </c>
      <c r="K1814" s="1" t="s">
        <v>365</v>
      </c>
      <c r="L1814">
        <v>7501</v>
      </c>
      <c r="M1814" s="1" t="s">
        <v>70</v>
      </c>
      <c r="N1814" s="1" t="s">
        <v>254</v>
      </c>
      <c r="O1814" s="1" t="s">
        <v>33</v>
      </c>
      <c r="P1814" s="1" t="s">
        <v>39</v>
      </c>
      <c r="Q1814" s="1" t="s">
        <v>255</v>
      </c>
      <c r="R1814">
        <v>182</v>
      </c>
      <c r="S1814">
        <v>3</v>
      </c>
      <c r="T1814">
        <v>0</v>
      </c>
      <c r="U1814">
        <v>46</v>
      </c>
      <c r="V1814" s="1" t="s">
        <v>132</v>
      </c>
      <c r="W1814" s="1" t="s">
        <v>99</v>
      </c>
    </row>
    <row r="1815" spans="1:23" x14ac:dyDescent="0.35">
      <c r="A1815">
        <v>8521</v>
      </c>
      <c r="B1815" s="1" t="s">
        <v>4058</v>
      </c>
      <c r="C1815" s="2">
        <v>43073</v>
      </c>
      <c r="D1815" s="2">
        <v>43079</v>
      </c>
      <c r="E1815" s="1" t="s">
        <v>42</v>
      </c>
      <c r="F1815" s="1" t="s">
        <v>3715</v>
      </c>
      <c r="G1815" s="1" t="s">
        <v>3716</v>
      </c>
      <c r="H1815" s="1" t="s">
        <v>27</v>
      </c>
      <c r="I1815" s="1" t="s">
        <v>28</v>
      </c>
      <c r="J1815" s="1" t="s">
        <v>3566</v>
      </c>
      <c r="K1815" s="1" t="s">
        <v>365</v>
      </c>
      <c r="L1815">
        <v>7501</v>
      </c>
      <c r="M1815" s="1" t="s">
        <v>70</v>
      </c>
      <c r="N1815" s="1" t="s">
        <v>298</v>
      </c>
      <c r="O1815" s="1" t="s">
        <v>33</v>
      </c>
      <c r="P1815" s="1" t="s">
        <v>39</v>
      </c>
      <c r="Q1815" s="1" t="s">
        <v>299</v>
      </c>
      <c r="R1815">
        <v>303</v>
      </c>
      <c r="S1815">
        <v>3</v>
      </c>
      <c r="T1815">
        <v>0</v>
      </c>
      <c r="U1815">
        <v>18</v>
      </c>
      <c r="V1815" s="1" t="s">
        <v>132</v>
      </c>
      <c r="W1815" s="1" t="s">
        <v>99</v>
      </c>
    </row>
    <row r="1816" spans="1:23" x14ac:dyDescent="0.35">
      <c r="A1816">
        <v>8522</v>
      </c>
      <c r="B1816" s="1" t="s">
        <v>4059</v>
      </c>
      <c r="C1816" s="2">
        <v>42380</v>
      </c>
      <c r="D1816" s="2">
        <v>42384</v>
      </c>
      <c r="E1816" s="1" t="s">
        <v>42</v>
      </c>
      <c r="F1816" s="1" t="s">
        <v>261</v>
      </c>
      <c r="G1816" s="1" t="s">
        <v>262</v>
      </c>
      <c r="H1816" s="1" t="s">
        <v>103</v>
      </c>
      <c r="I1816" s="1" t="s">
        <v>28</v>
      </c>
      <c r="J1816" s="1" t="s">
        <v>350</v>
      </c>
      <c r="K1816" s="1" t="s">
        <v>234</v>
      </c>
      <c r="L1816">
        <v>43229</v>
      </c>
      <c r="M1816" s="1" t="s">
        <v>70</v>
      </c>
      <c r="N1816" s="1" t="s">
        <v>1102</v>
      </c>
      <c r="O1816" s="1" t="s">
        <v>33</v>
      </c>
      <c r="P1816" s="1" t="s">
        <v>59</v>
      </c>
      <c r="Q1816" s="1" t="s">
        <v>1103</v>
      </c>
      <c r="R1816">
        <v>55</v>
      </c>
      <c r="S1816">
        <v>14</v>
      </c>
      <c r="T1816">
        <v>0.2</v>
      </c>
      <c r="U1816">
        <v>9</v>
      </c>
      <c r="V1816" s="1" t="s">
        <v>86</v>
      </c>
      <c r="W1816" s="1" t="s">
        <v>172</v>
      </c>
    </row>
    <row r="1817" spans="1:23" x14ac:dyDescent="0.35">
      <c r="A1817">
        <v>8526</v>
      </c>
      <c r="B1817" s="1" t="s">
        <v>4060</v>
      </c>
      <c r="C1817" s="2">
        <v>42810</v>
      </c>
      <c r="D1817" s="2">
        <v>42810</v>
      </c>
      <c r="E1817" s="1" t="s">
        <v>428</v>
      </c>
      <c r="F1817" s="1" t="s">
        <v>3377</v>
      </c>
      <c r="G1817" s="1" t="s">
        <v>3378</v>
      </c>
      <c r="H1817" s="1" t="s">
        <v>27</v>
      </c>
      <c r="I1817" s="1" t="s">
        <v>28</v>
      </c>
      <c r="J1817" s="1" t="s">
        <v>350</v>
      </c>
      <c r="K1817" s="1" t="s">
        <v>234</v>
      </c>
      <c r="L1817">
        <v>43229</v>
      </c>
      <c r="M1817" s="1" t="s">
        <v>70</v>
      </c>
      <c r="N1817" s="1" t="s">
        <v>2888</v>
      </c>
      <c r="O1817" s="1" t="s">
        <v>33</v>
      </c>
      <c r="P1817" s="1" t="s">
        <v>59</v>
      </c>
      <c r="Q1817" s="1" t="s">
        <v>2889</v>
      </c>
      <c r="R1817">
        <v>51</v>
      </c>
      <c r="S1817">
        <v>6</v>
      </c>
      <c r="T1817">
        <v>0.2</v>
      </c>
      <c r="U1817">
        <v>8</v>
      </c>
      <c r="V1817" s="1" t="s">
        <v>433</v>
      </c>
      <c r="W1817" s="1" t="s">
        <v>198</v>
      </c>
    </row>
    <row r="1818" spans="1:23" x14ac:dyDescent="0.35">
      <c r="A1818">
        <v>8530</v>
      </c>
      <c r="B1818" s="1" t="s">
        <v>4061</v>
      </c>
      <c r="C1818" s="2">
        <v>43049</v>
      </c>
      <c r="D1818" s="2">
        <v>43056</v>
      </c>
      <c r="E1818" s="1" t="s">
        <v>42</v>
      </c>
      <c r="F1818" s="1" t="s">
        <v>1285</v>
      </c>
      <c r="G1818" s="1" t="s">
        <v>1286</v>
      </c>
      <c r="H1818" s="1" t="s">
        <v>103</v>
      </c>
      <c r="I1818" s="1" t="s">
        <v>28</v>
      </c>
      <c r="J1818" s="1" t="s">
        <v>55</v>
      </c>
      <c r="K1818" s="1" t="s">
        <v>56</v>
      </c>
      <c r="L1818">
        <v>90008</v>
      </c>
      <c r="M1818" s="1" t="s">
        <v>57</v>
      </c>
      <c r="N1818" s="1" t="s">
        <v>1853</v>
      </c>
      <c r="O1818" s="1" t="s">
        <v>33</v>
      </c>
      <c r="P1818" s="1" t="s">
        <v>39</v>
      </c>
      <c r="Q1818" s="1" t="s">
        <v>1854</v>
      </c>
      <c r="R1818">
        <v>241</v>
      </c>
      <c r="S1818">
        <v>2</v>
      </c>
      <c r="T1818">
        <v>0.2</v>
      </c>
      <c r="U1818">
        <v>-36</v>
      </c>
      <c r="V1818" s="1" t="s">
        <v>50</v>
      </c>
      <c r="W1818" s="1" t="s">
        <v>37</v>
      </c>
    </row>
    <row r="1819" spans="1:23" x14ac:dyDescent="0.35">
      <c r="A1819">
        <v>8534</v>
      </c>
      <c r="B1819" s="1" t="s">
        <v>4062</v>
      </c>
      <c r="C1819" s="2">
        <v>42704</v>
      </c>
      <c r="D1819" s="2">
        <v>42710</v>
      </c>
      <c r="E1819" s="1" t="s">
        <v>42</v>
      </c>
      <c r="F1819" s="1" t="s">
        <v>266</v>
      </c>
      <c r="G1819" s="1" t="s">
        <v>267</v>
      </c>
      <c r="H1819" s="1" t="s">
        <v>27</v>
      </c>
      <c r="I1819" s="1" t="s">
        <v>28</v>
      </c>
      <c r="J1819" s="1" t="s">
        <v>291</v>
      </c>
      <c r="K1819" s="1" t="s">
        <v>292</v>
      </c>
      <c r="L1819">
        <v>48227</v>
      </c>
      <c r="M1819" s="1" t="s">
        <v>96</v>
      </c>
      <c r="N1819" s="1" t="s">
        <v>145</v>
      </c>
      <c r="O1819" s="1" t="s">
        <v>33</v>
      </c>
      <c r="P1819" s="1" t="s">
        <v>39</v>
      </c>
      <c r="Q1819" s="1" t="s">
        <v>146</v>
      </c>
      <c r="R1819">
        <v>390</v>
      </c>
      <c r="S1819">
        <v>3</v>
      </c>
      <c r="T1819">
        <v>0</v>
      </c>
      <c r="U1819">
        <v>35</v>
      </c>
      <c r="V1819" s="1" t="s">
        <v>132</v>
      </c>
      <c r="W1819" s="1" t="s">
        <v>37</v>
      </c>
    </row>
    <row r="1820" spans="1:23" x14ac:dyDescent="0.35">
      <c r="A1820">
        <v>8543</v>
      </c>
      <c r="B1820" s="1" t="s">
        <v>4063</v>
      </c>
      <c r="C1820" s="2">
        <v>42360</v>
      </c>
      <c r="D1820" s="2">
        <v>42361</v>
      </c>
      <c r="E1820" s="1" t="s">
        <v>90</v>
      </c>
      <c r="F1820" s="1" t="s">
        <v>2034</v>
      </c>
      <c r="G1820" s="1" t="s">
        <v>2035</v>
      </c>
      <c r="H1820" s="1" t="s">
        <v>93</v>
      </c>
      <c r="I1820" s="1" t="s">
        <v>28</v>
      </c>
      <c r="J1820" s="1" t="s">
        <v>68</v>
      </c>
      <c r="K1820" s="1" t="s">
        <v>69</v>
      </c>
      <c r="L1820">
        <v>19140</v>
      </c>
      <c r="M1820" s="1" t="s">
        <v>70</v>
      </c>
      <c r="N1820" s="1" t="s">
        <v>1093</v>
      </c>
      <c r="O1820" s="1" t="s">
        <v>33</v>
      </c>
      <c r="P1820" s="1" t="s">
        <v>39</v>
      </c>
      <c r="Q1820" s="1" t="s">
        <v>1094</v>
      </c>
      <c r="R1820">
        <v>423</v>
      </c>
      <c r="S1820">
        <v>7</v>
      </c>
      <c r="T1820">
        <v>0.3</v>
      </c>
      <c r="U1820">
        <v>0</v>
      </c>
      <c r="V1820" s="1" t="s">
        <v>126</v>
      </c>
      <c r="W1820" s="1" t="s">
        <v>99</v>
      </c>
    </row>
    <row r="1821" spans="1:23" x14ac:dyDescent="0.35">
      <c r="A1821">
        <v>8545</v>
      </c>
      <c r="B1821" s="1" t="s">
        <v>4064</v>
      </c>
      <c r="C1821" s="2">
        <v>42456</v>
      </c>
      <c r="D1821" s="2">
        <v>42460</v>
      </c>
      <c r="E1821" s="1" t="s">
        <v>42</v>
      </c>
      <c r="F1821" s="1" t="s">
        <v>289</v>
      </c>
      <c r="G1821" s="1" t="s">
        <v>290</v>
      </c>
      <c r="H1821" s="1" t="s">
        <v>93</v>
      </c>
      <c r="I1821" s="1" t="s">
        <v>28</v>
      </c>
      <c r="J1821" s="1" t="s">
        <v>350</v>
      </c>
      <c r="K1821" s="1" t="s">
        <v>670</v>
      </c>
      <c r="L1821">
        <v>31907</v>
      </c>
      <c r="M1821" s="1" t="s">
        <v>31</v>
      </c>
      <c r="N1821" s="1" t="s">
        <v>2798</v>
      </c>
      <c r="O1821" s="1" t="s">
        <v>33</v>
      </c>
      <c r="P1821" s="1" t="s">
        <v>59</v>
      </c>
      <c r="Q1821" s="1" t="s">
        <v>2799</v>
      </c>
      <c r="R1821">
        <v>20</v>
      </c>
      <c r="S1821">
        <v>1</v>
      </c>
      <c r="T1821">
        <v>0</v>
      </c>
      <c r="U1821">
        <v>9</v>
      </c>
      <c r="V1821" s="1" t="s">
        <v>86</v>
      </c>
      <c r="W1821" s="1" t="s">
        <v>198</v>
      </c>
    </row>
    <row r="1822" spans="1:23" x14ac:dyDescent="0.35">
      <c r="A1822">
        <v>8546</v>
      </c>
      <c r="B1822" s="1" t="s">
        <v>4064</v>
      </c>
      <c r="C1822" s="2">
        <v>42456</v>
      </c>
      <c r="D1822" s="2">
        <v>42460</v>
      </c>
      <c r="E1822" s="1" t="s">
        <v>42</v>
      </c>
      <c r="F1822" s="1" t="s">
        <v>289</v>
      </c>
      <c r="G1822" s="1" t="s">
        <v>290</v>
      </c>
      <c r="H1822" s="1" t="s">
        <v>93</v>
      </c>
      <c r="I1822" s="1" t="s">
        <v>28</v>
      </c>
      <c r="J1822" s="1" t="s">
        <v>350</v>
      </c>
      <c r="K1822" s="1" t="s">
        <v>670</v>
      </c>
      <c r="L1822">
        <v>31907</v>
      </c>
      <c r="M1822" s="1" t="s">
        <v>31</v>
      </c>
      <c r="N1822" s="1" t="s">
        <v>2662</v>
      </c>
      <c r="O1822" s="1" t="s">
        <v>33</v>
      </c>
      <c r="P1822" s="1" t="s">
        <v>59</v>
      </c>
      <c r="Q1822" s="1" t="s">
        <v>2663</v>
      </c>
      <c r="R1822">
        <v>40</v>
      </c>
      <c r="S1822">
        <v>4</v>
      </c>
      <c r="T1822">
        <v>0</v>
      </c>
      <c r="U1822">
        <v>11</v>
      </c>
      <c r="V1822" s="1" t="s">
        <v>86</v>
      </c>
      <c r="W1822" s="1" t="s">
        <v>198</v>
      </c>
    </row>
    <row r="1823" spans="1:23" x14ac:dyDescent="0.35">
      <c r="A1823">
        <v>8550</v>
      </c>
      <c r="B1823" s="1" t="s">
        <v>4065</v>
      </c>
      <c r="C1823" s="2">
        <v>42258</v>
      </c>
      <c r="D1823" s="2">
        <v>42259</v>
      </c>
      <c r="E1823" s="1" t="s">
        <v>90</v>
      </c>
      <c r="F1823" s="1" t="s">
        <v>1083</v>
      </c>
      <c r="G1823" s="1" t="s">
        <v>1084</v>
      </c>
      <c r="H1823" s="1" t="s">
        <v>93</v>
      </c>
      <c r="I1823" s="1" t="s">
        <v>28</v>
      </c>
      <c r="J1823" s="1" t="s">
        <v>182</v>
      </c>
      <c r="K1823" s="1" t="s">
        <v>183</v>
      </c>
      <c r="L1823">
        <v>80013</v>
      </c>
      <c r="M1823" s="1" t="s">
        <v>57</v>
      </c>
      <c r="N1823" s="1" t="s">
        <v>556</v>
      </c>
      <c r="O1823" s="1" t="s">
        <v>33</v>
      </c>
      <c r="P1823" s="1" t="s">
        <v>59</v>
      </c>
      <c r="Q1823" s="1" t="s">
        <v>557</v>
      </c>
      <c r="R1823">
        <v>25</v>
      </c>
      <c r="S1823">
        <v>4</v>
      </c>
      <c r="T1823">
        <v>0.2</v>
      </c>
      <c r="U1823">
        <v>4</v>
      </c>
      <c r="V1823" s="1" t="s">
        <v>126</v>
      </c>
      <c r="W1823" s="1" t="s">
        <v>80</v>
      </c>
    </row>
    <row r="1824" spans="1:23" x14ac:dyDescent="0.35">
      <c r="A1824">
        <v>8555</v>
      </c>
      <c r="B1824" s="1" t="s">
        <v>4066</v>
      </c>
      <c r="C1824" s="2">
        <v>42713</v>
      </c>
      <c r="D1824" s="2">
        <v>42715</v>
      </c>
      <c r="E1824" s="1" t="s">
        <v>90</v>
      </c>
      <c r="F1824" s="1" t="s">
        <v>3533</v>
      </c>
      <c r="G1824" s="1" t="s">
        <v>3534</v>
      </c>
      <c r="H1824" s="1" t="s">
        <v>27</v>
      </c>
      <c r="I1824" s="1" t="s">
        <v>28</v>
      </c>
      <c r="J1824" s="1" t="s">
        <v>881</v>
      </c>
      <c r="K1824" s="1" t="s">
        <v>719</v>
      </c>
      <c r="L1824">
        <v>22153</v>
      </c>
      <c r="M1824" s="1" t="s">
        <v>31</v>
      </c>
      <c r="N1824" s="1" t="s">
        <v>1287</v>
      </c>
      <c r="O1824" s="1" t="s">
        <v>33</v>
      </c>
      <c r="P1824" s="1" t="s">
        <v>48</v>
      </c>
      <c r="Q1824" s="1" t="s">
        <v>1288</v>
      </c>
      <c r="R1824">
        <v>1057</v>
      </c>
      <c r="S1824">
        <v>7</v>
      </c>
      <c r="T1824">
        <v>0</v>
      </c>
      <c r="U1824">
        <v>159</v>
      </c>
      <c r="V1824" s="1" t="s">
        <v>73</v>
      </c>
      <c r="W1824" s="1" t="s">
        <v>99</v>
      </c>
    </row>
    <row r="1825" spans="1:23" x14ac:dyDescent="0.35">
      <c r="A1825">
        <v>8562</v>
      </c>
      <c r="B1825" s="1" t="s">
        <v>4067</v>
      </c>
      <c r="C1825" s="2">
        <v>42727</v>
      </c>
      <c r="D1825" s="2">
        <v>42730</v>
      </c>
      <c r="E1825" s="1" t="s">
        <v>24</v>
      </c>
      <c r="F1825" s="1" t="s">
        <v>987</v>
      </c>
      <c r="G1825" s="1" t="s">
        <v>988</v>
      </c>
      <c r="H1825" s="1" t="s">
        <v>93</v>
      </c>
      <c r="I1825" s="1" t="s">
        <v>28</v>
      </c>
      <c r="J1825" s="1" t="s">
        <v>104</v>
      </c>
      <c r="K1825" s="1" t="s">
        <v>95</v>
      </c>
      <c r="L1825">
        <v>77041</v>
      </c>
      <c r="M1825" s="1" t="s">
        <v>96</v>
      </c>
      <c r="N1825" s="1" t="s">
        <v>503</v>
      </c>
      <c r="O1825" s="1" t="s">
        <v>33</v>
      </c>
      <c r="P1825" s="1" t="s">
        <v>59</v>
      </c>
      <c r="Q1825" s="1" t="s">
        <v>504</v>
      </c>
      <c r="R1825">
        <v>2</v>
      </c>
      <c r="S1825">
        <v>2</v>
      </c>
      <c r="T1825">
        <v>0.6</v>
      </c>
      <c r="U1825">
        <v>-1</v>
      </c>
      <c r="V1825" s="1" t="s">
        <v>36</v>
      </c>
      <c r="W1825" s="1" t="s">
        <v>99</v>
      </c>
    </row>
    <row r="1826" spans="1:23" x14ac:dyDescent="0.35">
      <c r="A1826">
        <v>8563</v>
      </c>
      <c r="B1826" s="1" t="s">
        <v>4068</v>
      </c>
      <c r="C1826" s="2">
        <v>42462</v>
      </c>
      <c r="D1826" s="2">
        <v>42466</v>
      </c>
      <c r="E1826" s="1" t="s">
        <v>24</v>
      </c>
      <c r="F1826" s="1" t="s">
        <v>667</v>
      </c>
      <c r="G1826" s="1" t="s">
        <v>668</v>
      </c>
      <c r="H1826" s="1" t="s">
        <v>93</v>
      </c>
      <c r="I1826" s="1" t="s">
        <v>28</v>
      </c>
      <c r="J1826" s="1" t="s">
        <v>908</v>
      </c>
      <c r="K1826" s="1" t="s">
        <v>241</v>
      </c>
      <c r="L1826">
        <v>53209</v>
      </c>
      <c r="M1826" s="1" t="s">
        <v>96</v>
      </c>
      <c r="N1826" s="1" t="s">
        <v>1309</v>
      </c>
      <c r="O1826" s="1" t="s">
        <v>33</v>
      </c>
      <c r="P1826" s="1" t="s">
        <v>39</v>
      </c>
      <c r="Q1826" s="1" t="s">
        <v>1310</v>
      </c>
      <c r="R1826">
        <v>1455</v>
      </c>
      <c r="S1826">
        <v>5</v>
      </c>
      <c r="T1826">
        <v>0</v>
      </c>
      <c r="U1826">
        <v>378</v>
      </c>
      <c r="V1826" s="1" t="s">
        <v>86</v>
      </c>
      <c r="W1826" s="1" t="s">
        <v>116</v>
      </c>
    </row>
    <row r="1827" spans="1:23" x14ac:dyDescent="0.35">
      <c r="A1827">
        <v>8565</v>
      </c>
      <c r="B1827" s="1" t="s">
        <v>4069</v>
      </c>
      <c r="C1827" s="2">
        <v>42855</v>
      </c>
      <c r="D1827" s="2">
        <v>42859</v>
      </c>
      <c r="E1827" s="1" t="s">
        <v>42</v>
      </c>
      <c r="F1827" s="1" t="s">
        <v>1147</v>
      </c>
      <c r="G1827" s="1" t="s">
        <v>1148</v>
      </c>
      <c r="H1827" s="1" t="s">
        <v>103</v>
      </c>
      <c r="I1827" s="1" t="s">
        <v>28</v>
      </c>
      <c r="J1827" s="1" t="s">
        <v>4070</v>
      </c>
      <c r="K1827" s="1" t="s">
        <v>46</v>
      </c>
      <c r="L1827">
        <v>32771</v>
      </c>
      <c r="M1827" s="1" t="s">
        <v>31</v>
      </c>
      <c r="N1827" s="1" t="s">
        <v>3291</v>
      </c>
      <c r="O1827" s="1" t="s">
        <v>33</v>
      </c>
      <c r="P1827" s="1" t="s">
        <v>59</v>
      </c>
      <c r="Q1827" s="1" t="s">
        <v>3292</v>
      </c>
      <c r="R1827">
        <v>221</v>
      </c>
      <c r="S1827">
        <v>6</v>
      </c>
      <c r="T1827">
        <v>0.2</v>
      </c>
      <c r="U1827">
        <v>-8</v>
      </c>
      <c r="V1827" s="1" t="s">
        <v>86</v>
      </c>
      <c r="W1827" s="1" t="s">
        <v>116</v>
      </c>
    </row>
    <row r="1828" spans="1:23" x14ac:dyDescent="0.35">
      <c r="A1828">
        <v>8577</v>
      </c>
      <c r="B1828" s="1" t="s">
        <v>4071</v>
      </c>
      <c r="C1828" s="2">
        <v>42919</v>
      </c>
      <c r="D1828" s="2">
        <v>42920</v>
      </c>
      <c r="E1828" s="1" t="s">
        <v>90</v>
      </c>
      <c r="F1828" s="1" t="s">
        <v>2387</v>
      </c>
      <c r="G1828" s="1" t="s">
        <v>2388</v>
      </c>
      <c r="H1828" s="1" t="s">
        <v>27</v>
      </c>
      <c r="I1828" s="1" t="s">
        <v>28</v>
      </c>
      <c r="J1828" s="1" t="s">
        <v>512</v>
      </c>
      <c r="K1828" s="1" t="s">
        <v>887</v>
      </c>
      <c r="L1828">
        <v>3301</v>
      </c>
      <c r="M1828" s="1" t="s">
        <v>70</v>
      </c>
      <c r="N1828" s="1" t="s">
        <v>938</v>
      </c>
      <c r="O1828" s="1" t="s">
        <v>33</v>
      </c>
      <c r="P1828" s="1" t="s">
        <v>59</v>
      </c>
      <c r="Q1828" s="1" t="s">
        <v>939</v>
      </c>
      <c r="R1828">
        <v>102</v>
      </c>
      <c r="S1828">
        <v>1</v>
      </c>
      <c r="T1828">
        <v>0</v>
      </c>
      <c r="U1828">
        <v>27</v>
      </c>
      <c r="V1828" s="1" t="s">
        <v>126</v>
      </c>
      <c r="W1828" s="1" t="s">
        <v>74</v>
      </c>
    </row>
    <row r="1829" spans="1:23" x14ac:dyDescent="0.35">
      <c r="A1829">
        <v>8578</v>
      </c>
      <c r="B1829" s="1" t="s">
        <v>4072</v>
      </c>
      <c r="C1829" s="2">
        <v>43091</v>
      </c>
      <c r="D1829" s="2">
        <v>43095</v>
      </c>
      <c r="E1829" s="1" t="s">
        <v>42</v>
      </c>
      <c r="F1829" s="1" t="s">
        <v>1637</v>
      </c>
      <c r="G1829" s="1" t="s">
        <v>1638</v>
      </c>
      <c r="H1829" s="1" t="s">
        <v>27</v>
      </c>
      <c r="I1829" s="1" t="s">
        <v>28</v>
      </c>
      <c r="J1829" s="1" t="s">
        <v>897</v>
      </c>
      <c r="K1829" s="1" t="s">
        <v>169</v>
      </c>
      <c r="L1829">
        <v>55901</v>
      </c>
      <c r="M1829" s="1" t="s">
        <v>96</v>
      </c>
      <c r="N1829" s="1" t="s">
        <v>438</v>
      </c>
      <c r="O1829" s="1" t="s">
        <v>33</v>
      </c>
      <c r="P1829" s="1" t="s">
        <v>48</v>
      </c>
      <c r="Q1829" s="1" t="s">
        <v>439</v>
      </c>
      <c r="R1829">
        <v>608</v>
      </c>
      <c r="S1829">
        <v>2</v>
      </c>
      <c r="T1829">
        <v>0</v>
      </c>
      <c r="U1829">
        <v>97</v>
      </c>
      <c r="V1829" s="1" t="s">
        <v>86</v>
      </c>
      <c r="W1829" s="1" t="s">
        <v>99</v>
      </c>
    </row>
    <row r="1830" spans="1:23" x14ac:dyDescent="0.35">
      <c r="A1830">
        <v>8581</v>
      </c>
      <c r="B1830" s="1" t="s">
        <v>4073</v>
      </c>
      <c r="C1830" s="2">
        <v>41779</v>
      </c>
      <c r="D1830" s="2">
        <v>41781</v>
      </c>
      <c r="E1830" s="1" t="s">
        <v>24</v>
      </c>
      <c r="F1830" s="1" t="s">
        <v>2000</v>
      </c>
      <c r="G1830" s="1" t="s">
        <v>2001</v>
      </c>
      <c r="H1830" s="1" t="s">
        <v>93</v>
      </c>
      <c r="I1830" s="1" t="s">
        <v>28</v>
      </c>
      <c r="J1830" s="1" t="s">
        <v>4074</v>
      </c>
      <c r="K1830" s="1" t="s">
        <v>95</v>
      </c>
      <c r="L1830">
        <v>78666</v>
      </c>
      <c r="M1830" s="1" t="s">
        <v>96</v>
      </c>
      <c r="N1830" s="1" t="s">
        <v>3441</v>
      </c>
      <c r="O1830" s="1" t="s">
        <v>33</v>
      </c>
      <c r="P1830" s="1" t="s">
        <v>59</v>
      </c>
      <c r="Q1830" s="1" t="s">
        <v>3442</v>
      </c>
      <c r="R1830">
        <v>10</v>
      </c>
      <c r="S1830">
        <v>3</v>
      </c>
      <c r="T1830">
        <v>0.6</v>
      </c>
      <c r="U1830">
        <v>-6</v>
      </c>
      <c r="V1830" s="1" t="s">
        <v>73</v>
      </c>
      <c r="W1830" s="1" t="s">
        <v>164</v>
      </c>
    </row>
    <row r="1831" spans="1:23" x14ac:dyDescent="0.35">
      <c r="A1831">
        <v>8593</v>
      </c>
      <c r="B1831" s="1" t="s">
        <v>4075</v>
      </c>
      <c r="C1831" s="2">
        <v>42848</v>
      </c>
      <c r="D1831" s="2">
        <v>42851</v>
      </c>
      <c r="E1831" s="1" t="s">
        <v>90</v>
      </c>
      <c r="F1831" s="1" t="s">
        <v>43</v>
      </c>
      <c r="G1831" s="1" t="s">
        <v>44</v>
      </c>
      <c r="H1831" s="1" t="s">
        <v>27</v>
      </c>
      <c r="I1831" s="1" t="s">
        <v>28</v>
      </c>
      <c r="J1831" s="1" t="s">
        <v>4076</v>
      </c>
      <c r="K1831" s="1" t="s">
        <v>183</v>
      </c>
      <c r="L1831">
        <v>80634</v>
      </c>
      <c r="M1831" s="1" t="s">
        <v>57</v>
      </c>
      <c r="N1831" s="1" t="s">
        <v>3046</v>
      </c>
      <c r="O1831" s="1" t="s">
        <v>33</v>
      </c>
      <c r="P1831" s="1" t="s">
        <v>59</v>
      </c>
      <c r="Q1831" s="1" t="s">
        <v>3047</v>
      </c>
      <c r="R1831">
        <v>12</v>
      </c>
      <c r="S1831">
        <v>3</v>
      </c>
      <c r="T1831">
        <v>0.2</v>
      </c>
      <c r="U1831">
        <v>3</v>
      </c>
      <c r="V1831" s="1" t="s">
        <v>36</v>
      </c>
      <c r="W1831" s="1" t="s">
        <v>116</v>
      </c>
    </row>
    <row r="1832" spans="1:23" x14ac:dyDescent="0.35">
      <c r="A1832">
        <v>8608</v>
      </c>
      <c r="B1832" s="1" t="s">
        <v>4077</v>
      </c>
      <c r="C1832" s="2">
        <v>41794</v>
      </c>
      <c r="D1832" s="2">
        <v>41799</v>
      </c>
      <c r="E1832" s="1" t="s">
        <v>42</v>
      </c>
      <c r="F1832" s="1" t="s">
        <v>1775</v>
      </c>
      <c r="G1832" s="1" t="s">
        <v>1776</v>
      </c>
      <c r="H1832" s="1" t="s">
        <v>27</v>
      </c>
      <c r="I1832" s="1" t="s">
        <v>28</v>
      </c>
      <c r="J1832" s="1" t="s">
        <v>176</v>
      </c>
      <c r="K1832" s="1" t="s">
        <v>123</v>
      </c>
      <c r="L1832">
        <v>10035</v>
      </c>
      <c r="M1832" s="1" t="s">
        <v>70</v>
      </c>
      <c r="N1832" s="1" t="s">
        <v>1521</v>
      </c>
      <c r="O1832" s="1" t="s">
        <v>33</v>
      </c>
      <c r="P1832" s="1" t="s">
        <v>59</v>
      </c>
      <c r="Q1832" s="1" t="s">
        <v>1522</v>
      </c>
      <c r="R1832">
        <v>57</v>
      </c>
      <c r="S1832">
        <v>2</v>
      </c>
      <c r="T1832">
        <v>0</v>
      </c>
      <c r="U1832">
        <v>21</v>
      </c>
      <c r="V1832" s="1" t="s">
        <v>61</v>
      </c>
      <c r="W1832" s="1" t="s">
        <v>62</v>
      </c>
    </row>
    <row r="1833" spans="1:23" x14ac:dyDescent="0.35">
      <c r="A1833">
        <v>8610</v>
      </c>
      <c r="B1833" s="1" t="s">
        <v>4077</v>
      </c>
      <c r="C1833" s="2">
        <v>41794</v>
      </c>
      <c r="D1833" s="2">
        <v>41799</v>
      </c>
      <c r="E1833" s="1" t="s">
        <v>42</v>
      </c>
      <c r="F1833" s="1" t="s">
        <v>1775</v>
      </c>
      <c r="G1833" s="1" t="s">
        <v>1776</v>
      </c>
      <c r="H1833" s="1" t="s">
        <v>27</v>
      </c>
      <c r="I1833" s="1" t="s">
        <v>28</v>
      </c>
      <c r="J1833" s="1" t="s">
        <v>176</v>
      </c>
      <c r="K1833" s="1" t="s">
        <v>123</v>
      </c>
      <c r="L1833">
        <v>10035</v>
      </c>
      <c r="M1833" s="1" t="s">
        <v>70</v>
      </c>
      <c r="N1833" s="1" t="s">
        <v>739</v>
      </c>
      <c r="O1833" s="1" t="s">
        <v>33</v>
      </c>
      <c r="P1833" s="1" t="s">
        <v>34</v>
      </c>
      <c r="Q1833" s="1" t="s">
        <v>740</v>
      </c>
      <c r="R1833">
        <v>354</v>
      </c>
      <c r="S1833">
        <v>2</v>
      </c>
      <c r="T1833">
        <v>0.2</v>
      </c>
      <c r="U1833">
        <v>-44</v>
      </c>
      <c r="V1833" s="1" t="s">
        <v>61</v>
      </c>
      <c r="W1833" s="1" t="s">
        <v>62</v>
      </c>
    </row>
    <row r="1834" spans="1:23" x14ac:dyDescent="0.35">
      <c r="A1834">
        <v>8611</v>
      </c>
      <c r="B1834" s="1" t="s">
        <v>4077</v>
      </c>
      <c r="C1834" s="2">
        <v>41794</v>
      </c>
      <c r="D1834" s="2">
        <v>41799</v>
      </c>
      <c r="E1834" s="1" t="s">
        <v>42</v>
      </c>
      <c r="F1834" s="1" t="s">
        <v>1775</v>
      </c>
      <c r="G1834" s="1" t="s">
        <v>1776</v>
      </c>
      <c r="H1834" s="1" t="s">
        <v>27</v>
      </c>
      <c r="I1834" s="1" t="s">
        <v>28</v>
      </c>
      <c r="J1834" s="1" t="s">
        <v>176</v>
      </c>
      <c r="K1834" s="1" t="s">
        <v>123</v>
      </c>
      <c r="L1834">
        <v>10035</v>
      </c>
      <c r="M1834" s="1" t="s">
        <v>70</v>
      </c>
      <c r="N1834" s="1" t="s">
        <v>980</v>
      </c>
      <c r="O1834" s="1" t="s">
        <v>33</v>
      </c>
      <c r="P1834" s="1" t="s">
        <v>59</v>
      </c>
      <c r="Q1834" s="1" t="s">
        <v>981</v>
      </c>
      <c r="R1834">
        <v>14</v>
      </c>
      <c r="S1834">
        <v>2</v>
      </c>
      <c r="T1834">
        <v>0</v>
      </c>
      <c r="U1834">
        <v>7</v>
      </c>
      <c r="V1834" s="1" t="s">
        <v>61</v>
      </c>
      <c r="W1834" s="1" t="s">
        <v>62</v>
      </c>
    </row>
    <row r="1835" spans="1:23" x14ac:dyDescent="0.35">
      <c r="A1835">
        <v>8619</v>
      </c>
      <c r="B1835" s="1" t="s">
        <v>4078</v>
      </c>
      <c r="C1835" s="2">
        <v>42797</v>
      </c>
      <c r="D1835" s="2">
        <v>42802</v>
      </c>
      <c r="E1835" s="1" t="s">
        <v>42</v>
      </c>
      <c r="F1835" s="1" t="s">
        <v>1029</v>
      </c>
      <c r="G1835" s="1" t="s">
        <v>1030</v>
      </c>
      <c r="H1835" s="1" t="s">
        <v>93</v>
      </c>
      <c r="I1835" s="1" t="s">
        <v>28</v>
      </c>
      <c r="J1835" s="1" t="s">
        <v>55</v>
      </c>
      <c r="K1835" s="1" t="s">
        <v>56</v>
      </c>
      <c r="L1835">
        <v>90004</v>
      </c>
      <c r="M1835" s="1" t="s">
        <v>57</v>
      </c>
      <c r="N1835" s="1" t="s">
        <v>910</v>
      </c>
      <c r="O1835" s="1" t="s">
        <v>33</v>
      </c>
      <c r="P1835" s="1" t="s">
        <v>48</v>
      </c>
      <c r="Q1835" s="1" t="s">
        <v>911</v>
      </c>
      <c r="R1835">
        <v>400</v>
      </c>
      <c r="S1835">
        <v>7</v>
      </c>
      <c r="T1835">
        <v>0.2</v>
      </c>
      <c r="U1835">
        <v>-15</v>
      </c>
      <c r="V1835" s="1" t="s">
        <v>61</v>
      </c>
      <c r="W1835" s="1" t="s">
        <v>198</v>
      </c>
    </row>
    <row r="1836" spans="1:23" x14ac:dyDescent="0.35">
      <c r="A1836">
        <v>8621</v>
      </c>
      <c r="B1836" s="1" t="s">
        <v>4079</v>
      </c>
      <c r="C1836" s="2">
        <v>43045</v>
      </c>
      <c r="D1836" s="2">
        <v>43048</v>
      </c>
      <c r="E1836" s="1" t="s">
        <v>24</v>
      </c>
      <c r="F1836" s="1" t="s">
        <v>2418</v>
      </c>
      <c r="G1836" s="1" t="s">
        <v>2419</v>
      </c>
      <c r="H1836" s="1" t="s">
        <v>27</v>
      </c>
      <c r="I1836" s="1" t="s">
        <v>28</v>
      </c>
      <c r="J1836" s="1" t="s">
        <v>1742</v>
      </c>
      <c r="K1836" s="1" t="s">
        <v>95</v>
      </c>
      <c r="L1836">
        <v>75217</v>
      </c>
      <c r="M1836" s="1" t="s">
        <v>96</v>
      </c>
      <c r="N1836" s="1" t="s">
        <v>873</v>
      </c>
      <c r="O1836" s="1" t="s">
        <v>33</v>
      </c>
      <c r="P1836" s="1" t="s">
        <v>59</v>
      </c>
      <c r="Q1836" s="1" t="s">
        <v>874</v>
      </c>
      <c r="R1836">
        <v>31</v>
      </c>
      <c r="S1836">
        <v>5</v>
      </c>
      <c r="T1836">
        <v>0.6</v>
      </c>
      <c r="U1836">
        <v>-20</v>
      </c>
      <c r="V1836" s="1" t="s">
        <v>36</v>
      </c>
      <c r="W1836" s="1" t="s">
        <v>37</v>
      </c>
    </row>
    <row r="1837" spans="1:23" x14ac:dyDescent="0.35">
      <c r="A1837">
        <v>8630</v>
      </c>
      <c r="B1837" s="1" t="s">
        <v>4080</v>
      </c>
      <c r="C1837" s="2">
        <v>42254</v>
      </c>
      <c r="D1837" s="2">
        <v>42259</v>
      </c>
      <c r="E1837" s="1" t="s">
        <v>42</v>
      </c>
      <c r="F1837" s="1" t="s">
        <v>4081</v>
      </c>
      <c r="G1837" s="1" t="s">
        <v>4082</v>
      </c>
      <c r="H1837" s="1" t="s">
        <v>93</v>
      </c>
      <c r="I1837" s="1" t="s">
        <v>28</v>
      </c>
      <c r="J1837" s="1" t="s">
        <v>176</v>
      </c>
      <c r="K1837" s="1" t="s">
        <v>123</v>
      </c>
      <c r="L1837">
        <v>10011</v>
      </c>
      <c r="M1837" s="1" t="s">
        <v>70</v>
      </c>
      <c r="N1837" s="1" t="s">
        <v>1994</v>
      </c>
      <c r="O1837" s="1" t="s">
        <v>33</v>
      </c>
      <c r="P1837" s="1" t="s">
        <v>48</v>
      </c>
      <c r="Q1837" s="1" t="s">
        <v>1995</v>
      </c>
      <c r="R1837">
        <v>481</v>
      </c>
      <c r="S1837">
        <v>2</v>
      </c>
      <c r="T1837">
        <v>0.4</v>
      </c>
      <c r="U1837">
        <v>-120</v>
      </c>
      <c r="V1837" s="1" t="s">
        <v>61</v>
      </c>
      <c r="W1837" s="1" t="s">
        <v>80</v>
      </c>
    </row>
    <row r="1838" spans="1:23" x14ac:dyDescent="0.35">
      <c r="A1838">
        <v>8632</v>
      </c>
      <c r="B1838" s="1" t="s">
        <v>4083</v>
      </c>
      <c r="C1838" s="2">
        <v>42579</v>
      </c>
      <c r="D1838" s="2">
        <v>42580</v>
      </c>
      <c r="E1838" s="1" t="s">
        <v>90</v>
      </c>
      <c r="F1838" s="1" t="s">
        <v>613</v>
      </c>
      <c r="G1838" s="1" t="s">
        <v>614</v>
      </c>
      <c r="H1838" s="1" t="s">
        <v>27</v>
      </c>
      <c r="I1838" s="1" t="s">
        <v>28</v>
      </c>
      <c r="J1838" s="1" t="s">
        <v>3104</v>
      </c>
      <c r="K1838" s="1" t="s">
        <v>69</v>
      </c>
      <c r="L1838">
        <v>18018</v>
      </c>
      <c r="M1838" s="1" t="s">
        <v>70</v>
      </c>
      <c r="N1838" s="1" t="s">
        <v>813</v>
      </c>
      <c r="O1838" s="1" t="s">
        <v>33</v>
      </c>
      <c r="P1838" s="1" t="s">
        <v>34</v>
      </c>
      <c r="Q1838" s="1" t="s">
        <v>814</v>
      </c>
      <c r="R1838">
        <v>177</v>
      </c>
      <c r="S1838">
        <v>5</v>
      </c>
      <c r="T1838">
        <v>0.5</v>
      </c>
      <c r="U1838">
        <v>-78</v>
      </c>
      <c r="V1838" s="1" t="s">
        <v>126</v>
      </c>
      <c r="W1838" s="1" t="s">
        <v>74</v>
      </c>
    </row>
    <row r="1839" spans="1:23" x14ac:dyDescent="0.35">
      <c r="A1839">
        <v>8635</v>
      </c>
      <c r="B1839" s="1" t="s">
        <v>4084</v>
      </c>
      <c r="C1839" s="2">
        <v>42972</v>
      </c>
      <c r="D1839" s="2">
        <v>42976</v>
      </c>
      <c r="E1839" s="1" t="s">
        <v>42</v>
      </c>
      <c r="F1839" s="1" t="s">
        <v>742</v>
      </c>
      <c r="G1839" s="1" t="s">
        <v>743</v>
      </c>
      <c r="H1839" s="1" t="s">
        <v>27</v>
      </c>
      <c r="I1839" s="1" t="s">
        <v>28</v>
      </c>
      <c r="J1839" s="1" t="s">
        <v>68</v>
      </c>
      <c r="K1839" s="1" t="s">
        <v>69</v>
      </c>
      <c r="L1839">
        <v>19140</v>
      </c>
      <c r="M1839" s="1" t="s">
        <v>70</v>
      </c>
      <c r="N1839" s="1" t="s">
        <v>32</v>
      </c>
      <c r="O1839" s="1" t="s">
        <v>33</v>
      </c>
      <c r="P1839" s="1" t="s">
        <v>34</v>
      </c>
      <c r="Q1839" s="1" t="s">
        <v>35</v>
      </c>
      <c r="R1839">
        <v>131</v>
      </c>
      <c r="S1839">
        <v>2</v>
      </c>
      <c r="T1839">
        <v>0.5</v>
      </c>
      <c r="U1839">
        <v>-89</v>
      </c>
      <c r="V1839" s="1" t="s">
        <v>86</v>
      </c>
      <c r="W1839" s="1" t="s">
        <v>256</v>
      </c>
    </row>
    <row r="1840" spans="1:23" x14ac:dyDescent="0.35">
      <c r="A1840">
        <v>8638</v>
      </c>
      <c r="B1840" s="1" t="s">
        <v>4085</v>
      </c>
      <c r="C1840" s="2">
        <v>42852</v>
      </c>
      <c r="D1840" s="2">
        <v>42857</v>
      </c>
      <c r="E1840" s="1" t="s">
        <v>42</v>
      </c>
      <c r="F1840" s="1" t="s">
        <v>4086</v>
      </c>
      <c r="G1840" s="1" t="s">
        <v>4087</v>
      </c>
      <c r="H1840" s="1" t="s">
        <v>27</v>
      </c>
      <c r="I1840" s="1" t="s">
        <v>28</v>
      </c>
      <c r="J1840" s="1" t="s">
        <v>194</v>
      </c>
      <c r="K1840" s="1" t="s">
        <v>195</v>
      </c>
      <c r="L1840">
        <v>98105</v>
      </c>
      <c r="M1840" s="1" t="s">
        <v>57</v>
      </c>
      <c r="N1840" s="1" t="s">
        <v>130</v>
      </c>
      <c r="O1840" s="1" t="s">
        <v>33</v>
      </c>
      <c r="P1840" s="1" t="s">
        <v>59</v>
      </c>
      <c r="Q1840" s="1" t="s">
        <v>131</v>
      </c>
      <c r="R1840">
        <v>140</v>
      </c>
      <c r="S1840">
        <v>7</v>
      </c>
      <c r="T1840">
        <v>0</v>
      </c>
      <c r="U1840">
        <v>39</v>
      </c>
      <c r="V1840" s="1" t="s">
        <v>61</v>
      </c>
      <c r="W1840" s="1" t="s">
        <v>116</v>
      </c>
    </row>
    <row r="1841" spans="1:23" x14ac:dyDescent="0.35">
      <c r="A1841">
        <v>8646</v>
      </c>
      <c r="B1841" s="1" t="s">
        <v>4088</v>
      </c>
      <c r="C1841" s="2">
        <v>42316</v>
      </c>
      <c r="D1841" s="2">
        <v>42323</v>
      </c>
      <c r="E1841" s="1" t="s">
        <v>42</v>
      </c>
      <c r="F1841" s="1" t="s">
        <v>1041</v>
      </c>
      <c r="G1841" s="1" t="s">
        <v>1042</v>
      </c>
      <c r="H1841" s="1" t="s">
        <v>93</v>
      </c>
      <c r="I1841" s="1" t="s">
        <v>28</v>
      </c>
      <c r="J1841" s="1" t="s">
        <v>609</v>
      </c>
      <c r="K1841" s="1" t="s">
        <v>1039</v>
      </c>
      <c r="L1841">
        <v>28540</v>
      </c>
      <c r="M1841" s="1" t="s">
        <v>31</v>
      </c>
      <c r="N1841" s="1" t="s">
        <v>425</v>
      </c>
      <c r="O1841" s="1" t="s">
        <v>33</v>
      </c>
      <c r="P1841" s="1" t="s">
        <v>59</v>
      </c>
      <c r="Q1841" s="1" t="s">
        <v>426</v>
      </c>
      <c r="R1841">
        <v>5</v>
      </c>
      <c r="S1841">
        <v>1</v>
      </c>
      <c r="T1841">
        <v>0.2</v>
      </c>
      <c r="U1841">
        <v>1</v>
      </c>
      <c r="V1841" s="1" t="s">
        <v>50</v>
      </c>
      <c r="W1841" s="1" t="s">
        <v>37</v>
      </c>
    </row>
    <row r="1842" spans="1:23" x14ac:dyDescent="0.35">
      <c r="A1842">
        <v>8647</v>
      </c>
      <c r="B1842" s="1" t="s">
        <v>4089</v>
      </c>
      <c r="C1842" s="2">
        <v>42699</v>
      </c>
      <c r="D1842" s="2">
        <v>42703</v>
      </c>
      <c r="E1842" s="1" t="s">
        <v>42</v>
      </c>
      <c r="F1842" s="1" t="s">
        <v>2636</v>
      </c>
      <c r="G1842" s="1" t="s">
        <v>2637</v>
      </c>
      <c r="H1842" s="1" t="s">
        <v>27</v>
      </c>
      <c r="I1842" s="1" t="s">
        <v>28</v>
      </c>
      <c r="J1842" s="1" t="s">
        <v>55</v>
      </c>
      <c r="K1842" s="1" t="s">
        <v>56</v>
      </c>
      <c r="L1842">
        <v>90032</v>
      </c>
      <c r="M1842" s="1" t="s">
        <v>57</v>
      </c>
      <c r="N1842" s="1" t="s">
        <v>258</v>
      </c>
      <c r="O1842" s="1" t="s">
        <v>33</v>
      </c>
      <c r="P1842" s="1" t="s">
        <v>39</v>
      </c>
      <c r="Q1842" s="1" t="s">
        <v>259</v>
      </c>
      <c r="R1842">
        <v>194</v>
      </c>
      <c r="S1842">
        <v>3</v>
      </c>
      <c r="T1842">
        <v>0.2</v>
      </c>
      <c r="U1842">
        <v>19</v>
      </c>
      <c r="V1842" s="1" t="s">
        <v>86</v>
      </c>
      <c r="W1842" s="1" t="s">
        <v>37</v>
      </c>
    </row>
    <row r="1843" spans="1:23" x14ac:dyDescent="0.35">
      <c r="A1843">
        <v>8648</v>
      </c>
      <c r="B1843" s="1" t="s">
        <v>4090</v>
      </c>
      <c r="C1843" s="2">
        <v>42343</v>
      </c>
      <c r="D1843" s="2">
        <v>42346</v>
      </c>
      <c r="E1843" s="1" t="s">
        <v>90</v>
      </c>
      <c r="F1843" s="1" t="s">
        <v>2044</v>
      </c>
      <c r="G1843" s="1" t="s">
        <v>2045</v>
      </c>
      <c r="H1843" s="1" t="s">
        <v>93</v>
      </c>
      <c r="I1843" s="1" t="s">
        <v>28</v>
      </c>
      <c r="J1843" s="1" t="s">
        <v>2650</v>
      </c>
      <c r="K1843" s="1" t="s">
        <v>144</v>
      </c>
      <c r="L1843">
        <v>37211</v>
      </c>
      <c r="M1843" s="1" t="s">
        <v>31</v>
      </c>
      <c r="N1843" s="1" t="s">
        <v>301</v>
      </c>
      <c r="O1843" s="1" t="s">
        <v>33</v>
      </c>
      <c r="P1843" s="1" t="s">
        <v>39</v>
      </c>
      <c r="Q1843" s="1" t="s">
        <v>302</v>
      </c>
      <c r="R1843">
        <v>97</v>
      </c>
      <c r="S1843">
        <v>2</v>
      </c>
      <c r="T1843">
        <v>0.2</v>
      </c>
      <c r="U1843">
        <v>11</v>
      </c>
      <c r="V1843" s="1" t="s">
        <v>36</v>
      </c>
      <c r="W1843" s="1" t="s">
        <v>99</v>
      </c>
    </row>
    <row r="1844" spans="1:23" x14ac:dyDescent="0.35">
      <c r="A1844">
        <v>8652</v>
      </c>
      <c r="B1844" s="1" t="s">
        <v>4091</v>
      </c>
      <c r="C1844" s="2">
        <v>41895</v>
      </c>
      <c r="D1844" s="2">
        <v>41895</v>
      </c>
      <c r="E1844" s="1" t="s">
        <v>428</v>
      </c>
      <c r="F1844" s="1" t="s">
        <v>694</v>
      </c>
      <c r="G1844" s="1" t="s">
        <v>695</v>
      </c>
      <c r="H1844" s="1" t="s">
        <v>27</v>
      </c>
      <c r="I1844" s="1" t="s">
        <v>28</v>
      </c>
      <c r="J1844" s="1" t="s">
        <v>194</v>
      </c>
      <c r="K1844" s="1" t="s">
        <v>195</v>
      </c>
      <c r="L1844">
        <v>98103</v>
      </c>
      <c r="M1844" s="1" t="s">
        <v>57</v>
      </c>
      <c r="N1844" s="1" t="s">
        <v>382</v>
      </c>
      <c r="O1844" s="1" t="s">
        <v>33</v>
      </c>
      <c r="P1844" s="1" t="s">
        <v>59</v>
      </c>
      <c r="Q1844" s="1" t="s">
        <v>383</v>
      </c>
      <c r="R1844">
        <v>14</v>
      </c>
      <c r="S1844">
        <v>3</v>
      </c>
      <c r="T1844">
        <v>0</v>
      </c>
      <c r="U1844">
        <v>6</v>
      </c>
      <c r="V1844" s="1" t="s">
        <v>433</v>
      </c>
      <c r="W1844" s="1" t="s">
        <v>80</v>
      </c>
    </row>
    <row r="1845" spans="1:23" x14ac:dyDescent="0.35">
      <c r="A1845">
        <v>8661</v>
      </c>
      <c r="B1845" s="1" t="s">
        <v>4092</v>
      </c>
      <c r="C1845" s="2">
        <v>43064</v>
      </c>
      <c r="D1845" s="2">
        <v>43069</v>
      </c>
      <c r="E1845" s="1" t="s">
        <v>42</v>
      </c>
      <c r="F1845" s="1" t="s">
        <v>1434</v>
      </c>
      <c r="G1845" s="1" t="s">
        <v>1435</v>
      </c>
      <c r="H1845" s="1" t="s">
        <v>27</v>
      </c>
      <c r="I1845" s="1" t="s">
        <v>28</v>
      </c>
      <c r="J1845" s="1" t="s">
        <v>45</v>
      </c>
      <c r="K1845" s="1" t="s">
        <v>46</v>
      </c>
      <c r="L1845">
        <v>33311</v>
      </c>
      <c r="M1845" s="1" t="s">
        <v>31</v>
      </c>
      <c r="N1845" s="1" t="s">
        <v>1449</v>
      </c>
      <c r="O1845" s="1" t="s">
        <v>33</v>
      </c>
      <c r="P1845" s="1" t="s">
        <v>34</v>
      </c>
      <c r="Q1845" s="1" t="s">
        <v>1450</v>
      </c>
      <c r="R1845">
        <v>724</v>
      </c>
      <c r="S1845">
        <v>5</v>
      </c>
      <c r="T1845">
        <v>0.2</v>
      </c>
      <c r="U1845">
        <v>-81</v>
      </c>
      <c r="V1845" s="1" t="s">
        <v>61</v>
      </c>
      <c r="W1845" s="1" t="s">
        <v>37</v>
      </c>
    </row>
    <row r="1846" spans="1:23" x14ac:dyDescent="0.35">
      <c r="A1846">
        <v>8662</v>
      </c>
      <c r="B1846" s="1" t="s">
        <v>4093</v>
      </c>
      <c r="C1846" s="2">
        <v>42136</v>
      </c>
      <c r="D1846" s="2">
        <v>42141</v>
      </c>
      <c r="E1846" s="1" t="s">
        <v>42</v>
      </c>
      <c r="F1846" s="1" t="s">
        <v>1574</v>
      </c>
      <c r="G1846" s="1" t="s">
        <v>1575</v>
      </c>
      <c r="H1846" s="1" t="s">
        <v>27</v>
      </c>
      <c r="I1846" s="1" t="s">
        <v>28</v>
      </c>
      <c r="J1846" s="1" t="s">
        <v>104</v>
      </c>
      <c r="K1846" s="1" t="s">
        <v>95</v>
      </c>
      <c r="L1846">
        <v>77041</v>
      </c>
      <c r="M1846" s="1" t="s">
        <v>96</v>
      </c>
      <c r="N1846" s="1" t="s">
        <v>2790</v>
      </c>
      <c r="O1846" s="1" t="s">
        <v>33</v>
      </c>
      <c r="P1846" s="1" t="s">
        <v>59</v>
      </c>
      <c r="Q1846" s="1" t="s">
        <v>2791</v>
      </c>
      <c r="R1846">
        <v>22</v>
      </c>
      <c r="S1846">
        <v>4</v>
      </c>
      <c r="T1846">
        <v>0.6</v>
      </c>
      <c r="U1846">
        <v>-16</v>
      </c>
      <c r="V1846" s="1" t="s">
        <v>61</v>
      </c>
      <c r="W1846" s="1" t="s">
        <v>164</v>
      </c>
    </row>
    <row r="1847" spans="1:23" x14ac:dyDescent="0.35">
      <c r="A1847">
        <v>8665</v>
      </c>
      <c r="B1847" s="1" t="s">
        <v>4094</v>
      </c>
      <c r="C1847" s="2">
        <v>42824</v>
      </c>
      <c r="D1847" s="2">
        <v>42826</v>
      </c>
      <c r="E1847" s="1" t="s">
        <v>24</v>
      </c>
      <c r="F1847" s="1" t="s">
        <v>3118</v>
      </c>
      <c r="G1847" s="1" t="s">
        <v>3119</v>
      </c>
      <c r="H1847" s="1" t="s">
        <v>27</v>
      </c>
      <c r="I1847" s="1" t="s">
        <v>28</v>
      </c>
      <c r="J1847" s="1" t="s">
        <v>2063</v>
      </c>
      <c r="K1847" s="1" t="s">
        <v>56</v>
      </c>
      <c r="L1847">
        <v>90712</v>
      </c>
      <c r="M1847" s="1" t="s">
        <v>57</v>
      </c>
      <c r="N1847" s="1" t="s">
        <v>1545</v>
      </c>
      <c r="O1847" s="1" t="s">
        <v>33</v>
      </c>
      <c r="P1847" s="1" t="s">
        <v>59</v>
      </c>
      <c r="Q1847" s="1" t="s">
        <v>1546</v>
      </c>
      <c r="R1847">
        <v>94</v>
      </c>
      <c r="S1847">
        <v>5</v>
      </c>
      <c r="T1847">
        <v>0</v>
      </c>
      <c r="U1847">
        <v>40</v>
      </c>
      <c r="V1847" s="1" t="s">
        <v>73</v>
      </c>
      <c r="W1847" s="1" t="s">
        <v>198</v>
      </c>
    </row>
    <row r="1848" spans="1:23" x14ac:dyDescent="0.35">
      <c r="A1848">
        <v>8671</v>
      </c>
      <c r="B1848" s="1" t="s">
        <v>4095</v>
      </c>
      <c r="C1848" s="2">
        <v>42000</v>
      </c>
      <c r="D1848" s="2">
        <v>42005</v>
      </c>
      <c r="E1848" s="1" t="s">
        <v>24</v>
      </c>
      <c r="F1848" s="1" t="s">
        <v>166</v>
      </c>
      <c r="G1848" s="1" t="s">
        <v>167</v>
      </c>
      <c r="H1848" s="1" t="s">
        <v>27</v>
      </c>
      <c r="I1848" s="1" t="s">
        <v>28</v>
      </c>
      <c r="J1848" s="1" t="s">
        <v>696</v>
      </c>
      <c r="K1848" s="1" t="s">
        <v>234</v>
      </c>
      <c r="L1848">
        <v>44105</v>
      </c>
      <c r="M1848" s="1" t="s">
        <v>70</v>
      </c>
      <c r="N1848" s="1" t="s">
        <v>2609</v>
      </c>
      <c r="O1848" s="1" t="s">
        <v>33</v>
      </c>
      <c r="P1848" s="1" t="s">
        <v>59</v>
      </c>
      <c r="Q1848" s="1" t="s">
        <v>2610</v>
      </c>
      <c r="R1848">
        <v>182</v>
      </c>
      <c r="S1848">
        <v>3</v>
      </c>
      <c r="T1848">
        <v>0.2</v>
      </c>
      <c r="U1848">
        <v>-18</v>
      </c>
      <c r="V1848" s="1" t="s">
        <v>61</v>
      </c>
      <c r="W1848" s="1" t="s">
        <v>99</v>
      </c>
    </row>
    <row r="1849" spans="1:23" x14ac:dyDescent="0.35">
      <c r="A1849">
        <v>8674</v>
      </c>
      <c r="B1849" s="1" t="s">
        <v>4096</v>
      </c>
      <c r="C1849" s="2">
        <v>42782</v>
      </c>
      <c r="D1849" s="2">
        <v>42787</v>
      </c>
      <c r="E1849" s="1" t="s">
        <v>42</v>
      </c>
      <c r="F1849" s="1" t="s">
        <v>1633</v>
      </c>
      <c r="G1849" s="1" t="s">
        <v>1634</v>
      </c>
      <c r="H1849" s="1" t="s">
        <v>27</v>
      </c>
      <c r="I1849" s="1" t="s">
        <v>28</v>
      </c>
      <c r="J1849" s="1" t="s">
        <v>516</v>
      </c>
      <c r="K1849" s="1" t="s">
        <v>137</v>
      </c>
      <c r="L1849">
        <v>62521</v>
      </c>
      <c r="M1849" s="1" t="s">
        <v>96</v>
      </c>
      <c r="N1849" s="1" t="s">
        <v>209</v>
      </c>
      <c r="O1849" s="1" t="s">
        <v>33</v>
      </c>
      <c r="P1849" s="1" t="s">
        <v>39</v>
      </c>
      <c r="Q1849" s="1" t="s">
        <v>210</v>
      </c>
      <c r="R1849">
        <v>601</v>
      </c>
      <c r="S1849">
        <v>3</v>
      </c>
      <c r="T1849">
        <v>0.3</v>
      </c>
      <c r="U1849">
        <v>-9</v>
      </c>
      <c r="V1849" s="1" t="s">
        <v>61</v>
      </c>
      <c r="W1849" s="1" t="s">
        <v>300</v>
      </c>
    </row>
    <row r="1850" spans="1:23" x14ac:dyDescent="0.35">
      <c r="A1850">
        <v>8677</v>
      </c>
      <c r="B1850" s="1" t="s">
        <v>4096</v>
      </c>
      <c r="C1850" s="2">
        <v>42782</v>
      </c>
      <c r="D1850" s="2">
        <v>42787</v>
      </c>
      <c r="E1850" s="1" t="s">
        <v>42</v>
      </c>
      <c r="F1850" s="1" t="s">
        <v>1633</v>
      </c>
      <c r="G1850" s="1" t="s">
        <v>1634</v>
      </c>
      <c r="H1850" s="1" t="s">
        <v>27</v>
      </c>
      <c r="I1850" s="1" t="s">
        <v>28</v>
      </c>
      <c r="J1850" s="1" t="s">
        <v>516</v>
      </c>
      <c r="K1850" s="1" t="s">
        <v>137</v>
      </c>
      <c r="L1850">
        <v>62521</v>
      </c>
      <c r="M1850" s="1" t="s">
        <v>96</v>
      </c>
      <c r="N1850" s="1" t="s">
        <v>1314</v>
      </c>
      <c r="O1850" s="1" t="s">
        <v>33</v>
      </c>
      <c r="P1850" s="1" t="s">
        <v>59</v>
      </c>
      <c r="Q1850" s="1" t="s">
        <v>2025</v>
      </c>
      <c r="R1850">
        <v>8</v>
      </c>
      <c r="S1850">
        <v>1</v>
      </c>
      <c r="T1850">
        <v>0.6</v>
      </c>
      <c r="U1850">
        <v>-4</v>
      </c>
      <c r="V1850" s="1" t="s">
        <v>61</v>
      </c>
      <c r="W1850" s="1" t="s">
        <v>300</v>
      </c>
    </row>
    <row r="1851" spans="1:23" x14ac:dyDescent="0.35">
      <c r="A1851">
        <v>8678</v>
      </c>
      <c r="B1851" s="1" t="s">
        <v>4097</v>
      </c>
      <c r="C1851" s="2">
        <v>43032</v>
      </c>
      <c r="D1851" s="2">
        <v>43034</v>
      </c>
      <c r="E1851" s="1" t="s">
        <v>90</v>
      </c>
      <c r="F1851" s="1" t="s">
        <v>406</v>
      </c>
      <c r="G1851" s="1" t="s">
        <v>407</v>
      </c>
      <c r="H1851" s="1" t="s">
        <v>27</v>
      </c>
      <c r="I1851" s="1" t="s">
        <v>28</v>
      </c>
      <c r="J1851" s="1" t="s">
        <v>4098</v>
      </c>
      <c r="K1851" s="1" t="s">
        <v>95</v>
      </c>
      <c r="L1851">
        <v>76063</v>
      </c>
      <c r="M1851" s="1" t="s">
        <v>96</v>
      </c>
      <c r="N1851" s="1" t="s">
        <v>1468</v>
      </c>
      <c r="O1851" s="1" t="s">
        <v>33</v>
      </c>
      <c r="P1851" s="1" t="s">
        <v>48</v>
      </c>
      <c r="Q1851" s="1" t="s">
        <v>1469</v>
      </c>
      <c r="R1851">
        <v>517</v>
      </c>
      <c r="S1851">
        <v>5</v>
      </c>
      <c r="T1851">
        <v>0.3</v>
      </c>
      <c r="U1851">
        <v>-81</v>
      </c>
      <c r="V1851" s="1" t="s">
        <v>73</v>
      </c>
      <c r="W1851" s="1" t="s">
        <v>51</v>
      </c>
    </row>
    <row r="1852" spans="1:23" x14ac:dyDescent="0.35">
      <c r="A1852">
        <v>8696</v>
      </c>
      <c r="B1852" s="1" t="s">
        <v>4099</v>
      </c>
      <c r="C1852" s="2">
        <v>42993</v>
      </c>
      <c r="D1852" s="2">
        <v>42995</v>
      </c>
      <c r="E1852" s="1" t="s">
        <v>24</v>
      </c>
      <c r="F1852" s="1" t="s">
        <v>304</v>
      </c>
      <c r="G1852" s="1" t="s">
        <v>305</v>
      </c>
      <c r="H1852" s="1" t="s">
        <v>103</v>
      </c>
      <c r="I1852" s="1" t="s">
        <v>28</v>
      </c>
      <c r="J1852" s="1" t="s">
        <v>331</v>
      </c>
      <c r="K1852" s="1" t="s">
        <v>56</v>
      </c>
      <c r="L1852">
        <v>94109</v>
      </c>
      <c r="M1852" s="1" t="s">
        <v>57</v>
      </c>
      <c r="N1852" s="1" t="s">
        <v>309</v>
      </c>
      <c r="O1852" s="1" t="s">
        <v>33</v>
      </c>
      <c r="P1852" s="1" t="s">
        <v>48</v>
      </c>
      <c r="Q1852" s="1" t="s">
        <v>310</v>
      </c>
      <c r="R1852">
        <v>301</v>
      </c>
      <c r="S1852">
        <v>1</v>
      </c>
      <c r="T1852">
        <v>0.2</v>
      </c>
      <c r="U1852">
        <v>11</v>
      </c>
      <c r="V1852" s="1" t="s">
        <v>73</v>
      </c>
      <c r="W1852" s="1" t="s">
        <v>80</v>
      </c>
    </row>
    <row r="1853" spans="1:23" x14ac:dyDescent="0.35">
      <c r="A1853">
        <v>8698</v>
      </c>
      <c r="B1853" s="1" t="s">
        <v>4100</v>
      </c>
      <c r="C1853" s="2">
        <v>42901</v>
      </c>
      <c r="D1853" s="2">
        <v>42906</v>
      </c>
      <c r="E1853" s="1" t="s">
        <v>42</v>
      </c>
      <c r="F1853" s="1" t="s">
        <v>389</v>
      </c>
      <c r="G1853" s="1" t="s">
        <v>390</v>
      </c>
      <c r="H1853" s="1" t="s">
        <v>93</v>
      </c>
      <c r="I1853" s="1" t="s">
        <v>28</v>
      </c>
      <c r="J1853" s="1" t="s">
        <v>2650</v>
      </c>
      <c r="K1853" s="1" t="s">
        <v>144</v>
      </c>
      <c r="L1853">
        <v>37211</v>
      </c>
      <c r="M1853" s="1" t="s">
        <v>31</v>
      </c>
      <c r="N1853" s="1" t="s">
        <v>318</v>
      </c>
      <c r="O1853" s="1" t="s">
        <v>33</v>
      </c>
      <c r="P1853" s="1" t="s">
        <v>59</v>
      </c>
      <c r="Q1853" s="1" t="s">
        <v>319</v>
      </c>
      <c r="R1853">
        <v>31</v>
      </c>
      <c r="S1853">
        <v>4</v>
      </c>
      <c r="T1853">
        <v>0.2</v>
      </c>
      <c r="U1853">
        <v>9</v>
      </c>
      <c r="V1853" s="1" t="s">
        <v>61</v>
      </c>
      <c r="W1853" s="1" t="s">
        <v>62</v>
      </c>
    </row>
    <row r="1854" spans="1:23" x14ac:dyDescent="0.35">
      <c r="A1854">
        <v>8699</v>
      </c>
      <c r="B1854" s="1" t="s">
        <v>4100</v>
      </c>
      <c r="C1854" s="2">
        <v>42901</v>
      </c>
      <c r="D1854" s="2">
        <v>42906</v>
      </c>
      <c r="E1854" s="1" t="s">
        <v>42</v>
      </c>
      <c r="F1854" s="1" t="s">
        <v>389</v>
      </c>
      <c r="G1854" s="1" t="s">
        <v>390</v>
      </c>
      <c r="H1854" s="1" t="s">
        <v>93</v>
      </c>
      <c r="I1854" s="1" t="s">
        <v>28</v>
      </c>
      <c r="J1854" s="1" t="s">
        <v>2650</v>
      </c>
      <c r="K1854" s="1" t="s">
        <v>144</v>
      </c>
      <c r="L1854">
        <v>37211</v>
      </c>
      <c r="M1854" s="1" t="s">
        <v>31</v>
      </c>
      <c r="N1854" s="1" t="s">
        <v>2409</v>
      </c>
      <c r="O1854" s="1" t="s">
        <v>33</v>
      </c>
      <c r="P1854" s="1" t="s">
        <v>48</v>
      </c>
      <c r="Q1854" s="1" t="s">
        <v>2410</v>
      </c>
      <c r="R1854">
        <v>121</v>
      </c>
      <c r="S1854">
        <v>2</v>
      </c>
      <c r="T1854">
        <v>0.4</v>
      </c>
      <c r="U1854">
        <v>-28</v>
      </c>
      <c r="V1854" s="1" t="s">
        <v>61</v>
      </c>
      <c r="W1854" s="1" t="s">
        <v>62</v>
      </c>
    </row>
    <row r="1855" spans="1:23" x14ac:dyDescent="0.35">
      <c r="A1855">
        <v>8707</v>
      </c>
      <c r="B1855" s="1" t="s">
        <v>4101</v>
      </c>
      <c r="C1855" s="2">
        <v>41890</v>
      </c>
      <c r="D1855" s="2">
        <v>41895</v>
      </c>
      <c r="E1855" s="1" t="s">
        <v>42</v>
      </c>
      <c r="F1855" s="1" t="s">
        <v>1243</v>
      </c>
      <c r="G1855" s="1" t="s">
        <v>1244</v>
      </c>
      <c r="H1855" s="1" t="s">
        <v>103</v>
      </c>
      <c r="I1855" s="1" t="s">
        <v>28</v>
      </c>
      <c r="J1855" s="1" t="s">
        <v>176</v>
      </c>
      <c r="K1855" s="1" t="s">
        <v>123</v>
      </c>
      <c r="L1855">
        <v>10009</v>
      </c>
      <c r="M1855" s="1" t="s">
        <v>70</v>
      </c>
      <c r="N1855" s="1" t="s">
        <v>1282</v>
      </c>
      <c r="O1855" s="1" t="s">
        <v>33</v>
      </c>
      <c r="P1855" s="1" t="s">
        <v>39</v>
      </c>
      <c r="Q1855" s="1" t="s">
        <v>1283</v>
      </c>
      <c r="R1855">
        <v>173</v>
      </c>
      <c r="S1855">
        <v>2</v>
      </c>
      <c r="T1855">
        <v>0.1</v>
      </c>
      <c r="U1855">
        <v>13</v>
      </c>
      <c r="V1855" s="1" t="s">
        <v>61</v>
      </c>
      <c r="W1855" s="1" t="s">
        <v>80</v>
      </c>
    </row>
    <row r="1856" spans="1:23" x14ac:dyDescent="0.35">
      <c r="A1856">
        <v>8710</v>
      </c>
      <c r="B1856" s="1" t="s">
        <v>4102</v>
      </c>
      <c r="C1856" s="2">
        <v>41959</v>
      </c>
      <c r="D1856" s="2">
        <v>41961</v>
      </c>
      <c r="E1856" s="1" t="s">
        <v>90</v>
      </c>
      <c r="F1856" s="1" t="s">
        <v>678</v>
      </c>
      <c r="G1856" s="1" t="s">
        <v>679</v>
      </c>
      <c r="H1856" s="1" t="s">
        <v>93</v>
      </c>
      <c r="I1856" s="1" t="s">
        <v>28</v>
      </c>
      <c r="J1856" s="1" t="s">
        <v>55</v>
      </c>
      <c r="K1856" s="1" t="s">
        <v>56</v>
      </c>
      <c r="L1856">
        <v>90008</v>
      </c>
      <c r="M1856" s="1" t="s">
        <v>57</v>
      </c>
      <c r="N1856" s="1" t="s">
        <v>713</v>
      </c>
      <c r="O1856" s="1" t="s">
        <v>33</v>
      </c>
      <c r="P1856" s="1" t="s">
        <v>34</v>
      </c>
      <c r="Q1856" s="1" t="s">
        <v>714</v>
      </c>
      <c r="R1856">
        <v>306</v>
      </c>
      <c r="S1856">
        <v>3</v>
      </c>
      <c r="T1856">
        <v>0.15</v>
      </c>
      <c r="U1856">
        <v>25</v>
      </c>
      <c r="V1856" s="1" t="s">
        <v>73</v>
      </c>
      <c r="W1856" s="1" t="s">
        <v>37</v>
      </c>
    </row>
    <row r="1857" spans="1:23" x14ac:dyDescent="0.35">
      <c r="A1857">
        <v>8712</v>
      </c>
      <c r="B1857" s="1" t="s">
        <v>4103</v>
      </c>
      <c r="C1857" s="2">
        <v>41701</v>
      </c>
      <c r="D1857" s="2">
        <v>41705</v>
      </c>
      <c r="E1857" s="1" t="s">
        <v>42</v>
      </c>
      <c r="F1857" s="1" t="s">
        <v>4024</v>
      </c>
      <c r="G1857" s="1" t="s">
        <v>4025</v>
      </c>
      <c r="H1857" s="1" t="s">
        <v>27</v>
      </c>
      <c r="I1857" s="1" t="s">
        <v>28</v>
      </c>
      <c r="J1857" s="1" t="s">
        <v>642</v>
      </c>
      <c r="K1857" s="1" t="s">
        <v>56</v>
      </c>
      <c r="L1857">
        <v>92037</v>
      </c>
      <c r="M1857" s="1" t="s">
        <v>57</v>
      </c>
      <c r="N1857" s="1" t="s">
        <v>1250</v>
      </c>
      <c r="O1857" s="1" t="s">
        <v>33</v>
      </c>
      <c r="P1857" s="1" t="s">
        <v>48</v>
      </c>
      <c r="Q1857" s="1" t="s">
        <v>1251</v>
      </c>
      <c r="R1857">
        <v>626</v>
      </c>
      <c r="S1857">
        <v>3</v>
      </c>
      <c r="T1857">
        <v>0.2</v>
      </c>
      <c r="U1857">
        <v>-23</v>
      </c>
      <c r="V1857" s="1" t="s">
        <v>86</v>
      </c>
      <c r="W1857" s="1" t="s">
        <v>198</v>
      </c>
    </row>
    <row r="1858" spans="1:23" x14ac:dyDescent="0.35">
      <c r="A1858">
        <v>8713</v>
      </c>
      <c r="B1858" s="1" t="s">
        <v>4104</v>
      </c>
      <c r="C1858" s="2">
        <v>42341</v>
      </c>
      <c r="D1858" s="2">
        <v>42345</v>
      </c>
      <c r="E1858" s="1" t="s">
        <v>42</v>
      </c>
      <c r="F1858" s="1" t="s">
        <v>1901</v>
      </c>
      <c r="G1858" s="1" t="s">
        <v>1902</v>
      </c>
      <c r="H1858" s="1" t="s">
        <v>27</v>
      </c>
      <c r="I1858" s="1" t="s">
        <v>28</v>
      </c>
      <c r="J1858" s="1" t="s">
        <v>331</v>
      </c>
      <c r="K1858" s="1" t="s">
        <v>56</v>
      </c>
      <c r="L1858">
        <v>94110</v>
      </c>
      <c r="M1858" s="1" t="s">
        <v>57</v>
      </c>
      <c r="N1858" s="1" t="s">
        <v>1698</v>
      </c>
      <c r="O1858" s="1" t="s">
        <v>33</v>
      </c>
      <c r="P1858" s="1" t="s">
        <v>34</v>
      </c>
      <c r="Q1858" s="1" t="s">
        <v>1917</v>
      </c>
      <c r="R1858">
        <v>359</v>
      </c>
      <c r="S1858">
        <v>3</v>
      </c>
      <c r="T1858">
        <v>0.15</v>
      </c>
      <c r="U1858">
        <v>-30</v>
      </c>
      <c r="V1858" s="1" t="s">
        <v>86</v>
      </c>
      <c r="W1858" s="1" t="s">
        <v>99</v>
      </c>
    </row>
    <row r="1859" spans="1:23" x14ac:dyDescent="0.35">
      <c r="A1859">
        <v>8718</v>
      </c>
      <c r="B1859" s="1" t="s">
        <v>4105</v>
      </c>
      <c r="C1859" s="2">
        <v>42533</v>
      </c>
      <c r="D1859" s="2">
        <v>42537</v>
      </c>
      <c r="E1859" s="1" t="s">
        <v>24</v>
      </c>
      <c r="F1859" s="1" t="s">
        <v>3701</v>
      </c>
      <c r="G1859" s="1" t="s">
        <v>3702</v>
      </c>
      <c r="H1859" s="1" t="s">
        <v>103</v>
      </c>
      <c r="I1859" s="1" t="s">
        <v>28</v>
      </c>
      <c r="J1859" s="1" t="s">
        <v>104</v>
      </c>
      <c r="K1859" s="1" t="s">
        <v>95</v>
      </c>
      <c r="L1859">
        <v>77070</v>
      </c>
      <c r="M1859" s="1" t="s">
        <v>96</v>
      </c>
      <c r="N1859" s="1" t="s">
        <v>898</v>
      </c>
      <c r="O1859" s="1" t="s">
        <v>33</v>
      </c>
      <c r="P1859" s="1" t="s">
        <v>59</v>
      </c>
      <c r="Q1859" s="1" t="s">
        <v>899</v>
      </c>
      <c r="R1859">
        <v>7</v>
      </c>
      <c r="S1859">
        <v>2</v>
      </c>
      <c r="T1859">
        <v>0.6</v>
      </c>
      <c r="U1859">
        <v>-5</v>
      </c>
      <c r="V1859" s="1" t="s">
        <v>86</v>
      </c>
      <c r="W1859" s="1" t="s">
        <v>62</v>
      </c>
    </row>
    <row r="1860" spans="1:23" x14ac:dyDescent="0.35">
      <c r="A1860">
        <v>8721</v>
      </c>
      <c r="B1860" s="1" t="s">
        <v>4105</v>
      </c>
      <c r="C1860" s="2">
        <v>42533</v>
      </c>
      <c r="D1860" s="2">
        <v>42537</v>
      </c>
      <c r="E1860" s="1" t="s">
        <v>24</v>
      </c>
      <c r="F1860" s="1" t="s">
        <v>3701</v>
      </c>
      <c r="G1860" s="1" t="s">
        <v>3702</v>
      </c>
      <c r="H1860" s="1" t="s">
        <v>103</v>
      </c>
      <c r="I1860" s="1" t="s">
        <v>28</v>
      </c>
      <c r="J1860" s="1" t="s">
        <v>104</v>
      </c>
      <c r="K1860" s="1" t="s">
        <v>95</v>
      </c>
      <c r="L1860">
        <v>77070</v>
      </c>
      <c r="M1860" s="1" t="s">
        <v>96</v>
      </c>
      <c r="N1860" s="1" t="s">
        <v>2733</v>
      </c>
      <c r="O1860" s="1" t="s">
        <v>33</v>
      </c>
      <c r="P1860" s="1" t="s">
        <v>39</v>
      </c>
      <c r="Q1860" s="1" t="s">
        <v>2734</v>
      </c>
      <c r="R1860">
        <v>379</v>
      </c>
      <c r="S1860">
        <v>2</v>
      </c>
      <c r="T1860">
        <v>0.3</v>
      </c>
      <c r="U1860">
        <v>-119</v>
      </c>
      <c r="V1860" s="1" t="s">
        <v>86</v>
      </c>
      <c r="W1860" s="1" t="s">
        <v>62</v>
      </c>
    </row>
    <row r="1861" spans="1:23" x14ac:dyDescent="0.35">
      <c r="A1861">
        <v>8728</v>
      </c>
      <c r="B1861" s="1" t="s">
        <v>4106</v>
      </c>
      <c r="C1861" s="2">
        <v>42365</v>
      </c>
      <c r="D1861" s="2">
        <v>42369</v>
      </c>
      <c r="E1861" s="1" t="s">
        <v>42</v>
      </c>
      <c r="F1861" s="1" t="s">
        <v>2620</v>
      </c>
      <c r="G1861" s="1" t="s">
        <v>2621</v>
      </c>
      <c r="H1861" s="1" t="s">
        <v>93</v>
      </c>
      <c r="I1861" s="1" t="s">
        <v>28</v>
      </c>
      <c r="J1861" s="1" t="s">
        <v>402</v>
      </c>
      <c r="K1861" s="1" t="s">
        <v>144</v>
      </c>
      <c r="L1861">
        <v>37130</v>
      </c>
      <c r="M1861" s="1" t="s">
        <v>31</v>
      </c>
      <c r="N1861" s="1" t="s">
        <v>3976</v>
      </c>
      <c r="O1861" s="1" t="s">
        <v>33</v>
      </c>
      <c r="P1861" s="1" t="s">
        <v>59</v>
      </c>
      <c r="Q1861" s="1" t="s">
        <v>3977</v>
      </c>
      <c r="R1861">
        <v>53</v>
      </c>
      <c r="S1861">
        <v>3</v>
      </c>
      <c r="T1861">
        <v>0.2</v>
      </c>
      <c r="U1861">
        <v>16</v>
      </c>
      <c r="V1861" s="1" t="s">
        <v>86</v>
      </c>
      <c r="W1861" s="1" t="s">
        <v>99</v>
      </c>
    </row>
    <row r="1862" spans="1:23" x14ac:dyDescent="0.35">
      <c r="A1862">
        <v>8729</v>
      </c>
      <c r="B1862" s="1" t="s">
        <v>4106</v>
      </c>
      <c r="C1862" s="2">
        <v>42365</v>
      </c>
      <c r="D1862" s="2">
        <v>42369</v>
      </c>
      <c r="E1862" s="1" t="s">
        <v>42</v>
      </c>
      <c r="F1862" s="1" t="s">
        <v>2620</v>
      </c>
      <c r="G1862" s="1" t="s">
        <v>2621</v>
      </c>
      <c r="H1862" s="1" t="s">
        <v>93</v>
      </c>
      <c r="I1862" s="1" t="s">
        <v>28</v>
      </c>
      <c r="J1862" s="1" t="s">
        <v>402</v>
      </c>
      <c r="K1862" s="1" t="s">
        <v>144</v>
      </c>
      <c r="L1862">
        <v>37130</v>
      </c>
      <c r="M1862" s="1" t="s">
        <v>31</v>
      </c>
      <c r="N1862" s="1" t="s">
        <v>2736</v>
      </c>
      <c r="O1862" s="1" t="s">
        <v>33</v>
      </c>
      <c r="P1862" s="1" t="s">
        <v>34</v>
      </c>
      <c r="Q1862" s="1" t="s">
        <v>2737</v>
      </c>
      <c r="R1862">
        <v>131</v>
      </c>
      <c r="S1862">
        <v>2</v>
      </c>
      <c r="T1862">
        <v>0.2</v>
      </c>
      <c r="U1862">
        <v>8</v>
      </c>
      <c r="V1862" s="1" t="s">
        <v>86</v>
      </c>
      <c r="W1862" s="1" t="s">
        <v>99</v>
      </c>
    </row>
    <row r="1863" spans="1:23" x14ac:dyDescent="0.35">
      <c r="A1863">
        <v>8734</v>
      </c>
      <c r="B1863" s="1" t="s">
        <v>4107</v>
      </c>
      <c r="C1863" s="2">
        <v>42913</v>
      </c>
      <c r="D1863" s="2">
        <v>42915</v>
      </c>
      <c r="E1863" s="1" t="s">
        <v>24</v>
      </c>
      <c r="F1863" s="1" t="s">
        <v>3854</v>
      </c>
      <c r="G1863" s="1" t="s">
        <v>3855</v>
      </c>
      <c r="H1863" s="1" t="s">
        <v>93</v>
      </c>
      <c r="I1863" s="1" t="s">
        <v>28</v>
      </c>
      <c r="J1863" s="1" t="s">
        <v>194</v>
      </c>
      <c r="K1863" s="1" t="s">
        <v>195</v>
      </c>
      <c r="L1863">
        <v>98105</v>
      </c>
      <c r="M1863" s="1" t="s">
        <v>57</v>
      </c>
      <c r="N1863" s="1" t="s">
        <v>569</v>
      </c>
      <c r="O1863" s="1" t="s">
        <v>33</v>
      </c>
      <c r="P1863" s="1" t="s">
        <v>59</v>
      </c>
      <c r="Q1863" s="1" t="s">
        <v>570</v>
      </c>
      <c r="R1863">
        <v>126</v>
      </c>
      <c r="S1863">
        <v>3</v>
      </c>
      <c r="T1863">
        <v>0</v>
      </c>
      <c r="U1863">
        <v>40</v>
      </c>
      <c r="V1863" s="1" t="s">
        <v>73</v>
      </c>
      <c r="W1863" s="1" t="s">
        <v>62</v>
      </c>
    </row>
    <row r="1864" spans="1:23" x14ac:dyDescent="0.35">
      <c r="A1864">
        <v>8743</v>
      </c>
      <c r="B1864" s="1" t="s">
        <v>4108</v>
      </c>
      <c r="C1864" s="2">
        <v>42279</v>
      </c>
      <c r="D1864" s="2">
        <v>42281</v>
      </c>
      <c r="E1864" s="1" t="s">
        <v>90</v>
      </c>
      <c r="F1864" s="1" t="s">
        <v>1362</v>
      </c>
      <c r="G1864" s="1" t="s">
        <v>1363</v>
      </c>
      <c r="H1864" s="1" t="s">
        <v>27</v>
      </c>
      <c r="I1864" s="1" t="s">
        <v>28</v>
      </c>
      <c r="J1864" s="1" t="s">
        <v>4109</v>
      </c>
      <c r="K1864" s="1" t="s">
        <v>1520</v>
      </c>
      <c r="L1864">
        <v>97123</v>
      </c>
      <c r="M1864" s="1" t="s">
        <v>57</v>
      </c>
      <c r="N1864" s="1" t="s">
        <v>177</v>
      </c>
      <c r="O1864" s="1" t="s">
        <v>33</v>
      </c>
      <c r="P1864" s="1" t="s">
        <v>59</v>
      </c>
      <c r="Q1864" s="1" t="s">
        <v>178</v>
      </c>
      <c r="R1864">
        <v>11</v>
      </c>
      <c r="S1864">
        <v>1</v>
      </c>
      <c r="T1864">
        <v>0.2</v>
      </c>
      <c r="U1864">
        <v>3</v>
      </c>
      <c r="V1864" s="1" t="s">
        <v>73</v>
      </c>
      <c r="W1864" s="1" t="s">
        <v>51</v>
      </c>
    </row>
    <row r="1865" spans="1:23" x14ac:dyDescent="0.35">
      <c r="A1865">
        <v>8747</v>
      </c>
      <c r="B1865" s="1" t="s">
        <v>4110</v>
      </c>
      <c r="C1865" s="2">
        <v>42768</v>
      </c>
      <c r="D1865" s="2">
        <v>42773</v>
      </c>
      <c r="E1865" s="1" t="s">
        <v>42</v>
      </c>
      <c r="F1865" s="1" t="s">
        <v>2003</v>
      </c>
      <c r="G1865" s="1" t="s">
        <v>2004</v>
      </c>
      <c r="H1865" s="1" t="s">
        <v>93</v>
      </c>
      <c r="I1865" s="1" t="s">
        <v>28</v>
      </c>
      <c r="J1865" s="1" t="s">
        <v>642</v>
      </c>
      <c r="K1865" s="1" t="s">
        <v>56</v>
      </c>
      <c r="L1865">
        <v>92105</v>
      </c>
      <c r="M1865" s="1" t="s">
        <v>57</v>
      </c>
      <c r="N1865" s="1" t="s">
        <v>1013</v>
      </c>
      <c r="O1865" s="1" t="s">
        <v>33</v>
      </c>
      <c r="P1865" s="1" t="s">
        <v>59</v>
      </c>
      <c r="Q1865" s="1" t="s">
        <v>1014</v>
      </c>
      <c r="R1865">
        <v>211</v>
      </c>
      <c r="S1865">
        <v>2</v>
      </c>
      <c r="T1865">
        <v>0</v>
      </c>
      <c r="U1865">
        <v>13</v>
      </c>
      <c r="V1865" s="1" t="s">
        <v>61</v>
      </c>
      <c r="W1865" s="1" t="s">
        <v>300</v>
      </c>
    </row>
    <row r="1866" spans="1:23" x14ac:dyDescent="0.35">
      <c r="A1866">
        <v>8759</v>
      </c>
      <c r="B1866" s="1" t="s">
        <v>4111</v>
      </c>
      <c r="C1866" s="2">
        <v>42573</v>
      </c>
      <c r="D1866" s="2">
        <v>42577</v>
      </c>
      <c r="E1866" s="1" t="s">
        <v>42</v>
      </c>
      <c r="F1866" s="1" t="s">
        <v>2532</v>
      </c>
      <c r="G1866" s="1" t="s">
        <v>2533</v>
      </c>
      <c r="H1866" s="1" t="s">
        <v>93</v>
      </c>
      <c r="I1866" s="1" t="s">
        <v>28</v>
      </c>
      <c r="J1866" s="1" t="s">
        <v>160</v>
      </c>
      <c r="K1866" s="1" t="s">
        <v>1092</v>
      </c>
      <c r="L1866">
        <v>21044</v>
      </c>
      <c r="M1866" s="1" t="s">
        <v>70</v>
      </c>
      <c r="N1866" s="1" t="s">
        <v>838</v>
      </c>
      <c r="O1866" s="1" t="s">
        <v>33</v>
      </c>
      <c r="P1866" s="1" t="s">
        <v>59</v>
      </c>
      <c r="Q1866" s="1" t="s">
        <v>839</v>
      </c>
      <c r="R1866">
        <v>27</v>
      </c>
      <c r="S1866">
        <v>3</v>
      </c>
      <c r="T1866">
        <v>0</v>
      </c>
      <c r="U1866">
        <v>9</v>
      </c>
      <c r="V1866" s="1" t="s">
        <v>86</v>
      </c>
      <c r="W1866" s="1" t="s">
        <v>74</v>
      </c>
    </row>
    <row r="1867" spans="1:23" x14ac:dyDescent="0.35">
      <c r="A1867">
        <v>8771</v>
      </c>
      <c r="B1867" s="1" t="s">
        <v>4112</v>
      </c>
      <c r="C1867" s="2">
        <v>42625</v>
      </c>
      <c r="D1867" s="2">
        <v>42626</v>
      </c>
      <c r="E1867" s="1" t="s">
        <v>428</v>
      </c>
      <c r="F1867" s="1" t="s">
        <v>3304</v>
      </c>
      <c r="G1867" s="1" t="s">
        <v>3305</v>
      </c>
      <c r="H1867" s="1" t="s">
        <v>103</v>
      </c>
      <c r="I1867" s="1" t="s">
        <v>28</v>
      </c>
      <c r="J1867" s="1" t="s">
        <v>868</v>
      </c>
      <c r="K1867" s="1" t="s">
        <v>183</v>
      </c>
      <c r="L1867">
        <v>80027</v>
      </c>
      <c r="M1867" s="1" t="s">
        <v>57</v>
      </c>
      <c r="N1867" s="1" t="s">
        <v>1006</v>
      </c>
      <c r="O1867" s="1" t="s">
        <v>33</v>
      </c>
      <c r="P1867" s="1" t="s">
        <v>39</v>
      </c>
      <c r="Q1867" s="1" t="s">
        <v>1007</v>
      </c>
      <c r="R1867">
        <v>83</v>
      </c>
      <c r="S1867">
        <v>4</v>
      </c>
      <c r="T1867">
        <v>0.2</v>
      </c>
      <c r="U1867">
        <v>5</v>
      </c>
      <c r="V1867" s="1" t="s">
        <v>126</v>
      </c>
      <c r="W1867" s="1" t="s">
        <v>80</v>
      </c>
    </row>
    <row r="1868" spans="1:23" x14ac:dyDescent="0.35">
      <c r="A1868">
        <v>8777</v>
      </c>
      <c r="B1868" s="1" t="s">
        <v>4113</v>
      </c>
      <c r="C1868" s="2">
        <v>42553</v>
      </c>
      <c r="D1868" s="2">
        <v>42554</v>
      </c>
      <c r="E1868" s="1" t="s">
        <v>90</v>
      </c>
      <c r="F1868" s="1" t="s">
        <v>1514</v>
      </c>
      <c r="G1868" s="1" t="s">
        <v>1515</v>
      </c>
      <c r="H1868" s="1" t="s">
        <v>93</v>
      </c>
      <c r="I1868" s="1" t="s">
        <v>28</v>
      </c>
      <c r="J1868" s="1" t="s">
        <v>1871</v>
      </c>
      <c r="K1868" s="1" t="s">
        <v>95</v>
      </c>
      <c r="L1868">
        <v>77340</v>
      </c>
      <c r="M1868" s="1" t="s">
        <v>96</v>
      </c>
      <c r="N1868" s="1" t="s">
        <v>858</v>
      </c>
      <c r="O1868" s="1" t="s">
        <v>33</v>
      </c>
      <c r="P1868" s="1" t="s">
        <v>39</v>
      </c>
      <c r="Q1868" s="1" t="s">
        <v>859</v>
      </c>
      <c r="R1868">
        <v>528</v>
      </c>
      <c r="S1868">
        <v>5</v>
      </c>
      <c r="T1868">
        <v>0.3</v>
      </c>
      <c r="U1868">
        <v>0</v>
      </c>
      <c r="V1868" s="1" t="s">
        <v>126</v>
      </c>
      <c r="W1868" s="1" t="s">
        <v>74</v>
      </c>
    </row>
    <row r="1869" spans="1:23" x14ac:dyDescent="0.35">
      <c r="A1869">
        <v>8779</v>
      </c>
      <c r="B1869" s="1" t="s">
        <v>4114</v>
      </c>
      <c r="C1869" s="2">
        <v>43082</v>
      </c>
      <c r="D1869" s="2">
        <v>43087</v>
      </c>
      <c r="E1869" s="1" t="s">
        <v>42</v>
      </c>
      <c r="F1869" s="1" t="s">
        <v>4115</v>
      </c>
      <c r="G1869" s="1" t="s">
        <v>4116</v>
      </c>
      <c r="H1869" s="1" t="s">
        <v>93</v>
      </c>
      <c r="I1869" s="1" t="s">
        <v>28</v>
      </c>
      <c r="J1869" s="1" t="s">
        <v>176</v>
      </c>
      <c r="K1869" s="1" t="s">
        <v>123</v>
      </c>
      <c r="L1869">
        <v>10024</v>
      </c>
      <c r="M1869" s="1" t="s">
        <v>70</v>
      </c>
      <c r="N1869" s="1" t="s">
        <v>713</v>
      </c>
      <c r="O1869" s="1" t="s">
        <v>33</v>
      </c>
      <c r="P1869" s="1" t="s">
        <v>34</v>
      </c>
      <c r="Q1869" s="1" t="s">
        <v>714</v>
      </c>
      <c r="R1869">
        <v>288</v>
      </c>
      <c r="S1869">
        <v>3</v>
      </c>
      <c r="T1869">
        <v>0.2</v>
      </c>
      <c r="U1869">
        <v>7</v>
      </c>
      <c r="V1869" s="1" t="s">
        <v>61</v>
      </c>
      <c r="W1869" s="1" t="s">
        <v>99</v>
      </c>
    </row>
    <row r="1870" spans="1:23" x14ac:dyDescent="0.35">
      <c r="A1870">
        <v>8782</v>
      </c>
      <c r="B1870" s="1" t="s">
        <v>4117</v>
      </c>
      <c r="C1870" s="2">
        <v>42064</v>
      </c>
      <c r="D1870" s="2">
        <v>42067</v>
      </c>
      <c r="E1870" s="1" t="s">
        <v>90</v>
      </c>
      <c r="F1870" s="1" t="s">
        <v>3925</v>
      </c>
      <c r="G1870" s="1" t="s">
        <v>3926</v>
      </c>
      <c r="H1870" s="1" t="s">
        <v>93</v>
      </c>
      <c r="I1870" s="1" t="s">
        <v>28</v>
      </c>
      <c r="J1870" s="1" t="s">
        <v>104</v>
      </c>
      <c r="K1870" s="1" t="s">
        <v>95</v>
      </c>
      <c r="L1870">
        <v>77070</v>
      </c>
      <c r="M1870" s="1" t="s">
        <v>96</v>
      </c>
      <c r="N1870" s="1" t="s">
        <v>1002</v>
      </c>
      <c r="O1870" s="1" t="s">
        <v>33</v>
      </c>
      <c r="P1870" s="1" t="s">
        <v>34</v>
      </c>
      <c r="Q1870" s="1" t="s">
        <v>1003</v>
      </c>
      <c r="R1870">
        <v>1228</v>
      </c>
      <c r="S1870">
        <v>6</v>
      </c>
      <c r="T1870">
        <v>0.32</v>
      </c>
      <c r="U1870">
        <v>-36</v>
      </c>
      <c r="V1870" s="1" t="s">
        <v>36</v>
      </c>
      <c r="W1870" s="1" t="s">
        <v>198</v>
      </c>
    </row>
    <row r="1871" spans="1:23" x14ac:dyDescent="0.35">
      <c r="A1871">
        <v>8784</v>
      </c>
      <c r="B1871" s="1" t="s">
        <v>4118</v>
      </c>
      <c r="C1871" s="2">
        <v>42628</v>
      </c>
      <c r="D1871" s="2">
        <v>42633</v>
      </c>
      <c r="E1871" s="1" t="s">
        <v>42</v>
      </c>
      <c r="F1871" s="1" t="s">
        <v>678</v>
      </c>
      <c r="G1871" s="1" t="s">
        <v>679</v>
      </c>
      <c r="H1871" s="1" t="s">
        <v>93</v>
      </c>
      <c r="I1871" s="1" t="s">
        <v>28</v>
      </c>
      <c r="J1871" s="1" t="s">
        <v>4119</v>
      </c>
      <c r="K1871" s="1" t="s">
        <v>2283</v>
      </c>
      <c r="L1871">
        <v>83301</v>
      </c>
      <c r="M1871" s="1" t="s">
        <v>57</v>
      </c>
      <c r="N1871" s="1" t="s">
        <v>309</v>
      </c>
      <c r="O1871" s="1" t="s">
        <v>33</v>
      </c>
      <c r="P1871" s="1" t="s">
        <v>48</v>
      </c>
      <c r="Q1871" s="1" t="s">
        <v>310</v>
      </c>
      <c r="R1871">
        <v>1128</v>
      </c>
      <c r="S1871">
        <v>3</v>
      </c>
      <c r="T1871">
        <v>0</v>
      </c>
      <c r="U1871">
        <v>260</v>
      </c>
      <c r="V1871" s="1" t="s">
        <v>61</v>
      </c>
      <c r="W1871" s="1" t="s">
        <v>80</v>
      </c>
    </row>
    <row r="1872" spans="1:23" x14ac:dyDescent="0.35">
      <c r="A1872">
        <v>8789</v>
      </c>
      <c r="B1872" s="1" t="s">
        <v>4120</v>
      </c>
      <c r="C1872" s="2">
        <v>42901</v>
      </c>
      <c r="D1872" s="2">
        <v>42905</v>
      </c>
      <c r="E1872" s="1" t="s">
        <v>42</v>
      </c>
      <c r="F1872" s="1" t="s">
        <v>1612</v>
      </c>
      <c r="G1872" s="1" t="s">
        <v>1613</v>
      </c>
      <c r="H1872" s="1" t="s">
        <v>27</v>
      </c>
      <c r="I1872" s="1" t="s">
        <v>28</v>
      </c>
      <c r="J1872" s="1" t="s">
        <v>1038</v>
      </c>
      <c r="K1872" s="1" t="s">
        <v>1039</v>
      </c>
      <c r="L1872">
        <v>28110</v>
      </c>
      <c r="M1872" s="1" t="s">
        <v>31</v>
      </c>
      <c r="N1872" s="1" t="s">
        <v>1309</v>
      </c>
      <c r="O1872" s="1" t="s">
        <v>33</v>
      </c>
      <c r="P1872" s="1" t="s">
        <v>39</v>
      </c>
      <c r="Q1872" s="1" t="s">
        <v>1310</v>
      </c>
      <c r="R1872">
        <v>698</v>
      </c>
      <c r="S1872">
        <v>3</v>
      </c>
      <c r="T1872">
        <v>0.2</v>
      </c>
      <c r="U1872">
        <v>52</v>
      </c>
      <c r="V1872" s="1" t="s">
        <v>86</v>
      </c>
      <c r="W1872" s="1" t="s">
        <v>62</v>
      </c>
    </row>
    <row r="1873" spans="1:23" x14ac:dyDescent="0.35">
      <c r="A1873">
        <v>8790</v>
      </c>
      <c r="B1873" s="1" t="s">
        <v>4120</v>
      </c>
      <c r="C1873" s="2">
        <v>42901</v>
      </c>
      <c r="D1873" s="2">
        <v>42905</v>
      </c>
      <c r="E1873" s="1" t="s">
        <v>42</v>
      </c>
      <c r="F1873" s="1" t="s">
        <v>1612</v>
      </c>
      <c r="G1873" s="1" t="s">
        <v>1613</v>
      </c>
      <c r="H1873" s="1" t="s">
        <v>27</v>
      </c>
      <c r="I1873" s="1" t="s">
        <v>28</v>
      </c>
      <c r="J1873" s="1" t="s">
        <v>1038</v>
      </c>
      <c r="K1873" s="1" t="s">
        <v>1039</v>
      </c>
      <c r="L1873">
        <v>28110</v>
      </c>
      <c r="M1873" s="1" t="s">
        <v>31</v>
      </c>
      <c r="N1873" s="1" t="s">
        <v>1606</v>
      </c>
      <c r="O1873" s="1" t="s">
        <v>33</v>
      </c>
      <c r="P1873" s="1" t="s">
        <v>34</v>
      </c>
      <c r="Q1873" s="1" t="s">
        <v>1607</v>
      </c>
      <c r="R1873">
        <v>78</v>
      </c>
      <c r="S1873">
        <v>2</v>
      </c>
      <c r="T1873">
        <v>0.2</v>
      </c>
      <c r="U1873">
        <v>-4</v>
      </c>
      <c r="V1873" s="1" t="s">
        <v>86</v>
      </c>
      <c r="W1873" s="1" t="s">
        <v>62</v>
      </c>
    </row>
    <row r="1874" spans="1:23" x14ac:dyDescent="0.35">
      <c r="A1874">
        <v>8803</v>
      </c>
      <c r="B1874" s="1" t="s">
        <v>4121</v>
      </c>
      <c r="C1874" s="2">
        <v>42684</v>
      </c>
      <c r="D1874" s="2">
        <v>42686</v>
      </c>
      <c r="E1874" s="1" t="s">
        <v>90</v>
      </c>
      <c r="F1874" s="1" t="s">
        <v>3002</v>
      </c>
      <c r="G1874" s="1" t="s">
        <v>3003</v>
      </c>
      <c r="H1874" s="1" t="s">
        <v>27</v>
      </c>
      <c r="I1874" s="1" t="s">
        <v>28</v>
      </c>
      <c r="J1874" s="1" t="s">
        <v>3019</v>
      </c>
      <c r="K1874" s="1" t="s">
        <v>1525</v>
      </c>
      <c r="L1874">
        <v>73120</v>
      </c>
      <c r="M1874" s="1" t="s">
        <v>96</v>
      </c>
      <c r="N1874" s="1" t="s">
        <v>1459</v>
      </c>
      <c r="O1874" s="1" t="s">
        <v>33</v>
      </c>
      <c r="P1874" s="1" t="s">
        <v>34</v>
      </c>
      <c r="Q1874" s="1" t="s">
        <v>1460</v>
      </c>
      <c r="R1874">
        <v>342</v>
      </c>
      <c r="S1874">
        <v>2</v>
      </c>
      <c r="T1874">
        <v>0</v>
      </c>
      <c r="U1874">
        <v>55</v>
      </c>
      <c r="V1874" s="1" t="s">
        <v>73</v>
      </c>
      <c r="W1874" s="1" t="s">
        <v>37</v>
      </c>
    </row>
    <row r="1875" spans="1:23" x14ac:dyDescent="0.35">
      <c r="A1875">
        <v>8807</v>
      </c>
      <c r="B1875" s="1" t="s">
        <v>4122</v>
      </c>
      <c r="C1875" s="2">
        <v>42625</v>
      </c>
      <c r="D1875" s="2">
        <v>42629</v>
      </c>
      <c r="E1875" s="1" t="s">
        <v>42</v>
      </c>
      <c r="F1875" s="1" t="s">
        <v>2000</v>
      </c>
      <c r="G1875" s="1" t="s">
        <v>2001</v>
      </c>
      <c r="H1875" s="1" t="s">
        <v>93</v>
      </c>
      <c r="I1875" s="1" t="s">
        <v>28</v>
      </c>
      <c r="J1875" s="1" t="s">
        <v>4123</v>
      </c>
      <c r="K1875" s="1" t="s">
        <v>123</v>
      </c>
      <c r="L1875">
        <v>13501</v>
      </c>
      <c r="M1875" s="1" t="s">
        <v>70</v>
      </c>
      <c r="N1875" s="1" t="s">
        <v>2968</v>
      </c>
      <c r="O1875" s="1" t="s">
        <v>33</v>
      </c>
      <c r="P1875" s="1" t="s">
        <v>59</v>
      </c>
      <c r="Q1875" s="1" t="s">
        <v>2969</v>
      </c>
      <c r="R1875">
        <v>40</v>
      </c>
      <c r="S1875">
        <v>2</v>
      </c>
      <c r="T1875">
        <v>0</v>
      </c>
      <c r="U1875">
        <v>15</v>
      </c>
      <c r="V1875" s="1" t="s">
        <v>86</v>
      </c>
      <c r="W1875" s="1" t="s">
        <v>80</v>
      </c>
    </row>
    <row r="1876" spans="1:23" x14ac:dyDescent="0.35">
      <c r="A1876">
        <v>8814</v>
      </c>
      <c r="B1876" s="1" t="s">
        <v>4124</v>
      </c>
      <c r="C1876" s="2">
        <v>42211</v>
      </c>
      <c r="D1876" s="2">
        <v>42216</v>
      </c>
      <c r="E1876" s="1" t="s">
        <v>42</v>
      </c>
      <c r="F1876" s="1" t="s">
        <v>1248</v>
      </c>
      <c r="G1876" s="1" t="s">
        <v>1249</v>
      </c>
      <c r="H1876" s="1" t="s">
        <v>93</v>
      </c>
      <c r="I1876" s="1" t="s">
        <v>28</v>
      </c>
      <c r="J1876" s="1" t="s">
        <v>1305</v>
      </c>
      <c r="K1876" s="1" t="s">
        <v>523</v>
      </c>
      <c r="L1876">
        <v>85301</v>
      </c>
      <c r="M1876" s="1" t="s">
        <v>57</v>
      </c>
      <c r="N1876" s="1" t="s">
        <v>824</v>
      </c>
      <c r="O1876" s="1" t="s">
        <v>33</v>
      </c>
      <c r="P1876" s="1" t="s">
        <v>39</v>
      </c>
      <c r="Q1876" s="1" t="s">
        <v>825</v>
      </c>
      <c r="R1876">
        <v>266</v>
      </c>
      <c r="S1876">
        <v>3</v>
      </c>
      <c r="T1876">
        <v>0.2</v>
      </c>
      <c r="U1876">
        <v>13</v>
      </c>
      <c r="V1876" s="1" t="s">
        <v>61</v>
      </c>
      <c r="W1876" s="1" t="s">
        <v>74</v>
      </c>
    </row>
    <row r="1877" spans="1:23" x14ac:dyDescent="0.35">
      <c r="A1877">
        <v>8832</v>
      </c>
      <c r="B1877" s="1" t="s">
        <v>4125</v>
      </c>
      <c r="C1877" s="2">
        <v>42323</v>
      </c>
      <c r="D1877" s="2">
        <v>42327</v>
      </c>
      <c r="E1877" s="1" t="s">
        <v>42</v>
      </c>
      <c r="F1877" s="1" t="s">
        <v>2599</v>
      </c>
      <c r="G1877" s="1" t="s">
        <v>2600</v>
      </c>
      <c r="H1877" s="1" t="s">
        <v>103</v>
      </c>
      <c r="I1877" s="1" t="s">
        <v>28</v>
      </c>
      <c r="J1877" s="1" t="s">
        <v>1079</v>
      </c>
      <c r="K1877" s="1" t="s">
        <v>719</v>
      </c>
      <c r="L1877">
        <v>22801</v>
      </c>
      <c r="M1877" s="1" t="s">
        <v>31</v>
      </c>
      <c r="N1877" s="1" t="s">
        <v>700</v>
      </c>
      <c r="O1877" s="1" t="s">
        <v>33</v>
      </c>
      <c r="P1877" s="1" t="s">
        <v>59</v>
      </c>
      <c r="Q1877" s="1" t="s">
        <v>701</v>
      </c>
      <c r="R1877">
        <v>40</v>
      </c>
      <c r="S1877">
        <v>2</v>
      </c>
      <c r="T1877">
        <v>0</v>
      </c>
      <c r="U1877">
        <v>14</v>
      </c>
      <c r="V1877" s="1" t="s">
        <v>86</v>
      </c>
      <c r="W1877" s="1" t="s">
        <v>37</v>
      </c>
    </row>
    <row r="1878" spans="1:23" x14ac:dyDescent="0.35">
      <c r="A1878">
        <v>8850</v>
      </c>
      <c r="B1878" s="1" t="s">
        <v>4126</v>
      </c>
      <c r="C1878" s="2">
        <v>42187</v>
      </c>
      <c r="D1878" s="2">
        <v>42189</v>
      </c>
      <c r="E1878" s="1" t="s">
        <v>90</v>
      </c>
      <c r="F1878" s="1" t="s">
        <v>1538</v>
      </c>
      <c r="G1878" s="1" t="s">
        <v>1539</v>
      </c>
      <c r="H1878" s="1" t="s">
        <v>93</v>
      </c>
      <c r="I1878" s="1" t="s">
        <v>28</v>
      </c>
      <c r="J1878" s="1" t="s">
        <v>2020</v>
      </c>
      <c r="K1878" s="1" t="s">
        <v>1039</v>
      </c>
      <c r="L1878">
        <v>27604</v>
      </c>
      <c r="M1878" s="1" t="s">
        <v>31</v>
      </c>
      <c r="N1878" s="1" t="s">
        <v>1124</v>
      </c>
      <c r="O1878" s="1" t="s">
        <v>33</v>
      </c>
      <c r="P1878" s="1" t="s">
        <v>59</v>
      </c>
      <c r="Q1878" s="1" t="s">
        <v>1125</v>
      </c>
      <c r="R1878">
        <v>160</v>
      </c>
      <c r="S1878">
        <v>10</v>
      </c>
      <c r="T1878">
        <v>0.2</v>
      </c>
      <c r="U1878">
        <v>46</v>
      </c>
      <c r="V1878" s="1" t="s">
        <v>73</v>
      </c>
      <c r="W1878" s="1" t="s">
        <v>74</v>
      </c>
    </row>
    <row r="1879" spans="1:23" x14ac:dyDescent="0.35">
      <c r="A1879">
        <v>8862</v>
      </c>
      <c r="B1879" s="1" t="s">
        <v>4127</v>
      </c>
      <c r="C1879" s="2">
        <v>42258</v>
      </c>
      <c r="D1879" s="2">
        <v>42265</v>
      </c>
      <c r="E1879" s="1" t="s">
        <v>42</v>
      </c>
      <c r="F1879" s="1" t="s">
        <v>1654</v>
      </c>
      <c r="G1879" s="1" t="s">
        <v>1655</v>
      </c>
      <c r="H1879" s="1" t="s">
        <v>103</v>
      </c>
      <c r="I1879" s="1" t="s">
        <v>28</v>
      </c>
      <c r="J1879" s="1" t="s">
        <v>3566</v>
      </c>
      <c r="K1879" s="1" t="s">
        <v>365</v>
      </c>
      <c r="L1879">
        <v>7501</v>
      </c>
      <c r="M1879" s="1" t="s">
        <v>70</v>
      </c>
      <c r="N1879" s="1" t="s">
        <v>1915</v>
      </c>
      <c r="O1879" s="1" t="s">
        <v>33</v>
      </c>
      <c r="P1879" s="1" t="s">
        <v>59</v>
      </c>
      <c r="Q1879" s="1" t="s">
        <v>1916</v>
      </c>
      <c r="R1879">
        <v>9</v>
      </c>
      <c r="S1879">
        <v>4</v>
      </c>
      <c r="T1879">
        <v>0</v>
      </c>
      <c r="U1879">
        <v>4</v>
      </c>
      <c r="V1879" s="1" t="s">
        <v>50</v>
      </c>
      <c r="W1879" s="1" t="s">
        <v>80</v>
      </c>
    </row>
    <row r="1880" spans="1:23" x14ac:dyDescent="0.35">
      <c r="A1880">
        <v>8867</v>
      </c>
      <c r="B1880" s="1" t="s">
        <v>4128</v>
      </c>
      <c r="C1880" s="2">
        <v>41902</v>
      </c>
      <c r="D1880" s="2">
        <v>41905</v>
      </c>
      <c r="E1880" s="1" t="s">
        <v>90</v>
      </c>
      <c r="F1880" s="1" t="s">
        <v>4129</v>
      </c>
      <c r="G1880" s="1" t="s">
        <v>4130</v>
      </c>
      <c r="H1880" s="1" t="s">
        <v>27</v>
      </c>
      <c r="I1880" s="1" t="s">
        <v>28</v>
      </c>
      <c r="J1880" s="1" t="s">
        <v>136</v>
      </c>
      <c r="K1880" s="1" t="s">
        <v>137</v>
      </c>
      <c r="L1880">
        <v>60653</v>
      </c>
      <c r="M1880" s="1" t="s">
        <v>96</v>
      </c>
      <c r="N1880" s="1" t="s">
        <v>2625</v>
      </c>
      <c r="O1880" s="1" t="s">
        <v>33</v>
      </c>
      <c r="P1880" s="1" t="s">
        <v>34</v>
      </c>
      <c r="Q1880" s="1" t="s">
        <v>2626</v>
      </c>
      <c r="R1880">
        <v>493</v>
      </c>
      <c r="S1880">
        <v>5</v>
      </c>
      <c r="T1880">
        <v>0.3</v>
      </c>
      <c r="U1880">
        <v>-70</v>
      </c>
      <c r="V1880" s="1" t="s">
        <v>36</v>
      </c>
      <c r="W1880" s="1" t="s">
        <v>80</v>
      </c>
    </row>
    <row r="1881" spans="1:23" x14ac:dyDescent="0.35">
      <c r="A1881">
        <v>8871</v>
      </c>
      <c r="B1881" s="1" t="s">
        <v>4131</v>
      </c>
      <c r="C1881" s="2">
        <v>43070</v>
      </c>
      <c r="D1881" s="2">
        <v>43075</v>
      </c>
      <c r="E1881" s="1" t="s">
        <v>42</v>
      </c>
      <c r="F1881" s="1" t="s">
        <v>2027</v>
      </c>
      <c r="G1881" s="1" t="s">
        <v>2028</v>
      </c>
      <c r="H1881" s="1" t="s">
        <v>93</v>
      </c>
      <c r="I1881" s="1" t="s">
        <v>28</v>
      </c>
      <c r="J1881" s="1" t="s">
        <v>194</v>
      </c>
      <c r="K1881" s="1" t="s">
        <v>195</v>
      </c>
      <c r="L1881">
        <v>98105</v>
      </c>
      <c r="M1881" s="1" t="s">
        <v>57</v>
      </c>
      <c r="N1881" s="1" t="s">
        <v>425</v>
      </c>
      <c r="O1881" s="1" t="s">
        <v>33</v>
      </c>
      <c r="P1881" s="1" t="s">
        <v>59</v>
      </c>
      <c r="Q1881" s="1" t="s">
        <v>426</v>
      </c>
      <c r="R1881">
        <v>71</v>
      </c>
      <c r="S1881">
        <v>12</v>
      </c>
      <c r="T1881">
        <v>0</v>
      </c>
      <c r="U1881">
        <v>31</v>
      </c>
      <c r="V1881" s="1" t="s">
        <v>61</v>
      </c>
      <c r="W1881" s="1" t="s">
        <v>99</v>
      </c>
    </row>
    <row r="1882" spans="1:23" x14ac:dyDescent="0.35">
      <c r="A1882">
        <v>8889</v>
      </c>
      <c r="B1882" s="1" t="s">
        <v>4132</v>
      </c>
      <c r="C1882" s="2">
        <v>43070</v>
      </c>
      <c r="D1882" s="2">
        <v>43076</v>
      </c>
      <c r="E1882" s="1" t="s">
        <v>42</v>
      </c>
      <c r="F1882" s="1" t="s">
        <v>1482</v>
      </c>
      <c r="G1882" s="1" t="s">
        <v>1483</v>
      </c>
      <c r="H1882" s="1" t="s">
        <v>103</v>
      </c>
      <c r="I1882" s="1" t="s">
        <v>28</v>
      </c>
      <c r="J1882" s="1" t="s">
        <v>4133</v>
      </c>
      <c r="K1882" s="1" t="s">
        <v>56</v>
      </c>
      <c r="L1882">
        <v>95207</v>
      </c>
      <c r="M1882" s="1" t="s">
        <v>57</v>
      </c>
      <c r="N1882" s="1" t="s">
        <v>728</v>
      </c>
      <c r="O1882" s="1" t="s">
        <v>33</v>
      </c>
      <c r="P1882" s="1" t="s">
        <v>59</v>
      </c>
      <c r="Q1882" s="1" t="s">
        <v>729</v>
      </c>
      <c r="R1882">
        <v>630</v>
      </c>
      <c r="S1882">
        <v>9</v>
      </c>
      <c r="T1882">
        <v>0</v>
      </c>
      <c r="U1882">
        <v>107</v>
      </c>
      <c r="V1882" s="1" t="s">
        <v>132</v>
      </c>
      <c r="W1882" s="1" t="s">
        <v>99</v>
      </c>
    </row>
    <row r="1883" spans="1:23" x14ac:dyDescent="0.35">
      <c r="A1883">
        <v>8892</v>
      </c>
      <c r="B1883" s="1" t="s">
        <v>4134</v>
      </c>
      <c r="C1883" s="2">
        <v>42629</v>
      </c>
      <c r="D1883" s="2">
        <v>42631</v>
      </c>
      <c r="E1883" s="1" t="s">
        <v>90</v>
      </c>
      <c r="F1883" s="1" t="s">
        <v>4135</v>
      </c>
      <c r="G1883" s="1" t="s">
        <v>4136</v>
      </c>
      <c r="H1883" s="1" t="s">
        <v>103</v>
      </c>
      <c r="I1883" s="1" t="s">
        <v>28</v>
      </c>
      <c r="J1883" s="1" t="s">
        <v>350</v>
      </c>
      <c r="K1883" s="1" t="s">
        <v>670</v>
      </c>
      <c r="L1883">
        <v>31907</v>
      </c>
      <c r="M1883" s="1" t="s">
        <v>31</v>
      </c>
      <c r="N1883" s="1" t="s">
        <v>138</v>
      </c>
      <c r="O1883" s="1" t="s">
        <v>33</v>
      </c>
      <c r="P1883" s="1" t="s">
        <v>39</v>
      </c>
      <c r="Q1883" s="1" t="s">
        <v>139</v>
      </c>
      <c r="R1883">
        <v>122</v>
      </c>
      <c r="S1883">
        <v>2</v>
      </c>
      <c r="T1883">
        <v>0</v>
      </c>
      <c r="U1883">
        <v>30</v>
      </c>
      <c r="V1883" s="1" t="s">
        <v>73</v>
      </c>
      <c r="W1883" s="1" t="s">
        <v>80</v>
      </c>
    </row>
    <row r="1884" spans="1:23" x14ac:dyDescent="0.35">
      <c r="A1884">
        <v>8893</v>
      </c>
      <c r="B1884" s="1" t="s">
        <v>4137</v>
      </c>
      <c r="C1884" s="2">
        <v>42339</v>
      </c>
      <c r="D1884" s="2">
        <v>42344</v>
      </c>
      <c r="E1884" s="1" t="s">
        <v>42</v>
      </c>
      <c r="F1884" s="1" t="s">
        <v>3933</v>
      </c>
      <c r="G1884" s="1" t="s">
        <v>3934</v>
      </c>
      <c r="H1884" s="1" t="s">
        <v>103</v>
      </c>
      <c r="I1884" s="1" t="s">
        <v>28</v>
      </c>
      <c r="J1884" s="1" t="s">
        <v>642</v>
      </c>
      <c r="K1884" s="1" t="s">
        <v>56</v>
      </c>
      <c r="L1884">
        <v>92037</v>
      </c>
      <c r="M1884" s="1" t="s">
        <v>57</v>
      </c>
      <c r="N1884" s="1" t="s">
        <v>1098</v>
      </c>
      <c r="O1884" s="1" t="s">
        <v>33</v>
      </c>
      <c r="P1884" s="1" t="s">
        <v>39</v>
      </c>
      <c r="Q1884" s="1" t="s">
        <v>1099</v>
      </c>
      <c r="R1884">
        <v>2677</v>
      </c>
      <c r="S1884">
        <v>9</v>
      </c>
      <c r="T1884">
        <v>0.2</v>
      </c>
      <c r="U1884">
        <v>268</v>
      </c>
      <c r="V1884" s="1" t="s">
        <v>61</v>
      </c>
      <c r="W1884" s="1" t="s">
        <v>99</v>
      </c>
    </row>
    <row r="1885" spans="1:23" x14ac:dyDescent="0.35">
      <c r="A1885">
        <v>8894</v>
      </c>
      <c r="B1885" s="1" t="s">
        <v>4138</v>
      </c>
      <c r="C1885" s="2">
        <v>41856</v>
      </c>
      <c r="D1885" s="2">
        <v>41863</v>
      </c>
      <c r="E1885" s="1" t="s">
        <v>42</v>
      </c>
      <c r="F1885" s="1" t="s">
        <v>2793</v>
      </c>
      <c r="G1885" s="1" t="s">
        <v>2794</v>
      </c>
      <c r="H1885" s="1" t="s">
        <v>27</v>
      </c>
      <c r="I1885" s="1" t="s">
        <v>28</v>
      </c>
      <c r="J1885" s="1" t="s">
        <v>3535</v>
      </c>
      <c r="K1885" s="1" t="s">
        <v>95</v>
      </c>
      <c r="L1885">
        <v>77590</v>
      </c>
      <c r="M1885" s="1" t="s">
        <v>96</v>
      </c>
      <c r="N1885" s="1" t="s">
        <v>1464</v>
      </c>
      <c r="O1885" s="1" t="s">
        <v>33</v>
      </c>
      <c r="P1885" s="1" t="s">
        <v>48</v>
      </c>
      <c r="Q1885" s="1" t="s">
        <v>1465</v>
      </c>
      <c r="R1885">
        <v>489</v>
      </c>
      <c r="S1885">
        <v>2</v>
      </c>
      <c r="T1885">
        <v>0.3</v>
      </c>
      <c r="U1885">
        <v>42</v>
      </c>
      <c r="V1885" s="1" t="s">
        <v>50</v>
      </c>
      <c r="W1885" s="1" t="s">
        <v>256</v>
      </c>
    </row>
    <row r="1886" spans="1:23" x14ac:dyDescent="0.35">
      <c r="A1886">
        <v>8895</v>
      </c>
      <c r="B1886" s="1" t="s">
        <v>4139</v>
      </c>
      <c r="C1886" s="2">
        <v>42597</v>
      </c>
      <c r="D1886" s="2">
        <v>42604</v>
      </c>
      <c r="E1886" s="1" t="s">
        <v>42</v>
      </c>
      <c r="F1886" s="1" t="s">
        <v>602</v>
      </c>
      <c r="G1886" s="1" t="s">
        <v>603</v>
      </c>
      <c r="H1886" s="1" t="s">
        <v>27</v>
      </c>
      <c r="I1886" s="1" t="s">
        <v>28</v>
      </c>
      <c r="J1886" s="1" t="s">
        <v>55</v>
      </c>
      <c r="K1886" s="1" t="s">
        <v>56</v>
      </c>
      <c r="L1886">
        <v>90004</v>
      </c>
      <c r="M1886" s="1" t="s">
        <v>57</v>
      </c>
      <c r="N1886" s="1" t="s">
        <v>720</v>
      </c>
      <c r="O1886" s="1" t="s">
        <v>33</v>
      </c>
      <c r="P1886" s="1" t="s">
        <v>59</v>
      </c>
      <c r="Q1886" s="1" t="s">
        <v>721</v>
      </c>
      <c r="R1886">
        <v>312</v>
      </c>
      <c r="S1886">
        <v>3</v>
      </c>
      <c r="T1886">
        <v>0</v>
      </c>
      <c r="U1886">
        <v>44</v>
      </c>
      <c r="V1886" s="1" t="s">
        <v>50</v>
      </c>
      <c r="W1886" s="1" t="s">
        <v>256</v>
      </c>
    </row>
    <row r="1887" spans="1:23" x14ac:dyDescent="0.35">
      <c r="A1887">
        <v>8901</v>
      </c>
      <c r="B1887" s="1" t="s">
        <v>4140</v>
      </c>
      <c r="C1887" s="2">
        <v>42521</v>
      </c>
      <c r="D1887" s="2">
        <v>42525</v>
      </c>
      <c r="E1887" s="1" t="s">
        <v>42</v>
      </c>
      <c r="F1887" s="1" t="s">
        <v>1210</v>
      </c>
      <c r="G1887" s="1" t="s">
        <v>1211</v>
      </c>
      <c r="H1887" s="1" t="s">
        <v>27</v>
      </c>
      <c r="I1887" s="1" t="s">
        <v>28</v>
      </c>
      <c r="J1887" s="1" t="s">
        <v>516</v>
      </c>
      <c r="K1887" s="1" t="s">
        <v>137</v>
      </c>
      <c r="L1887">
        <v>62521</v>
      </c>
      <c r="M1887" s="1" t="s">
        <v>96</v>
      </c>
      <c r="N1887" s="1" t="s">
        <v>3922</v>
      </c>
      <c r="O1887" s="1" t="s">
        <v>33</v>
      </c>
      <c r="P1887" s="1" t="s">
        <v>59</v>
      </c>
      <c r="Q1887" s="1" t="s">
        <v>3923</v>
      </c>
      <c r="R1887">
        <v>32</v>
      </c>
      <c r="S1887">
        <v>3</v>
      </c>
      <c r="T1887">
        <v>0.6</v>
      </c>
      <c r="U1887">
        <v>-13</v>
      </c>
      <c r="V1887" s="1" t="s">
        <v>86</v>
      </c>
      <c r="W1887" s="1" t="s">
        <v>164</v>
      </c>
    </row>
    <row r="1888" spans="1:23" x14ac:dyDescent="0.35">
      <c r="A1888">
        <v>8903</v>
      </c>
      <c r="B1888" s="1" t="s">
        <v>4140</v>
      </c>
      <c r="C1888" s="2">
        <v>42521</v>
      </c>
      <c r="D1888" s="2">
        <v>42525</v>
      </c>
      <c r="E1888" s="1" t="s">
        <v>42</v>
      </c>
      <c r="F1888" s="1" t="s">
        <v>1210</v>
      </c>
      <c r="G1888" s="1" t="s">
        <v>1211</v>
      </c>
      <c r="H1888" s="1" t="s">
        <v>27</v>
      </c>
      <c r="I1888" s="1" t="s">
        <v>28</v>
      </c>
      <c r="J1888" s="1" t="s">
        <v>516</v>
      </c>
      <c r="K1888" s="1" t="s">
        <v>137</v>
      </c>
      <c r="L1888">
        <v>62521</v>
      </c>
      <c r="M1888" s="1" t="s">
        <v>96</v>
      </c>
      <c r="N1888" s="1" t="s">
        <v>2183</v>
      </c>
      <c r="O1888" s="1" t="s">
        <v>33</v>
      </c>
      <c r="P1888" s="1" t="s">
        <v>39</v>
      </c>
      <c r="Q1888" s="1" t="s">
        <v>2184</v>
      </c>
      <c r="R1888">
        <v>191</v>
      </c>
      <c r="S1888">
        <v>3</v>
      </c>
      <c r="T1888">
        <v>0.3</v>
      </c>
      <c r="U1888">
        <v>-38</v>
      </c>
      <c r="V1888" s="1" t="s">
        <v>86</v>
      </c>
      <c r="W1888" s="1" t="s">
        <v>164</v>
      </c>
    </row>
    <row r="1889" spans="1:23" x14ac:dyDescent="0.35">
      <c r="A1889">
        <v>8920</v>
      </c>
      <c r="B1889" s="1" t="s">
        <v>4141</v>
      </c>
      <c r="C1889" s="2">
        <v>41731</v>
      </c>
      <c r="D1889" s="2">
        <v>41737</v>
      </c>
      <c r="E1889" s="1" t="s">
        <v>42</v>
      </c>
      <c r="F1889" s="1" t="s">
        <v>2579</v>
      </c>
      <c r="G1889" s="1" t="s">
        <v>2580</v>
      </c>
      <c r="H1889" s="1" t="s">
        <v>93</v>
      </c>
      <c r="I1889" s="1" t="s">
        <v>28</v>
      </c>
      <c r="J1889" s="1" t="s">
        <v>3542</v>
      </c>
      <c r="K1889" s="1" t="s">
        <v>719</v>
      </c>
      <c r="L1889">
        <v>23464</v>
      </c>
      <c r="M1889" s="1" t="s">
        <v>31</v>
      </c>
      <c r="N1889" s="1" t="s">
        <v>3160</v>
      </c>
      <c r="O1889" s="1" t="s">
        <v>33</v>
      </c>
      <c r="P1889" s="1" t="s">
        <v>59</v>
      </c>
      <c r="Q1889" s="1" t="s">
        <v>3161</v>
      </c>
      <c r="R1889">
        <v>178</v>
      </c>
      <c r="S1889">
        <v>2</v>
      </c>
      <c r="T1889">
        <v>0</v>
      </c>
      <c r="U1889">
        <v>46</v>
      </c>
      <c r="V1889" s="1" t="s">
        <v>132</v>
      </c>
      <c r="W1889" s="1" t="s">
        <v>116</v>
      </c>
    </row>
    <row r="1890" spans="1:23" x14ac:dyDescent="0.35">
      <c r="A1890">
        <v>8923</v>
      </c>
      <c r="B1890" s="1" t="s">
        <v>4142</v>
      </c>
      <c r="C1890" s="2">
        <v>42647</v>
      </c>
      <c r="D1890" s="2">
        <v>42651</v>
      </c>
      <c r="E1890" s="1" t="s">
        <v>42</v>
      </c>
      <c r="F1890" s="1" t="s">
        <v>2579</v>
      </c>
      <c r="G1890" s="1" t="s">
        <v>2580</v>
      </c>
      <c r="H1890" s="1" t="s">
        <v>93</v>
      </c>
      <c r="I1890" s="1" t="s">
        <v>28</v>
      </c>
      <c r="J1890" s="1" t="s">
        <v>4143</v>
      </c>
      <c r="K1890" s="1" t="s">
        <v>46</v>
      </c>
      <c r="L1890">
        <v>33134</v>
      </c>
      <c r="M1890" s="1" t="s">
        <v>31</v>
      </c>
      <c r="N1890" s="1" t="s">
        <v>962</v>
      </c>
      <c r="O1890" s="1" t="s">
        <v>33</v>
      </c>
      <c r="P1890" s="1" t="s">
        <v>59</v>
      </c>
      <c r="Q1890" s="1" t="s">
        <v>963</v>
      </c>
      <c r="R1890">
        <v>12</v>
      </c>
      <c r="S1890">
        <v>3</v>
      </c>
      <c r="T1890">
        <v>0.2</v>
      </c>
      <c r="U1890">
        <v>3</v>
      </c>
      <c r="V1890" s="1" t="s">
        <v>86</v>
      </c>
      <c r="W1890" s="1" t="s">
        <v>51</v>
      </c>
    </row>
    <row r="1891" spans="1:23" x14ac:dyDescent="0.35">
      <c r="A1891">
        <v>8927</v>
      </c>
      <c r="B1891" s="1" t="s">
        <v>4144</v>
      </c>
      <c r="C1891" s="2">
        <v>42399</v>
      </c>
      <c r="D1891" s="2">
        <v>42403</v>
      </c>
      <c r="E1891" s="1" t="s">
        <v>42</v>
      </c>
      <c r="F1891" s="1" t="s">
        <v>4145</v>
      </c>
      <c r="G1891" s="1" t="s">
        <v>4146</v>
      </c>
      <c r="H1891" s="1" t="s">
        <v>27</v>
      </c>
      <c r="I1891" s="1" t="s">
        <v>28</v>
      </c>
      <c r="J1891" s="1" t="s">
        <v>1005</v>
      </c>
      <c r="K1891" s="1" t="s">
        <v>137</v>
      </c>
      <c r="L1891">
        <v>61107</v>
      </c>
      <c r="M1891" s="1" t="s">
        <v>96</v>
      </c>
      <c r="N1891" s="1" t="s">
        <v>615</v>
      </c>
      <c r="O1891" s="1" t="s">
        <v>33</v>
      </c>
      <c r="P1891" s="1" t="s">
        <v>48</v>
      </c>
      <c r="Q1891" s="1" t="s">
        <v>616</v>
      </c>
      <c r="R1891">
        <v>626</v>
      </c>
      <c r="S1891">
        <v>3</v>
      </c>
      <c r="T1891">
        <v>0.5</v>
      </c>
      <c r="U1891">
        <v>-538</v>
      </c>
      <c r="V1891" s="1" t="s">
        <v>86</v>
      </c>
      <c r="W1891" s="1" t="s">
        <v>172</v>
      </c>
    </row>
    <row r="1892" spans="1:23" x14ac:dyDescent="0.35">
      <c r="A1892">
        <v>8929</v>
      </c>
      <c r="B1892" s="1" t="s">
        <v>4147</v>
      </c>
      <c r="C1892" s="2">
        <v>42107</v>
      </c>
      <c r="D1892" s="2">
        <v>42111</v>
      </c>
      <c r="E1892" s="1" t="s">
        <v>42</v>
      </c>
      <c r="F1892" s="1" t="s">
        <v>3055</v>
      </c>
      <c r="G1892" s="1" t="s">
        <v>3056</v>
      </c>
      <c r="H1892" s="1" t="s">
        <v>27</v>
      </c>
      <c r="I1892" s="1" t="s">
        <v>28</v>
      </c>
      <c r="J1892" s="1" t="s">
        <v>1871</v>
      </c>
      <c r="K1892" s="1" t="s">
        <v>95</v>
      </c>
      <c r="L1892">
        <v>77340</v>
      </c>
      <c r="M1892" s="1" t="s">
        <v>96</v>
      </c>
      <c r="N1892" s="1" t="s">
        <v>702</v>
      </c>
      <c r="O1892" s="1" t="s">
        <v>33</v>
      </c>
      <c r="P1892" s="1" t="s">
        <v>48</v>
      </c>
      <c r="Q1892" s="1" t="s">
        <v>703</v>
      </c>
      <c r="R1892">
        <v>610</v>
      </c>
      <c r="S1892">
        <v>4</v>
      </c>
      <c r="T1892">
        <v>0.3</v>
      </c>
      <c r="U1892">
        <v>-113</v>
      </c>
      <c r="V1892" s="1" t="s">
        <v>86</v>
      </c>
      <c r="W1892" s="1" t="s">
        <v>116</v>
      </c>
    </row>
    <row r="1893" spans="1:23" x14ac:dyDescent="0.35">
      <c r="A1893">
        <v>8930</v>
      </c>
      <c r="B1893" s="1" t="s">
        <v>4147</v>
      </c>
      <c r="C1893" s="2">
        <v>42107</v>
      </c>
      <c r="D1893" s="2">
        <v>42111</v>
      </c>
      <c r="E1893" s="1" t="s">
        <v>42</v>
      </c>
      <c r="F1893" s="1" t="s">
        <v>3055</v>
      </c>
      <c r="G1893" s="1" t="s">
        <v>3056</v>
      </c>
      <c r="H1893" s="1" t="s">
        <v>27</v>
      </c>
      <c r="I1893" s="1" t="s">
        <v>28</v>
      </c>
      <c r="J1893" s="1" t="s">
        <v>1871</v>
      </c>
      <c r="K1893" s="1" t="s">
        <v>95</v>
      </c>
      <c r="L1893">
        <v>77340</v>
      </c>
      <c r="M1893" s="1" t="s">
        <v>96</v>
      </c>
      <c r="N1893" s="1" t="s">
        <v>1287</v>
      </c>
      <c r="O1893" s="1" t="s">
        <v>33</v>
      </c>
      <c r="P1893" s="1" t="s">
        <v>48</v>
      </c>
      <c r="Q1893" s="1" t="s">
        <v>1288</v>
      </c>
      <c r="R1893">
        <v>211</v>
      </c>
      <c r="S1893">
        <v>2</v>
      </c>
      <c r="T1893">
        <v>0.3</v>
      </c>
      <c r="U1893">
        <v>-45</v>
      </c>
      <c r="V1893" s="1" t="s">
        <v>86</v>
      </c>
      <c r="W1893" s="1" t="s">
        <v>116</v>
      </c>
    </row>
    <row r="1894" spans="1:23" x14ac:dyDescent="0.35">
      <c r="A1894">
        <v>8932</v>
      </c>
      <c r="B1894" s="1" t="s">
        <v>4148</v>
      </c>
      <c r="C1894" s="2">
        <v>43087</v>
      </c>
      <c r="D1894" s="2">
        <v>43093</v>
      </c>
      <c r="E1894" s="1" t="s">
        <v>42</v>
      </c>
      <c r="F1894" s="1" t="s">
        <v>4031</v>
      </c>
      <c r="G1894" s="1" t="s">
        <v>4032</v>
      </c>
      <c r="H1894" s="1" t="s">
        <v>93</v>
      </c>
      <c r="I1894" s="1" t="s">
        <v>28</v>
      </c>
      <c r="J1894" s="1" t="s">
        <v>908</v>
      </c>
      <c r="K1894" s="1" t="s">
        <v>241</v>
      </c>
      <c r="L1894">
        <v>53209</v>
      </c>
      <c r="M1894" s="1" t="s">
        <v>96</v>
      </c>
      <c r="N1894" s="1" t="s">
        <v>3585</v>
      </c>
      <c r="O1894" s="1" t="s">
        <v>33</v>
      </c>
      <c r="P1894" s="1" t="s">
        <v>59</v>
      </c>
      <c r="Q1894" s="1" t="s">
        <v>3586</v>
      </c>
      <c r="R1894">
        <v>100</v>
      </c>
      <c r="S1894">
        <v>5</v>
      </c>
      <c r="T1894">
        <v>0</v>
      </c>
      <c r="U1894">
        <v>23</v>
      </c>
      <c r="V1894" s="1" t="s">
        <v>132</v>
      </c>
      <c r="W1894" s="1" t="s">
        <v>99</v>
      </c>
    </row>
    <row r="1895" spans="1:23" x14ac:dyDescent="0.35">
      <c r="A1895">
        <v>8934</v>
      </c>
      <c r="B1895" s="1" t="s">
        <v>4149</v>
      </c>
      <c r="C1895" s="2">
        <v>42443</v>
      </c>
      <c r="D1895" s="2">
        <v>42448</v>
      </c>
      <c r="E1895" s="1" t="s">
        <v>42</v>
      </c>
      <c r="F1895" s="1" t="s">
        <v>3500</v>
      </c>
      <c r="G1895" s="1" t="s">
        <v>3501</v>
      </c>
      <c r="H1895" s="1" t="s">
        <v>93</v>
      </c>
      <c r="I1895" s="1" t="s">
        <v>28</v>
      </c>
      <c r="J1895" s="1" t="s">
        <v>4150</v>
      </c>
      <c r="K1895" s="1" t="s">
        <v>241</v>
      </c>
      <c r="L1895">
        <v>54302</v>
      </c>
      <c r="M1895" s="1" t="s">
        <v>96</v>
      </c>
      <c r="N1895" s="1" t="s">
        <v>1150</v>
      </c>
      <c r="O1895" s="1" t="s">
        <v>33</v>
      </c>
      <c r="P1895" s="1" t="s">
        <v>59</v>
      </c>
      <c r="Q1895" s="1" t="s">
        <v>1151</v>
      </c>
      <c r="R1895">
        <v>17</v>
      </c>
      <c r="S1895">
        <v>2</v>
      </c>
      <c r="T1895">
        <v>0</v>
      </c>
      <c r="U1895">
        <v>4</v>
      </c>
      <c r="V1895" s="1" t="s">
        <v>61</v>
      </c>
      <c r="W1895" s="1" t="s">
        <v>198</v>
      </c>
    </row>
    <row r="1896" spans="1:23" x14ac:dyDescent="0.35">
      <c r="A1896">
        <v>8944</v>
      </c>
      <c r="B1896" s="1" t="s">
        <v>4151</v>
      </c>
      <c r="C1896" s="2">
        <v>43018</v>
      </c>
      <c r="D1896" s="2">
        <v>43024</v>
      </c>
      <c r="E1896" s="1" t="s">
        <v>42</v>
      </c>
      <c r="F1896" s="1" t="s">
        <v>3351</v>
      </c>
      <c r="G1896" s="1" t="s">
        <v>3352</v>
      </c>
      <c r="H1896" s="1" t="s">
        <v>27</v>
      </c>
      <c r="I1896" s="1" t="s">
        <v>28</v>
      </c>
      <c r="J1896" s="1" t="s">
        <v>182</v>
      </c>
      <c r="K1896" s="1" t="s">
        <v>137</v>
      </c>
      <c r="L1896">
        <v>60505</v>
      </c>
      <c r="M1896" s="1" t="s">
        <v>96</v>
      </c>
      <c r="N1896" s="1" t="s">
        <v>3219</v>
      </c>
      <c r="O1896" s="1" t="s">
        <v>33</v>
      </c>
      <c r="P1896" s="1" t="s">
        <v>39</v>
      </c>
      <c r="Q1896" s="1" t="s">
        <v>3220</v>
      </c>
      <c r="R1896">
        <v>239</v>
      </c>
      <c r="S1896">
        <v>3</v>
      </c>
      <c r="T1896">
        <v>0.3</v>
      </c>
      <c r="U1896">
        <v>-48</v>
      </c>
      <c r="V1896" s="1" t="s">
        <v>132</v>
      </c>
      <c r="W1896" s="1" t="s">
        <v>51</v>
      </c>
    </row>
    <row r="1897" spans="1:23" x14ac:dyDescent="0.35">
      <c r="A1897">
        <v>8950</v>
      </c>
      <c r="B1897" s="1" t="s">
        <v>4152</v>
      </c>
      <c r="C1897" s="2">
        <v>43091</v>
      </c>
      <c r="D1897" s="2">
        <v>43097</v>
      </c>
      <c r="E1897" s="1" t="s">
        <v>42</v>
      </c>
      <c r="F1897" s="1" t="s">
        <v>4153</v>
      </c>
      <c r="G1897" s="1" t="s">
        <v>4154</v>
      </c>
      <c r="H1897" s="1" t="s">
        <v>27</v>
      </c>
      <c r="I1897" s="1" t="s">
        <v>28</v>
      </c>
      <c r="J1897" s="1" t="s">
        <v>480</v>
      </c>
      <c r="K1897" s="1" t="s">
        <v>144</v>
      </c>
      <c r="L1897">
        <v>38301</v>
      </c>
      <c r="M1897" s="1" t="s">
        <v>31</v>
      </c>
      <c r="N1897" s="1" t="s">
        <v>345</v>
      </c>
      <c r="O1897" s="1" t="s">
        <v>33</v>
      </c>
      <c r="P1897" s="1" t="s">
        <v>48</v>
      </c>
      <c r="Q1897" s="1" t="s">
        <v>346</v>
      </c>
      <c r="R1897">
        <v>935</v>
      </c>
      <c r="S1897">
        <v>6</v>
      </c>
      <c r="T1897">
        <v>0.4</v>
      </c>
      <c r="U1897">
        <v>-249</v>
      </c>
      <c r="V1897" s="1" t="s">
        <v>132</v>
      </c>
      <c r="W1897" s="1" t="s">
        <v>99</v>
      </c>
    </row>
    <row r="1898" spans="1:23" x14ac:dyDescent="0.35">
      <c r="A1898">
        <v>8955</v>
      </c>
      <c r="B1898" s="1" t="s">
        <v>4155</v>
      </c>
      <c r="C1898" s="2">
        <v>41859</v>
      </c>
      <c r="D1898" s="2">
        <v>41861</v>
      </c>
      <c r="E1898" s="1" t="s">
        <v>24</v>
      </c>
      <c r="F1898" s="1" t="s">
        <v>968</v>
      </c>
      <c r="G1898" s="1" t="s">
        <v>969</v>
      </c>
      <c r="H1898" s="1" t="s">
        <v>27</v>
      </c>
      <c r="I1898" s="1" t="s">
        <v>28</v>
      </c>
      <c r="J1898" s="1" t="s">
        <v>609</v>
      </c>
      <c r="K1898" s="1" t="s">
        <v>46</v>
      </c>
      <c r="L1898">
        <v>32216</v>
      </c>
      <c r="M1898" s="1" t="s">
        <v>31</v>
      </c>
      <c r="N1898" s="1" t="s">
        <v>1606</v>
      </c>
      <c r="O1898" s="1" t="s">
        <v>33</v>
      </c>
      <c r="P1898" s="1" t="s">
        <v>34</v>
      </c>
      <c r="Q1898" s="1" t="s">
        <v>1607</v>
      </c>
      <c r="R1898">
        <v>155</v>
      </c>
      <c r="S1898">
        <v>4</v>
      </c>
      <c r="T1898">
        <v>0.2</v>
      </c>
      <c r="U1898">
        <v>-8</v>
      </c>
      <c r="V1898" s="1" t="s">
        <v>73</v>
      </c>
      <c r="W1898" s="1" t="s">
        <v>256</v>
      </c>
    </row>
    <row r="1899" spans="1:23" x14ac:dyDescent="0.35">
      <c r="A1899">
        <v>8957</v>
      </c>
      <c r="B1899" s="1" t="s">
        <v>4156</v>
      </c>
      <c r="C1899" s="2">
        <v>43094</v>
      </c>
      <c r="D1899" s="2">
        <v>43097</v>
      </c>
      <c r="E1899" s="1" t="s">
        <v>90</v>
      </c>
      <c r="F1899" s="1" t="s">
        <v>4157</v>
      </c>
      <c r="G1899" s="1" t="s">
        <v>4158</v>
      </c>
      <c r="H1899" s="1" t="s">
        <v>27</v>
      </c>
      <c r="I1899" s="1" t="s">
        <v>28</v>
      </c>
      <c r="J1899" s="1" t="s">
        <v>2053</v>
      </c>
      <c r="K1899" s="1" t="s">
        <v>46</v>
      </c>
      <c r="L1899">
        <v>33012</v>
      </c>
      <c r="M1899" s="1" t="s">
        <v>31</v>
      </c>
      <c r="N1899" s="1" t="s">
        <v>2192</v>
      </c>
      <c r="O1899" s="1" t="s">
        <v>33</v>
      </c>
      <c r="P1899" s="1" t="s">
        <v>59</v>
      </c>
      <c r="Q1899" s="1" t="s">
        <v>2193</v>
      </c>
      <c r="R1899">
        <v>21</v>
      </c>
      <c r="S1899">
        <v>3</v>
      </c>
      <c r="T1899">
        <v>0.2</v>
      </c>
      <c r="U1899">
        <v>6</v>
      </c>
      <c r="V1899" s="1" t="s">
        <v>36</v>
      </c>
      <c r="W1899" s="1" t="s">
        <v>99</v>
      </c>
    </row>
    <row r="1900" spans="1:23" x14ac:dyDescent="0.35">
      <c r="A1900">
        <v>8961</v>
      </c>
      <c r="B1900" s="1" t="s">
        <v>4159</v>
      </c>
      <c r="C1900" s="2">
        <v>43064</v>
      </c>
      <c r="D1900" s="2">
        <v>43069</v>
      </c>
      <c r="E1900" s="1" t="s">
        <v>42</v>
      </c>
      <c r="F1900" s="1" t="s">
        <v>548</v>
      </c>
      <c r="G1900" s="1" t="s">
        <v>549</v>
      </c>
      <c r="H1900" s="1" t="s">
        <v>27</v>
      </c>
      <c r="I1900" s="1" t="s">
        <v>28</v>
      </c>
      <c r="J1900" s="1" t="s">
        <v>104</v>
      </c>
      <c r="K1900" s="1" t="s">
        <v>95</v>
      </c>
      <c r="L1900">
        <v>77070</v>
      </c>
      <c r="M1900" s="1" t="s">
        <v>96</v>
      </c>
      <c r="N1900" s="1" t="s">
        <v>1085</v>
      </c>
      <c r="O1900" s="1" t="s">
        <v>33</v>
      </c>
      <c r="P1900" s="1" t="s">
        <v>39</v>
      </c>
      <c r="Q1900" s="1" t="s">
        <v>1086</v>
      </c>
      <c r="R1900">
        <v>854</v>
      </c>
      <c r="S1900">
        <v>5</v>
      </c>
      <c r="T1900">
        <v>0.3</v>
      </c>
      <c r="U1900">
        <v>-24</v>
      </c>
      <c r="V1900" s="1" t="s">
        <v>61</v>
      </c>
      <c r="W1900" s="1" t="s">
        <v>37</v>
      </c>
    </row>
    <row r="1901" spans="1:23" x14ac:dyDescent="0.35">
      <c r="A1901">
        <v>8963</v>
      </c>
      <c r="B1901" s="1" t="s">
        <v>4160</v>
      </c>
      <c r="C1901" s="2">
        <v>42679</v>
      </c>
      <c r="D1901" s="2">
        <v>42681</v>
      </c>
      <c r="E1901" s="1" t="s">
        <v>90</v>
      </c>
      <c r="F1901" s="1" t="s">
        <v>3448</v>
      </c>
      <c r="G1901" s="1" t="s">
        <v>3449</v>
      </c>
      <c r="H1901" s="1" t="s">
        <v>27</v>
      </c>
      <c r="I1901" s="1" t="s">
        <v>28</v>
      </c>
      <c r="J1901" s="1" t="s">
        <v>3542</v>
      </c>
      <c r="K1901" s="1" t="s">
        <v>719</v>
      </c>
      <c r="L1901">
        <v>23464</v>
      </c>
      <c r="M1901" s="1" t="s">
        <v>31</v>
      </c>
      <c r="N1901" s="1" t="s">
        <v>1960</v>
      </c>
      <c r="O1901" s="1" t="s">
        <v>33</v>
      </c>
      <c r="P1901" s="1" t="s">
        <v>59</v>
      </c>
      <c r="Q1901" s="1" t="s">
        <v>1961</v>
      </c>
      <c r="R1901">
        <v>274</v>
      </c>
      <c r="S1901">
        <v>2</v>
      </c>
      <c r="T1901">
        <v>0</v>
      </c>
      <c r="U1901">
        <v>71</v>
      </c>
      <c r="V1901" s="1" t="s">
        <v>73</v>
      </c>
      <c r="W1901" s="1" t="s">
        <v>37</v>
      </c>
    </row>
    <row r="1902" spans="1:23" x14ac:dyDescent="0.35">
      <c r="A1902">
        <v>8965</v>
      </c>
      <c r="B1902" s="1" t="s">
        <v>4160</v>
      </c>
      <c r="C1902" s="2">
        <v>42679</v>
      </c>
      <c r="D1902" s="2">
        <v>42681</v>
      </c>
      <c r="E1902" s="1" t="s">
        <v>90</v>
      </c>
      <c r="F1902" s="1" t="s">
        <v>3448</v>
      </c>
      <c r="G1902" s="1" t="s">
        <v>3449</v>
      </c>
      <c r="H1902" s="1" t="s">
        <v>27</v>
      </c>
      <c r="I1902" s="1" t="s">
        <v>28</v>
      </c>
      <c r="J1902" s="1" t="s">
        <v>3542</v>
      </c>
      <c r="K1902" s="1" t="s">
        <v>719</v>
      </c>
      <c r="L1902">
        <v>23464</v>
      </c>
      <c r="M1902" s="1" t="s">
        <v>31</v>
      </c>
      <c r="N1902" s="1" t="s">
        <v>3679</v>
      </c>
      <c r="O1902" s="1" t="s">
        <v>33</v>
      </c>
      <c r="P1902" s="1" t="s">
        <v>59</v>
      </c>
      <c r="Q1902" s="1" t="s">
        <v>3680</v>
      </c>
      <c r="R1902">
        <v>757</v>
      </c>
      <c r="S1902">
        <v>5</v>
      </c>
      <c r="T1902">
        <v>0</v>
      </c>
      <c r="U1902">
        <v>76</v>
      </c>
      <c r="V1902" s="1" t="s">
        <v>73</v>
      </c>
      <c r="W1902" s="1" t="s">
        <v>37</v>
      </c>
    </row>
    <row r="1903" spans="1:23" x14ac:dyDescent="0.35">
      <c r="A1903">
        <v>8968</v>
      </c>
      <c r="B1903" s="1" t="s">
        <v>4161</v>
      </c>
      <c r="C1903" s="2">
        <v>42677</v>
      </c>
      <c r="D1903" s="2">
        <v>42681</v>
      </c>
      <c r="E1903" s="1" t="s">
        <v>42</v>
      </c>
      <c r="F1903" s="1" t="s">
        <v>2084</v>
      </c>
      <c r="G1903" s="1" t="s">
        <v>2085</v>
      </c>
      <c r="H1903" s="1" t="s">
        <v>103</v>
      </c>
      <c r="I1903" s="1" t="s">
        <v>28</v>
      </c>
      <c r="J1903" s="1" t="s">
        <v>68</v>
      </c>
      <c r="K1903" s="1" t="s">
        <v>69</v>
      </c>
      <c r="L1903">
        <v>19120</v>
      </c>
      <c r="M1903" s="1" t="s">
        <v>70</v>
      </c>
      <c r="N1903" s="1" t="s">
        <v>469</v>
      </c>
      <c r="O1903" s="1" t="s">
        <v>33</v>
      </c>
      <c r="P1903" s="1" t="s">
        <v>39</v>
      </c>
      <c r="Q1903" s="1" t="s">
        <v>470</v>
      </c>
      <c r="R1903">
        <v>470</v>
      </c>
      <c r="S1903">
        <v>7</v>
      </c>
      <c r="T1903">
        <v>0.3</v>
      </c>
      <c r="U1903">
        <v>-13</v>
      </c>
      <c r="V1903" s="1" t="s">
        <v>86</v>
      </c>
      <c r="W1903" s="1" t="s">
        <v>37</v>
      </c>
    </row>
    <row r="1904" spans="1:23" x14ac:dyDescent="0.35">
      <c r="A1904">
        <v>8972</v>
      </c>
      <c r="B1904" s="1" t="s">
        <v>4162</v>
      </c>
      <c r="C1904" s="2">
        <v>42818</v>
      </c>
      <c r="D1904" s="2">
        <v>42822</v>
      </c>
      <c r="E1904" s="1" t="s">
        <v>42</v>
      </c>
      <c r="F1904" s="1" t="s">
        <v>1794</v>
      </c>
      <c r="G1904" s="1" t="s">
        <v>1795</v>
      </c>
      <c r="H1904" s="1" t="s">
        <v>27</v>
      </c>
      <c r="I1904" s="1" t="s">
        <v>28</v>
      </c>
      <c r="J1904" s="1" t="s">
        <v>176</v>
      </c>
      <c r="K1904" s="1" t="s">
        <v>123</v>
      </c>
      <c r="L1904">
        <v>10011</v>
      </c>
      <c r="M1904" s="1" t="s">
        <v>70</v>
      </c>
      <c r="N1904" s="1" t="s">
        <v>858</v>
      </c>
      <c r="O1904" s="1" t="s">
        <v>33</v>
      </c>
      <c r="P1904" s="1" t="s">
        <v>39</v>
      </c>
      <c r="Q1904" s="1" t="s">
        <v>859</v>
      </c>
      <c r="R1904">
        <v>272</v>
      </c>
      <c r="S1904">
        <v>2</v>
      </c>
      <c r="T1904">
        <v>0.1</v>
      </c>
      <c r="U1904">
        <v>60</v>
      </c>
      <c r="V1904" s="1" t="s">
        <v>86</v>
      </c>
      <c r="W1904" s="1" t="s">
        <v>198</v>
      </c>
    </row>
    <row r="1905" spans="1:23" x14ac:dyDescent="0.35">
      <c r="A1905">
        <v>8974</v>
      </c>
      <c r="B1905" s="1" t="s">
        <v>4163</v>
      </c>
      <c r="C1905" s="2">
        <v>42850</v>
      </c>
      <c r="D1905" s="2">
        <v>42852</v>
      </c>
      <c r="E1905" s="1" t="s">
        <v>24</v>
      </c>
      <c r="F1905" s="1" t="s">
        <v>2870</v>
      </c>
      <c r="G1905" s="1" t="s">
        <v>2871</v>
      </c>
      <c r="H1905" s="1" t="s">
        <v>27</v>
      </c>
      <c r="I1905" s="1" t="s">
        <v>28</v>
      </c>
      <c r="J1905" s="1" t="s">
        <v>55</v>
      </c>
      <c r="K1905" s="1" t="s">
        <v>56</v>
      </c>
      <c r="L1905">
        <v>90008</v>
      </c>
      <c r="M1905" s="1" t="s">
        <v>57</v>
      </c>
      <c r="N1905" s="1" t="s">
        <v>351</v>
      </c>
      <c r="O1905" s="1" t="s">
        <v>33</v>
      </c>
      <c r="P1905" s="1" t="s">
        <v>34</v>
      </c>
      <c r="Q1905" s="1" t="s">
        <v>352</v>
      </c>
      <c r="R1905">
        <v>345</v>
      </c>
      <c r="S1905">
        <v>7</v>
      </c>
      <c r="T1905">
        <v>0.15</v>
      </c>
      <c r="U1905">
        <v>28</v>
      </c>
      <c r="V1905" s="1" t="s">
        <v>73</v>
      </c>
      <c r="W1905" s="1" t="s">
        <v>116</v>
      </c>
    </row>
    <row r="1906" spans="1:23" x14ac:dyDescent="0.35">
      <c r="A1906">
        <v>8977</v>
      </c>
      <c r="B1906" s="1" t="s">
        <v>4164</v>
      </c>
      <c r="C1906" s="2">
        <v>43062</v>
      </c>
      <c r="D1906" s="2">
        <v>43065</v>
      </c>
      <c r="E1906" s="1" t="s">
        <v>90</v>
      </c>
      <c r="F1906" s="1" t="s">
        <v>2327</v>
      </c>
      <c r="G1906" s="1" t="s">
        <v>2328</v>
      </c>
      <c r="H1906" s="1" t="s">
        <v>93</v>
      </c>
      <c r="I1906" s="1" t="s">
        <v>28</v>
      </c>
      <c r="J1906" s="1" t="s">
        <v>1742</v>
      </c>
      <c r="K1906" s="1" t="s">
        <v>95</v>
      </c>
      <c r="L1906">
        <v>75220</v>
      </c>
      <c r="M1906" s="1" t="s">
        <v>96</v>
      </c>
      <c r="N1906" s="1" t="s">
        <v>1237</v>
      </c>
      <c r="O1906" s="1" t="s">
        <v>33</v>
      </c>
      <c r="P1906" s="1" t="s">
        <v>48</v>
      </c>
      <c r="Q1906" s="1" t="s">
        <v>1238</v>
      </c>
      <c r="R1906">
        <v>128</v>
      </c>
      <c r="S1906">
        <v>1</v>
      </c>
      <c r="T1906">
        <v>0.3</v>
      </c>
      <c r="U1906">
        <v>-31</v>
      </c>
      <c r="V1906" s="1" t="s">
        <v>36</v>
      </c>
      <c r="W1906" s="1" t="s">
        <v>37</v>
      </c>
    </row>
    <row r="1907" spans="1:23" x14ac:dyDescent="0.35">
      <c r="A1907">
        <v>8984</v>
      </c>
      <c r="B1907" s="1" t="s">
        <v>4165</v>
      </c>
      <c r="C1907" s="2">
        <v>42435</v>
      </c>
      <c r="D1907" s="2">
        <v>42441</v>
      </c>
      <c r="E1907" s="1" t="s">
        <v>42</v>
      </c>
      <c r="F1907" s="1" t="s">
        <v>180</v>
      </c>
      <c r="G1907" s="1" t="s">
        <v>181</v>
      </c>
      <c r="H1907" s="1" t="s">
        <v>27</v>
      </c>
      <c r="I1907" s="1" t="s">
        <v>28</v>
      </c>
      <c r="J1907" s="1" t="s">
        <v>136</v>
      </c>
      <c r="K1907" s="1" t="s">
        <v>137</v>
      </c>
      <c r="L1907">
        <v>60623</v>
      </c>
      <c r="M1907" s="1" t="s">
        <v>96</v>
      </c>
      <c r="N1907" s="1" t="s">
        <v>221</v>
      </c>
      <c r="O1907" s="1" t="s">
        <v>33</v>
      </c>
      <c r="P1907" s="1" t="s">
        <v>59</v>
      </c>
      <c r="Q1907" s="1" t="s">
        <v>222</v>
      </c>
      <c r="R1907">
        <v>159</v>
      </c>
      <c r="S1907">
        <v>5</v>
      </c>
      <c r="T1907">
        <v>0.6</v>
      </c>
      <c r="U1907">
        <v>-195</v>
      </c>
      <c r="V1907" s="1" t="s">
        <v>132</v>
      </c>
      <c r="W1907" s="1" t="s">
        <v>198</v>
      </c>
    </row>
    <row r="1908" spans="1:23" x14ac:dyDescent="0.35">
      <c r="A1908">
        <v>8985</v>
      </c>
      <c r="B1908" s="1" t="s">
        <v>4165</v>
      </c>
      <c r="C1908" s="2">
        <v>42435</v>
      </c>
      <c r="D1908" s="2">
        <v>42441</v>
      </c>
      <c r="E1908" s="1" t="s">
        <v>42</v>
      </c>
      <c r="F1908" s="1" t="s">
        <v>180</v>
      </c>
      <c r="G1908" s="1" t="s">
        <v>181</v>
      </c>
      <c r="H1908" s="1" t="s">
        <v>27</v>
      </c>
      <c r="I1908" s="1" t="s">
        <v>28</v>
      </c>
      <c r="J1908" s="1" t="s">
        <v>136</v>
      </c>
      <c r="K1908" s="1" t="s">
        <v>137</v>
      </c>
      <c r="L1908">
        <v>60623</v>
      </c>
      <c r="M1908" s="1" t="s">
        <v>96</v>
      </c>
      <c r="N1908" s="1" t="s">
        <v>1903</v>
      </c>
      <c r="O1908" s="1" t="s">
        <v>33</v>
      </c>
      <c r="P1908" s="1" t="s">
        <v>48</v>
      </c>
      <c r="Q1908" s="1" t="s">
        <v>1904</v>
      </c>
      <c r="R1908">
        <v>146</v>
      </c>
      <c r="S1908">
        <v>2</v>
      </c>
      <c r="T1908">
        <v>0.5</v>
      </c>
      <c r="U1908">
        <v>-99</v>
      </c>
      <c r="V1908" s="1" t="s">
        <v>132</v>
      </c>
      <c r="W1908" s="1" t="s">
        <v>198</v>
      </c>
    </row>
    <row r="1909" spans="1:23" x14ac:dyDescent="0.35">
      <c r="A1909">
        <v>8986</v>
      </c>
      <c r="B1909" s="1" t="s">
        <v>4166</v>
      </c>
      <c r="C1909" s="2">
        <v>42341</v>
      </c>
      <c r="D1909" s="2">
        <v>42345</v>
      </c>
      <c r="E1909" s="1" t="s">
        <v>42</v>
      </c>
      <c r="F1909" s="1" t="s">
        <v>4167</v>
      </c>
      <c r="G1909" s="1" t="s">
        <v>4168</v>
      </c>
      <c r="H1909" s="1" t="s">
        <v>27</v>
      </c>
      <c r="I1909" s="1" t="s">
        <v>28</v>
      </c>
      <c r="J1909" s="1" t="s">
        <v>609</v>
      </c>
      <c r="K1909" s="1" t="s">
        <v>1039</v>
      </c>
      <c r="L1909">
        <v>28540</v>
      </c>
      <c r="M1909" s="1" t="s">
        <v>31</v>
      </c>
      <c r="N1909" s="1" t="s">
        <v>759</v>
      </c>
      <c r="O1909" s="1" t="s">
        <v>33</v>
      </c>
      <c r="P1909" s="1" t="s">
        <v>59</v>
      </c>
      <c r="Q1909" s="1" t="s">
        <v>760</v>
      </c>
      <c r="R1909">
        <v>78</v>
      </c>
      <c r="S1909">
        <v>3</v>
      </c>
      <c r="T1909">
        <v>0.2</v>
      </c>
      <c r="U1909">
        <v>13</v>
      </c>
      <c r="V1909" s="1" t="s">
        <v>86</v>
      </c>
      <c r="W1909" s="1" t="s">
        <v>99</v>
      </c>
    </row>
    <row r="1910" spans="1:23" x14ac:dyDescent="0.35">
      <c r="A1910">
        <v>8990</v>
      </c>
      <c r="B1910" s="1" t="s">
        <v>4169</v>
      </c>
      <c r="C1910" s="2">
        <v>42362</v>
      </c>
      <c r="D1910" s="2">
        <v>42368</v>
      </c>
      <c r="E1910" s="1" t="s">
        <v>42</v>
      </c>
      <c r="F1910" s="1" t="s">
        <v>1869</v>
      </c>
      <c r="G1910" s="1" t="s">
        <v>1870</v>
      </c>
      <c r="H1910" s="1" t="s">
        <v>93</v>
      </c>
      <c r="I1910" s="1" t="s">
        <v>28</v>
      </c>
      <c r="J1910" s="1" t="s">
        <v>881</v>
      </c>
      <c r="K1910" s="1" t="s">
        <v>568</v>
      </c>
      <c r="L1910">
        <v>65807</v>
      </c>
      <c r="M1910" s="1" t="s">
        <v>96</v>
      </c>
      <c r="N1910" s="1" t="s">
        <v>2527</v>
      </c>
      <c r="O1910" s="1" t="s">
        <v>33</v>
      </c>
      <c r="P1910" s="1" t="s">
        <v>59</v>
      </c>
      <c r="Q1910" s="1" t="s">
        <v>2528</v>
      </c>
      <c r="R1910">
        <v>10</v>
      </c>
      <c r="S1910">
        <v>2</v>
      </c>
      <c r="T1910">
        <v>0</v>
      </c>
      <c r="U1910">
        <v>4</v>
      </c>
      <c r="V1910" s="1" t="s">
        <v>132</v>
      </c>
      <c r="W1910" s="1" t="s">
        <v>99</v>
      </c>
    </row>
    <row r="1911" spans="1:23" x14ac:dyDescent="0.35">
      <c r="A1911">
        <v>8994</v>
      </c>
      <c r="B1911" s="1" t="s">
        <v>4170</v>
      </c>
      <c r="C1911" s="2">
        <v>43024</v>
      </c>
      <c r="D1911" s="2">
        <v>43029</v>
      </c>
      <c r="E1911" s="1" t="s">
        <v>42</v>
      </c>
      <c r="F1911" s="1" t="s">
        <v>3530</v>
      </c>
      <c r="G1911" s="1" t="s">
        <v>3531</v>
      </c>
      <c r="H1911" s="1" t="s">
        <v>93</v>
      </c>
      <c r="I1911" s="1" t="s">
        <v>28</v>
      </c>
      <c r="J1911" s="1" t="s">
        <v>160</v>
      </c>
      <c r="K1911" s="1" t="s">
        <v>144</v>
      </c>
      <c r="L1911">
        <v>38401</v>
      </c>
      <c r="M1911" s="1" t="s">
        <v>31</v>
      </c>
      <c r="N1911" s="1" t="s">
        <v>1814</v>
      </c>
      <c r="O1911" s="1" t="s">
        <v>33</v>
      </c>
      <c r="P1911" s="1" t="s">
        <v>48</v>
      </c>
      <c r="Q1911" s="1" t="s">
        <v>1815</v>
      </c>
      <c r="R1911">
        <v>1875</v>
      </c>
      <c r="S1911">
        <v>7</v>
      </c>
      <c r="T1911">
        <v>0.4</v>
      </c>
      <c r="U1911">
        <v>-969</v>
      </c>
      <c r="V1911" s="1" t="s">
        <v>61</v>
      </c>
      <c r="W1911" s="1" t="s">
        <v>51</v>
      </c>
    </row>
    <row r="1912" spans="1:23" x14ac:dyDescent="0.35">
      <c r="A1912">
        <v>9000</v>
      </c>
      <c r="B1912" s="1" t="s">
        <v>4171</v>
      </c>
      <c r="C1912" s="2">
        <v>42868</v>
      </c>
      <c r="D1912" s="2">
        <v>42872</v>
      </c>
      <c r="E1912" s="1" t="s">
        <v>42</v>
      </c>
      <c r="F1912" s="1" t="s">
        <v>1147</v>
      </c>
      <c r="G1912" s="1" t="s">
        <v>1148</v>
      </c>
      <c r="H1912" s="1" t="s">
        <v>103</v>
      </c>
      <c r="I1912" s="1" t="s">
        <v>28</v>
      </c>
      <c r="J1912" s="1" t="s">
        <v>68</v>
      </c>
      <c r="K1912" s="1" t="s">
        <v>69</v>
      </c>
      <c r="L1912">
        <v>19140</v>
      </c>
      <c r="M1912" s="1" t="s">
        <v>70</v>
      </c>
      <c r="N1912" s="1" t="s">
        <v>671</v>
      </c>
      <c r="O1912" s="1" t="s">
        <v>33</v>
      </c>
      <c r="P1912" s="1" t="s">
        <v>39</v>
      </c>
      <c r="Q1912" s="1" t="s">
        <v>672</v>
      </c>
      <c r="R1912">
        <v>458</v>
      </c>
      <c r="S1912">
        <v>5</v>
      </c>
      <c r="T1912">
        <v>0.3</v>
      </c>
      <c r="U1912">
        <v>-124</v>
      </c>
      <c r="V1912" s="1" t="s">
        <v>86</v>
      </c>
      <c r="W1912" s="1" t="s">
        <v>164</v>
      </c>
    </row>
    <row r="1913" spans="1:23" x14ac:dyDescent="0.35">
      <c r="A1913">
        <v>9009</v>
      </c>
      <c r="B1913" s="1" t="s">
        <v>4172</v>
      </c>
      <c r="C1913" s="2">
        <v>43057</v>
      </c>
      <c r="D1913" s="2">
        <v>43057</v>
      </c>
      <c r="E1913" s="1" t="s">
        <v>428</v>
      </c>
      <c r="F1913" s="1" t="s">
        <v>785</v>
      </c>
      <c r="G1913" s="1" t="s">
        <v>786</v>
      </c>
      <c r="H1913" s="1" t="s">
        <v>93</v>
      </c>
      <c r="I1913" s="1" t="s">
        <v>28</v>
      </c>
      <c r="J1913" s="1" t="s">
        <v>908</v>
      </c>
      <c r="K1913" s="1" t="s">
        <v>241</v>
      </c>
      <c r="L1913">
        <v>53209</v>
      </c>
      <c r="M1913" s="1" t="s">
        <v>96</v>
      </c>
      <c r="N1913" s="1" t="s">
        <v>503</v>
      </c>
      <c r="O1913" s="1" t="s">
        <v>33</v>
      </c>
      <c r="P1913" s="1" t="s">
        <v>59</v>
      </c>
      <c r="Q1913" s="1" t="s">
        <v>504</v>
      </c>
      <c r="R1913">
        <v>6</v>
      </c>
      <c r="S1913">
        <v>2</v>
      </c>
      <c r="T1913">
        <v>0</v>
      </c>
      <c r="U1913">
        <v>3</v>
      </c>
      <c r="V1913" s="1" t="s">
        <v>433</v>
      </c>
      <c r="W1913" s="1" t="s">
        <v>37</v>
      </c>
    </row>
    <row r="1914" spans="1:23" x14ac:dyDescent="0.35">
      <c r="A1914">
        <v>9013</v>
      </c>
      <c r="B1914" s="1" t="s">
        <v>4173</v>
      </c>
      <c r="C1914" s="2">
        <v>42421</v>
      </c>
      <c r="D1914" s="2">
        <v>42422</v>
      </c>
      <c r="E1914" s="1" t="s">
        <v>90</v>
      </c>
      <c r="F1914" s="1" t="s">
        <v>1514</v>
      </c>
      <c r="G1914" s="1" t="s">
        <v>1515</v>
      </c>
      <c r="H1914" s="1" t="s">
        <v>93</v>
      </c>
      <c r="I1914" s="1" t="s">
        <v>28</v>
      </c>
      <c r="J1914" s="1" t="s">
        <v>176</v>
      </c>
      <c r="K1914" s="1" t="s">
        <v>123</v>
      </c>
      <c r="L1914">
        <v>10011</v>
      </c>
      <c r="M1914" s="1" t="s">
        <v>70</v>
      </c>
      <c r="N1914" s="1" t="s">
        <v>366</v>
      </c>
      <c r="O1914" s="1" t="s">
        <v>33</v>
      </c>
      <c r="P1914" s="1" t="s">
        <v>59</v>
      </c>
      <c r="Q1914" s="1" t="s">
        <v>367</v>
      </c>
      <c r="R1914">
        <v>136</v>
      </c>
      <c r="S1914">
        <v>7</v>
      </c>
      <c r="T1914">
        <v>0</v>
      </c>
      <c r="U1914">
        <v>67</v>
      </c>
      <c r="V1914" s="1" t="s">
        <v>126</v>
      </c>
      <c r="W1914" s="1" t="s">
        <v>300</v>
      </c>
    </row>
    <row r="1915" spans="1:23" x14ac:dyDescent="0.35">
      <c r="A1915">
        <v>9021</v>
      </c>
      <c r="B1915" s="1" t="s">
        <v>4174</v>
      </c>
      <c r="C1915" s="2">
        <v>41989</v>
      </c>
      <c r="D1915" s="2">
        <v>41991</v>
      </c>
      <c r="E1915" s="1" t="s">
        <v>24</v>
      </c>
      <c r="F1915" s="1" t="s">
        <v>796</v>
      </c>
      <c r="G1915" s="1" t="s">
        <v>797</v>
      </c>
      <c r="H1915" s="1" t="s">
        <v>27</v>
      </c>
      <c r="I1915" s="1" t="s">
        <v>28</v>
      </c>
      <c r="J1915" s="1" t="s">
        <v>881</v>
      </c>
      <c r="K1915" s="1" t="s">
        <v>719</v>
      </c>
      <c r="L1915">
        <v>22153</v>
      </c>
      <c r="M1915" s="1" t="s">
        <v>31</v>
      </c>
      <c r="N1915" s="1" t="s">
        <v>1102</v>
      </c>
      <c r="O1915" s="1" t="s">
        <v>33</v>
      </c>
      <c r="P1915" s="1" t="s">
        <v>59</v>
      </c>
      <c r="Q1915" s="1" t="s">
        <v>1103</v>
      </c>
      <c r="R1915">
        <v>29</v>
      </c>
      <c r="S1915">
        <v>6</v>
      </c>
      <c r="T1915">
        <v>0</v>
      </c>
      <c r="U1915">
        <v>10</v>
      </c>
      <c r="V1915" s="1" t="s">
        <v>73</v>
      </c>
      <c r="W1915" s="1" t="s">
        <v>99</v>
      </c>
    </row>
    <row r="1916" spans="1:23" x14ac:dyDescent="0.35">
      <c r="A1916">
        <v>9023</v>
      </c>
      <c r="B1916" s="1" t="s">
        <v>4175</v>
      </c>
      <c r="C1916" s="2">
        <v>42604</v>
      </c>
      <c r="D1916" s="2">
        <v>42605</v>
      </c>
      <c r="E1916" s="1" t="s">
        <v>90</v>
      </c>
      <c r="F1916" s="1" t="s">
        <v>2279</v>
      </c>
      <c r="G1916" s="1" t="s">
        <v>2280</v>
      </c>
      <c r="H1916" s="1" t="s">
        <v>103</v>
      </c>
      <c r="I1916" s="1" t="s">
        <v>28</v>
      </c>
      <c r="J1916" s="1" t="s">
        <v>2346</v>
      </c>
      <c r="K1916" s="1" t="s">
        <v>183</v>
      </c>
      <c r="L1916">
        <v>80525</v>
      </c>
      <c r="M1916" s="1" t="s">
        <v>57</v>
      </c>
      <c r="N1916" s="1" t="s">
        <v>643</v>
      </c>
      <c r="O1916" s="1" t="s">
        <v>33</v>
      </c>
      <c r="P1916" s="1" t="s">
        <v>59</v>
      </c>
      <c r="Q1916" s="1" t="s">
        <v>644</v>
      </c>
      <c r="R1916">
        <v>98</v>
      </c>
      <c r="S1916">
        <v>3</v>
      </c>
      <c r="T1916">
        <v>0.2</v>
      </c>
      <c r="U1916">
        <v>10</v>
      </c>
      <c r="V1916" s="1" t="s">
        <v>126</v>
      </c>
      <c r="W1916" s="1" t="s">
        <v>256</v>
      </c>
    </row>
    <row r="1917" spans="1:23" x14ac:dyDescent="0.35">
      <c r="A1917">
        <v>9024</v>
      </c>
      <c r="B1917" s="1" t="s">
        <v>4176</v>
      </c>
      <c r="C1917" s="2">
        <v>42184</v>
      </c>
      <c r="D1917" s="2">
        <v>42187</v>
      </c>
      <c r="E1917" s="1" t="s">
        <v>90</v>
      </c>
      <c r="F1917" s="1" t="s">
        <v>1371</v>
      </c>
      <c r="G1917" s="1" t="s">
        <v>1372</v>
      </c>
      <c r="H1917" s="1" t="s">
        <v>27</v>
      </c>
      <c r="I1917" s="1" t="s">
        <v>28</v>
      </c>
      <c r="J1917" s="1" t="s">
        <v>176</v>
      </c>
      <c r="K1917" s="1" t="s">
        <v>123</v>
      </c>
      <c r="L1917">
        <v>10024</v>
      </c>
      <c r="M1917" s="1" t="s">
        <v>70</v>
      </c>
      <c r="N1917" s="1" t="s">
        <v>671</v>
      </c>
      <c r="O1917" s="1" t="s">
        <v>33</v>
      </c>
      <c r="P1917" s="1" t="s">
        <v>39</v>
      </c>
      <c r="Q1917" s="1" t="s">
        <v>672</v>
      </c>
      <c r="R1917">
        <v>118</v>
      </c>
      <c r="S1917">
        <v>1</v>
      </c>
      <c r="T1917">
        <v>0.1</v>
      </c>
      <c r="U1917">
        <v>1</v>
      </c>
      <c r="V1917" s="1" t="s">
        <v>36</v>
      </c>
      <c r="W1917" s="1" t="s">
        <v>62</v>
      </c>
    </row>
    <row r="1918" spans="1:23" x14ac:dyDescent="0.35">
      <c r="A1918">
        <v>9027</v>
      </c>
      <c r="B1918" s="1" t="s">
        <v>4177</v>
      </c>
      <c r="C1918" s="2">
        <v>42547</v>
      </c>
      <c r="D1918" s="2">
        <v>42553</v>
      </c>
      <c r="E1918" s="1" t="s">
        <v>42</v>
      </c>
      <c r="F1918" s="1" t="s">
        <v>3530</v>
      </c>
      <c r="G1918" s="1" t="s">
        <v>3531</v>
      </c>
      <c r="H1918" s="1" t="s">
        <v>93</v>
      </c>
      <c r="I1918" s="1" t="s">
        <v>28</v>
      </c>
      <c r="J1918" s="1" t="s">
        <v>176</v>
      </c>
      <c r="K1918" s="1" t="s">
        <v>123</v>
      </c>
      <c r="L1918">
        <v>10035</v>
      </c>
      <c r="M1918" s="1" t="s">
        <v>70</v>
      </c>
      <c r="N1918" s="1" t="s">
        <v>1271</v>
      </c>
      <c r="O1918" s="1" t="s">
        <v>33</v>
      </c>
      <c r="P1918" s="1" t="s">
        <v>59</v>
      </c>
      <c r="Q1918" s="1" t="s">
        <v>1272</v>
      </c>
      <c r="R1918">
        <v>38</v>
      </c>
      <c r="S1918">
        <v>3</v>
      </c>
      <c r="T1918">
        <v>0</v>
      </c>
      <c r="U1918">
        <v>13</v>
      </c>
      <c r="V1918" s="1" t="s">
        <v>132</v>
      </c>
      <c r="W1918" s="1" t="s">
        <v>62</v>
      </c>
    </row>
    <row r="1919" spans="1:23" x14ac:dyDescent="0.35">
      <c r="A1919">
        <v>9028</v>
      </c>
      <c r="B1919" s="1" t="s">
        <v>4178</v>
      </c>
      <c r="C1919" s="2">
        <v>42630</v>
      </c>
      <c r="D1919" s="2">
        <v>42635</v>
      </c>
      <c r="E1919" s="1" t="s">
        <v>42</v>
      </c>
      <c r="F1919" s="1" t="s">
        <v>158</v>
      </c>
      <c r="G1919" s="1" t="s">
        <v>159</v>
      </c>
      <c r="H1919" s="1" t="s">
        <v>27</v>
      </c>
      <c r="I1919" s="1" t="s">
        <v>28</v>
      </c>
      <c r="J1919" s="1" t="s">
        <v>4179</v>
      </c>
      <c r="K1919" s="1" t="s">
        <v>437</v>
      </c>
      <c r="L1919">
        <v>1752</v>
      </c>
      <c r="M1919" s="1" t="s">
        <v>70</v>
      </c>
      <c r="N1919" s="1" t="s">
        <v>805</v>
      </c>
      <c r="O1919" s="1" t="s">
        <v>33</v>
      </c>
      <c r="P1919" s="1" t="s">
        <v>59</v>
      </c>
      <c r="Q1919" s="1" t="s">
        <v>806</v>
      </c>
      <c r="R1919">
        <v>15</v>
      </c>
      <c r="S1919">
        <v>3</v>
      </c>
      <c r="T1919">
        <v>0</v>
      </c>
      <c r="U1919">
        <v>6</v>
      </c>
      <c r="V1919" s="1" t="s">
        <v>61</v>
      </c>
      <c r="W1919" s="1" t="s">
        <v>80</v>
      </c>
    </row>
    <row r="1920" spans="1:23" x14ac:dyDescent="0.35">
      <c r="A1920">
        <v>9029</v>
      </c>
      <c r="B1920" s="1" t="s">
        <v>4178</v>
      </c>
      <c r="C1920" s="2">
        <v>42630</v>
      </c>
      <c r="D1920" s="2">
        <v>42635</v>
      </c>
      <c r="E1920" s="1" t="s">
        <v>42</v>
      </c>
      <c r="F1920" s="1" t="s">
        <v>158</v>
      </c>
      <c r="G1920" s="1" t="s">
        <v>159</v>
      </c>
      <c r="H1920" s="1" t="s">
        <v>27</v>
      </c>
      <c r="I1920" s="1" t="s">
        <v>28</v>
      </c>
      <c r="J1920" s="1" t="s">
        <v>4179</v>
      </c>
      <c r="K1920" s="1" t="s">
        <v>437</v>
      </c>
      <c r="L1920">
        <v>1752</v>
      </c>
      <c r="M1920" s="1" t="s">
        <v>70</v>
      </c>
      <c r="N1920" s="1" t="s">
        <v>554</v>
      </c>
      <c r="O1920" s="1" t="s">
        <v>33</v>
      </c>
      <c r="P1920" s="1" t="s">
        <v>59</v>
      </c>
      <c r="Q1920" s="1" t="s">
        <v>555</v>
      </c>
      <c r="R1920">
        <v>192</v>
      </c>
      <c r="S1920">
        <v>3</v>
      </c>
      <c r="T1920">
        <v>0</v>
      </c>
      <c r="U1920">
        <v>61</v>
      </c>
      <c r="V1920" s="1" t="s">
        <v>61</v>
      </c>
      <c r="W1920" s="1" t="s">
        <v>80</v>
      </c>
    </row>
    <row r="1921" spans="1:23" x14ac:dyDescent="0.35">
      <c r="A1921">
        <v>9032</v>
      </c>
      <c r="B1921" s="1" t="s">
        <v>4180</v>
      </c>
      <c r="C1921" s="2">
        <v>42979</v>
      </c>
      <c r="D1921" s="2">
        <v>42979</v>
      </c>
      <c r="E1921" s="1" t="s">
        <v>428</v>
      </c>
      <c r="F1921" s="1" t="s">
        <v>1591</v>
      </c>
      <c r="G1921" s="1" t="s">
        <v>1592</v>
      </c>
      <c r="H1921" s="1" t="s">
        <v>93</v>
      </c>
      <c r="I1921" s="1" t="s">
        <v>28</v>
      </c>
      <c r="J1921" s="1" t="s">
        <v>194</v>
      </c>
      <c r="K1921" s="1" t="s">
        <v>195</v>
      </c>
      <c r="L1921">
        <v>98103</v>
      </c>
      <c r="M1921" s="1" t="s">
        <v>57</v>
      </c>
      <c r="N1921" s="1" t="s">
        <v>320</v>
      </c>
      <c r="O1921" s="1" t="s">
        <v>33</v>
      </c>
      <c r="P1921" s="1" t="s">
        <v>48</v>
      </c>
      <c r="Q1921" s="1" t="s">
        <v>321</v>
      </c>
      <c r="R1921">
        <v>284</v>
      </c>
      <c r="S1921">
        <v>4</v>
      </c>
      <c r="T1921">
        <v>0</v>
      </c>
      <c r="U1921">
        <v>45</v>
      </c>
      <c r="V1921" s="1" t="s">
        <v>433</v>
      </c>
      <c r="W1921" s="1" t="s">
        <v>80</v>
      </c>
    </row>
    <row r="1922" spans="1:23" x14ac:dyDescent="0.35">
      <c r="A1922">
        <v>9033</v>
      </c>
      <c r="B1922" s="1" t="s">
        <v>4181</v>
      </c>
      <c r="C1922" s="2">
        <v>42908</v>
      </c>
      <c r="D1922" s="2">
        <v>42912</v>
      </c>
      <c r="E1922" s="1" t="s">
        <v>42</v>
      </c>
      <c r="F1922" s="1" t="s">
        <v>674</v>
      </c>
      <c r="G1922" s="1" t="s">
        <v>675</v>
      </c>
      <c r="H1922" s="1" t="s">
        <v>103</v>
      </c>
      <c r="I1922" s="1" t="s">
        <v>28</v>
      </c>
      <c r="J1922" s="1" t="s">
        <v>291</v>
      </c>
      <c r="K1922" s="1" t="s">
        <v>292</v>
      </c>
      <c r="L1922">
        <v>48227</v>
      </c>
      <c r="M1922" s="1" t="s">
        <v>96</v>
      </c>
      <c r="N1922" s="1" t="s">
        <v>38</v>
      </c>
      <c r="O1922" s="1" t="s">
        <v>33</v>
      </c>
      <c r="P1922" s="1" t="s">
        <v>39</v>
      </c>
      <c r="Q1922" s="1" t="s">
        <v>40</v>
      </c>
      <c r="R1922">
        <v>488</v>
      </c>
      <c r="S1922">
        <v>2</v>
      </c>
      <c r="T1922">
        <v>0</v>
      </c>
      <c r="U1922">
        <v>146</v>
      </c>
      <c r="V1922" s="1" t="s">
        <v>86</v>
      </c>
      <c r="W1922" s="1" t="s">
        <v>62</v>
      </c>
    </row>
    <row r="1923" spans="1:23" x14ac:dyDescent="0.35">
      <c r="A1923">
        <v>9041</v>
      </c>
      <c r="B1923" s="1" t="s">
        <v>4182</v>
      </c>
      <c r="C1923" s="2">
        <v>41901</v>
      </c>
      <c r="D1923" s="2">
        <v>41906</v>
      </c>
      <c r="E1923" s="1" t="s">
        <v>42</v>
      </c>
      <c r="F1923" s="1" t="s">
        <v>4183</v>
      </c>
      <c r="G1923" s="1" t="s">
        <v>4184</v>
      </c>
      <c r="H1923" s="1" t="s">
        <v>93</v>
      </c>
      <c r="I1923" s="1" t="s">
        <v>28</v>
      </c>
      <c r="J1923" s="1" t="s">
        <v>3061</v>
      </c>
      <c r="K1923" s="1" t="s">
        <v>523</v>
      </c>
      <c r="L1923">
        <v>85224</v>
      </c>
      <c r="M1923" s="1" t="s">
        <v>57</v>
      </c>
      <c r="N1923" s="1" t="s">
        <v>1468</v>
      </c>
      <c r="O1923" s="1" t="s">
        <v>33</v>
      </c>
      <c r="P1923" s="1" t="s">
        <v>48</v>
      </c>
      <c r="Q1923" s="1" t="s">
        <v>1469</v>
      </c>
      <c r="R1923">
        <v>74</v>
      </c>
      <c r="S1923">
        <v>1</v>
      </c>
      <c r="T1923">
        <v>0.5</v>
      </c>
      <c r="U1923">
        <v>-46</v>
      </c>
      <c r="V1923" s="1" t="s">
        <v>61</v>
      </c>
      <c r="W1923" s="1" t="s">
        <v>80</v>
      </c>
    </row>
    <row r="1924" spans="1:23" x14ac:dyDescent="0.35">
      <c r="A1924">
        <v>9042</v>
      </c>
      <c r="B1924" s="1" t="s">
        <v>4185</v>
      </c>
      <c r="C1924" s="2">
        <v>41910</v>
      </c>
      <c r="D1924" s="2">
        <v>41915</v>
      </c>
      <c r="E1924" s="1" t="s">
        <v>42</v>
      </c>
      <c r="F1924" s="1" t="s">
        <v>3452</v>
      </c>
      <c r="G1924" s="1" t="s">
        <v>3453</v>
      </c>
      <c r="H1924" s="1" t="s">
        <v>27</v>
      </c>
      <c r="I1924" s="1" t="s">
        <v>28</v>
      </c>
      <c r="J1924" s="1" t="s">
        <v>4186</v>
      </c>
      <c r="K1924" s="1" t="s">
        <v>46</v>
      </c>
      <c r="L1924">
        <v>33021</v>
      </c>
      <c r="M1924" s="1" t="s">
        <v>31</v>
      </c>
      <c r="N1924" s="1" t="s">
        <v>3620</v>
      </c>
      <c r="O1924" s="1" t="s">
        <v>33</v>
      </c>
      <c r="P1924" s="1" t="s">
        <v>59</v>
      </c>
      <c r="Q1924" s="1" t="s">
        <v>3621</v>
      </c>
      <c r="R1924">
        <v>337</v>
      </c>
      <c r="S1924">
        <v>4</v>
      </c>
      <c r="T1924">
        <v>0.2</v>
      </c>
      <c r="U1924">
        <v>17</v>
      </c>
      <c r="V1924" s="1" t="s">
        <v>61</v>
      </c>
      <c r="W1924" s="1" t="s">
        <v>80</v>
      </c>
    </row>
    <row r="1925" spans="1:23" x14ac:dyDescent="0.35">
      <c r="A1925">
        <v>9057</v>
      </c>
      <c r="B1925" s="1" t="s">
        <v>4187</v>
      </c>
      <c r="C1925" s="2">
        <v>42310</v>
      </c>
      <c r="D1925" s="2">
        <v>42312</v>
      </c>
      <c r="E1925" s="1" t="s">
        <v>90</v>
      </c>
      <c r="F1925" s="1" t="s">
        <v>2654</v>
      </c>
      <c r="G1925" s="1" t="s">
        <v>2655</v>
      </c>
      <c r="H1925" s="1" t="s">
        <v>103</v>
      </c>
      <c r="I1925" s="1" t="s">
        <v>28</v>
      </c>
      <c r="J1925" s="1" t="s">
        <v>176</v>
      </c>
      <c r="K1925" s="1" t="s">
        <v>123</v>
      </c>
      <c r="L1925">
        <v>10011</v>
      </c>
      <c r="M1925" s="1" t="s">
        <v>70</v>
      </c>
      <c r="N1925" s="1" t="s">
        <v>3594</v>
      </c>
      <c r="O1925" s="1" t="s">
        <v>33</v>
      </c>
      <c r="P1925" s="1" t="s">
        <v>39</v>
      </c>
      <c r="Q1925" s="1" t="s">
        <v>3595</v>
      </c>
      <c r="R1925">
        <v>2621</v>
      </c>
      <c r="S1925">
        <v>11</v>
      </c>
      <c r="T1925">
        <v>0.1</v>
      </c>
      <c r="U1925">
        <v>553</v>
      </c>
      <c r="V1925" s="1" t="s">
        <v>73</v>
      </c>
      <c r="W1925" s="1" t="s">
        <v>37</v>
      </c>
    </row>
    <row r="1926" spans="1:23" x14ac:dyDescent="0.35">
      <c r="A1926">
        <v>9058</v>
      </c>
      <c r="B1926" s="1" t="s">
        <v>4188</v>
      </c>
      <c r="C1926" s="2">
        <v>42297</v>
      </c>
      <c r="D1926" s="2">
        <v>42301</v>
      </c>
      <c r="E1926" s="1" t="s">
        <v>42</v>
      </c>
      <c r="F1926" s="1" t="s">
        <v>2920</v>
      </c>
      <c r="G1926" s="1" t="s">
        <v>2921</v>
      </c>
      <c r="H1926" s="1" t="s">
        <v>27</v>
      </c>
      <c r="I1926" s="1" t="s">
        <v>28</v>
      </c>
      <c r="J1926" s="1" t="s">
        <v>55</v>
      </c>
      <c r="K1926" s="1" t="s">
        <v>56</v>
      </c>
      <c r="L1926">
        <v>90045</v>
      </c>
      <c r="M1926" s="1" t="s">
        <v>57</v>
      </c>
      <c r="N1926" s="1" t="s">
        <v>2888</v>
      </c>
      <c r="O1926" s="1" t="s">
        <v>33</v>
      </c>
      <c r="P1926" s="1" t="s">
        <v>59</v>
      </c>
      <c r="Q1926" s="1" t="s">
        <v>2889</v>
      </c>
      <c r="R1926">
        <v>75</v>
      </c>
      <c r="S1926">
        <v>7</v>
      </c>
      <c r="T1926">
        <v>0</v>
      </c>
      <c r="U1926">
        <v>24</v>
      </c>
      <c r="V1926" s="1" t="s">
        <v>86</v>
      </c>
      <c r="W1926" s="1" t="s">
        <v>51</v>
      </c>
    </row>
    <row r="1927" spans="1:23" x14ac:dyDescent="0.35">
      <c r="A1927">
        <v>9059</v>
      </c>
      <c r="B1927" s="1" t="s">
        <v>4188</v>
      </c>
      <c r="C1927" s="2">
        <v>42297</v>
      </c>
      <c r="D1927" s="2">
        <v>42301</v>
      </c>
      <c r="E1927" s="1" t="s">
        <v>42</v>
      </c>
      <c r="F1927" s="1" t="s">
        <v>2920</v>
      </c>
      <c r="G1927" s="1" t="s">
        <v>2921</v>
      </c>
      <c r="H1927" s="1" t="s">
        <v>27</v>
      </c>
      <c r="I1927" s="1" t="s">
        <v>28</v>
      </c>
      <c r="J1927" s="1" t="s">
        <v>55</v>
      </c>
      <c r="K1927" s="1" t="s">
        <v>56</v>
      </c>
      <c r="L1927">
        <v>90045</v>
      </c>
      <c r="M1927" s="1" t="s">
        <v>57</v>
      </c>
      <c r="N1927" s="1" t="s">
        <v>3192</v>
      </c>
      <c r="O1927" s="1" t="s">
        <v>33</v>
      </c>
      <c r="P1927" s="1" t="s">
        <v>48</v>
      </c>
      <c r="Q1927" s="1" t="s">
        <v>3193</v>
      </c>
      <c r="R1927">
        <v>365</v>
      </c>
      <c r="S1927">
        <v>3</v>
      </c>
      <c r="T1927">
        <v>0.2</v>
      </c>
      <c r="U1927">
        <v>27</v>
      </c>
      <c r="V1927" s="1" t="s">
        <v>86</v>
      </c>
      <c r="W1927" s="1" t="s">
        <v>51</v>
      </c>
    </row>
    <row r="1928" spans="1:23" x14ac:dyDescent="0.35">
      <c r="A1928">
        <v>9060</v>
      </c>
      <c r="B1928" s="1" t="s">
        <v>4189</v>
      </c>
      <c r="C1928" s="2">
        <v>42535</v>
      </c>
      <c r="D1928" s="2">
        <v>42539</v>
      </c>
      <c r="E1928" s="1" t="s">
        <v>42</v>
      </c>
      <c r="F1928" s="1" t="s">
        <v>683</v>
      </c>
      <c r="G1928" s="1" t="s">
        <v>684</v>
      </c>
      <c r="H1928" s="1" t="s">
        <v>93</v>
      </c>
      <c r="I1928" s="1" t="s">
        <v>28</v>
      </c>
      <c r="J1928" s="1" t="s">
        <v>194</v>
      </c>
      <c r="K1928" s="1" t="s">
        <v>195</v>
      </c>
      <c r="L1928">
        <v>98103</v>
      </c>
      <c r="M1928" s="1" t="s">
        <v>57</v>
      </c>
      <c r="N1928" s="1" t="s">
        <v>1137</v>
      </c>
      <c r="O1928" s="1" t="s">
        <v>33</v>
      </c>
      <c r="P1928" s="1" t="s">
        <v>48</v>
      </c>
      <c r="Q1928" s="1" t="s">
        <v>1138</v>
      </c>
      <c r="R1928">
        <v>1115</v>
      </c>
      <c r="S1928">
        <v>7</v>
      </c>
      <c r="T1928">
        <v>0</v>
      </c>
      <c r="U1928">
        <v>335</v>
      </c>
      <c r="V1928" s="1" t="s">
        <v>86</v>
      </c>
      <c r="W1928" s="1" t="s">
        <v>62</v>
      </c>
    </row>
    <row r="1929" spans="1:23" x14ac:dyDescent="0.35">
      <c r="A1929">
        <v>9069</v>
      </c>
      <c r="B1929" s="1" t="s">
        <v>4190</v>
      </c>
      <c r="C1929" s="2">
        <v>42615</v>
      </c>
      <c r="D1929" s="2">
        <v>42618</v>
      </c>
      <c r="E1929" s="1" t="s">
        <v>24</v>
      </c>
      <c r="F1929" s="1" t="s">
        <v>246</v>
      </c>
      <c r="G1929" s="1" t="s">
        <v>247</v>
      </c>
      <c r="H1929" s="1" t="s">
        <v>27</v>
      </c>
      <c r="I1929" s="1" t="s">
        <v>28</v>
      </c>
      <c r="J1929" s="1" t="s">
        <v>803</v>
      </c>
      <c r="K1929" s="1" t="s">
        <v>195</v>
      </c>
      <c r="L1929">
        <v>98198</v>
      </c>
      <c r="M1929" s="1" t="s">
        <v>57</v>
      </c>
      <c r="N1929" s="1" t="s">
        <v>117</v>
      </c>
      <c r="O1929" s="1" t="s">
        <v>33</v>
      </c>
      <c r="P1929" s="1" t="s">
        <v>39</v>
      </c>
      <c r="Q1929" s="1" t="s">
        <v>118</v>
      </c>
      <c r="R1929">
        <v>216</v>
      </c>
      <c r="S1929">
        <v>3</v>
      </c>
      <c r="T1929">
        <v>0.2</v>
      </c>
      <c r="U1929">
        <v>-3</v>
      </c>
      <c r="V1929" s="1" t="s">
        <v>36</v>
      </c>
      <c r="W1929" s="1" t="s">
        <v>80</v>
      </c>
    </row>
    <row r="1930" spans="1:23" x14ac:dyDescent="0.35">
      <c r="A1930">
        <v>9071</v>
      </c>
      <c r="B1930" s="1" t="s">
        <v>4191</v>
      </c>
      <c r="C1930" s="2">
        <v>43073</v>
      </c>
      <c r="D1930" s="2">
        <v>43074</v>
      </c>
      <c r="E1930" s="1" t="s">
        <v>90</v>
      </c>
      <c r="F1930" s="1" t="s">
        <v>2595</v>
      </c>
      <c r="G1930" s="1" t="s">
        <v>2596</v>
      </c>
      <c r="H1930" s="1" t="s">
        <v>93</v>
      </c>
      <c r="I1930" s="1" t="s">
        <v>28</v>
      </c>
      <c r="J1930" s="1" t="s">
        <v>68</v>
      </c>
      <c r="K1930" s="1" t="s">
        <v>69</v>
      </c>
      <c r="L1930">
        <v>19134</v>
      </c>
      <c r="M1930" s="1" t="s">
        <v>70</v>
      </c>
      <c r="N1930" s="1" t="s">
        <v>382</v>
      </c>
      <c r="O1930" s="1" t="s">
        <v>33</v>
      </c>
      <c r="P1930" s="1" t="s">
        <v>59</v>
      </c>
      <c r="Q1930" s="1" t="s">
        <v>383</v>
      </c>
      <c r="R1930">
        <v>11</v>
      </c>
      <c r="S1930">
        <v>3</v>
      </c>
      <c r="T1930">
        <v>0.2</v>
      </c>
      <c r="U1930">
        <v>3</v>
      </c>
      <c r="V1930" s="1" t="s">
        <v>126</v>
      </c>
      <c r="W1930" s="1" t="s">
        <v>99</v>
      </c>
    </row>
    <row r="1931" spans="1:23" x14ac:dyDescent="0.35">
      <c r="A1931">
        <v>9079</v>
      </c>
      <c r="B1931" s="1" t="s">
        <v>4192</v>
      </c>
      <c r="C1931" s="2">
        <v>42416</v>
      </c>
      <c r="D1931" s="2">
        <v>42423</v>
      </c>
      <c r="E1931" s="1" t="s">
        <v>42</v>
      </c>
      <c r="F1931" s="1" t="s">
        <v>4000</v>
      </c>
      <c r="G1931" s="1" t="s">
        <v>4001</v>
      </c>
      <c r="H1931" s="1" t="s">
        <v>27</v>
      </c>
      <c r="I1931" s="1" t="s">
        <v>28</v>
      </c>
      <c r="J1931" s="1" t="s">
        <v>29</v>
      </c>
      <c r="K1931" s="1" t="s">
        <v>30</v>
      </c>
      <c r="L1931">
        <v>42420</v>
      </c>
      <c r="M1931" s="1" t="s">
        <v>31</v>
      </c>
      <c r="N1931" s="1" t="s">
        <v>221</v>
      </c>
      <c r="O1931" s="1" t="s">
        <v>33</v>
      </c>
      <c r="P1931" s="1" t="s">
        <v>59</v>
      </c>
      <c r="Q1931" s="1" t="s">
        <v>222</v>
      </c>
      <c r="R1931">
        <v>318</v>
      </c>
      <c r="S1931">
        <v>4</v>
      </c>
      <c r="T1931">
        <v>0</v>
      </c>
      <c r="U1931">
        <v>35</v>
      </c>
      <c r="V1931" s="1" t="s">
        <v>50</v>
      </c>
      <c r="W1931" s="1" t="s">
        <v>300</v>
      </c>
    </row>
    <row r="1932" spans="1:23" x14ac:dyDescent="0.35">
      <c r="A1932">
        <v>9088</v>
      </c>
      <c r="B1932" s="1" t="s">
        <v>4193</v>
      </c>
      <c r="C1932" s="2">
        <v>42639</v>
      </c>
      <c r="D1932" s="2">
        <v>42643</v>
      </c>
      <c r="E1932" s="1" t="s">
        <v>42</v>
      </c>
      <c r="F1932" s="1" t="s">
        <v>4194</v>
      </c>
      <c r="G1932" s="1" t="s">
        <v>4195</v>
      </c>
      <c r="H1932" s="1" t="s">
        <v>93</v>
      </c>
      <c r="I1932" s="1" t="s">
        <v>28</v>
      </c>
      <c r="J1932" s="1" t="s">
        <v>104</v>
      </c>
      <c r="K1932" s="1" t="s">
        <v>95</v>
      </c>
      <c r="L1932">
        <v>77041</v>
      </c>
      <c r="M1932" s="1" t="s">
        <v>96</v>
      </c>
      <c r="N1932" s="1" t="s">
        <v>145</v>
      </c>
      <c r="O1932" s="1" t="s">
        <v>33</v>
      </c>
      <c r="P1932" s="1" t="s">
        <v>39</v>
      </c>
      <c r="Q1932" s="1" t="s">
        <v>146</v>
      </c>
      <c r="R1932">
        <v>455</v>
      </c>
      <c r="S1932">
        <v>5</v>
      </c>
      <c r="T1932">
        <v>0.3</v>
      </c>
      <c r="U1932">
        <v>-136</v>
      </c>
      <c r="V1932" s="1" t="s">
        <v>86</v>
      </c>
      <c r="W1932" s="1" t="s">
        <v>80</v>
      </c>
    </row>
    <row r="1933" spans="1:23" x14ac:dyDescent="0.35">
      <c r="A1933">
        <v>9093</v>
      </c>
      <c r="B1933" s="1" t="s">
        <v>4196</v>
      </c>
      <c r="C1933" s="2">
        <v>42183</v>
      </c>
      <c r="D1933" s="2">
        <v>42188</v>
      </c>
      <c r="E1933" s="1" t="s">
        <v>24</v>
      </c>
      <c r="F1933" s="1" t="s">
        <v>1941</v>
      </c>
      <c r="G1933" s="1" t="s">
        <v>1942</v>
      </c>
      <c r="H1933" s="1" t="s">
        <v>93</v>
      </c>
      <c r="I1933" s="1" t="s">
        <v>28</v>
      </c>
      <c r="J1933" s="1" t="s">
        <v>122</v>
      </c>
      <c r="K1933" s="1" t="s">
        <v>234</v>
      </c>
      <c r="L1933">
        <v>45373</v>
      </c>
      <c r="M1933" s="1" t="s">
        <v>70</v>
      </c>
      <c r="N1933" s="1" t="s">
        <v>1551</v>
      </c>
      <c r="O1933" s="1" t="s">
        <v>33</v>
      </c>
      <c r="P1933" s="1" t="s">
        <v>34</v>
      </c>
      <c r="Q1933" s="1" t="s">
        <v>1552</v>
      </c>
      <c r="R1933">
        <v>483</v>
      </c>
      <c r="S1933">
        <v>6</v>
      </c>
      <c r="T1933">
        <v>0.5</v>
      </c>
      <c r="U1933">
        <v>-377</v>
      </c>
      <c r="V1933" s="1" t="s">
        <v>61</v>
      </c>
      <c r="W1933" s="1" t="s">
        <v>62</v>
      </c>
    </row>
    <row r="1934" spans="1:23" x14ac:dyDescent="0.35">
      <c r="A1934">
        <v>9104</v>
      </c>
      <c r="B1934" s="1" t="s">
        <v>4197</v>
      </c>
      <c r="C1934" s="2">
        <v>42315</v>
      </c>
      <c r="D1934" s="2">
        <v>42320</v>
      </c>
      <c r="E1934" s="1" t="s">
        <v>42</v>
      </c>
      <c r="F1934" s="1" t="s">
        <v>1265</v>
      </c>
      <c r="G1934" s="1" t="s">
        <v>1266</v>
      </c>
      <c r="H1934" s="1" t="s">
        <v>27</v>
      </c>
      <c r="I1934" s="1" t="s">
        <v>28</v>
      </c>
      <c r="J1934" s="1" t="s">
        <v>104</v>
      </c>
      <c r="K1934" s="1" t="s">
        <v>95</v>
      </c>
      <c r="L1934">
        <v>77041</v>
      </c>
      <c r="M1934" s="1" t="s">
        <v>96</v>
      </c>
      <c r="N1934" s="1" t="s">
        <v>2398</v>
      </c>
      <c r="O1934" s="1" t="s">
        <v>33</v>
      </c>
      <c r="P1934" s="1" t="s">
        <v>59</v>
      </c>
      <c r="Q1934" s="1" t="s">
        <v>2399</v>
      </c>
      <c r="R1934">
        <v>65</v>
      </c>
      <c r="S1934">
        <v>5</v>
      </c>
      <c r="T1934">
        <v>0.6</v>
      </c>
      <c r="U1934">
        <v>-84</v>
      </c>
      <c r="V1934" s="1" t="s">
        <v>61</v>
      </c>
      <c r="W1934" s="1" t="s">
        <v>37</v>
      </c>
    </row>
    <row r="1935" spans="1:23" x14ac:dyDescent="0.35">
      <c r="A1935">
        <v>9117</v>
      </c>
      <c r="B1935" s="1" t="s">
        <v>4198</v>
      </c>
      <c r="C1935" s="2">
        <v>42754</v>
      </c>
      <c r="D1935" s="2">
        <v>42759</v>
      </c>
      <c r="E1935" s="1" t="s">
        <v>24</v>
      </c>
      <c r="F1935" s="1" t="s">
        <v>1766</v>
      </c>
      <c r="G1935" s="1" t="s">
        <v>1767</v>
      </c>
      <c r="H1935" s="1" t="s">
        <v>27</v>
      </c>
      <c r="I1935" s="1" t="s">
        <v>28</v>
      </c>
      <c r="J1935" s="1" t="s">
        <v>68</v>
      </c>
      <c r="K1935" s="1" t="s">
        <v>69</v>
      </c>
      <c r="L1935">
        <v>19140</v>
      </c>
      <c r="M1935" s="1" t="s">
        <v>70</v>
      </c>
      <c r="N1935" s="1" t="s">
        <v>700</v>
      </c>
      <c r="O1935" s="1" t="s">
        <v>33</v>
      </c>
      <c r="P1935" s="1" t="s">
        <v>59</v>
      </c>
      <c r="Q1935" s="1" t="s">
        <v>701</v>
      </c>
      <c r="R1935">
        <v>32</v>
      </c>
      <c r="S1935">
        <v>2</v>
      </c>
      <c r="T1935">
        <v>0.2</v>
      </c>
      <c r="U1935">
        <v>6</v>
      </c>
      <c r="V1935" s="1" t="s">
        <v>61</v>
      </c>
      <c r="W1935" s="1" t="s">
        <v>172</v>
      </c>
    </row>
    <row r="1936" spans="1:23" x14ac:dyDescent="0.35">
      <c r="A1936">
        <v>9118</v>
      </c>
      <c r="B1936" s="1" t="s">
        <v>4198</v>
      </c>
      <c r="C1936" s="2">
        <v>42754</v>
      </c>
      <c r="D1936" s="2">
        <v>42759</v>
      </c>
      <c r="E1936" s="1" t="s">
        <v>24</v>
      </c>
      <c r="F1936" s="1" t="s">
        <v>1766</v>
      </c>
      <c r="G1936" s="1" t="s">
        <v>1767</v>
      </c>
      <c r="H1936" s="1" t="s">
        <v>27</v>
      </c>
      <c r="I1936" s="1" t="s">
        <v>28</v>
      </c>
      <c r="J1936" s="1" t="s">
        <v>68</v>
      </c>
      <c r="K1936" s="1" t="s">
        <v>69</v>
      </c>
      <c r="L1936">
        <v>19140</v>
      </c>
      <c r="M1936" s="1" t="s">
        <v>70</v>
      </c>
      <c r="N1936" s="1" t="s">
        <v>984</v>
      </c>
      <c r="O1936" s="1" t="s">
        <v>33</v>
      </c>
      <c r="P1936" s="1" t="s">
        <v>39</v>
      </c>
      <c r="Q1936" s="1" t="s">
        <v>985</v>
      </c>
      <c r="R1936">
        <v>887</v>
      </c>
      <c r="S1936">
        <v>3</v>
      </c>
      <c r="T1936">
        <v>0.3</v>
      </c>
      <c r="U1936">
        <v>-63</v>
      </c>
      <c r="V1936" s="1" t="s">
        <v>61</v>
      </c>
      <c r="W1936" s="1" t="s">
        <v>172</v>
      </c>
    </row>
    <row r="1937" spans="1:23" x14ac:dyDescent="0.35">
      <c r="A1937">
        <v>9125</v>
      </c>
      <c r="B1937" s="1" t="s">
        <v>4199</v>
      </c>
      <c r="C1937" s="2">
        <v>42600</v>
      </c>
      <c r="D1937" s="2">
        <v>42602</v>
      </c>
      <c r="E1937" s="1" t="s">
        <v>24</v>
      </c>
      <c r="F1937" s="1" t="s">
        <v>3036</v>
      </c>
      <c r="G1937" s="1" t="s">
        <v>3037</v>
      </c>
      <c r="H1937" s="1" t="s">
        <v>103</v>
      </c>
      <c r="I1937" s="1" t="s">
        <v>28</v>
      </c>
      <c r="J1937" s="1" t="s">
        <v>104</v>
      </c>
      <c r="K1937" s="1" t="s">
        <v>95</v>
      </c>
      <c r="L1937">
        <v>77070</v>
      </c>
      <c r="M1937" s="1" t="s">
        <v>96</v>
      </c>
      <c r="N1937" s="1" t="s">
        <v>930</v>
      </c>
      <c r="O1937" s="1" t="s">
        <v>33</v>
      </c>
      <c r="P1937" s="1" t="s">
        <v>59</v>
      </c>
      <c r="Q1937" s="1" t="s">
        <v>319</v>
      </c>
      <c r="R1937">
        <v>10</v>
      </c>
      <c r="S1937">
        <v>3</v>
      </c>
      <c r="T1937">
        <v>0.6</v>
      </c>
      <c r="U1937">
        <v>-4</v>
      </c>
      <c r="V1937" s="1" t="s">
        <v>73</v>
      </c>
      <c r="W1937" s="1" t="s">
        <v>256</v>
      </c>
    </row>
    <row r="1938" spans="1:23" x14ac:dyDescent="0.35">
      <c r="A1938">
        <v>9126</v>
      </c>
      <c r="B1938" s="1" t="s">
        <v>4199</v>
      </c>
      <c r="C1938" s="2">
        <v>42600</v>
      </c>
      <c r="D1938" s="2">
        <v>42602</v>
      </c>
      <c r="E1938" s="1" t="s">
        <v>24</v>
      </c>
      <c r="F1938" s="1" t="s">
        <v>3036</v>
      </c>
      <c r="G1938" s="1" t="s">
        <v>3037</v>
      </c>
      <c r="H1938" s="1" t="s">
        <v>103</v>
      </c>
      <c r="I1938" s="1" t="s">
        <v>28</v>
      </c>
      <c r="J1938" s="1" t="s">
        <v>104</v>
      </c>
      <c r="K1938" s="1" t="s">
        <v>95</v>
      </c>
      <c r="L1938">
        <v>77070</v>
      </c>
      <c r="M1938" s="1" t="s">
        <v>96</v>
      </c>
      <c r="N1938" s="1" t="s">
        <v>2428</v>
      </c>
      <c r="O1938" s="1" t="s">
        <v>33</v>
      </c>
      <c r="P1938" s="1" t="s">
        <v>59</v>
      </c>
      <c r="Q1938" s="1" t="s">
        <v>2429</v>
      </c>
      <c r="R1938">
        <v>5</v>
      </c>
      <c r="S1938">
        <v>4</v>
      </c>
      <c r="T1938">
        <v>0.6</v>
      </c>
      <c r="U1938">
        <v>-2</v>
      </c>
      <c r="V1938" s="1" t="s">
        <v>73</v>
      </c>
      <c r="W1938" s="1" t="s">
        <v>256</v>
      </c>
    </row>
    <row r="1939" spans="1:23" x14ac:dyDescent="0.35">
      <c r="A1939">
        <v>9130</v>
      </c>
      <c r="B1939" s="1" t="s">
        <v>4200</v>
      </c>
      <c r="C1939" s="2">
        <v>42453</v>
      </c>
      <c r="D1939" s="2">
        <v>42455</v>
      </c>
      <c r="E1939" s="1" t="s">
        <v>24</v>
      </c>
      <c r="F1939" s="1" t="s">
        <v>3881</v>
      </c>
      <c r="G1939" s="1" t="s">
        <v>3882</v>
      </c>
      <c r="H1939" s="1" t="s">
        <v>27</v>
      </c>
      <c r="I1939" s="1" t="s">
        <v>28</v>
      </c>
      <c r="J1939" s="1" t="s">
        <v>696</v>
      </c>
      <c r="K1939" s="1" t="s">
        <v>234</v>
      </c>
      <c r="L1939">
        <v>44105</v>
      </c>
      <c r="M1939" s="1" t="s">
        <v>70</v>
      </c>
      <c r="N1939" s="1" t="s">
        <v>1970</v>
      </c>
      <c r="O1939" s="1" t="s">
        <v>33</v>
      </c>
      <c r="P1939" s="1" t="s">
        <v>34</v>
      </c>
      <c r="Q1939" s="1" t="s">
        <v>1971</v>
      </c>
      <c r="R1939">
        <v>301</v>
      </c>
      <c r="S1939">
        <v>3</v>
      </c>
      <c r="T1939">
        <v>0.5</v>
      </c>
      <c r="U1939">
        <v>-241</v>
      </c>
      <c r="V1939" s="1" t="s">
        <v>73</v>
      </c>
      <c r="W1939" s="1" t="s">
        <v>198</v>
      </c>
    </row>
    <row r="1940" spans="1:23" x14ac:dyDescent="0.35">
      <c r="A1940">
        <v>9132</v>
      </c>
      <c r="B1940" s="1" t="s">
        <v>4201</v>
      </c>
      <c r="C1940" s="2">
        <v>42883</v>
      </c>
      <c r="D1940" s="2">
        <v>42887</v>
      </c>
      <c r="E1940" s="1" t="s">
        <v>42</v>
      </c>
      <c r="F1940" s="1" t="s">
        <v>2097</v>
      </c>
      <c r="G1940" s="1" t="s">
        <v>2098</v>
      </c>
      <c r="H1940" s="1" t="s">
        <v>93</v>
      </c>
      <c r="I1940" s="1" t="s">
        <v>28</v>
      </c>
      <c r="J1940" s="1" t="s">
        <v>4202</v>
      </c>
      <c r="K1940" s="1" t="s">
        <v>1092</v>
      </c>
      <c r="L1940">
        <v>20707</v>
      </c>
      <c r="M1940" s="1" t="s">
        <v>70</v>
      </c>
      <c r="N1940" s="1" t="s">
        <v>1293</v>
      </c>
      <c r="O1940" s="1" t="s">
        <v>33</v>
      </c>
      <c r="P1940" s="1" t="s">
        <v>59</v>
      </c>
      <c r="Q1940" s="1" t="s">
        <v>1294</v>
      </c>
      <c r="R1940">
        <v>27</v>
      </c>
      <c r="S1940">
        <v>2</v>
      </c>
      <c r="T1940">
        <v>0</v>
      </c>
      <c r="U1940">
        <v>10</v>
      </c>
      <c r="V1940" s="1" t="s">
        <v>86</v>
      </c>
      <c r="W1940" s="1" t="s">
        <v>164</v>
      </c>
    </row>
    <row r="1941" spans="1:23" x14ac:dyDescent="0.35">
      <c r="A1941">
        <v>9155</v>
      </c>
      <c r="B1941" s="1" t="s">
        <v>4203</v>
      </c>
      <c r="C1941" s="2">
        <v>42583</v>
      </c>
      <c r="D1941" s="2">
        <v>42585</v>
      </c>
      <c r="E1941" s="1" t="s">
        <v>24</v>
      </c>
      <c r="F1941" s="1" t="s">
        <v>4204</v>
      </c>
      <c r="G1941" s="1" t="s">
        <v>4205</v>
      </c>
      <c r="H1941" s="1" t="s">
        <v>27</v>
      </c>
      <c r="I1941" s="1" t="s">
        <v>28</v>
      </c>
      <c r="J1941" s="1" t="s">
        <v>68</v>
      </c>
      <c r="K1941" s="1" t="s">
        <v>69</v>
      </c>
      <c r="L1941">
        <v>19140</v>
      </c>
      <c r="M1941" s="1" t="s">
        <v>70</v>
      </c>
      <c r="N1941" s="1" t="s">
        <v>554</v>
      </c>
      <c r="O1941" s="1" t="s">
        <v>33</v>
      </c>
      <c r="P1941" s="1" t="s">
        <v>59</v>
      </c>
      <c r="Q1941" s="1" t="s">
        <v>3128</v>
      </c>
      <c r="R1941">
        <v>19</v>
      </c>
      <c r="S1941">
        <v>2</v>
      </c>
      <c r="T1941">
        <v>0.2</v>
      </c>
      <c r="U1941">
        <v>3</v>
      </c>
      <c r="V1941" s="1" t="s">
        <v>73</v>
      </c>
      <c r="W1941" s="1" t="s">
        <v>256</v>
      </c>
    </row>
    <row r="1942" spans="1:23" x14ac:dyDescent="0.35">
      <c r="A1942">
        <v>9162</v>
      </c>
      <c r="B1942" s="1" t="s">
        <v>4206</v>
      </c>
      <c r="C1942" s="2">
        <v>42712</v>
      </c>
      <c r="D1942" s="2">
        <v>42716</v>
      </c>
      <c r="E1942" s="1" t="s">
        <v>42</v>
      </c>
      <c r="F1942" s="1" t="s">
        <v>1475</v>
      </c>
      <c r="G1942" s="1" t="s">
        <v>1476</v>
      </c>
      <c r="H1942" s="1" t="s">
        <v>27</v>
      </c>
      <c r="I1942" s="1" t="s">
        <v>28</v>
      </c>
      <c r="J1942" s="1" t="s">
        <v>4207</v>
      </c>
      <c r="K1942" s="1" t="s">
        <v>241</v>
      </c>
      <c r="L1942">
        <v>54703</v>
      </c>
      <c r="M1942" s="1" t="s">
        <v>96</v>
      </c>
      <c r="N1942" s="1" t="s">
        <v>1956</v>
      </c>
      <c r="O1942" s="1" t="s">
        <v>33</v>
      </c>
      <c r="P1942" s="1" t="s">
        <v>34</v>
      </c>
      <c r="Q1942" s="1" t="s">
        <v>1957</v>
      </c>
      <c r="R1942">
        <v>406</v>
      </c>
      <c r="S1942">
        <v>7</v>
      </c>
      <c r="T1942">
        <v>0</v>
      </c>
      <c r="U1942">
        <v>32</v>
      </c>
      <c r="V1942" s="1" t="s">
        <v>86</v>
      </c>
      <c r="W1942" s="1" t="s">
        <v>99</v>
      </c>
    </row>
    <row r="1943" spans="1:23" x14ac:dyDescent="0.35">
      <c r="A1943">
        <v>9163</v>
      </c>
      <c r="B1943" s="1" t="s">
        <v>4206</v>
      </c>
      <c r="C1943" s="2">
        <v>42712</v>
      </c>
      <c r="D1943" s="2">
        <v>42716</v>
      </c>
      <c r="E1943" s="1" t="s">
        <v>42</v>
      </c>
      <c r="F1943" s="1" t="s">
        <v>1475</v>
      </c>
      <c r="G1943" s="1" t="s">
        <v>1476</v>
      </c>
      <c r="H1943" s="1" t="s">
        <v>27</v>
      </c>
      <c r="I1943" s="1" t="s">
        <v>28</v>
      </c>
      <c r="J1943" s="1" t="s">
        <v>4207</v>
      </c>
      <c r="K1943" s="1" t="s">
        <v>241</v>
      </c>
      <c r="L1943">
        <v>54703</v>
      </c>
      <c r="M1943" s="1" t="s">
        <v>96</v>
      </c>
      <c r="N1943" s="1" t="s">
        <v>808</v>
      </c>
      <c r="O1943" s="1" t="s">
        <v>33</v>
      </c>
      <c r="P1943" s="1" t="s">
        <v>39</v>
      </c>
      <c r="Q1943" s="1" t="s">
        <v>809</v>
      </c>
      <c r="R1943">
        <v>680</v>
      </c>
      <c r="S1943">
        <v>3</v>
      </c>
      <c r="T1943">
        <v>0</v>
      </c>
      <c r="U1943">
        <v>177</v>
      </c>
      <c r="V1943" s="1" t="s">
        <v>86</v>
      </c>
      <c r="W1943" s="1" t="s">
        <v>99</v>
      </c>
    </row>
    <row r="1944" spans="1:23" x14ac:dyDescent="0.35">
      <c r="A1944">
        <v>9171</v>
      </c>
      <c r="B1944" s="1" t="s">
        <v>4208</v>
      </c>
      <c r="C1944" s="2">
        <v>42705</v>
      </c>
      <c r="D1944" s="2">
        <v>42705</v>
      </c>
      <c r="E1944" s="1" t="s">
        <v>428</v>
      </c>
      <c r="F1944" s="1" t="s">
        <v>2442</v>
      </c>
      <c r="G1944" s="1" t="s">
        <v>2443</v>
      </c>
      <c r="H1944" s="1" t="s">
        <v>103</v>
      </c>
      <c r="I1944" s="1" t="s">
        <v>28</v>
      </c>
      <c r="J1944" s="1" t="s">
        <v>3450</v>
      </c>
      <c r="K1944" s="1" t="s">
        <v>56</v>
      </c>
      <c r="L1944">
        <v>93030</v>
      </c>
      <c r="M1944" s="1" t="s">
        <v>57</v>
      </c>
      <c r="N1944" s="1" t="s">
        <v>588</v>
      </c>
      <c r="O1944" s="1" t="s">
        <v>33</v>
      </c>
      <c r="P1944" s="1" t="s">
        <v>59</v>
      </c>
      <c r="Q1944" s="1" t="s">
        <v>589</v>
      </c>
      <c r="R1944">
        <v>32</v>
      </c>
      <c r="S1944">
        <v>2</v>
      </c>
      <c r="T1944">
        <v>0</v>
      </c>
      <c r="U1944">
        <v>2</v>
      </c>
      <c r="V1944" s="1" t="s">
        <v>433</v>
      </c>
      <c r="W1944" s="1" t="s">
        <v>99</v>
      </c>
    </row>
    <row r="1945" spans="1:23" x14ac:dyDescent="0.35">
      <c r="A1945">
        <v>9185</v>
      </c>
      <c r="B1945" s="1" t="s">
        <v>4209</v>
      </c>
      <c r="C1945" s="2">
        <v>42954</v>
      </c>
      <c r="D1945" s="2">
        <v>42958</v>
      </c>
      <c r="E1945" s="1" t="s">
        <v>42</v>
      </c>
      <c r="F1945" s="1" t="s">
        <v>416</v>
      </c>
      <c r="G1945" s="1" t="s">
        <v>417</v>
      </c>
      <c r="H1945" s="1" t="s">
        <v>27</v>
      </c>
      <c r="I1945" s="1" t="s">
        <v>28</v>
      </c>
      <c r="J1945" s="1" t="s">
        <v>3774</v>
      </c>
      <c r="K1945" s="1" t="s">
        <v>56</v>
      </c>
      <c r="L1945">
        <v>92683</v>
      </c>
      <c r="M1945" s="1" t="s">
        <v>57</v>
      </c>
      <c r="N1945" s="1" t="s">
        <v>87</v>
      </c>
      <c r="O1945" s="1" t="s">
        <v>33</v>
      </c>
      <c r="P1945" s="1" t="s">
        <v>59</v>
      </c>
      <c r="Q1945" s="1" t="s">
        <v>88</v>
      </c>
      <c r="R1945">
        <v>52</v>
      </c>
      <c r="S1945">
        <v>1</v>
      </c>
      <c r="T1945">
        <v>0</v>
      </c>
      <c r="U1945">
        <v>16</v>
      </c>
      <c r="V1945" s="1" t="s">
        <v>86</v>
      </c>
      <c r="W1945" s="1" t="s">
        <v>256</v>
      </c>
    </row>
    <row r="1946" spans="1:23" x14ac:dyDescent="0.35">
      <c r="A1946">
        <v>9186</v>
      </c>
      <c r="B1946" s="1" t="s">
        <v>4209</v>
      </c>
      <c r="C1946" s="2">
        <v>42954</v>
      </c>
      <c r="D1946" s="2">
        <v>42958</v>
      </c>
      <c r="E1946" s="1" t="s">
        <v>42</v>
      </c>
      <c r="F1946" s="1" t="s">
        <v>416</v>
      </c>
      <c r="G1946" s="1" t="s">
        <v>417</v>
      </c>
      <c r="H1946" s="1" t="s">
        <v>27</v>
      </c>
      <c r="I1946" s="1" t="s">
        <v>28</v>
      </c>
      <c r="J1946" s="1" t="s">
        <v>3774</v>
      </c>
      <c r="K1946" s="1" t="s">
        <v>56</v>
      </c>
      <c r="L1946">
        <v>92683</v>
      </c>
      <c r="M1946" s="1" t="s">
        <v>57</v>
      </c>
      <c r="N1946" s="1" t="s">
        <v>4210</v>
      </c>
      <c r="O1946" s="1" t="s">
        <v>33</v>
      </c>
      <c r="P1946" s="1" t="s">
        <v>39</v>
      </c>
      <c r="Q1946" s="1" t="s">
        <v>4211</v>
      </c>
      <c r="R1946">
        <v>207</v>
      </c>
      <c r="S1946">
        <v>1</v>
      </c>
      <c r="T1946">
        <v>0.2</v>
      </c>
      <c r="U1946">
        <v>26</v>
      </c>
      <c r="V1946" s="1" t="s">
        <v>86</v>
      </c>
      <c r="W1946" s="1" t="s">
        <v>256</v>
      </c>
    </row>
    <row r="1947" spans="1:23" x14ac:dyDescent="0.35">
      <c r="A1947">
        <v>9200</v>
      </c>
      <c r="B1947" s="1" t="s">
        <v>4212</v>
      </c>
      <c r="C1947" s="2">
        <v>41769</v>
      </c>
      <c r="D1947" s="2">
        <v>41774</v>
      </c>
      <c r="E1947" s="1" t="s">
        <v>42</v>
      </c>
      <c r="F1947" s="1" t="s">
        <v>1129</v>
      </c>
      <c r="G1947" s="1" t="s">
        <v>1130</v>
      </c>
      <c r="H1947" s="1" t="s">
        <v>27</v>
      </c>
      <c r="I1947" s="1" t="s">
        <v>28</v>
      </c>
      <c r="J1947" s="1" t="s">
        <v>1494</v>
      </c>
      <c r="K1947" s="1" t="s">
        <v>56</v>
      </c>
      <c r="L1947">
        <v>95123</v>
      </c>
      <c r="M1947" s="1" t="s">
        <v>57</v>
      </c>
      <c r="N1947" s="1" t="s">
        <v>2276</v>
      </c>
      <c r="O1947" s="1" t="s">
        <v>33</v>
      </c>
      <c r="P1947" s="1" t="s">
        <v>39</v>
      </c>
      <c r="Q1947" s="1" t="s">
        <v>2277</v>
      </c>
      <c r="R1947">
        <v>257</v>
      </c>
      <c r="S1947">
        <v>1</v>
      </c>
      <c r="T1947">
        <v>0.2</v>
      </c>
      <c r="U1947">
        <v>32</v>
      </c>
      <c r="V1947" s="1" t="s">
        <v>61</v>
      </c>
      <c r="W1947" s="1" t="s">
        <v>164</v>
      </c>
    </row>
    <row r="1948" spans="1:23" x14ac:dyDescent="0.35">
      <c r="A1948">
        <v>9201</v>
      </c>
      <c r="B1948" s="1" t="s">
        <v>4213</v>
      </c>
      <c r="C1948" s="2">
        <v>42660</v>
      </c>
      <c r="D1948" s="2">
        <v>42663</v>
      </c>
      <c r="E1948" s="1" t="s">
        <v>90</v>
      </c>
      <c r="F1948" s="1" t="s">
        <v>2939</v>
      </c>
      <c r="G1948" s="1" t="s">
        <v>2940</v>
      </c>
      <c r="H1948" s="1" t="s">
        <v>27</v>
      </c>
      <c r="I1948" s="1" t="s">
        <v>28</v>
      </c>
      <c r="J1948" s="1" t="s">
        <v>4214</v>
      </c>
      <c r="K1948" s="1" t="s">
        <v>365</v>
      </c>
      <c r="L1948">
        <v>8861</v>
      </c>
      <c r="M1948" s="1" t="s">
        <v>70</v>
      </c>
      <c r="N1948" s="1" t="s">
        <v>545</v>
      </c>
      <c r="O1948" s="1" t="s">
        <v>33</v>
      </c>
      <c r="P1948" s="1" t="s">
        <v>34</v>
      </c>
      <c r="Q1948" s="1" t="s">
        <v>546</v>
      </c>
      <c r="R1948">
        <v>121</v>
      </c>
      <c r="S1948">
        <v>1</v>
      </c>
      <c r="T1948">
        <v>0</v>
      </c>
      <c r="U1948">
        <v>12</v>
      </c>
      <c r="V1948" s="1" t="s">
        <v>36</v>
      </c>
      <c r="W1948" s="1" t="s">
        <v>51</v>
      </c>
    </row>
    <row r="1949" spans="1:23" x14ac:dyDescent="0.35">
      <c r="A1949">
        <v>9213</v>
      </c>
      <c r="B1949" s="1" t="s">
        <v>4215</v>
      </c>
      <c r="C1949" s="2">
        <v>41981</v>
      </c>
      <c r="D1949" s="2">
        <v>41988</v>
      </c>
      <c r="E1949" s="1" t="s">
        <v>42</v>
      </c>
      <c r="F1949" s="1" t="s">
        <v>667</v>
      </c>
      <c r="G1949" s="1" t="s">
        <v>668</v>
      </c>
      <c r="H1949" s="1" t="s">
        <v>93</v>
      </c>
      <c r="I1949" s="1" t="s">
        <v>28</v>
      </c>
      <c r="J1949" s="1" t="s">
        <v>331</v>
      </c>
      <c r="K1949" s="1" t="s">
        <v>56</v>
      </c>
      <c r="L1949">
        <v>94110</v>
      </c>
      <c r="M1949" s="1" t="s">
        <v>57</v>
      </c>
      <c r="N1949" s="1" t="s">
        <v>130</v>
      </c>
      <c r="O1949" s="1" t="s">
        <v>33</v>
      </c>
      <c r="P1949" s="1" t="s">
        <v>59</v>
      </c>
      <c r="Q1949" s="1" t="s">
        <v>131</v>
      </c>
      <c r="R1949">
        <v>40</v>
      </c>
      <c r="S1949">
        <v>2</v>
      </c>
      <c r="T1949">
        <v>0</v>
      </c>
      <c r="U1949">
        <v>11</v>
      </c>
      <c r="V1949" s="1" t="s">
        <v>50</v>
      </c>
      <c r="W1949" s="1" t="s">
        <v>99</v>
      </c>
    </row>
    <row r="1950" spans="1:23" x14ac:dyDescent="0.35">
      <c r="A1950">
        <v>9214</v>
      </c>
      <c r="B1950" s="1" t="s">
        <v>4215</v>
      </c>
      <c r="C1950" s="2">
        <v>41981</v>
      </c>
      <c r="D1950" s="2">
        <v>41988</v>
      </c>
      <c r="E1950" s="1" t="s">
        <v>42</v>
      </c>
      <c r="F1950" s="1" t="s">
        <v>667</v>
      </c>
      <c r="G1950" s="1" t="s">
        <v>668</v>
      </c>
      <c r="H1950" s="1" t="s">
        <v>93</v>
      </c>
      <c r="I1950" s="1" t="s">
        <v>28</v>
      </c>
      <c r="J1950" s="1" t="s">
        <v>331</v>
      </c>
      <c r="K1950" s="1" t="s">
        <v>56</v>
      </c>
      <c r="L1950">
        <v>94110</v>
      </c>
      <c r="M1950" s="1" t="s">
        <v>57</v>
      </c>
      <c r="N1950" s="1" t="s">
        <v>1424</v>
      </c>
      <c r="O1950" s="1" t="s">
        <v>33</v>
      </c>
      <c r="P1950" s="1" t="s">
        <v>59</v>
      </c>
      <c r="Q1950" s="1" t="s">
        <v>1425</v>
      </c>
      <c r="R1950">
        <v>79</v>
      </c>
      <c r="S1950">
        <v>3</v>
      </c>
      <c r="T1950">
        <v>0</v>
      </c>
      <c r="U1950">
        <v>29</v>
      </c>
      <c r="V1950" s="1" t="s">
        <v>50</v>
      </c>
      <c r="W1950" s="1" t="s">
        <v>99</v>
      </c>
    </row>
    <row r="1951" spans="1:23" x14ac:dyDescent="0.35">
      <c r="A1951">
        <v>9220</v>
      </c>
      <c r="B1951" s="1" t="s">
        <v>4216</v>
      </c>
      <c r="C1951" s="2">
        <v>42232</v>
      </c>
      <c r="D1951" s="2">
        <v>42236</v>
      </c>
      <c r="E1951" s="1" t="s">
        <v>42</v>
      </c>
      <c r="F1951" s="1" t="s">
        <v>1471</v>
      </c>
      <c r="G1951" s="1" t="s">
        <v>1472</v>
      </c>
      <c r="H1951" s="1" t="s">
        <v>27</v>
      </c>
      <c r="I1951" s="1" t="s">
        <v>28</v>
      </c>
      <c r="J1951" s="1" t="s">
        <v>68</v>
      </c>
      <c r="K1951" s="1" t="s">
        <v>69</v>
      </c>
      <c r="L1951">
        <v>19120</v>
      </c>
      <c r="M1951" s="1" t="s">
        <v>70</v>
      </c>
      <c r="N1951" s="1" t="s">
        <v>1872</v>
      </c>
      <c r="O1951" s="1" t="s">
        <v>33</v>
      </c>
      <c r="P1951" s="1" t="s">
        <v>34</v>
      </c>
      <c r="Q1951" s="1" t="s">
        <v>1873</v>
      </c>
      <c r="R1951">
        <v>301</v>
      </c>
      <c r="S1951">
        <v>3</v>
      </c>
      <c r="T1951">
        <v>0.5</v>
      </c>
      <c r="U1951">
        <v>-205</v>
      </c>
      <c r="V1951" s="1" t="s">
        <v>86</v>
      </c>
      <c r="W1951" s="1" t="s">
        <v>256</v>
      </c>
    </row>
    <row r="1952" spans="1:23" x14ac:dyDescent="0.35">
      <c r="A1952">
        <v>9222</v>
      </c>
      <c r="B1952" s="1" t="s">
        <v>4217</v>
      </c>
      <c r="C1952" s="2">
        <v>43021</v>
      </c>
      <c r="D1952" s="2">
        <v>43022</v>
      </c>
      <c r="E1952" s="1" t="s">
        <v>90</v>
      </c>
      <c r="F1952" s="1" t="s">
        <v>2110</v>
      </c>
      <c r="G1952" s="1" t="s">
        <v>2111</v>
      </c>
      <c r="H1952" s="1" t="s">
        <v>27</v>
      </c>
      <c r="I1952" s="1" t="s">
        <v>28</v>
      </c>
      <c r="J1952" s="1" t="s">
        <v>1408</v>
      </c>
      <c r="K1952" s="1" t="s">
        <v>1409</v>
      </c>
      <c r="L1952">
        <v>70506</v>
      </c>
      <c r="M1952" s="1" t="s">
        <v>31</v>
      </c>
      <c r="N1952" s="1" t="s">
        <v>309</v>
      </c>
      <c r="O1952" s="1" t="s">
        <v>33</v>
      </c>
      <c r="P1952" s="1" t="s">
        <v>48</v>
      </c>
      <c r="Q1952" s="1" t="s">
        <v>310</v>
      </c>
      <c r="R1952">
        <v>1505</v>
      </c>
      <c r="S1952">
        <v>4</v>
      </c>
      <c r="T1952">
        <v>0</v>
      </c>
      <c r="U1952">
        <v>346</v>
      </c>
      <c r="V1952" s="1" t="s">
        <v>126</v>
      </c>
      <c r="W1952" s="1" t="s">
        <v>51</v>
      </c>
    </row>
    <row r="1953" spans="1:23" x14ac:dyDescent="0.35">
      <c r="A1953">
        <v>9233</v>
      </c>
      <c r="B1953" s="1" t="s">
        <v>4218</v>
      </c>
      <c r="C1953" s="2">
        <v>42615</v>
      </c>
      <c r="D1953" s="2">
        <v>42619</v>
      </c>
      <c r="E1953" s="1" t="s">
        <v>42</v>
      </c>
      <c r="F1953" s="1" t="s">
        <v>640</v>
      </c>
      <c r="G1953" s="1" t="s">
        <v>641</v>
      </c>
      <c r="H1953" s="1" t="s">
        <v>27</v>
      </c>
      <c r="I1953" s="1" t="s">
        <v>28</v>
      </c>
      <c r="J1953" s="1" t="s">
        <v>55</v>
      </c>
      <c r="K1953" s="1" t="s">
        <v>56</v>
      </c>
      <c r="L1953">
        <v>90036</v>
      </c>
      <c r="M1953" s="1" t="s">
        <v>57</v>
      </c>
      <c r="N1953" s="1" t="s">
        <v>1580</v>
      </c>
      <c r="O1953" s="1" t="s">
        <v>33</v>
      </c>
      <c r="P1953" s="1" t="s">
        <v>59</v>
      </c>
      <c r="Q1953" s="1" t="s">
        <v>1581</v>
      </c>
      <c r="R1953">
        <v>95</v>
      </c>
      <c r="S1953">
        <v>9</v>
      </c>
      <c r="T1953">
        <v>0</v>
      </c>
      <c r="U1953">
        <v>31</v>
      </c>
      <c r="V1953" s="1" t="s">
        <v>86</v>
      </c>
      <c r="W1953" s="1" t="s">
        <v>80</v>
      </c>
    </row>
    <row r="1954" spans="1:23" x14ac:dyDescent="0.35">
      <c r="A1954">
        <v>9237</v>
      </c>
      <c r="B1954" s="1" t="s">
        <v>4218</v>
      </c>
      <c r="C1954" s="2">
        <v>42615</v>
      </c>
      <c r="D1954" s="2">
        <v>42619</v>
      </c>
      <c r="E1954" s="1" t="s">
        <v>42</v>
      </c>
      <c r="F1954" s="1" t="s">
        <v>640</v>
      </c>
      <c r="G1954" s="1" t="s">
        <v>641</v>
      </c>
      <c r="H1954" s="1" t="s">
        <v>27</v>
      </c>
      <c r="I1954" s="1" t="s">
        <v>28</v>
      </c>
      <c r="J1954" s="1" t="s">
        <v>55</v>
      </c>
      <c r="K1954" s="1" t="s">
        <v>56</v>
      </c>
      <c r="L1954">
        <v>90036</v>
      </c>
      <c r="M1954" s="1" t="s">
        <v>57</v>
      </c>
      <c r="N1954" s="1" t="s">
        <v>63</v>
      </c>
      <c r="O1954" s="1" t="s">
        <v>33</v>
      </c>
      <c r="P1954" s="1" t="s">
        <v>48</v>
      </c>
      <c r="Q1954" s="1" t="s">
        <v>64</v>
      </c>
      <c r="R1954">
        <v>569</v>
      </c>
      <c r="S1954">
        <v>3</v>
      </c>
      <c r="T1954">
        <v>0.2</v>
      </c>
      <c r="U1954">
        <v>28</v>
      </c>
      <c r="V1954" s="1" t="s">
        <v>86</v>
      </c>
      <c r="W1954" s="1" t="s">
        <v>80</v>
      </c>
    </row>
    <row r="1955" spans="1:23" x14ac:dyDescent="0.35">
      <c r="A1955">
        <v>9239</v>
      </c>
      <c r="B1955" s="1" t="s">
        <v>4219</v>
      </c>
      <c r="C1955" s="2">
        <v>42777</v>
      </c>
      <c r="D1955" s="2">
        <v>42780</v>
      </c>
      <c r="E1955" s="1" t="s">
        <v>90</v>
      </c>
      <c r="F1955" s="1" t="s">
        <v>1687</v>
      </c>
      <c r="G1955" s="1" t="s">
        <v>1688</v>
      </c>
      <c r="H1955" s="1" t="s">
        <v>27</v>
      </c>
      <c r="I1955" s="1" t="s">
        <v>28</v>
      </c>
      <c r="J1955" s="1" t="s">
        <v>350</v>
      </c>
      <c r="K1955" s="1" t="s">
        <v>234</v>
      </c>
      <c r="L1955">
        <v>43229</v>
      </c>
      <c r="M1955" s="1" t="s">
        <v>70</v>
      </c>
      <c r="N1955" s="1" t="s">
        <v>923</v>
      </c>
      <c r="O1955" s="1" t="s">
        <v>33</v>
      </c>
      <c r="P1955" s="1" t="s">
        <v>59</v>
      </c>
      <c r="Q1955" s="1" t="s">
        <v>924</v>
      </c>
      <c r="R1955">
        <v>148</v>
      </c>
      <c r="S1955">
        <v>2</v>
      </c>
      <c r="T1955">
        <v>0.2</v>
      </c>
      <c r="U1955">
        <v>-4</v>
      </c>
      <c r="V1955" s="1" t="s">
        <v>36</v>
      </c>
      <c r="W1955" s="1" t="s">
        <v>300</v>
      </c>
    </row>
    <row r="1956" spans="1:23" x14ac:dyDescent="0.35">
      <c r="A1956">
        <v>9244</v>
      </c>
      <c r="B1956" s="1" t="s">
        <v>4220</v>
      </c>
      <c r="C1956" s="2">
        <v>41829</v>
      </c>
      <c r="D1956" s="2">
        <v>41834</v>
      </c>
      <c r="E1956" s="1" t="s">
        <v>42</v>
      </c>
      <c r="F1956" s="1" t="s">
        <v>768</v>
      </c>
      <c r="G1956" s="1" t="s">
        <v>769</v>
      </c>
      <c r="H1956" s="1" t="s">
        <v>103</v>
      </c>
      <c r="I1956" s="1" t="s">
        <v>28</v>
      </c>
      <c r="J1956" s="1" t="s">
        <v>331</v>
      </c>
      <c r="K1956" s="1" t="s">
        <v>56</v>
      </c>
      <c r="L1956">
        <v>94122</v>
      </c>
      <c r="M1956" s="1" t="s">
        <v>57</v>
      </c>
      <c r="N1956" s="1" t="s">
        <v>2625</v>
      </c>
      <c r="O1956" s="1" t="s">
        <v>33</v>
      </c>
      <c r="P1956" s="1" t="s">
        <v>34</v>
      </c>
      <c r="Q1956" s="1" t="s">
        <v>2626</v>
      </c>
      <c r="R1956">
        <v>120</v>
      </c>
      <c r="S1956">
        <v>1</v>
      </c>
      <c r="T1956">
        <v>0.15</v>
      </c>
      <c r="U1956">
        <v>7</v>
      </c>
      <c r="V1956" s="1" t="s">
        <v>61</v>
      </c>
      <c r="W1956" s="1" t="s">
        <v>74</v>
      </c>
    </row>
    <row r="1957" spans="1:23" x14ac:dyDescent="0.35">
      <c r="A1957">
        <v>9255</v>
      </c>
      <c r="B1957" s="1" t="s">
        <v>4221</v>
      </c>
      <c r="C1957" s="2">
        <v>41681</v>
      </c>
      <c r="D1957" s="2">
        <v>41685</v>
      </c>
      <c r="E1957" s="1" t="s">
        <v>24</v>
      </c>
      <c r="F1957" s="1" t="s">
        <v>870</v>
      </c>
      <c r="G1957" s="1" t="s">
        <v>871</v>
      </c>
      <c r="H1957" s="1" t="s">
        <v>27</v>
      </c>
      <c r="I1957" s="1" t="s">
        <v>28</v>
      </c>
      <c r="J1957" s="1" t="s">
        <v>160</v>
      </c>
      <c r="K1957" s="1" t="s">
        <v>568</v>
      </c>
      <c r="L1957">
        <v>65203</v>
      </c>
      <c r="M1957" s="1" t="s">
        <v>96</v>
      </c>
      <c r="N1957" s="1" t="s">
        <v>138</v>
      </c>
      <c r="O1957" s="1" t="s">
        <v>33</v>
      </c>
      <c r="P1957" s="1" t="s">
        <v>39</v>
      </c>
      <c r="Q1957" s="1" t="s">
        <v>139</v>
      </c>
      <c r="R1957">
        <v>61</v>
      </c>
      <c r="S1957">
        <v>1</v>
      </c>
      <c r="T1957">
        <v>0</v>
      </c>
      <c r="U1957">
        <v>15</v>
      </c>
      <c r="V1957" s="1" t="s">
        <v>86</v>
      </c>
      <c r="W1957" s="1" t="s">
        <v>300</v>
      </c>
    </row>
    <row r="1958" spans="1:23" x14ac:dyDescent="0.35">
      <c r="A1958">
        <v>9258</v>
      </c>
      <c r="B1958" s="1" t="s">
        <v>4221</v>
      </c>
      <c r="C1958" s="2">
        <v>41681</v>
      </c>
      <c r="D1958" s="2">
        <v>41685</v>
      </c>
      <c r="E1958" s="1" t="s">
        <v>24</v>
      </c>
      <c r="F1958" s="1" t="s">
        <v>870</v>
      </c>
      <c r="G1958" s="1" t="s">
        <v>871</v>
      </c>
      <c r="H1958" s="1" t="s">
        <v>27</v>
      </c>
      <c r="I1958" s="1" t="s">
        <v>28</v>
      </c>
      <c r="J1958" s="1" t="s">
        <v>160</v>
      </c>
      <c r="K1958" s="1" t="s">
        <v>568</v>
      </c>
      <c r="L1958">
        <v>65203</v>
      </c>
      <c r="M1958" s="1" t="s">
        <v>96</v>
      </c>
      <c r="N1958" s="1" t="s">
        <v>1856</v>
      </c>
      <c r="O1958" s="1" t="s">
        <v>33</v>
      </c>
      <c r="P1958" s="1" t="s">
        <v>59</v>
      </c>
      <c r="Q1958" s="1" t="s">
        <v>1857</v>
      </c>
      <c r="R1958">
        <v>333</v>
      </c>
      <c r="S1958">
        <v>3</v>
      </c>
      <c r="T1958">
        <v>0</v>
      </c>
      <c r="U1958">
        <v>53</v>
      </c>
      <c r="V1958" s="1" t="s">
        <v>86</v>
      </c>
      <c r="W1958" s="1" t="s">
        <v>300</v>
      </c>
    </row>
    <row r="1959" spans="1:23" x14ac:dyDescent="0.35">
      <c r="A1959">
        <v>9262</v>
      </c>
      <c r="B1959" s="1" t="s">
        <v>4222</v>
      </c>
      <c r="C1959" s="2">
        <v>42980</v>
      </c>
      <c r="D1959" s="2">
        <v>42980</v>
      </c>
      <c r="E1959" s="1" t="s">
        <v>428</v>
      </c>
      <c r="F1959" s="1" t="s">
        <v>3202</v>
      </c>
      <c r="G1959" s="1" t="s">
        <v>3203</v>
      </c>
      <c r="H1959" s="1" t="s">
        <v>103</v>
      </c>
      <c r="I1959" s="1" t="s">
        <v>28</v>
      </c>
      <c r="J1959" s="1" t="s">
        <v>194</v>
      </c>
      <c r="K1959" s="1" t="s">
        <v>195</v>
      </c>
      <c r="L1959">
        <v>98103</v>
      </c>
      <c r="M1959" s="1" t="s">
        <v>57</v>
      </c>
      <c r="N1959" s="1" t="s">
        <v>117</v>
      </c>
      <c r="O1959" s="1" t="s">
        <v>33</v>
      </c>
      <c r="P1959" s="1" t="s">
        <v>39</v>
      </c>
      <c r="Q1959" s="1" t="s">
        <v>118</v>
      </c>
      <c r="R1959">
        <v>216</v>
      </c>
      <c r="S1959">
        <v>3</v>
      </c>
      <c r="T1959">
        <v>0.2</v>
      </c>
      <c r="U1959">
        <v>-3</v>
      </c>
      <c r="V1959" s="1" t="s">
        <v>433</v>
      </c>
      <c r="W1959" s="1" t="s">
        <v>80</v>
      </c>
    </row>
    <row r="1960" spans="1:23" x14ac:dyDescent="0.35">
      <c r="A1960">
        <v>9263</v>
      </c>
      <c r="B1960" s="1" t="s">
        <v>4223</v>
      </c>
      <c r="C1960" s="2">
        <v>42286</v>
      </c>
      <c r="D1960" s="2">
        <v>42290</v>
      </c>
      <c r="E1960" s="1" t="s">
        <v>42</v>
      </c>
      <c r="F1960" s="1" t="s">
        <v>4224</v>
      </c>
      <c r="G1960" s="1" t="s">
        <v>4225</v>
      </c>
      <c r="H1960" s="1" t="s">
        <v>27</v>
      </c>
      <c r="I1960" s="1" t="s">
        <v>28</v>
      </c>
      <c r="J1960" s="1" t="s">
        <v>291</v>
      </c>
      <c r="K1960" s="1" t="s">
        <v>292</v>
      </c>
      <c r="L1960">
        <v>48227</v>
      </c>
      <c r="M1960" s="1" t="s">
        <v>96</v>
      </c>
      <c r="N1960" s="1" t="s">
        <v>145</v>
      </c>
      <c r="O1960" s="1" t="s">
        <v>33</v>
      </c>
      <c r="P1960" s="1" t="s">
        <v>39</v>
      </c>
      <c r="Q1960" s="1" t="s">
        <v>146</v>
      </c>
      <c r="R1960">
        <v>390</v>
      </c>
      <c r="S1960">
        <v>3</v>
      </c>
      <c r="T1960">
        <v>0</v>
      </c>
      <c r="U1960">
        <v>35</v>
      </c>
      <c r="V1960" s="1" t="s">
        <v>86</v>
      </c>
      <c r="W1960" s="1" t="s">
        <v>51</v>
      </c>
    </row>
    <row r="1961" spans="1:23" x14ac:dyDescent="0.35">
      <c r="A1961">
        <v>9267</v>
      </c>
      <c r="B1961" s="1" t="s">
        <v>4226</v>
      </c>
      <c r="C1961" s="2">
        <v>41678</v>
      </c>
      <c r="D1961" s="2">
        <v>41679</v>
      </c>
      <c r="E1961" s="1" t="s">
        <v>90</v>
      </c>
      <c r="F1961" s="1" t="s">
        <v>395</v>
      </c>
      <c r="G1961" s="1" t="s">
        <v>396</v>
      </c>
      <c r="H1961" s="1" t="s">
        <v>103</v>
      </c>
      <c r="I1961" s="1" t="s">
        <v>28</v>
      </c>
      <c r="J1961" s="1" t="s">
        <v>1342</v>
      </c>
      <c r="K1961" s="1" t="s">
        <v>1343</v>
      </c>
      <c r="L1961">
        <v>89031</v>
      </c>
      <c r="M1961" s="1" t="s">
        <v>57</v>
      </c>
      <c r="N1961" s="1" t="s">
        <v>2880</v>
      </c>
      <c r="O1961" s="1" t="s">
        <v>33</v>
      </c>
      <c r="P1961" s="1" t="s">
        <v>59</v>
      </c>
      <c r="Q1961" s="1" t="s">
        <v>2881</v>
      </c>
      <c r="R1961">
        <v>15</v>
      </c>
      <c r="S1961">
        <v>2</v>
      </c>
      <c r="T1961">
        <v>0</v>
      </c>
      <c r="U1961">
        <v>6</v>
      </c>
      <c r="V1961" s="1" t="s">
        <v>126</v>
      </c>
      <c r="W1961" s="1" t="s">
        <v>300</v>
      </c>
    </row>
    <row r="1962" spans="1:23" x14ac:dyDescent="0.35">
      <c r="A1962">
        <v>9268</v>
      </c>
      <c r="B1962" s="1" t="s">
        <v>4227</v>
      </c>
      <c r="C1962" s="2">
        <v>42272</v>
      </c>
      <c r="D1962" s="2">
        <v>42272</v>
      </c>
      <c r="E1962" s="1" t="s">
        <v>428</v>
      </c>
      <c r="F1962" s="1" t="s">
        <v>631</v>
      </c>
      <c r="G1962" s="1" t="s">
        <v>632</v>
      </c>
      <c r="H1962" s="1" t="s">
        <v>27</v>
      </c>
      <c r="I1962" s="1" t="s">
        <v>28</v>
      </c>
      <c r="J1962" s="1" t="s">
        <v>2731</v>
      </c>
      <c r="K1962" s="1" t="s">
        <v>123</v>
      </c>
      <c r="L1962">
        <v>11520</v>
      </c>
      <c r="M1962" s="1" t="s">
        <v>70</v>
      </c>
      <c r="N1962" s="1" t="s">
        <v>3219</v>
      </c>
      <c r="O1962" s="1" t="s">
        <v>33</v>
      </c>
      <c r="P1962" s="1" t="s">
        <v>39</v>
      </c>
      <c r="Q1962" s="1" t="s">
        <v>3220</v>
      </c>
      <c r="R1962">
        <v>103</v>
      </c>
      <c r="S1962">
        <v>1</v>
      </c>
      <c r="T1962">
        <v>0.1</v>
      </c>
      <c r="U1962">
        <v>7</v>
      </c>
      <c r="V1962" s="1" t="s">
        <v>433</v>
      </c>
      <c r="W1962" s="1" t="s">
        <v>80</v>
      </c>
    </row>
    <row r="1963" spans="1:23" x14ac:dyDescent="0.35">
      <c r="A1963">
        <v>9272</v>
      </c>
      <c r="B1963" s="1" t="s">
        <v>4228</v>
      </c>
      <c r="C1963" s="2">
        <v>42502</v>
      </c>
      <c r="D1963" s="2">
        <v>42507</v>
      </c>
      <c r="E1963" s="1" t="s">
        <v>42</v>
      </c>
      <c r="F1963" s="1" t="s">
        <v>1869</v>
      </c>
      <c r="G1963" s="1" t="s">
        <v>1870</v>
      </c>
      <c r="H1963" s="1" t="s">
        <v>93</v>
      </c>
      <c r="I1963" s="1" t="s">
        <v>28</v>
      </c>
      <c r="J1963" s="1" t="s">
        <v>176</v>
      </c>
      <c r="K1963" s="1" t="s">
        <v>123</v>
      </c>
      <c r="L1963">
        <v>10024</v>
      </c>
      <c r="M1963" s="1" t="s">
        <v>70</v>
      </c>
      <c r="N1963" s="1" t="s">
        <v>2428</v>
      </c>
      <c r="O1963" s="1" t="s">
        <v>33</v>
      </c>
      <c r="P1963" s="1" t="s">
        <v>59</v>
      </c>
      <c r="Q1963" s="1" t="s">
        <v>2429</v>
      </c>
      <c r="R1963">
        <v>10</v>
      </c>
      <c r="S1963">
        <v>3</v>
      </c>
      <c r="T1963">
        <v>0</v>
      </c>
      <c r="U1963">
        <v>4</v>
      </c>
      <c r="V1963" s="1" t="s">
        <v>61</v>
      </c>
      <c r="W1963" s="1" t="s">
        <v>164</v>
      </c>
    </row>
    <row r="1964" spans="1:23" x14ac:dyDescent="0.35">
      <c r="A1964">
        <v>9280</v>
      </c>
      <c r="B1964" s="1" t="s">
        <v>4229</v>
      </c>
      <c r="C1964" s="2">
        <v>43070</v>
      </c>
      <c r="D1964" s="2">
        <v>43074</v>
      </c>
      <c r="E1964" s="1" t="s">
        <v>42</v>
      </c>
      <c r="F1964" s="1" t="s">
        <v>3686</v>
      </c>
      <c r="G1964" s="1" t="s">
        <v>3687</v>
      </c>
      <c r="H1964" s="1" t="s">
        <v>27</v>
      </c>
      <c r="I1964" s="1" t="s">
        <v>28</v>
      </c>
      <c r="J1964" s="1" t="s">
        <v>68</v>
      </c>
      <c r="K1964" s="1" t="s">
        <v>69</v>
      </c>
      <c r="L1964">
        <v>19140</v>
      </c>
      <c r="M1964" s="1" t="s">
        <v>70</v>
      </c>
      <c r="N1964" s="1" t="s">
        <v>578</v>
      </c>
      <c r="O1964" s="1" t="s">
        <v>33</v>
      </c>
      <c r="P1964" s="1" t="s">
        <v>39</v>
      </c>
      <c r="Q1964" s="1" t="s">
        <v>579</v>
      </c>
      <c r="R1964">
        <v>399</v>
      </c>
      <c r="S1964">
        <v>2</v>
      </c>
      <c r="T1964">
        <v>0.3</v>
      </c>
      <c r="U1964">
        <v>-28</v>
      </c>
      <c r="V1964" s="1" t="s">
        <v>86</v>
      </c>
      <c r="W1964" s="1" t="s">
        <v>99</v>
      </c>
    </row>
    <row r="1965" spans="1:23" x14ac:dyDescent="0.35">
      <c r="A1965">
        <v>9281</v>
      </c>
      <c r="B1965" s="1" t="s">
        <v>4230</v>
      </c>
      <c r="C1965" s="2">
        <v>42633</v>
      </c>
      <c r="D1965" s="2">
        <v>42637</v>
      </c>
      <c r="E1965" s="1" t="s">
        <v>42</v>
      </c>
      <c r="F1965" s="1" t="s">
        <v>4231</v>
      </c>
      <c r="G1965" s="1" t="s">
        <v>4232</v>
      </c>
      <c r="H1965" s="1" t="s">
        <v>103</v>
      </c>
      <c r="I1965" s="1" t="s">
        <v>28</v>
      </c>
      <c r="J1965" s="1" t="s">
        <v>194</v>
      </c>
      <c r="K1965" s="1" t="s">
        <v>195</v>
      </c>
      <c r="L1965">
        <v>98105</v>
      </c>
      <c r="M1965" s="1" t="s">
        <v>57</v>
      </c>
      <c r="N1965" s="1" t="s">
        <v>2736</v>
      </c>
      <c r="O1965" s="1" t="s">
        <v>33</v>
      </c>
      <c r="P1965" s="1" t="s">
        <v>34</v>
      </c>
      <c r="Q1965" s="1" t="s">
        <v>2737</v>
      </c>
      <c r="R1965">
        <v>164</v>
      </c>
      <c r="S1965">
        <v>2</v>
      </c>
      <c r="T1965">
        <v>0</v>
      </c>
      <c r="U1965">
        <v>41</v>
      </c>
      <c r="V1965" s="1" t="s">
        <v>86</v>
      </c>
      <c r="W1965" s="1" t="s">
        <v>80</v>
      </c>
    </row>
    <row r="1966" spans="1:23" x14ac:dyDescent="0.35">
      <c r="A1966">
        <v>9285</v>
      </c>
      <c r="B1966" s="1" t="s">
        <v>4233</v>
      </c>
      <c r="C1966" s="2">
        <v>41961</v>
      </c>
      <c r="D1966" s="2">
        <v>41966</v>
      </c>
      <c r="E1966" s="1" t="s">
        <v>42</v>
      </c>
      <c r="F1966" s="1" t="s">
        <v>429</v>
      </c>
      <c r="G1966" s="1" t="s">
        <v>430</v>
      </c>
      <c r="H1966" s="1" t="s">
        <v>93</v>
      </c>
      <c r="I1966" s="1" t="s">
        <v>28</v>
      </c>
      <c r="J1966" s="1" t="s">
        <v>240</v>
      </c>
      <c r="K1966" s="1" t="s">
        <v>241</v>
      </c>
      <c r="L1966">
        <v>53132</v>
      </c>
      <c r="M1966" s="1" t="s">
        <v>96</v>
      </c>
      <c r="N1966" s="1" t="s">
        <v>671</v>
      </c>
      <c r="O1966" s="1" t="s">
        <v>33</v>
      </c>
      <c r="P1966" s="1" t="s">
        <v>39</v>
      </c>
      <c r="Q1966" s="1" t="s">
        <v>672</v>
      </c>
      <c r="R1966">
        <v>393</v>
      </c>
      <c r="S1966">
        <v>3</v>
      </c>
      <c r="T1966">
        <v>0</v>
      </c>
      <c r="U1966">
        <v>43</v>
      </c>
      <c r="V1966" s="1" t="s">
        <v>61</v>
      </c>
      <c r="W1966" s="1" t="s">
        <v>37</v>
      </c>
    </row>
    <row r="1967" spans="1:23" x14ac:dyDescent="0.35">
      <c r="A1967">
        <v>9286</v>
      </c>
      <c r="B1967" s="1" t="s">
        <v>4234</v>
      </c>
      <c r="C1967" s="2">
        <v>42329</v>
      </c>
      <c r="D1967" s="2">
        <v>42332</v>
      </c>
      <c r="E1967" s="1" t="s">
        <v>90</v>
      </c>
      <c r="F1967" s="1" t="s">
        <v>4235</v>
      </c>
      <c r="G1967" s="1" t="s">
        <v>4236</v>
      </c>
      <c r="H1967" s="1" t="s">
        <v>27</v>
      </c>
      <c r="I1967" s="1" t="s">
        <v>28</v>
      </c>
      <c r="J1967" s="1" t="s">
        <v>1038</v>
      </c>
      <c r="K1967" s="1" t="s">
        <v>1039</v>
      </c>
      <c r="L1967">
        <v>28110</v>
      </c>
      <c r="M1967" s="1" t="s">
        <v>31</v>
      </c>
      <c r="N1967" s="1" t="s">
        <v>286</v>
      </c>
      <c r="O1967" s="1" t="s">
        <v>33</v>
      </c>
      <c r="P1967" s="1" t="s">
        <v>59</v>
      </c>
      <c r="Q1967" s="1" t="s">
        <v>287</v>
      </c>
      <c r="R1967">
        <v>18</v>
      </c>
      <c r="S1967">
        <v>1</v>
      </c>
      <c r="T1967">
        <v>0.2</v>
      </c>
      <c r="U1967">
        <v>5</v>
      </c>
      <c r="V1967" s="1" t="s">
        <v>36</v>
      </c>
      <c r="W1967" s="1" t="s">
        <v>37</v>
      </c>
    </row>
    <row r="1968" spans="1:23" x14ac:dyDescent="0.35">
      <c r="A1968">
        <v>9288</v>
      </c>
      <c r="B1968" s="1" t="s">
        <v>4237</v>
      </c>
      <c r="C1968" s="2">
        <v>42905</v>
      </c>
      <c r="D1968" s="2">
        <v>42912</v>
      </c>
      <c r="E1968" s="1" t="s">
        <v>42</v>
      </c>
      <c r="F1968" s="1" t="s">
        <v>3399</v>
      </c>
      <c r="G1968" s="1" t="s">
        <v>3400</v>
      </c>
      <c r="H1968" s="1" t="s">
        <v>103</v>
      </c>
      <c r="I1968" s="1" t="s">
        <v>28</v>
      </c>
      <c r="J1968" s="1" t="s">
        <v>1742</v>
      </c>
      <c r="K1968" s="1" t="s">
        <v>95</v>
      </c>
      <c r="L1968">
        <v>75081</v>
      </c>
      <c r="M1968" s="1" t="s">
        <v>96</v>
      </c>
      <c r="N1968" s="1" t="s">
        <v>702</v>
      </c>
      <c r="O1968" s="1" t="s">
        <v>33</v>
      </c>
      <c r="P1968" s="1" t="s">
        <v>48</v>
      </c>
      <c r="Q1968" s="1" t="s">
        <v>703</v>
      </c>
      <c r="R1968">
        <v>457</v>
      </c>
      <c r="S1968">
        <v>3</v>
      </c>
      <c r="T1968">
        <v>0.3</v>
      </c>
      <c r="U1968">
        <v>-85</v>
      </c>
      <c r="V1968" s="1" t="s">
        <v>50</v>
      </c>
      <c r="W1968" s="1" t="s">
        <v>62</v>
      </c>
    </row>
    <row r="1969" spans="1:23" x14ac:dyDescent="0.35">
      <c r="A1969">
        <v>9289</v>
      </c>
      <c r="B1969" s="1" t="s">
        <v>4238</v>
      </c>
      <c r="C1969" s="2">
        <v>43069</v>
      </c>
      <c r="D1969" s="2">
        <v>43072</v>
      </c>
      <c r="E1969" s="1" t="s">
        <v>90</v>
      </c>
      <c r="F1969" s="1" t="s">
        <v>1718</v>
      </c>
      <c r="G1969" s="1" t="s">
        <v>1719</v>
      </c>
      <c r="H1969" s="1" t="s">
        <v>27</v>
      </c>
      <c r="I1969" s="1" t="s">
        <v>28</v>
      </c>
      <c r="J1969" s="1" t="s">
        <v>68</v>
      </c>
      <c r="K1969" s="1" t="s">
        <v>69</v>
      </c>
      <c r="L1969">
        <v>19134</v>
      </c>
      <c r="M1969" s="1" t="s">
        <v>70</v>
      </c>
      <c r="N1969" s="1" t="s">
        <v>1603</v>
      </c>
      <c r="O1969" s="1" t="s">
        <v>33</v>
      </c>
      <c r="P1969" s="1" t="s">
        <v>39</v>
      </c>
      <c r="Q1969" s="1" t="s">
        <v>1604</v>
      </c>
      <c r="R1969">
        <v>1079</v>
      </c>
      <c r="S1969">
        <v>6</v>
      </c>
      <c r="T1969">
        <v>0.3</v>
      </c>
      <c r="U1969">
        <v>-15</v>
      </c>
      <c r="V1969" s="1" t="s">
        <v>36</v>
      </c>
      <c r="W1969" s="1" t="s">
        <v>37</v>
      </c>
    </row>
    <row r="1970" spans="1:23" x14ac:dyDescent="0.35">
      <c r="A1970">
        <v>9296</v>
      </c>
      <c r="B1970" s="1" t="s">
        <v>4239</v>
      </c>
      <c r="C1970" s="2">
        <v>42883</v>
      </c>
      <c r="D1970" s="2">
        <v>42887</v>
      </c>
      <c r="E1970" s="1" t="s">
        <v>42</v>
      </c>
      <c r="F1970" s="1" t="s">
        <v>4240</v>
      </c>
      <c r="G1970" s="1" t="s">
        <v>4241</v>
      </c>
      <c r="H1970" s="1" t="s">
        <v>93</v>
      </c>
      <c r="I1970" s="1" t="s">
        <v>28</v>
      </c>
      <c r="J1970" s="1" t="s">
        <v>696</v>
      </c>
      <c r="K1970" s="1" t="s">
        <v>234</v>
      </c>
      <c r="L1970">
        <v>44105</v>
      </c>
      <c r="M1970" s="1" t="s">
        <v>70</v>
      </c>
      <c r="N1970" s="1" t="s">
        <v>351</v>
      </c>
      <c r="O1970" s="1" t="s">
        <v>33</v>
      </c>
      <c r="P1970" s="1" t="s">
        <v>34</v>
      </c>
      <c r="Q1970" s="1" t="s">
        <v>352</v>
      </c>
      <c r="R1970">
        <v>116</v>
      </c>
      <c r="S1970">
        <v>4</v>
      </c>
      <c r="T1970">
        <v>0.5</v>
      </c>
      <c r="U1970">
        <v>-65</v>
      </c>
      <c r="V1970" s="1" t="s">
        <v>86</v>
      </c>
      <c r="W1970" s="1" t="s">
        <v>164</v>
      </c>
    </row>
    <row r="1971" spans="1:23" x14ac:dyDescent="0.35">
      <c r="A1971">
        <v>9301</v>
      </c>
      <c r="B1971" s="1" t="s">
        <v>4242</v>
      </c>
      <c r="C1971" s="2">
        <v>42112</v>
      </c>
      <c r="D1971" s="2">
        <v>42116</v>
      </c>
      <c r="E1971" s="1" t="s">
        <v>24</v>
      </c>
      <c r="F1971" s="1" t="s">
        <v>472</v>
      </c>
      <c r="G1971" s="1" t="s">
        <v>473</v>
      </c>
      <c r="H1971" s="1" t="s">
        <v>93</v>
      </c>
      <c r="I1971" s="1" t="s">
        <v>28</v>
      </c>
      <c r="J1971" s="1" t="s">
        <v>4243</v>
      </c>
      <c r="K1971" s="1" t="s">
        <v>95</v>
      </c>
      <c r="L1971">
        <v>78501</v>
      </c>
      <c r="M1971" s="1" t="s">
        <v>96</v>
      </c>
      <c r="N1971" s="1" t="s">
        <v>513</v>
      </c>
      <c r="O1971" s="1" t="s">
        <v>33</v>
      </c>
      <c r="P1971" s="1" t="s">
        <v>39</v>
      </c>
      <c r="Q1971" s="1" t="s">
        <v>514</v>
      </c>
      <c r="R1971">
        <v>57</v>
      </c>
      <c r="S1971">
        <v>1</v>
      </c>
      <c r="T1971">
        <v>0.3</v>
      </c>
      <c r="U1971">
        <v>-20</v>
      </c>
      <c r="V1971" s="1" t="s">
        <v>86</v>
      </c>
      <c r="W1971" s="1" t="s">
        <v>116</v>
      </c>
    </row>
    <row r="1972" spans="1:23" x14ac:dyDescent="0.35">
      <c r="A1972">
        <v>9320</v>
      </c>
      <c r="B1972" s="1" t="s">
        <v>4244</v>
      </c>
      <c r="C1972" s="2">
        <v>42936</v>
      </c>
      <c r="D1972" s="2">
        <v>42941</v>
      </c>
      <c r="E1972" s="1" t="s">
        <v>42</v>
      </c>
      <c r="F1972" s="1" t="s">
        <v>683</v>
      </c>
      <c r="G1972" s="1" t="s">
        <v>684</v>
      </c>
      <c r="H1972" s="1" t="s">
        <v>93</v>
      </c>
      <c r="I1972" s="1" t="s">
        <v>28</v>
      </c>
      <c r="J1972" s="1" t="s">
        <v>176</v>
      </c>
      <c r="K1972" s="1" t="s">
        <v>123</v>
      </c>
      <c r="L1972">
        <v>10009</v>
      </c>
      <c r="M1972" s="1" t="s">
        <v>70</v>
      </c>
      <c r="N1972" s="1" t="s">
        <v>4245</v>
      </c>
      <c r="O1972" s="1" t="s">
        <v>33</v>
      </c>
      <c r="P1972" s="1" t="s">
        <v>39</v>
      </c>
      <c r="Q1972" s="1" t="s">
        <v>4246</v>
      </c>
      <c r="R1972">
        <v>164</v>
      </c>
      <c r="S1972">
        <v>2</v>
      </c>
      <c r="T1972">
        <v>0.1</v>
      </c>
      <c r="U1972">
        <v>25</v>
      </c>
      <c r="V1972" s="1" t="s">
        <v>61</v>
      </c>
      <c r="W1972" s="1" t="s">
        <v>74</v>
      </c>
    </row>
    <row r="1973" spans="1:23" x14ac:dyDescent="0.35">
      <c r="A1973">
        <v>9321</v>
      </c>
      <c r="B1973" s="1" t="s">
        <v>4244</v>
      </c>
      <c r="C1973" s="2">
        <v>42936</v>
      </c>
      <c r="D1973" s="2">
        <v>42941</v>
      </c>
      <c r="E1973" s="1" t="s">
        <v>42</v>
      </c>
      <c r="F1973" s="1" t="s">
        <v>683</v>
      </c>
      <c r="G1973" s="1" t="s">
        <v>684</v>
      </c>
      <c r="H1973" s="1" t="s">
        <v>93</v>
      </c>
      <c r="I1973" s="1" t="s">
        <v>28</v>
      </c>
      <c r="J1973" s="1" t="s">
        <v>176</v>
      </c>
      <c r="K1973" s="1" t="s">
        <v>123</v>
      </c>
      <c r="L1973">
        <v>10009</v>
      </c>
      <c r="M1973" s="1" t="s">
        <v>70</v>
      </c>
      <c r="N1973" s="1" t="s">
        <v>3291</v>
      </c>
      <c r="O1973" s="1" t="s">
        <v>33</v>
      </c>
      <c r="P1973" s="1" t="s">
        <v>59</v>
      </c>
      <c r="Q1973" s="1" t="s">
        <v>3292</v>
      </c>
      <c r="R1973">
        <v>184</v>
      </c>
      <c r="S1973">
        <v>4</v>
      </c>
      <c r="T1973">
        <v>0</v>
      </c>
      <c r="U1973">
        <v>31</v>
      </c>
      <c r="V1973" s="1" t="s">
        <v>61</v>
      </c>
      <c r="W1973" s="1" t="s">
        <v>74</v>
      </c>
    </row>
    <row r="1974" spans="1:23" x14ac:dyDescent="0.35">
      <c r="A1974">
        <v>9322</v>
      </c>
      <c r="B1974" s="1" t="s">
        <v>4247</v>
      </c>
      <c r="C1974" s="2">
        <v>42678</v>
      </c>
      <c r="D1974" s="2">
        <v>42682</v>
      </c>
      <c r="E1974" s="1" t="s">
        <v>42</v>
      </c>
      <c r="F1974" s="1" t="s">
        <v>4248</v>
      </c>
      <c r="G1974" s="1" t="s">
        <v>4249</v>
      </c>
      <c r="H1974" s="1" t="s">
        <v>27</v>
      </c>
      <c r="I1974" s="1" t="s">
        <v>28</v>
      </c>
      <c r="J1974" s="1" t="s">
        <v>104</v>
      </c>
      <c r="K1974" s="1" t="s">
        <v>95</v>
      </c>
      <c r="L1974">
        <v>77041</v>
      </c>
      <c r="M1974" s="1" t="s">
        <v>96</v>
      </c>
      <c r="N1974" s="1" t="s">
        <v>2207</v>
      </c>
      <c r="O1974" s="1" t="s">
        <v>33</v>
      </c>
      <c r="P1974" s="1" t="s">
        <v>59</v>
      </c>
      <c r="Q1974" s="1" t="s">
        <v>2208</v>
      </c>
      <c r="R1974">
        <v>11</v>
      </c>
      <c r="S1974">
        <v>3</v>
      </c>
      <c r="T1974">
        <v>0.6</v>
      </c>
      <c r="U1974">
        <v>-6</v>
      </c>
      <c r="V1974" s="1" t="s">
        <v>86</v>
      </c>
      <c r="W1974" s="1" t="s">
        <v>37</v>
      </c>
    </row>
    <row r="1975" spans="1:23" x14ac:dyDescent="0.35">
      <c r="A1975">
        <v>9323</v>
      </c>
      <c r="B1975" s="1" t="s">
        <v>4247</v>
      </c>
      <c r="C1975" s="2">
        <v>42678</v>
      </c>
      <c r="D1975" s="2">
        <v>42682</v>
      </c>
      <c r="E1975" s="1" t="s">
        <v>42</v>
      </c>
      <c r="F1975" s="1" t="s">
        <v>4248</v>
      </c>
      <c r="G1975" s="1" t="s">
        <v>4249</v>
      </c>
      <c r="H1975" s="1" t="s">
        <v>27</v>
      </c>
      <c r="I1975" s="1" t="s">
        <v>28</v>
      </c>
      <c r="J1975" s="1" t="s">
        <v>104</v>
      </c>
      <c r="K1975" s="1" t="s">
        <v>95</v>
      </c>
      <c r="L1975">
        <v>77041</v>
      </c>
      <c r="M1975" s="1" t="s">
        <v>96</v>
      </c>
      <c r="N1975" s="1" t="s">
        <v>599</v>
      </c>
      <c r="O1975" s="1" t="s">
        <v>33</v>
      </c>
      <c r="P1975" s="1" t="s">
        <v>59</v>
      </c>
      <c r="Q1975" s="1" t="s">
        <v>600</v>
      </c>
      <c r="R1975">
        <v>66</v>
      </c>
      <c r="S1975">
        <v>4</v>
      </c>
      <c r="T1975">
        <v>0.6</v>
      </c>
      <c r="U1975">
        <v>-84</v>
      </c>
      <c r="V1975" s="1" t="s">
        <v>86</v>
      </c>
      <c r="W1975" s="1" t="s">
        <v>37</v>
      </c>
    </row>
    <row r="1976" spans="1:23" x14ac:dyDescent="0.35">
      <c r="A1976">
        <v>9325</v>
      </c>
      <c r="B1976" s="1" t="s">
        <v>4250</v>
      </c>
      <c r="C1976" s="2">
        <v>43001</v>
      </c>
      <c r="D1976" s="2">
        <v>43007</v>
      </c>
      <c r="E1976" s="1" t="s">
        <v>42</v>
      </c>
      <c r="F1976" s="1" t="s">
        <v>1596</v>
      </c>
      <c r="G1976" s="1" t="s">
        <v>1597</v>
      </c>
      <c r="H1976" s="1" t="s">
        <v>27</v>
      </c>
      <c r="I1976" s="1" t="s">
        <v>28</v>
      </c>
      <c r="J1976" s="1" t="s">
        <v>55</v>
      </c>
      <c r="K1976" s="1" t="s">
        <v>56</v>
      </c>
      <c r="L1976">
        <v>90036</v>
      </c>
      <c r="M1976" s="1" t="s">
        <v>57</v>
      </c>
      <c r="N1976" s="1" t="s">
        <v>1098</v>
      </c>
      <c r="O1976" s="1" t="s">
        <v>33</v>
      </c>
      <c r="P1976" s="1" t="s">
        <v>39</v>
      </c>
      <c r="Q1976" s="1" t="s">
        <v>1099</v>
      </c>
      <c r="R1976">
        <v>595</v>
      </c>
      <c r="S1976">
        <v>2</v>
      </c>
      <c r="T1976">
        <v>0.2</v>
      </c>
      <c r="U1976">
        <v>59</v>
      </c>
      <c r="V1976" s="1" t="s">
        <v>132</v>
      </c>
      <c r="W1976" s="1" t="s">
        <v>80</v>
      </c>
    </row>
    <row r="1977" spans="1:23" x14ac:dyDescent="0.35">
      <c r="A1977">
        <v>9327</v>
      </c>
      <c r="B1977" s="1" t="s">
        <v>4251</v>
      </c>
      <c r="C1977" s="2">
        <v>42985</v>
      </c>
      <c r="D1977" s="2">
        <v>42988</v>
      </c>
      <c r="E1977" s="1" t="s">
        <v>90</v>
      </c>
      <c r="F1977" s="1" t="s">
        <v>1919</v>
      </c>
      <c r="G1977" s="1" t="s">
        <v>1920</v>
      </c>
      <c r="H1977" s="1" t="s">
        <v>27</v>
      </c>
      <c r="I1977" s="1" t="s">
        <v>28</v>
      </c>
      <c r="J1977" s="1" t="s">
        <v>848</v>
      </c>
      <c r="K1977" s="1" t="s">
        <v>195</v>
      </c>
      <c r="L1977">
        <v>98026</v>
      </c>
      <c r="M1977" s="1" t="s">
        <v>57</v>
      </c>
      <c r="N1977" s="1" t="s">
        <v>2798</v>
      </c>
      <c r="O1977" s="1" t="s">
        <v>33</v>
      </c>
      <c r="P1977" s="1" t="s">
        <v>59</v>
      </c>
      <c r="Q1977" s="1" t="s">
        <v>2799</v>
      </c>
      <c r="R1977">
        <v>81</v>
      </c>
      <c r="S1977">
        <v>4</v>
      </c>
      <c r="T1977">
        <v>0</v>
      </c>
      <c r="U1977">
        <v>35</v>
      </c>
      <c r="V1977" s="1" t="s">
        <v>36</v>
      </c>
      <c r="W1977" s="1" t="s">
        <v>80</v>
      </c>
    </row>
    <row r="1978" spans="1:23" x14ac:dyDescent="0.35">
      <c r="A1978">
        <v>9335</v>
      </c>
      <c r="B1978" s="1" t="s">
        <v>4252</v>
      </c>
      <c r="C1978" s="2">
        <v>42856</v>
      </c>
      <c r="D1978" s="2">
        <v>42857</v>
      </c>
      <c r="E1978" s="1" t="s">
        <v>90</v>
      </c>
      <c r="F1978" s="1" t="s">
        <v>1475</v>
      </c>
      <c r="G1978" s="1" t="s">
        <v>1476</v>
      </c>
      <c r="H1978" s="1" t="s">
        <v>27</v>
      </c>
      <c r="I1978" s="1" t="s">
        <v>28</v>
      </c>
      <c r="J1978" s="1" t="s">
        <v>1101</v>
      </c>
      <c r="K1978" s="1" t="s">
        <v>46</v>
      </c>
      <c r="L1978">
        <v>33065</v>
      </c>
      <c r="M1978" s="1" t="s">
        <v>31</v>
      </c>
      <c r="N1978" s="1" t="s">
        <v>32</v>
      </c>
      <c r="O1978" s="1" t="s">
        <v>33</v>
      </c>
      <c r="P1978" s="1" t="s">
        <v>34</v>
      </c>
      <c r="Q1978" s="1" t="s">
        <v>35</v>
      </c>
      <c r="R1978">
        <v>314</v>
      </c>
      <c r="S1978">
        <v>3</v>
      </c>
      <c r="T1978">
        <v>0.2</v>
      </c>
      <c r="U1978">
        <v>-16</v>
      </c>
      <c r="V1978" s="1" t="s">
        <v>126</v>
      </c>
      <c r="W1978" s="1" t="s">
        <v>164</v>
      </c>
    </row>
    <row r="1979" spans="1:23" x14ac:dyDescent="0.35">
      <c r="A1979">
        <v>9344</v>
      </c>
      <c r="B1979" s="1" t="s">
        <v>4253</v>
      </c>
      <c r="C1979" s="2">
        <v>42783</v>
      </c>
      <c r="D1979" s="2">
        <v>42786</v>
      </c>
      <c r="E1979" s="1" t="s">
        <v>90</v>
      </c>
      <c r="F1979" s="1" t="s">
        <v>751</v>
      </c>
      <c r="G1979" s="1" t="s">
        <v>752</v>
      </c>
      <c r="H1979" s="1" t="s">
        <v>103</v>
      </c>
      <c r="I1979" s="1" t="s">
        <v>28</v>
      </c>
      <c r="J1979" s="1" t="s">
        <v>122</v>
      </c>
      <c r="K1979" s="1" t="s">
        <v>234</v>
      </c>
      <c r="L1979">
        <v>45373</v>
      </c>
      <c r="M1979" s="1" t="s">
        <v>70</v>
      </c>
      <c r="N1979" s="1" t="s">
        <v>3192</v>
      </c>
      <c r="O1979" s="1" t="s">
        <v>33</v>
      </c>
      <c r="P1979" s="1" t="s">
        <v>48</v>
      </c>
      <c r="Q1979" s="1" t="s">
        <v>3193</v>
      </c>
      <c r="R1979">
        <v>456</v>
      </c>
      <c r="S1979">
        <v>5</v>
      </c>
      <c r="T1979">
        <v>0.4</v>
      </c>
      <c r="U1979">
        <v>-106</v>
      </c>
      <c r="V1979" s="1" t="s">
        <v>36</v>
      </c>
      <c r="W1979" s="1" t="s">
        <v>300</v>
      </c>
    </row>
    <row r="1980" spans="1:23" x14ac:dyDescent="0.35">
      <c r="A1980">
        <v>9347</v>
      </c>
      <c r="B1980" s="1" t="s">
        <v>4253</v>
      </c>
      <c r="C1980" s="2">
        <v>42783</v>
      </c>
      <c r="D1980" s="2">
        <v>42786</v>
      </c>
      <c r="E1980" s="1" t="s">
        <v>90</v>
      </c>
      <c r="F1980" s="1" t="s">
        <v>751</v>
      </c>
      <c r="G1980" s="1" t="s">
        <v>752</v>
      </c>
      <c r="H1980" s="1" t="s">
        <v>103</v>
      </c>
      <c r="I1980" s="1" t="s">
        <v>28</v>
      </c>
      <c r="J1980" s="1" t="s">
        <v>122</v>
      </c>
      <c r="K1980" s="1" t="s">
        <v>234</v>
      </c>
      <c r="L1980">
        <v>45373</v>
      </c>
      <c r="M1980" s="1" t="s">
        <v>70</v>
      </c>
      <c r="N1980" s="1" t="s">
        <v>1545</v>
      </c>
      <c r="O1980" s="1" t="s">
        <v>33</v>
      </c>
      <c r="P1980" s="1" t="s">
        <v>59</v>
      </c>
      <c r="Q1980" s="1" t="s">
        <v>1546</v>
      </c>
      <c r="R1980">
        <v>30</v>
      </c>
      <c r="S1980">
        <v>2</v>
      </c>
      <c r="T1980">
        <v>0.2</v>
      </c>
      <c r="U1980">
        <v>8</v>
      </c>
      <c r="V1980" s="1" t="s">
        <v>36</v>
      </c>
      <c r="W1980" s="1" t="s">
        <v>300</v>
      </c>
    </row>
    <row r="1981" spans="1:23" x14ac:dyDescent="0.35">
      <c r="A1981">
        <v>9348</v>
      </c>
      <c r="B1981" s="1" t="s">
        <v>4253</v>
      </c>
      <c r="C1981" s="2">
        <v>42783</v>
      </c>
      <c r="D1981" s="2">
        <v>42786</v>
      </c>
      <c r="E1981" s="1" t="s">
        <v>90</v>
      </c>
      <c r="F1981" s="1" t="s">
        <v>751</v>
      </c>
      <c r="G1981" s="1" t="s">
        <v>752</v>
      </c>
      <c r="H1981" s="1" t="s">
        <v>103</v>
      </c>
      <c r="I1981" s="1" t="s">
        <v>28</v>
      </c>
      <c r="J1981" s="1" t="s">
        <v>122</v>
      </c>
      <c r="K1981" s="1" t="s">
        <v>234</v>
      </c>
      <c r="L1981">
        <v>45373</v>
      </c>
      <c r="M1981" s="1" t="s">
        <v>70</v>
      </c>
      <c r="N1981" s="1" t="s">
        <v>1603</v>
      </c>
      <c r="O1981" s="1" t="s">
        <v>33</v>
      </c>
      <c r="P1981" s="1" t="s">
        <v>39</v>
      </c>
      <c r="Q1981" s="1" t="s">
        <v>1604</v>
      </c>
      <c r="R1981">
        <v>899</v>
      </c>
      <c r="S1981">
        <v>5</v>
      </c>
      <c r="T1981">
        <v>0.3</v>
      </c>
      <c r="U1981">
        <v>-13</v>
      </c>
      <c r="V1981" s="1" t="s">
        <v>36</v>
      </c>
      <c r="W1981" s="1" t="s">
        <v>300</v>
      </c>
    </row>
    <row r="1982" spans="1:23" x14ac:dyDescent="0.35">
      <c r="A1982">
        <v>9349</v>
      </c>
      <c r="B1982" s="1" t="s">
        <v>4254</v>
      </c>
      <c r="C1982" s="2">
        <v>42726</v>
      </c>
      <c r="D1982" s="2">
        <v>42732</v>
      </c>
      <c r="E1982" s="1" t="s">
        <v>42</v>
      </c>
      <c r="F1982" s="1" t="s">
        <v>2645</v>
      </c>
      <c r="G1982" s="1" t="s">
        <v>2646</v>
      </c>
      <c r="H1982" s="1" t="s">
        <v>27</v>
      </c>
      <c r="I1982" s="1" t="s">
        <v>28</v>
      </c>
      <c r="J1982" s="1" t="s">
        <v>4255</v>
      </c>
      <c r="K1982" s="1" t="s">
        <v>56</v>
      </c>
      <c r="L1982">
        <v>92553</v>
      </c>
      <c r="M1982" s="1" t="s">
        <v>57</v>
      </c>
      <c r="N1982" s="1" t="s">
        <v>3620</v>
      </c>
      <c r="O1982" s="1" t="s">
        <v>33</v>
      </c>
      <c r="P1982" s="1" t="s">
        <v>59</v>
      </c>
      <c r="Q1982" s="1" t="s">
        <v>3621</v>
      </c>
      <c r="R1982">
        <v>843</v>
      </c>
      <c r="S1982">
        <v>8</v>
      </c>
      <c r="T1982">
        <v>0</v>
      </c>
      <c r="U1982">
        <v>202</v>
      </c>
      <c r="V1982" s="1" t="s">
        <v>132</v>
      </c>
      <c r="W1982" s="1" t="s">
        <v>99</v>
      </c>
    </row>
    <row r="1983" spans="1:23" x14ac:dyDescent="0.35">
      <c r="A1983">
        <v>9350</v>
      </c>
      <c r="B1983" s="1" t="s">
        <v>4254</v>
      </c>
      <c r="C1983" s="2">
        <v>42726</v>
      </c>
      <c r="D1983" s="2">
        <v>42732</v>
      </c>
      <c r="E1983" s="1" t="s">
        <v>42</v>
      </c>
      <c r="F1983" s="1" t="s">
        <v>2645</v>
      </c>
      <c r="G1983" s="1" t="s">
        <v>2646</v>
      </c>
      <c r="H1983" s="1" t="s">
        <v>27</v>
      </c>
      <c r="I1983" s="1" t="s">
        <v>28</v>
      </c>
      <c r="J1983" s="1" t="s">
        <v>4255</v>
      </c>
      <c r="K1983" s="1" t="s">
        <v>56</v>
      </c>
      <c r="L1983">
        <v>92553</v>
      </c>
      <c r="M1983" s="1" t="s">
        <v>57</v>
      </c>
      <c r="N1983" s="1" t="s">
        <v>189</v>
      </c>
      <c r="O1983" s="1" t="s">
        <v>33</v>
      </c>
      <c r="P1983" s="1" t="s">
        <v>59</v>
      </c>
      <c r="Q1983" s="1" t="s">
        <v>190</v>
      </c>
      <c r="R1983">
        <v>42</v>
      </c>
      <c r="S1983">
        <v>2</v>
      </c>
      <c r="T1983">
        <v>0</v>
      </c>
      <c r="U1983">
        <v>11</v>
      </c>
      <c r="V1983" s="1" t="s">
        <v>132</v>
      </c>
      <c r="W1983" s="1" t="s">
        <v>99</v>
      </c>
    </row>
    <row r="1984" spans="1:23" x14ac:dyDescent="0.35">
      <c r="A1984">
        <v>9352</v>
      </c>
      <c r="B1984" s="1" t="s">
        <v>4256</v>
      </c>
      <c r="C1984" s="2">
        <v>42636</v>
      </c>
      <c r="D1984" s="2">
        <v>42640</v>
      </c>
      <c r="E1984" s="1" t="s">
        <v>42</v>
      </c>
      <c r="F1984" s="1" t="s">
        <v>4257</v>
      </c>
      <c r="G1984" s="1" t="s">
        <v>4258</v>
      </c>
      <c r="H1984" s="1" t="s">
        <v>93</v>
      </c>
      <c r="I1984" s="1" t="s">
        <v>28</v>
      </c>
      <c r="J1984" s="1" t="s">
        <v>194</v>
      </c>
      <c r="K1984" s="1" t="s">
        <v>195</v>
      </c>
      <c r="L1984">
        <v>98115</v>
      </c>
      <c r="M1984" s="1" t="s">
        <v>57</v>
      </c>
      <c r="N1984" s="1" t="s">
        <v>491</v>
      </c>
      <c r="O1984" s="1" t="s">
        <v>33</v>
      </c>
      <c r="P1984" s="1" t="s">
        <v>39</v>
      </c>
      <c r="Q1984" s="1" t="s">
        <v>492</v>
      </c>
      <c r="R1984">
        <v>185</v>
      </c>
      <c r="S1984">
        <v>3</v>
      </c>
      <c r="T1984">
        <v>0.2</v>
      </c>
      <c r="U1984">
        <v>-21</v>
      </c>
      <c r="V1984" s="1" t="s">
        <v>86</v>
      </c>
      <c r="W1984" s="1" t="s">
        <v>80</v>
      </c>
    </row>
    <row r="1985" spans="1:23" x14ac:dyDescent="0.35">
      <c r="A1985">
        <v>9353</v>
      </c>
      <c r="B1985" s="1" t="s">
        <v>4259</v>
      </c>
      <c r="C1985" s="2">
        <v>43002</v>
      </c>
      <c r="D1985" s="2">
        <v>43004</v>
      </c>
      <c r="E1985" s="1" t="s">
        <v>90</v>
      </c>
      <c r="F1985" s="1" t="s">
        <v>548</v>
      </c>
      <c r="G1985" s="1" t="s">
        <v>549</v>
      </c>
      <c r="H1985" s="1" t="s">
        <v>27</v>
      </c>
      <c r="I1985" s="1" t="s">
        <v>28</v>
      </c>
      <c r="J1985" s="1" t="s">
        <v>136</v>
      </c>
      <c r="K1985" s="1" t="s">
        <v>137</v>
      </c>
      <c r="L1985">
        <v>60623</v>
      </c>
      <c r="M1985" s="1" t="s">
        <v>96</v>
      </c>
      <c r="N1985" s="1" t="s">
        <v>1098</v>
      </c>
      <c r="O1985" s="1" t="s">
        <v>33</v>
      </c>
      <c r="P1985" s="1" t="s">
        <v>39</v>
      </c>
      <c r="Q1985" s="1" t="s">
        <v>1099</v>
      </c>
      <c r="R1985">
        <v>520</v>
      </c>
      <c r="S1985">
        <v>2</v>
      </c>
      <c r="T1985">
        <v>0.3</v>
      </c>
      <c r="U1985">
        <v>-15</v>
      </c>
      <c r="V1985" s="1" t="s">
        <v>73</v>
      </c>
      <c r="W1985" s="1" t="s">
        <v>80</v>
      </c>
    </row>
    <row r="1986" spans="1:23" x14ac:dyDescent="0.35">
      <c r="A1986">
        <v>9359</v>
      </c>
      <c r="B1986" s="1" t="s">
        <v>4260</v>
      </c>
      <c r="C1986" s="2">
        <v>42394</v>
      </c>
      <c r="D1986" s="2">
        <v>42397</v>
      </c>
      <c r="E1986" s="1" t="s">
        <v>24</v>
      </c>
      <c r="F1986" s="1" t="s">
        <v>228</v>
      </c>
      <c r="G1986" s="1" t="s">
        <v>229</v>
      </c>
      <c r="H1986" s="1" t="s">
        <v>93</v>
      </c>
      <c r="I1986" s="1" t="s">
        <v>28</v>
      </c>
      <c r="J1986" s="1" t="s">
        <v>176</v>
      </c>
      <c r="K1986" s="1" t="s">
        <v>123</v>
      </c>
      <c r="L1986">
        <v>10024</v>
      </c>
      <c r="M1986" s="1" t="s">
        <v>70</v>
      </c>
      <c r="N1986" s="1" t="s">
        <v>787</v>
      </c>
      <c r="O1986" s="1" t="s">
        <v>33</v>
      </c>
      <c r="P1986" s="1" t="s">
        <v>48</v>
      </c>
      <c r="Q1986" s="1" t="s">
        <v>788</v>
      </c>
      <c r="R1986">
        <v>314</v>
      </c>
      <c r="S1986">
        <v>3</v>
      </c>
      <c r="T1986">
        <v>0.4</v>
      </c>
      <c r="U1986">
        <v>-99</v>
      </c>
      <c r="V1986" s="1" t="s">
        <v>36</v>
      </c>
      <c r="W1986" s="1" t="s">
        <v>172</v>
      </c>
    </row>
    <row r="1987" spans="1:23" x14ac:dyDescent="0.35">
      <c r="A1987">
        <v>9360</v>
      </c>
      <c r="B1987" s="1" t="s">
        <v>4260</v>
      </c>
      <c r="C1987" s="2">
        <v>42394</v>
      </c>
      <c r="D1987" s="2">
        <v>42397</v>
      </c>
      <c r="E1987" s="1" t="s">
        <v>24</v>
      </c>
      <c r="F1987" s="1" t="s">
        <v>228</v>
      </c>
      <c r="G1987" s="1" t="s">
        <v>229</v>
      </c>
      <c r="H1987" s="1" t="s">
        <v>93</v>
      </c>
      <c r="I1987" s="1" t="s">
        <v>28</v>
      </c>
      <c r="J1987" s="1" t="s">
        <v>176</v>
      </c>
      <c r="K1987" s="1" t="s">
        <v>123</v>
      </c>
      <c r="L1987">
        <v>10024</v>
      </c>
      <c r="M1987" s="1" t="s">
        <v>70</v>
      </c>
      <c r="N1987" s="1" t="s">
        <v>3291</v>
      </c>
      <c r="O1987" s="1" t="s">
        <v>33</v>
      </c>
      <c r="P1987" s="1" t="s">
        <v>59</v>
      </c>
      <c r="Q1987" s="1" t="s">
        <v>3292</v>
      </c>
      <c r="R1987">
        <v>46</v>
      </c>
      <c r="S1987">
        <v>1</v>
      </c>
      <c r="T1987">
        <v>0</v>
      </c>
      <c r="U1987">
        <v>8</v>
      </c>
      <c r="V1987" s="1" t="s">
        <v>36</v>
      </c>
      <c r="W1987" s="1" t="s">
        <v>172</v>
      </c>
    </row>
    <row r="1988" spans="1:23" x14ac:dyDescent="0.35">
      <c r="A1988">
        <v>9364</v>
      </c>
      <c r="B1988" s="1" t="s">
        <v>4261</v>
      </c>
      <c r="C1988" s="2">
        <v>42815</v>
      </c>
      <c r="D1988" s="2">
        <v>42819</v>
      </c>
      <c r="E1988" s="1" t="s">
        <v>42</v>
      </c>
      <c r="F1988" s="1" t="s">
        <v>134</v>
      </c>
      <c r="G1988" s="1" t="s">
        <v>135</v>
      </c>
      <c r="H1988" s="1" t="s">
        <v>103</v>
      </c>
      <c r="I1988" s="1" t="s">
        <v>28</v>
      </c>
      <c r="J1988" s="1" t="s">
        <v>194</v>
      </c>
      <c r="K1988" s="1" t="s">
        <v>195</v>
      </c>
      <c r="L1988">
        <v>98105</v>
      </c>
      <c r="M1988" s="1" t="s">
        <v>57</v>
      </c>
      <c r="N1988" s="1" t="s">
        <v>1721</v>
      </c>
      <c r="O1988" s="1" t="s">
        <v>33</v>
      </c>
      <c r="P1988" s="1" t="s">
        <v>59</v>
      </c>
      <c r="Q1988" s="1" t="s">
        <v>1722</v>
      </c>
      <c r="R1988">
        <v>22</v>
      </c>
      <c r="S1988">
        <v>3</v>
      </c>
      <c r="T1988">
        <v>0</v>
      </c>
      <c r="U1988">
        <v>6</v>
      </c>
      <c r="V1988" s="1" t="s">
        <v>86</v>
      </c>
      <c r="W1988" s="1" t="s">
        <v>198</v>
      </c>
    </row>
    <row r="1989" spans="1:23" x14ac:dyDescent="0.35">
      <c r="A1989">
        <v>9370</v>
      </c>
      <c r="B1989" s="1" t="s">
        <v>4262</v>
      </c>
      <c r="C1989" s="2">
        <v>43046</v>
      </c>
      <c r="D1989" s="2">
        <v>43048</v>
      </c>
      <c r="E1989" s="1" t="s">
        <v>24</v>
      </c>
      <c r="F1989" s="1" t="s">
        <v>3491</v>
      </c>
      <c r="G1989" s="1" t="s">
        <v>3492</v>
      </c>
      <c r="H1989" s="1" t="s">
        <v>93</v>
      </c>
      <c r="I1989" s="1" t="s">
        <v>28</v>
      </c>
      <c r="J1989" s="1" t="s">
        <v>2525</v>
      </c>
      <c r="K1989" s="1" t="s">
        <v>1092</v>
      </c>
      <c r="L1989">
        <v>20735</v>
      </c>
      <c r="M1989" s="1" t="s">
        <v>70</v>
      </c>
      <c r="N1989" s="1" t="s">
        <v>2183</v>
      </c>
      <c r="O1989" s="1" t="s">
        <v>33</v>
      </c>
      <c r="P1989" s="1" t="s">
        <v>39</v>
      </c>
      <c r="Q1989" s="1" t="s">
        <v>2184</v>
      </c>
      <c r="R1989">
        <v>273</v>
      </c>
      <c r="S1989">
        <v>3</v>
      </c>
      <c r="T1989">
        <v>0</v>
      </c>
      <c r="U1989">
        <v>44</v>
      </c>
      <c r="V1989" s="1" t="s">
        <v>73</v>
      </c>
      <c r="W1989" s="1" t="s">
        <v>37</v>
      </c>
    </row>
    <row r="1990" spans="1:23" x14ac:dyDescent="0.35">
      <c r="A1990">
        <v>9371</v>
      </c>
      <c r="B1990" s="1" t="s">
        <v>4263</v>
      </c>
      <c r="C1990" s="2">
        <v>42153</v>
      </c>
      <c r="D1990" s="2">
        <v>42155</v>
      </c>
      <c r="E1990" s="1" t="s">
        <v>90</v>
      </c>
      <c r="F1990" s="1" t="s">
        <v>3530</v>
      </c>
      <c r="G1990" s="1" t="s">
        <v>3531</v>
      </c>
      <c r="H1990" s="1" t="s">
        <v>93</v>
      </c>
      <c r="I1990" s="1" t="s">
        <v>28</v>
      </c>
      <c r="J1990" s="1" t="s">
        <v>350</v>
      </c>
      <c r="K1990" s="1" t="s">
        <v>234</v>
      </c>
      <c r="L1990">
        <v>43229</v>
      </c>
      <c r="M1990" s="1" t="s">
        <v>70</v>
      </c>
      <c r="N1990" s="1" t="s">
        <v>3828</v>
      </c>
      <c r="O1990" s="1" t="s">
        <v>33</v>
      </c>
      <c r="P1990" s="1" t="s">
        <v>59</v>
      </c>
      <c r="Q1990" s="1" t="s">
        <v>3829</v>
      </c>
      <c r="R1990">
        <v>42</v>
      </c>
      <c r="S1990">
        <v>4</v>
      </c>
      <c r="T1990">
        <v>0.2</v>
      </c>
      <c r="U1990">
        <v>-4</v>
      </c>
      <c r="V1990" s="1" t="s">
        <v>73</v>
      </c>
      <c r="W1990" s="1" t="s">
        <v>164</v>
      </c>
    </row>
    <row r="1991" spans="1:23" x14ac:dyDescent="0.35">
      <c r="A1991">
        <v>9372</v>
      </c>
      <c r="B1991" s="1" t="s">
        <v>4263</v>
      </c>
      <c r="C1991" s="2">
        <v>42153</v>
      </c>
      <c r="D1991" s="2">
        <v>42155</v>
      </c>
      <c r="E1991" s="1" t="s">
        <v>90</v>
      </c>
      <c r="F1991" s="1" t="s">
        <v>3530</v>
      </c>
      <c r="G1991" s="1" t="s">
        <v>3531</v>
      </c>
      <c r="H1991" s="1" t="s">
        <v>93</v>
      </c>
      <c r="I1991" s="1" t="s">
        <v>28</v>
      </c>
      <c r="J1991" s="1" t="s">
        <v>350</v>
      </c>
      <c r="K1991" s="1" t="s">
        <v>234</v>
      </c>
      <c r="L1991">
        <v>43229</v>
      </c>
      <c r="M1991" s="1" t="s">
        <v>70</v>
      </c>
      <c r="N1991" s="1" t="s">
        <v>162</v>
      </c>
      <c r="O1991" s="1" t="s">
        <v>33</v>
      </c>
      <c r="P1991" s="1" t="s">
        <v>39</v>
      </c>
      <c r="Q1991" s="1" t="s">
        <v>163</v>
      </c>
      <c r="R1991">
        <v>317</v>
      </c>
      <c r="S1991">
        <v>3</v>
      </c>
      <c r="T1991">
        <v>0.3</v>
      </c>
      <c r="U1991">
        <v>-86</v>
      </c>
      <c r="V1991" s="1" t="s">
        <v>73</v>
      </c>
      <c r="W1991" s="1" t="s">
        <v>164</v>
      </c>
    </row>
    <row r="1992" spans="1:23" x14ac:dyDescent="0.35">
      <c r="A1992">
        <v>9381</v>
      </c>
      <c r="B1992" s="1" t="s">
        <v>4264</v>
      </c>
      <c r="C1992" s="2">
        <v>41996</v>
      </c>
      <c r="D1992" s="2">
        <v>42000</v>
      </c>
      <c r="E1992" s="1" t="s">
        <v>24</v>
      </c>
      <c r="F1992" s="1" t="s">
        <v>2843</v>
      </c>
      <c r="G1992" s="1" t="s">
        <v>2844</v>
      </c>
      <c r="H1992" s="1" t="s">
        <v>27</v>
      </c>
      <c r="I1992" s="1" t="s">
        <v>28</v>
      </c>
      <c r="J1992" s="1" t="s">
        <v>306</v>
      </c>
      <c r="K1992" s="1" t="s">
        <v>46</v>
      </c>
      <c r="L1992">
        <v>33614</v>
      </c>
      <c r="M1992" s="1" t="s">
        <v>31</v>
      </c>
      <c r="N1992" s="1" t="s">
        <v>258</v>
      </c>
      <c r="O1992" s="1" t="s">
        <v>33</v>
      </c>
      <c r="P1992" s="1" t="s">
        <v>39</v>
      </c>
      <c r="Q1992" s="1" t="s">
        <v>259</v>
      </c>
      <c r="R1992">
        <v>65</v>
      </c>
      <c r="S1992">
        <v>1</v>
      </c>
      <c r="T1992">
        <v>0.2</v>
      </c>
      <c r="U1992">
        <v>6</v>
      </c>
      <c r="V1992" s="1" t="s">
        <v>86</v>
      </c>
      <c r="W1992" s="1" t="s">
        <v>99</v>
      </c>
    </row>
    <row r="1993" spans="1:23" x14ac:dyDescent="0.35">
      <c r="A1993">
        <v>9386</v>
      </c>
      <c r="B1993" s="1" t="s">
        <v>4265</v>
      </c>
      <c r="C1993" s="2">
        <v>42974</v>
      </c>
      <c r="D1993" s="2">
        <v>42978</v>
      </c>
      <c r="E1993" s="1" t="s">
        <v>42</v>
      </c>
      <c r="F1993" s="1" t="s">
        <v>1973</v>
      </c>
      <c r="G1993" s="1" t="s">
        <v>1974</v>
      </c>
      <c r="H1993" s="1" t="s">
        <v>27</v>
      </c>
      <c r="I1993" s="1" t="s">
        <v>28</v>
      </c>
      <c r="J1993" s="1" t="s">
        <v>917</v>
      </c>
      <c r="K1993" s="1" t="s">
        <v>523</v>
      </c>
      <c r="L1993">
        <v>85204</v>
      </c>
      <c r="M1993" s="1" t="s">
        <v>57</v>
      </c>
      <c r="N1993" s="1" t="s">
        <v>1545</v>
      </c>
      <c r="O1993" s="1" t="s">
        <v>33</v>
      </c>
      <c r="P1993" s="1" t="s">
        <v>59</v>
      </c>
      <c r="Q1993" s="1" t="s">
        <v>1546</v>
      </c>
      <c r="R1993">
        <v>121</v>
      </c>
      <c r="S1993">
        <v>8</v>
      </c>
      <c r="T1993">
        <v>0.2</v>
      </c>
      <c r="U1993">
        <v>33</v>
      </c>
      <c r="V1993" s="1" t="s">
        <v>86</v>
      </c>
      <c r="W1993" s="1" t="s">
        <v>256</v>
      </c>
    </row>
    <row r="1994" spans="1:23" x14ac:dyDescent="0.35">
      <c r="A1994">
        <v>9393</v>
      </c>
      <c r="B1994" s="1" t="s">
        <v>4266</v>
      </c>
      <c r="C1994" s="2">
        <v>42302</v>
      </c>
      <c r="D1994" s="2">
        <v>42302</v>
      </c>
      <c r="E1994" s="1" t="s">
        <v>428</v>
      </c>
      <c r="F1994" s="1" t="s">
        <v>1011</v>
      </c>
      <c r="G1994" s="1" t="s">
        <v>1012</v>
      </c>
      <c r="H1994" s="1" t="s">
        <v>93</v>
      </c>
      <c r="I1994" s="1" t="s">
        <v>28</v>
      </c>
      <c r="J1994" s="1" t="s">
        <v>268</v>
      </c>
      <c r="K1994" s="1" t="s">
        <v>183</v>
      </c>
      <c r="L1994">
        <v>80219</v>
      </c>
      <c r="M1994" s="1" t="s">
        <v>57</v>
      </c>
      <c r="N1994" s="1" t="s">
        <v>2183</v>
      </c>
      <c r="O1994" s="1" t="s">
        <v>33</v>
      </c>
      <c r="P1994" s="1" t="s">
        <v>39</v>
      </c>
      <c r="Q1994" s="1" t="s">
        <v>2184</v>
      </c>
      <c r="R1994">
        <v>582</v>
      </c>
      <c r="S1994">
        <v>8</v>
      </c>
      <c r="T1994">
        <v>0.2</v>
      </c>
      <c r="U1994">
        <v>-29</v>
      </c>
      <c r="V1994" s="1" t="s">
        <v>433</v>
      </c>
      <c r="W1994" s="1" t="s">
        <v>51</v>
      </c>
    </row>
    <row r="1995" spans="1:23" x14ac:dyDescent="0.35">
      <c r="A1995">
        <v>9395</v>
      </c>
      <c r="B1995" s="1" t="s">
        <v>4267</v>
      </c>
      <c r="C1995" s="2">
        <v>41902</v>
      </c>
      <c r="D1995" s="2">
        <v>41905</v>
      </c>
      <c r="E1995" s="1" t="s">
        <v>90</v>
      </c>
      <c r="F1995" s="1" t="s">
        <v>4268</v>
      </c>
      <c r="G1995" s="1" t="s">
        <v>4269</v>
      </c>
      <c r="H1995" s="1" t="s">
        <v>27</v>
      </c>
      <c r="I1995" s="1" t="s">
        <v>28</v>
      </c>
      <c r="J1995" s="1" t="s">
        <v>176</v>
      </c>
      <c r="K1995" s="1" t="s">
        <v>123</v>
      </c>
      <c r="L1995">
        <v>10011</v>
      </c>
      <c r="M1995" s="1" t="s">
        <v>70</v>
      </c>
      <c r="N1995" s="1" t="s">
        <v>854</v>
      </c>
      <c r="O1995" s="1" t="s">
        <v>33</v>
      </c>
      <c r="P1995" s="1" t="s">
        <v>39</v>
      </c>
      <c r="Q1995" s="1" t="s">
        <v>855</v>
      </c>
      <c r="R1995">
        <v>632</v>
      </c>
      <c r="S1995">
        <v>2</v>
      </c>
      <c r="T1995">
        <v>0.1</v>
      </c>
      <c r="U1995">
        <v>140</v>
      </c>
      <c r="V1995" s="1" t="s">
        <v>36</v>
      </c>
      <c r="W1995" s="1" t="s">
        <v>80</v>
      </c>
    </row>
    <row r="1996" spans="1:23" x14ac:dyDescent="0.35">
      <c r="A1996">
        <v>9396</v>
      </c>
      <c r="B1996" s="1" t="s">
        <v>4267</v>
      </c>
      <c r="C1996" s="2">
        <v>41902</v>
      </c>
      <c r="D1996" s="2">
        <v>41905</v>
      </c>
      <c r="E1996" s="1" t="s">
        <v>90</v>
      </c>
      <c r="F1996" s="1" t="s">
        <v>4268</v>
      </c>
      <c r="G1996" s="1" t="s">
        <v>4269</v>
      </c>
      <c r="H1996" s="1" t="s">
        <v>27</v>
      </c>
      <c r="I1996" s="1" t="s">
        <v>28</v>
      </c>
      <c r="J1996" s="1" t="s">
        <v>176</v>
      </c>
      <c r="K1996" s="1" t="s">
        <v>123</v>
      </c>
      <c r="L1996">
        <v>10011</v>
      </c>
      <c r="M1996" s="1" t="s">
        <v>70</v>
      </c>
      <c r="N1996" s="1" t="s">
        <v>1698</v>
      </c>
      <c r="O1996" s="1" t="s">
        <v>33</v>
      </c>
      <c r="P1996" s="1" t="s">
        <v>34</v>
      </c>
      <c r="Q1996" s="1" t="s">
        <v>1699</v>
      </c>
      <c r="R1996">
        <v>802</v>
      </c>
      <c r="S1996">
        <v>2</v>
      </c>
      <c r="T1996">
        <v>0.2</v>
      </c>
      <c r="U1996">
        <v>-10</v>
      </c>
      <c r="V1996" s="1" t="s">
        <v>36</v>
      </c>
      <c r="W1996" s="1" t="s">
        <v>80</v>
      </c>
    </row>
    <row r="1997" spans="1:23" x14ac:dyDescent="0.35">
      <c r="A1997">
        <v>9402</v>
      </c>
      <c r="B1997" s="1" t="s">
        <v>4270</v>
      </c>
      <c r="C1997" s="2">
        <v>41814</v>
      </c>
      <c r="D1997" s="2">
        <v>41818</v>
      </c>
      <c r="E1997" s="1" t="s">
        <v>42</v>
      </c>
      <c r="F1997" s="1" t="s">
        <v>618</v>
      </c>
      <c r="G1997" s="1" t="s">
        <v>619</v>
      </c>
      <c r="H1997" s="1" t="s">
        <v>27</v>
      </c>
      <c r="I1997" s="1" t="s">
        <v>28</v>
      </c>
      <c r="J1997" s="1" t="s">
        <v>1225</v>
      </c>
      <c r="K1997" s="1" t="s">
        <v>523</v>
      </c>
      <c r="L1997">
        <v>85705</v>
      </c>
      <c r="M1997" s="1" t="s">
        <v>57</v>
      </c>
      <c r="N1997" s="1" t="s">
        <v>2516</v>
      </c>
      <c r="O1997" s="1" t="s">
        <v>33</v>
      </c>
      <c r="P1997" s="1" t="s">
        <v>59</v>
      </c>
      <c r="Q1997" s="1" t="s">
        <v>2517</v>
      </c>
      <c r="R1997">
        <v>4</v>
      </c>
      <c r="S1997">
        <v>2</v>
      </c>
      <c r="T1997">
        <v>0.2</v>
      </c>
      <c r="U1997">
        <v>1</v>
      </c>
      <c r="V1997" s="1" t="s">
        <v>86</v>
      </c>
      <c r="W1997" s="1" t="s">
        <v>62</v>
      </c>
    </row>
    <row r="1998" spans="1:23" x14ac:dyDescent="0.35">
      <c r="A1998">
        <v>9403</v>
      </c>
      <c r="B1998" s="1" t="s">
        <v>4271</v>
      </c>
      <c r="C1998" s="2">
        <v>42594</v>
      </c>
      <c r="D1998" s="2">
        <v>42599</v>
      </c>
      <c r="E1998" s="1" t="s">
        <v>24</v>
      </c>
      <c r="F1998" s="1" t="s">
        <v>1134</v>
      </c>
      <c r="G1998" s="1" t="s">
        <v>1135</v>
      </c>
      <c r="H1998" s="1" t="s">
        <v>27</v>
      </c>
      <c r="I1998" s="1" t="s">
        <v>28</v>
      </c>
      <c r="J1998" s="1" t="s">
        <v>176</v>
      </c>
      <c r="K1998" s="1" t="s">
        <v>123</v>
      </c>
      <c r="L1998">
        <v>10024</v>
      </c>
      <c r="M1998" s="1" t="s">
        <v>70</v>
      </c>
      <c r="N1998" s="1" t="s">
        <v>787</v>
      </c>
      <c r="O1998" s="1" t="s">
        <v>33</v>
      </c>
      <c r="P1998" s="1" t="s">
        <v>48</v>
      </c>
      <c r="Q1998" s="1" t="s">
        <v>788</v>
      </c>
      <c r="R1998">
        <v>209</v>
      </c>
      <c r="S1998">
        <v>2</v>
      </c>
      <c r="T1998">
        <v>0.4</v>
      </c>
      <c r="U1998">
        <v>-66</v>
      </c>
      <c r="V1998" s="1" t="s">
        <v>61</v>
      </c>
      <c r="W1998" s="1" t="s">
        <v>256</v>
      </c>
    </row>
    <row r="1999" spans="1:23" x14ac:dyDescent="0.35">
      <c r="A1999">
        <v>9409</v>
      </c>
      <c r="B1999" s="1" t="s">
        <v>4272</v>
      </c>
      <c r="C1999" s="2">
        <v>43000</v>
      </c>
      <c r="D1999" s="2">
        <v>43002</v>
      </c>
      <c r="E1999" s="1" t="s">
        <v>24</v>
      </c>
      <c r="F1999" s="1" t="s">
        <v>1173</v>
      </c>
      <c r="G1999" s="1" t="s">
        <v>1174</v>
      </c>
      <c r="H1999" s="1" t="s">
        <v>27</v>
      </c>
      <c r="I1999" s="1" t="s">
        <v>28</v>
      </c>
      <c r="J1999" s="1" t="s">
        <v>176</v>
      </c>
      <c r="K1999" s="1" t="s">
        <v>123</v>
      </c>
      <c r="L1999">
        <v>10035</v>
      </c>
      <c r="M1999" s="1" t="s">
        <v>70</v>
      </c>
      <c r="N1999" s="1" t="s">
        <v>554</v>
      </c>
      <c r="O1999" s="1" t="s">
        <v>33</v>
      </c>
      <c r="P1999" s="1" t="s">
        <v>59</v>
      </c>
      <c r="Q1999" s="1" t="s">
        <v>3128</v>
      </c>
      <c r="R1999">
        <v>12</v>
      </c>
      <c r="S1999">
        <v>1</v>
      </c>
      <c r="T1999">
        <v>0</v>
      </c>
      <c r="U1999">
        <v>4</v>
      </c>
      <c r="V1999" s="1" t="s">
        <v>73</v>
      </c>
      <c r="W1999" s="1" t="s">
        <v>80</v>
      </c>
    </row>
    <row r="2000" spans="1:23" x14ac:dyDescent="0.35">
      <c r="A2000">
        <v>9411</v>
      </c>
      <c r="B2000" s="1" t="s">
        <v>4273</v>
      </c>
      <c r="C2000" s="2">
        <v>43079</v>
      </c>
      <c r="D2000" s="2">
        <v>43082</v>
      </c>
      <c r="E2000" s="1" t="s">
        <v>90</v>
      </c>
      <c r="F2000" s="1" t="s">
        <v>1733</v>
      </c>
      <c r="G2000" s="1" t="s">
        <v>1734</v>
      </c>
      <c r="H2000" s="1" t="s">
        <v>27</v>
      </c>
      <c r="I2000" s="1" t="s">
        <v>28</v>
      </c>
      <c r="J2000" s="1" t="s">
        <v>68</v>
      </c>
      <c r="K2000" s="1" t="s">
        <v>69</v>
      </c>
      <c r="L2000">
        <v>19143</v>
      </c>
      <c r="M2000" s="1" t="s">
        <v>70</v>
      </c>
      <c r="N2000" s="1" t="s">
        <v>633</v>
      </c>
      <c r="O2000" s="1" t="s">
        <v>33</v>
      </c>
      <c r="P2000" s="1" t="s">
        <v>59</v>
      </c>
      <c r="Q2000" s="1" t="s">
        <v>634</v>
      </c>
      <c r="R2000">
        <v>88</v>
      </c>
      <c r="S2000">
        <v>5</v>
      </c>
      <c r="T2000">
        <v>0.2</v>
      </c>
      <c r="U2000">
        <v>15</v>
      </c>
      <c r="V2000" s="1" t="s">
        <v>36</v>
      </c>
      <c r="W2000" s="1" t="s">
        <v>99</v>
      </c>
    </row>
    <row r="2001" spans="1:23" x14ac:dyDescent="0.35">
      <c r="A2001">
        <v>9413</v>
      </c>
      <c r="B2001" s="1" t="s">
        <v>4274</v>
      </c>
      <c r="C2001" s="2">
        <v>42031</v>
      </c>
      <c r="D2001" s="2">
        <v>42033</v>
      </c>
      <c r="E2001" s="1" t="s">
        <v>90</v>
      </c>
      <c r="F2001" s="1" t="s">
        <v>3686</v>
      </c>
      <c r="G2001" s="1" t="s">
        <v>3687</v>
      </c>
      <c r="H2001" s="1" t="s">
        <v>27</v>
      </c>
      <c r="I2001" s="1" t="s">
        <v>28</v>
      </c>
      <c r="J2001" s="1" t="s">
        <v>55</v>
      </c>
      <c r="K2001" s="1" t="s">
        <v>56</v>
      </c>
      <c r="L2001">
        <v>90036</v>
      </c>
      <c r="M2001" s="1" t="s">
        <v>57</v>
      </c>
      <c r="N2001" s="1" t="s">
        <v>604</v>
      </c>
      <c r="O2001" s="1" t="s">
        <v>33</v>
      </c>
      <c r="P2001" s="1" t="s">
        <v>39</v>
      </c>
      <c r="Q2001" s="1" t="s">
        <v>605</v>
      </c>
      <c r="R2001">
        <v>2804</v>
      </c>
      <c r="S2001">
        <v>5</v>
      </c>
      <c r="T2001">
        <v>0.2</v>
      </c>
      <c r="U2001">
        <v>0</v>
      </c>
      <c r="V2001" s="1" t="s">
        <v>73</v>
      </c>
      <c r="W2001" s="1" t="s">
        <v>172</v>
      </c>
    </row>
    <row r="2002" spans="1:23" x14ac:dyDescent="0.35">
      <c r="A2002">
        <v>9417</v>
      </c>
      <c r="B2002" s="1" t="s">
        <v>4275</v>
      </c>
      <c r="C2002" s="2">
        <v>42295</v>
      </c>
      <c r="D2002" s="2">
        <v>42299</v>
      </c>
      <c r="E2002" s="1" t="s">
        <v>42</v>
      </c>
      <c r="F2002" s="1" t="s">
        <v>2509</v>
      </c>
      <c r="G2002" s="1" t="s">
        <v>2510</v>
      </c>
      <c r="H2002" s="1" t="s">
        <v>27</v>
      </c>
      <c r="I2002" s="1" t="s">
        <v>28</v>
      </c>
      <c r="J2002" s="1" t="s">
        <v>194</v>
      </c>
      <c r="K2002" s="1" t="s">
        <v>195</v>
      </c>
      <c r="L2002">
        <v>98115</v>
      </c>
      <c r="M2002" s="1" t="s">
        <v>57</v>
      </c>
      <c r="N2002" s="1" t="s">
        <v>322</v>
      </c>
      <c r="O2002" s="1" t="s">
        <v>33</v>
      </c>
      <c r="P2002" s="1" t="s">
        <v>59</v>
      </c>
      <c r="Q2002" s="1" t="s">
        <v>323</v>
      </c>
      <c r="R2002">
        <v>10</v>
      </c>
      <c r="S2002">
        <v>3</v>
      </c>
      <c r="T2002">
        <v>0</v>
      </c>
      <c r="U2002">
        <v>3</v>
      </c>
      <c r="V2002" s="1" t="s">
        <v>86</v>
      </c>
      <c r="W2002" s="1" t="s">
        <v>51</v>
      </c>
    </row>
    <row r="2003" spans="1:23" x14ac:dyDescent="0.35">
      <c r="A2003">
        <v>9426</v>
      </c>
      <c r="B2003" s="1" t="s">
        <v>4276</v>
      </c>
      <c r="C2003" s="2">
        <v>41894</v>
      </c>
      <c r="D2003" s="2">
        <v>41899</v>
      </c>
      <c r="E2003" s="1" t="s">
        <v>24</v>
      </c>
      <c r="F2003" s="1" t="s">
        <v>3847</v>
      </c>
      <c r="G2003" s="1" t="s">
        <v>3848</v>
      </c>
      <c r="H2003" s="1" t="s">
        <v>27</v>
      </c>
      <c r="I2003" s="1" t="s">
        <v>28</v>
      </c>
      <c r="J2003" s="1" t="s">
        <v>176</v>
      </c>
      <c r="K2003" s="1" t="s">
        <v>123</v>
      </c>
      <c r="L2003">
        <v>10035</v>
      </c>
      <c r="M2003" s="1" t="s">
        <v>70</v>
      </c>
      <c r="N2003" s="1" t="s">
        <v>604</v>
      </c>
      <c r="O2003" s="1" t="s">
        <v>33</v>
      </c>
      <c r="P2003" s="1" t="s">
        <v>39</v>
      </c>
      <c r="Q2003" s="1" t="s">
        <v>605</v>
      </c>
      <c r="R2003">
        <v>3785</v>
      </c>
      <c r="S2003">
        <v>6</v>
      </c>
      <c r="T2003">
        <v>0.1</v>
      </c>
      <c r="U2003">
        <v>421</v>
      </c>
      <c r="V2003" s="1" t="s">
        <v>61</v>
      </c>
      <c r="W2003" s="1" t="s">
        <v>80</v>
      </c>
    </row>
    <row r="2004" spans="1:23" x14ac:dyDescent="0.35">
      <c r="A2004">
        <v>9428</v>
      </c>
      <c r="B2004" s="1" t="s">
        <v>4277</v>
      </c>
      <c r="C2004" s="2">
        <v>41970</v>
      </c>
      <c r="D2004" s="2">
        <v>41974</v>
      </c>
      <c r="E2004" s="1" t="s">
        <v>42</v>
      </c>
      <c r="F2004" s="1" t="s">
        <v>2699</v>
      </c>
      <c r="G2004" s="1" t="s">
        <v>2700</v>
      </c>
      <c r="H2004" s="1" t="s">
        <v>93</v>
      </c>
      <c r="I2004" s="1" t="s">
        <v>28</v>
      </c>
      <c r="J2004" s="1" t="s">
        <v>2957</v>
      </c>
      <c r="K2004" s="1" t="s">
        <v>123</v>
      </c>
      <c r="L2004">
        <v>14215</v>
      </c>
      <c r="M2004" s="1" t="s">
        <v>70</v>
      </c>
      <c r="N2004" s="1" t="s">
        <v>1126</v>
      </c>
      <c r="O2004" s="1" t="s">
        <v>33</v>
      </c>
      <c r="P2004" s="1" t="s">
        <v>59</v>
      </c>
      <c r="Q2004" s="1" t="s">
        <v>1127</v>
      </c>
      <c r="R2004">
        <v>200</v>
      </c>
      <c r="S2004">
        <v>5</v>
      </c>
      <c r="T2004">
        <v>0</v>
      </c>
      <c r="U2004">
        <v>40</v>
      </c>
      <c r="V2004" s="1" t="s">
        <v>86</v>
      </c>
      <c r="W2004" s="1" t="s">
        <v>37</v>
      </c>
    </row>
    <row r="2005" spans="1:23" x14ac:dyDescent="0.35">
      <c r="A2005">
        <v>9429</v>
      </c>
      <c r="B2005" s="1" t="s">
        <v>4278</v>
      </c>
      <c r="C2005" s="2">
        <v>41770</v>
      </c>
      <c r="D2005" s="2">
        <v>41775</v>
      </c>
      <c r="E2005" s="1" t="s">
        <v>42</v>
      </c>
      <c r="F2005" s="1" t="s">
        <v>277</v>
      </c>
      <c r="G2005" s="1" t="s">
        <v>278</v>
      </c>
      <c r="H2005" s="1" t="s">
        <v>93</v>
      </c>
      <c r="I2005" s="1" t="s">
        <v>28</v>
      </c>
      <c r="J2005" s="1" t="s">
        <v>1871</v>
      </c>
      <c r="K2005" s="1" t="s">
        <v>95</v>
      </c>
      <c r="L2005">
        <v>77340</v>
      </c>
      <c r="M2005" s="1" t="s">
        <v>96</v>
      </c>
      <c r="N2005" s="1" t="s">
        <v>482</v>
      </c>
      <c r="O2005" s="1" t="s">
        <v>33</v>
      </c>
      <c r="P2005" s="1" t="s">
        <v>39</v>
      </c>
      <c r="Q2005" s="1" t="s">
        <v>483</v>
      </c>
      <c r="R2005">
        <v>1213</v>
      </c>
      <c r="S2005">
        <v>8</v>
      </c>
      <c r="T2005">
        <v>0.3</v>
      </c>
      <c r="U2005">
        <v>-69</v>
      </c>
      <c r="V2005" s="1" t="s">
        <v>61</v>
      </c>
      <c r="W2005" s="1" t="s">
        <v>164</v>
      </c>
    </row>
    <row r="2006" spans="1:23" x14ac:dyDescent="0.35">
      <c r="A2006">
        <v>9431</v>
      </c>
      <c r="B2006" s="1" t="s">
        <v>4279</v>
      </c>
      <c r="C2006" s="2">
        <v>42244</v>
      </c>
      <c r="D2006" s="2">
        <v>42248</v>
      </c>
      <c r="E2006" s="1" t="s">
        <v>42</v>
      </c>
      <c r="F2006" s="1" t="s">
        <v>379</v>
      </c>
      <c r="G2006" s="1" t="s">
        <v>380</v>
      </c>
      <c r="H2006" s="1" t="s">
        <v>93</v>
      </c>
      <c r="I2006" s="1" t="s">
        <v>28</v>
      </c>
      <c r="J2006" s="1" t="s">
        <v>1742</v>
      </c>
      <c r="K2006" s="1" t="s">
        <v>95</v>
      </c>
      <c r="L2006">
        <v>75081</v>
      </c>
      <c r="M2006" s="1" t="s">
        <v>96</v>
      </c>
      <c r="N2006" s="1" t="s">
        <v>1468</v>
      </c>
      <c r="O2006" s="1" t="s">
        <v>33</v>
      </c>
      <c r="P2006" s="1" t="s">
        <v>48</v>
      </c>
      <c r="Q2006" s="1" t="s">
        <v>1469</v>
      </c>
      <c r="R2006">
        <v>103</v>
      </c>
      <c r="S2006">
        <v>1</v>
      </c>
      <c r="T2006">
        <v>0.3</v>
      </c>
      <c r="U2006">
        <v>-16</v>
      </c>
      <c r="V2006" s="1" t="s">
        <v>86</v>
      </c>
      <c r="W2006" s="1" t="s">
        <v>256</v>
      </c>
    </row>
    <row r="2007" spans="1:23" x14ac:dyDescent="0.35">
      <c r="A2007">
        <v>9448</v>
      </c>
      <c r="B2007" s="1" t="s">
        <v>4280</v>
      </c>
      <c r="C2007" s="2">
        <v>42882</v>
      </c>
      <c r="D2007" s="2">
        <v>42889</v>
      </c>
      <c r="E2007" s="1" t="s">
        <v>42</v>
      </c>
      <c r="F2007" s="1" t="s">
        <v>2645</v>
      </c>
      <c r="G2007" s="1" t="s">
        <v>2646</v>
      </c>
      <c r="H2007" s="1" t="s">
        <v>27</v>
      </c>
      <c r="I2007" s="1" t="s">
        <v>28</v>
      </c>
      <c r="J2007" s="1" t="s">
        <v>2024</v>
      </c>
      <c r="K2007" s="1" t="s">
        <v>1525</v>
      </c>
      <c r="L2007">
        <v>74133</v>
      </c>
      <c r="M2007" s="1" t="s">
        <v>96</v>
      </c>
      <c r="N2007" s="1" t="s">
        <v>97</v>
      </c>
      <c r="O2007" s="1" t="s">
        <v>33</v>
      </c>
      <c r="P2007" s="1" t="s">
        <v>59</v>
      </c>
      <c r="Q2007" s="1" t="s">
        <v>98</v>
      </c>
      <c r="R2007">
        <v>477</v>
      </c>
      <c r="S2007">
        <v>5</v>
      </c>
      <c r="T2007">
        <v>0</v>
      </c>
      <c r="U2007">
        <v>138</v>
      </c>
      <c r="V2007" s="1" t="s">
        <v>50</v>
      </c>
      <c r="W2007" s="1" t="s">
        <v>164</v>
      </c>
    </row>
    <row r="2008" spans="1:23" x14ac:dyDescent="0.35">
      <c r="A2008">
        <v>9463</v>
      </c>
      <c r="B2008" s="1" t="s">
        <v>4281</v>
      </c>
      <c r="C2008" s="2">
        <v>43064</v>
      </c>
      <c r="D2008" s="2">
        <v>43069</v>
      </c>
      <c r="E2008" s="1" t="s">
        <v>24</v>
      </c>
      <c r="F2008" s="1" t="s">
        <v>3487</v>
      </c>
      <c r="G2008" s="1" t="s">
        <v>3488</v>
      </c>
      <c r="H2008" s="1" t="s">
        <v>93</v>
      </c>
      <c r="I2008" s="1" t="s">
        <v>28</v>
      </c>
      <c r="J2008" s="1" t="s">
        <v>868</v>
      </c>
      <c r="K2008" s="1" t="s">
        <v>30</v>
      </c>
      <c r="L2008">
        <v>40214</v>
      </c>
      <c r="M2008" s="1" t="s">
        <v>31</v>
      </c>
      <c r="N2008" s="1" t="s">
        <v>1489</v>
      </c>
      <c r="O2008" s="1" t="s">
        <v>33</v>
      </c>
      <c r="P2008" s="1" t="s">
        <v>39</v>
      </c>
      <c r="Q2008" s="1" t="s">
        <v>1490</v>
      </c>
      <c r="R2008">
        <v>702</v>
      </c>
      <c r="S2008">
        <v>2</v>
      </c>
      <c r="T2008">
        <v>0</v>
      </c>
      <c r="U2008">
        <v>168</v>
      </c>
      <c r="V2008" s="1" t="s">
        <v>61</v>
      </c>
      <c r="W2008" s="1" t="s">
        <v>37</v>
      </c>
    </row>
    <row r="2009" spans="1:23" x14ac:dyDescent="0.35">
      <c r="A2009">
        <v>9466</v>
      </c>
      <c r="B2009" s="1" t="s">
        <v>4282</v>
      </c>
      <c r="C2009" s="2">
        <v>42693</v>
      </c>
      <c r="D2009" s="2">
        <v>42697</v>
      </c>
      <c r="E2009" s="1" t="s">
        <v>42</v>
      </c>
      <c r="F2009" s="1" t="s">
        <v>485</v>
      </c>
      <c r="G2009" s="1" t="s">
        <v>486</v>
      </c>
      <c r="H2009" s="1" t="s">
        <v>93</v>
      </c>
      <c r="I2009" s="1" t="s">
        <v>28</v>
      </c>
      <c r="J2009" s="1" t="s">
        <v>194</v>
      </c>
      <c r="K2009" s="1" t="s">
        <v>195</v>
      </c>
      <c r="L2009">
        <v>98115</v>
      </c>
      <c r="M2009" s="1" t="s">
        <v>57</v>
      </c>
      <c r="N2009" s="1" t="s">
        <v>588</v>
      </c>
      <c r="O2009" s="1" t="s">
        <v>33</v>
      </c>
      <c r="P2009" s="1" t="s">
        <v>59</v>
      </c>
      <c r="Q2009" s="1" t="s">
        <v>589</v>
      </c>
      <c r="R2009">
        <v>32</v>
      </c>
      <c r="S2009">
        <v>2</v>
      </c>
      <c r="T2009">
        <v>0</v>
      </c>
      <c r="U2009">
        <v>2</v>
      </c>
      <c r="V2009" s="1" t="s">
        <v>86</v>
      </c>
      <c r="W2009" s="1" t="s">
        <v>37</v>
      </c>
    </row>
    <row r="2010" spans="1:23" x14ac:dyDescent="0.35">
      <c r="A2010">
        <v>9468</v>
      </c>
      <c r="B2010" s="1" t="s">
        <v>4283</v>
      </c>
      <c r="C2010" s="2">
        <v>43044</v>
      </c>
      <c r="D2010" s="2">
        <v>43049</v>
      </c>
      <c r="E2010" s="1" t="s">
        <v>24</v>
      </c>
      <c r="F2010" s="1" t="s">
        <v>4284</v>
      </c>
      <c r="G2010" s="1" t="s">
        <v>4285</v>
      </c>
      <c r="H2010" s="1" t="s">
        <v>27</v>
      </c>
      <c r="I2010" s="1" t="s">
        <v>28</v>
      </c>
      <c r="J2010" s="1" t="s">
        <v>176</v>
      </c>
      <c r="K2010" s="1" t="s">
        <v>123</v>
      </c>
      <c r="L2010">
        <v>10024</v>
      </c>
      <c r="M2010" s="1" t="s">
        <v>70</v>
      </c>
      <c r="N2010" s="1" t="s">
        <v>2569</v>
      </c>
      <c r="O2010" s="1" t="s">
        <v>33</v>
      </c>
      <c r="P2010" s="1" t="s">
        <v>48</v>
      </c>
      <c r="Q2010" s="1" t="s">
        <v>2570</v>
      </c>
      <c r="R2010">
        <v>166</v>
      </c>
      <c r="S2010">
        <v>2</v>
      </c>
      <c r="T2010">
        <v>0.4</v>
      </c>
      <c r="U2010">
        <v>-67</v>
      </c>
      <c r="V2010" s="1" t="s">
        <v>61</v>
      </c>
      <c r="W2010" s="1" t="s">
        <v>37</v>
      </c>
    </row>
    <row r="2011" spans="1:23" x14ac:dyDescent="0.35">
      <c r="A2011">
        <v>9473</v>
      </c>
      <c r="B2011" s="1" t="s">
        <v>4283</v>
      </c>
      <c r="C2011" s="2">
        <v>43044</v>
      </c>
      <c r="D2011" s="2">
        <v>43049</v>
      </c>
      <c r="E2011" s="1" t="s">
        <v>24</v>
      </c>
      <c r="F2011" s="1" t="s">
        <v>4284</v>
      </c>
      <c r="G2011" s="1" t="s">
        <v>4285</v>
      </c>
      <c r="H2011" s="1" t="s">
        <v>27</v>
      </c>
      <c r="I2011" s="1" t="s">
        <v>28</v>
      </c>
      <c r="J2011" s="1" t="s">
        <v>176</v>
      </c>
      <c r="K2011" s="1" t="s">
        <v>123</v>
      </c>
      <c r="L2011">
        <v>10024</v>
      </c>
      <c r="M2011" s="1" t="s">
        <v>70</v>
      </c>
      <c r="N2011" s="1" t="s">
        <v>2197</v>
      </c>
      <c r="O2011" s="1" t="s">
        <v>33</v>
      </c>
      <c r="P2011" s="1" t="s">
        <v>39</v>
      </c>
      <c r="Q2011" s="1" t="s">
        <v>2198</v>
      </c>
      <c r="R2011">
        <v>128</v>
      </c>
      <c r="S2011">
        <v>2</v>
      </c>
      <c r="T2011">
        <v>0.1</v>
      </c>
      <c r="U2011">
        <v>24</v>
      </c>
      <c r="V2011" s="1" t="s">
        <v>61</v>
      </c>
      <c r="W2011" s="1" t="s">
        <v>37</v>
      </c>
    </row>
    <row r="2012" spans="1:23" x14ac:dyDescent="0.35">
      <c r="A2012">
        <v>9474</v>
      </c>
      <c r="B2012" s="1" t="s">
        <v>4283</v>
      </c>
      <c r="C2012" s="2">
        <v>43044</v>
      </c>
      <c r="D2012" s="2">
        <v>43049</v>
      </c>
      <c r="E2012" s="1" t="s">
        <v>24</v>
      </c>
      <c r="F2012" s="1" t="s">
        <v>4284</v>
      </c>
      <c r="G2012" s="1" t="s">
        <v>4285</v>
      </c>
      <c r="H2012" s="1" t="s">
        <v>27</v>
      </c>
      <c r="I2012" s="1" t="s">
        <v>28</v>
      </c>
      <c r="J2012" s="1" t="s">
        <v>176</v>
      </c>
      <c r="K2012" s="1" t="s">
        <v>123</v>
      </c>
      <c r="L2012">
        <v>10024</v>
      </c>
      <c r="M2012" s="1" t="s">
        <v>70</v>
      </c>
      <c r="N2012" s="1" t="s">
        <v>3226</v>
      </c>
      <c r="O2012" s="1" t="s">
        <v>33</v>
      </c>
      <c r="P2012" s="1" t="s">
        <v>59</v>
      </c>
      <c r="Q2012" s="1" t="s">
        <v>3227</v>
      </c>
      <c r="R2012">
        <v>101</v>
      </c>
      <c r="S2012">
        <v>5</v>
      </c>
      <c r="T2012">
        <v>0</v>
      </c>
      <c r="U2012">
        <v>39</v>
      </c>
      <c r="V2012" s="1" t="s">
        <v>61</v>
      </c>
      <c r="W2012" s="1" t="s">
        <v>37</v>
      </c>
    </row>
    <row r="2013" spans="1:23" x14ac:dyDescent="0.35">
      <c r="A2013">
        <v>9477</v>
      </c>
      <c r="B2013" s="1" t="s">
        <v>4286</v>
      </c>
      <c r="C2013" s="2">
        <v>42155</v>
      </c>
      <c r="D2013" s="2">
        <v>42160</v>
      </c>
      <c r="E2013" s="1" t="s">
        <v>24</v>
      </c>
      <c r="F2013" s="1" t="s">
        <v>485</v>
      </c>
      <c r="G2013" s="1" t="s">
        <v>486</v>
      </c>
      <c r="H2013" s="1" t="s">
        <v>93</v>
      </c>
      <c r="I2013" s="1" t="s">
        <v>28</v>
      </c>
      <c r="J2013" s="1" t="s">
        <v>136</v>
      </c>
      <c r="K2013" s="1" t="s">
        <v>137</v>
      </c>
      <c r="L2013">
        <v>60653</v>
      </c>
      <c r="M2013" s="1" t="s">
        <v>96</v>
      </c>
      <c r="N2013" s="1" t="s">
        <v>2452</v>
      </c>
      <c r="O2013" s="1" t="s">
        <v>33</v>
      </c>
      <c r="P2013" s="1" t="s">
        <v>59</v>
      </c>
      <c r="Q2013" s="1" t="s">
        <v>2453</v>
      </c>
      <c r="R2013">
        <v>52</v>
      </c>
      <c r="S2013">
        <v>2</v>
      </c>
      <c r="T2013">
        <v>0.6</v>
      </c>
      <c r="U2013">
        <v>-62</v>
      </c>
      <c r="V2013" s="1" t="s">
        <v>61</v>
      </c>
      <c r="W2013" s="1" t="s">
        <v>164</v>
      </c>
    </row>
    <row r="2014" spans="1:23" x14ac:dyDescent="0.35">
      <c r="A2014">
        <v>9485</v>
      </c>
      <c r="B2014" s="1" t="s">
        <v>4287</v>
      </c>
      <c r="C2014" s="2">
        <v>42706</v>
      </c>
      <c r="D2014" s="2">
        <v>42708</v>
      </c>
      <c r="E2014" s="1" t="s">
        <v>24</v>
      </c>
      <c r="F2014" s="1" t="s">
        <v>2591</v>
      </c>
      <c r="G2014" s="1" t="s">
        <v>2592</v>
      </c>
      <c r="H2014" s="1" t="s">
        <v>93</v>
      </c>
      <c r="I2014" s="1" t="s">
        <v>28</v>
      </c>
      <c r="J2014" s="1" t="s">
        <v>104</v>
      </c>
      <c r="K2014" s="1" t="s">
        <v>95</v>
      </c>
      <c r="L2014">
        <v>77036</v>
      </c>
      <c r="M2014" s="1" t="s">
        <v>96</v>
      </c>
      <c r="N2014" s="1" t="s">
        <v>2908</v>
      </c>
      <c r="O2014" s="1" t="s">
        <v>33</v>
      </c>
      <c r="P2014" s="1" t="s">
        <v>34</v>
      </c>
      <c r="Q2014" s="1" t="s">
        <v>2909</v>
      </c>
      <c r="R2014">
        <v>782</v>
      </c>
      <c r="S2014">
        <v>10</v>
      </c>
      <c r="T2014">
        <v>0.32</v>
      </c>
      <c r="U2014">
        <v>-138</v>
      </c>
      <c r="V2014" s="1" t="s">
        <v>73</v>
      </c>
      <c r="W2014" s="1" t="s">
        <v>99</v>
      </c>
    </row>
    <row r="2015" spans="1:23" x14ac:dyDescent="0.35">
      <c r="A2015">
        <v>9487</v>
      </c>
      <c r="B2015" s="1" t="s">
        <v>4288</v>
      </c>
      <c r="C2015" s="2">
        <v>43020</v>
      </c>
      <c r="D2015" s="2">
        <v>43020</v>
      </c>
      <c r="E2015" s="1" t="s">
        <v>428</v>
      </c>
      <c r="F2015" s="1" t="s">
        <v>478</v>
      </c>
      <c r="G2015" s="1" t="s">
        <v>479</v>
      </c>
      <c r="H2015" s="1" t="s">
        <v>27</v>
      </c>
      <c r="I2015" s="1" t="s">
        <v>28</v>
      </c>
      <c r="J2015" s="1" t="s">
        <v>1991</v>
      </c>
      <c r="K2015" s="1" t="s">
        <v>4289</v>
      </c>
      <c r="L2015">
        <v>26003</v>
      </c>
      <c r="M2015" s="1" t="s">
        <v>70</v>
      </c>
      <c r="N2015" s="1" t="s">
        <v>1080</v>
      </c>
      <c r="O2015" s="1" t="s">
        <v>33</v>
      </c>
      <c r="P2015" s="1" t="s">
        <v>48</v>
      </c>
      <c r="Q2015" s="1" t="s">
        <v>1081</v>
      </c>
      <c r="R2015">
        <v>673</v>
      </c>
      <c r="S2015">
        <v>3</v>
      </c>
      <c r="T2015">
        <v>0.3</v>
      </c>
      <c r="U2015">
        <v>-77</v>
      </c>
      <c r="V2015" s="1" t="s">
        <v>433</v>
      </c>
      <c r="W2015" s="1" t="s">
        <v>51</v>
      </c>
    </row>
    <row r="2016" spans="1:23" x14ac:dyDescent="0.35">
      <c r="A2016">
        <v>9494</v>
      </c>
      <c r="B2016" s="1" t="s">
        <v>4290</v>
      </c>
      <c r="C2016" s="2">
        <v>42372</v>
      </c>
      <c r="D2016" s="2">
        <v>42377</v>
      </c>
      <c r="E2016" s="1" t="s">
        <v>42</v>
      </c>
      <c r="F2016" s="1" t="s">
        <v>2003</v>
      </c>
      <c r="G2016" s="1" t="s">
        <v>2004</v>
      </c>
      <c r="H2016" s="1" t="s">
        <v>93</v>
      </c>
      <c r="I2016" s="1" t="s">
        <v>28</v>
      </c>
      <c r="J2016" s="1" t="s">
        <v>4291</v>
      </c>
      <c r="K2016" s="1" t="s">
        <v>1525</v>
      </c>
      <c r="L2016">
        <v>74012</v>
      </c>
      <c r="M2016" s="1" t="s">
        <v>96</v>
      </c>
      <c r="N2016" s="1" t="s">
        <v>444</v>
      </c>
      <c r="O2016" s="1" t="s">
        <v>33</v>
      </c>
      <c r="P2016" s="1" t="s">
        <v>48</v>
      </c>
      <c r="Q2016" s="1" t="s">
        <v>445</v>
      </c>
      <c r="R2016">
        <v>1593</v>
      </c>
      <c r="S2016">
        <v>7</v>
      </c>
      <c r="T2016">
        <v>0</v>
      </c>
      <c r="U2016">
        <v>350</v>
      </c>
      <c r="V2016" s="1" t="s">
        <v>61</v>
      </c>
      <c r="W2016" s="1" t="s">
        <v>172</v>
      </c>
    </row>
    <row r="2017" spans="1:23" x14ac:dyDescent="0.35">
      <c r="A2017">
        <v>9501</v>
      </c>
      <c r="B2017" s="1" t="s">
        <v>4292</v>
      </c>
      <c r="C2017" s="2">
        <v>42516</v>
      </c>
      <c r="D2017" s="2">
        <v>42520</v>
      </c>
      <c r="E2017" s="1" t="s">
        <v>42</v>
      </c>
      <c r="F2017" s="1" t="s">
        <v>4293</v>
      </c>
      <c r="G2017" s="1" t="s">
        <v>4294</v>
      </c>
      <c r="H2017" s="1" t="s">
        <v>27</v>
      </c>
      <c r="I2017" s="1" t="s">
        <v>28</v>
      </c>
      <c r="J2017" s="1" t="s">
        <v>908</v>
      </c>
      <c r="K2017" s="1" t="s">
        <v>241</v>
      </c>
      <c r="L2017">
        <v>53209</v>
      </c>
      <c r="M2017" s="1" t="s">
        <v>96</v>
      </c>
      <c r="N2017" s="1" t="s">
        <v>1454</v>
      </c>
      <c r="O2017" s="1" t="s">
        <v>33</v>
      </c>
      <c r="P2017" s="1" t="s">
        <v>59</v>
      </c>
      <c r="Q2017" s="1" t="s">
        <v>1455</v>
      </c>
      <c r="R2017">
        <v>27</v>
      </c>
      <c r="S2017">
        <v>3</v>
      </c>
      <c r="T2017">
        <v>0</v>
      </c>
      <c r="U2017">
        <v>11</v>
      </c>
      <c r="V2017" s="1" t="s">
        <v>86</v>
      </c>
      <c r="W2017" s="1" t="s">
        <v>164</v>
      </c>
    </row>
    <row r="2018" spans="1:23" x14ac:dyDescent="0.35">
      <c r="A2018">
        <v>9502</v>
      </c>
      <c r="B2018" s="1" t="s">
        <v>4295</v>
      </c>
      <c r="C2018" s="2">
        <v>42328</v>
      </c>
      <c r="D2018" s="2">
        <v>42332</v>
      </c>
      <c r="E2018" s="1" t="s">
        <v>42</v>
      </c>
      <c r="F2018" s="1" t="s">
        <v>3063</v>
      </c>
      <c r="G2018" s="1" t="s">
        <v>3064</v>
      </c>
      <c r="H2018" s="1" t="s">
        <v>27</v>
      </c>
      <c r="I2018" s="1" t="s">
        <v>28</v>
      </c>
      <c r="J2018" s="1" t="s">
        <v>331</v>
      </c>
      <c r="K2018" s="1" t="s">
        <v>56</v>
      </c>
      <c r="L2018">
        <v>94109</v>
      </c>
      <c r="M2018" s="1" t="s">
        <v>57</v>
      </c>
      <c r="N2018" s="1" t="s">
        <v>2143</v>
      </c>
      <c r="O2018" s="1" t="s">
        <v>33</v>
      </c>
      <c r="P2018" s="1" t="s">
        <v>59</v>
      </c>
      <c r="Q2018" s="1" t="s">
        <v>2144</v>
      </c>
      <c r="R2018">
        <v>32</v>
      </c>
      <c r="S2018">
        <v>3</v>
      </c>
      <c r="T2018">
        <v>0</v>
      </c>
      <c r="U2018">
        <v>8</v>
      </c>
      <c r="V2018" s="1" t="s">
        <v>86</v>
      </c>
      <c r="W2018" s="1" t="s">
        <v>37</v>
      </c>
    </row>
    <row r="2019" spans="1:23" x14ac:dyDescent="0.35">
      <c r="A2019">
        <v>9513</v>
      </c>
      <c r="B2019" s="1" t="s">
        <v>4296</v>
      </c>
      <c r="C2019" s="2">
        <v>42885</v>
      </c>
      <c r="D2019" s="2">
        <v>42889</v>
      </c>
      <c r="E2019" s="1" t="s">
        <v>24</v>
      </c>
      <c r="F2019" s="1" t="s">
        <v>1930</v>
      </c>
      <c r="G2019" s="1" t="s">
        <v>1931</v>
      </c>
      <c r="H2019" s="1" t="s">
        <v>27</v>
      </c>
      <c r="I2019" s="1" t="s">
        <v>28</v>
      </c>
      <c r="J2019" s="1" t="s">
        <v>1742</v>
      </c>
      <c r="K2019" s="1" t="s">
        <v>95</v>
      </c>
      <c r="L2019">
        <v>75217</v>
      </c>
      <c r="M2019" s="1" t="s">
        <v>96</v>
      </c>
      <c r="N2019" s="1" t="s">
        <v>1002</v>
      </c>
      <c r="O2019" s="1" t="s">
        <v>33</v>
      </c>
      <c r="P2019" s="1" t="s">
        <v>34</v>
      </c>
      <c r="Q2019" s="1" t="s">
        <v>1003</v>
      </c>
      <c r="R2019">
        <v>205</v>
      </c>
      <c r="S2019">
        <v>1</v>
      </c>
      <c r="T2019">
        <v>0.32</v>
      </c>
      <c r="U2019">
        <v>-6</v>
      </c>
      <c r="V2019" s="1" t="s">
        <v>86</v>
      </c>
      <c r="W2019" s="1" t="s">
        <v>164</v>
      </c>
    </row>
    <row r="2020" spans="1:23" x14ac:dyDescent="0.35">
      <c r="A2020">
        <v>9526</v>
      </c>
      <c r="B2020" s="1" t="s">
        <v>4297</v>
      </c>
      <c r="C2020" s="2">
        <v>43074</v>
      </c>
      <c r="D2020" s="2">
        <v>43075</v>
      </c>
      <c r="E2020" s="1" t="s">
        <v>90</v>
      </c>
      <c r="F2020" s="1" t="s">
        <v>4298</v>
      </c>
      <c r="G2020" s="1" t="s">
        <v>4299</v>
      </c>
      <c r="H2020" s="1" t="s">
        <v>103</v>
      </c>
      <c r="I2020" s="1" t="s">
        <v>28</v>
      </c>
      <c r="J2020" s="1" t="s">
        <v>194</v>
      </c>
      <c r="K2020" s="1" t="s">
        <v>195</v>
      </c>
      <c r="L2020">
        <v>98115</v>
      </c>
      <c r="M2020" s="1" t="s">
        <v>57</v>
      </c>
      <c r="N2020" s="1" t="s">
        <v>1126</v>
      </c>
      <c r="O2020" s="1" t="s">
        <v>33</v>
      </c>
      <c r="P2020" s="1" t="s">
        <v>59</v>
      </c>
      <c r="Q2020" s="1" t="s">
        <v>1127</v>
      </c>
      <c r="R2020">
        <v>200</v>
      </c>
      <c r="S2020">
        <v>5</v>
      </c>
      <c r="T2020">
        <v>0</v>
      </c>
      <c r="U2020">
        <v>40</v>
      </c>
      <c r="V2020" s="1" t="s">
        <v>126</v>
      </c>
      <c r="W2020" s="1" t="s">
        <v>99</v>
      </c>
    </row>
    <row r="2021" spans="1:23" x14ac:dyDescent="0.35">
      <c r="A2021">
        <v>9533</v>
      </c>
      <c r="B2021" s="1" t="s">
        <v>4300</v>
      </c>
      <c r="C2021" s="2">
        <v>42670</v>
      </c>
      <c r="D2021" s="2">
        <v>42674</v>
      </c>
      <c r="E2021" s="1" t="s">
        <v>42</v>
      </c>
      <c r="F2021" s="1" t="s">
        <v>2851</v>
      </c>
      <c r="G2021" s="1" t="s">
        <v>2852</v>
      </c>
      <c r="H2021" s="1" t="s">
        <v>27</v>
      </c>
      <c r="I2021" s="1" t="s">
        <v>28</v>
      </c>
      <c r="J2021" s="1" t="s">
        <v>176</v>
      </c>
      <c r="K2021" s="1" t="s">
        <v>123</v>
      </c>
      <c r="L2021">
        <v>10011</v>
      </c>
      <c r="M2021" s="1" t="s">
        <v>70</v>
      </c>
      <c r="N2021" s="1" t="s">
        <v>1768</v>
      </c>
      <c r="O2021" s="1" t="s">
        <v>33</v>
      </c>
      <c r="P2021" s="1" t="s">
        <v>39</v>
      </c>
      <c r="Q2021" s="1" t="s">
        <v>1769</v>
      </c>
      <c r="R2021">
        <v>428</v>
      </c>
      <c r="S2021">
        <v>14</v>
      </c>
      <c r="T2021">
        <v>0.1</v>
      </c>
      <c r="U2021">
        <v>81</v>
      </c>
      <c r="V2021" s="1" t="s">
        <v>86</v>
      </c>
      <c r="W2021" s="1" t="s">
        <v>51</v>
      </c>
    </row>
    <row r="2022" spans="1:23" x14ac:dyDescent="0.35">
      <c r="A2022">
        <v>9537</v>
      </c>
      <c r="B2022" s="1" t="s">
        <v>4301</v>
      </c>
      <c r="C2022" s="2">
        <v>42898</v>
      </c>
      <c r="D2022" s="2">
        <v>42900</v>
      </c>
      <c r="E2022" s="1" t="s">
        <v>24</v>
      </c>
      <c r="F2022" s="1" t="s">
        <v>1431</v>
      </c>
      <c r="G2022" s="1" t="s">
        <v>1432</v>
      </c>
      <c r="H2022" s="1" t="s">
        <v>27</v>
      </c>
      <c r="I2022" s="1" t="s">
        <v>28</v>
      </c>
      <c r="J2022" s="1" t="s">
        <v>136</v>
      </c>
      <c r="K2022" s="1" t="s">
        <v>137</v>
      </c>
      <c r="L2022">
        <v>60610</v>
      </c>
      <c r="M2022" s="1" t="s">
        <v>96</v>
      </c>
      <c r="N2022" s="1" t="s">
        <v>1721</v>
      </c>
      <c r="O2022" s="1" t="s">
        <v>33</v>
      </c>
      <c r="P2022" s="1" t="s">
        <v>59</v>
      </c>
      <c r="Q2022" s="1" t="s">
        <v>1722</v>
      </c>
      <c r="R2022">
        <v>9</v>
      </c>
      <c r="S2022">
        <v>3</v>
      </c>
      <c r="T2022">
        <v>0.6</v>
      </c>
      <c r="U2022">
        <v>-7</v>
      </c>
      <c r="V2022" s="1" t="s">
        <v>73</v>
      </c>
      <c r="W2022" s="1" t="s">
        <v>62</v>
      </c>
    </row>
    <row r="2023" spans="1:23" x14ac:dyDescent="0.35">
      <c r="A2023">
        <v>9538</v>
      </c>
      <c r="B2023" s="1" t="s">
        <v>4302</v>
      </c>
      <c r="C2023" s="2">
        <v>42638</v>
      </c>
      <c r="D2023" s="2">
        <v>42640</v>
      </c>
      <c r="E2023" s="1" t="s">
        <v>90</v>
      </c>
      <c r="F2023" s="1" t="s">
        <v>2267</v>
      </c>
      <c r="G2023" s="1" t="s">
        <v>2268</v>
      </c>
      <c r="H2023" s="1" t="s">
        <v>93</v>
      </c>
      <c r="I2023" s="1" t="s">
        <v>28</v>
      </c>
      <c r="J2023" s="1" t="s">
        <v>331</v>
      </c>
      <c r="K2023" s="1" t="s">
        <v>56</v>
      </c>
      <c r="L2023">
        <v>94110</v>
      </c>
      <c r="M2023" s="1" t="s">
        <v>57</v>
      </c>
      <c r="N2023" s="1" t="s">
        <v>263</v>
      </c>
      <c r="O2023" s="1" t="s">
        <v>33</v>
      </c>
      <c r="P2023" s="1" t="s">
        <v>34</v>
      </c>
      <c r="Q2023" s="1" t="s">
        <v>264</v>
      </c>
      <c r="R2023">
        <v>478</v>
      </c>
      <c r="S2023">
        <v>2</v>
      </c>
      <c r="T2023">
        <v>0.15</v>
      </c>
      <c r="U2023">
        <v>84</v>
      </c>
      <c r="V2023" s="1" t="s">
        <v>73</v>
      </c>
      <c r="W2023" s="1" t="s">
        <v>80</v>
      </c>
    </row>
    <row r="2024" spans="1:23" x14ac:dyDescent="0.35">
      <c r="A2024">
        <v>9541</v>
      </c>
      <c r="B2024" s="1" t="s">
        <v>4303</v>
      </c>
      <c r="C2024" s="2">
        <v>42135</v>
      </c>
      <c r="D2024" s="2">
        <v>42140</v>
      </c>
      <c r="E2024" s="1" t="s">
        <v>24</v>
      </c>
      <c r="F2024" s="1" t="s">
        <v>134</v>
      </c>
      <c r="G2024" s="1" t="s">
        <v>135</v>
      </c>
      <c r="H2024" s="1" t="s">
        <v>103</v>
      </c>
      <c r="I2024" s="1" t="s">
        <v>28</v>
      </c>
      <c r="J2024" s="1" t="s">
        <v>522</v>
      </c>
      <c r="K2024" s="1" t="s">
        <v>523</v>
      </c>
      <c r="L2024">
        <v>85023</v>
      </c>
      <c r="M2024" s="1" t="s">
        <v>57</v>
      </c>
      <c r="N2024" s="1" t="s">
        <v>1105</v>
      </c>
      <c r="O2024" s="1" t="s">
        <v>33</v>
      </c>
      <c r="P2024" s="1" t="s">
        <v>39</v>
      </c>
      <c r="Q2024" s="1" t="s">
        <v>1106</v>
      </c>
      <c r="R2024">
        <v>192</v>
      </c>
      <c r="S2024">
        <v>7</v>
      </c>
      <c r="T2024">
        <v>0.2</v>
      </c>
      <c r="U2024">
        <v>17</v>
      </c>
      <c r="V2024" s="1" t="s">
        <v>61</v>
      </c>
      <c r="W2024" s="1" t="s">
        <v>164</v>
      </c>
    </row>
    <row r="2025" spans="1:23" x14ac:dyDescent="0.35">
      <c r="A2025">
        <v>9545</v>
      </c>
      <c r="B2025" s="1" t="s">
        <v>4304</v>
      </c>
      <c r="C2025" s="2">
        <v>42222</v>
      </c>
      <c r="D2025" s="2">
        <v>42226</v>
      </c>
      <c r="E2025" s="1" t="s">
        <v>42</v>
      </c>
      <c r="F2025" s="1" t="s">
        <v>4305</v>
      </c>
      <c r="G2025" s="1" t="s">
        <v>4306</v>
      </c>
      <c r="H2025" s="1" t="s">
        <v>93</v>
      </c>
      <c r="I2025" s="1" t="s">
        <v>28</v>
      </c>
      <c r="J2025" s="1" t="s">
        <v>104</v>
      </c>
      <c r="K2025" s="1" t="s">
        <v>95</v>
      </c>
      <c r="L2025">
        <v>77095</v>
      </c>
      <c r="M2025" s="1" t="s">
        <v>96</v>
      </c>
      <c r="N2025" s="1" t="s">
        <v>1449</v>
      </c>
      <c r="O2025" s="1" t="s">
        <v>33</v>
      </c>
      <c r="P2025" s="1" t="s">
        <v>34</v>
      </c>
      <c r="Q2025" s="1" t="s">
        <v>1450</v>
      </c>
      <c r="R2025">
        <v>369</v>
      </c>
      <c r="S2025">
        <v>3</v>
      </c>
      <c r="T2025">
        <v>0.32</v>
      </c>
      <c r="U2025">
        <v>-114</v>
      </c>
      <c r="V2025" s="1" t="s">
        <v>86</v>
      </c>
      <c r="W2025" s="1" t="s">
        <v>256</v>
      </c>
    </row>
    <row r="2026" spans="1:23" x14ac:dyDescent="0.35">
      <c r="A2026">
        <v>9554</v>
      </c>
      <c r="B2026" s="1" t="s">
        <v>4307</v>
      </c>
      <c r="C2026" s="2">
        <v>42635</v>
      </c>
      <c r="D2026" s="2">
        <v>42640</v>
      </c>
      <c r="E2026" s="1" t="s">
        <v>42</v>
      </c>
      <c r="F2026" s="1" t="s">
        <v>2348</v>
      </c>
      <c r="G2026" s="1" t="s">
        <v>2349</v>
      </c>
      <c r="H2026" s="1" t="s">
        <v>93</v>
      </c>
      <c r="I2026" s="1" t="s">
        <v>28</v>
      </c>
      <c r="J2026" s="1" t="s">
        <v>1614</v>
      </c>
      <c r="K2026" s="1" t="s">
        <v>183</v>
      </c>
      <c r="L2026">
        <v>80020</v>
      </c>
      <c r="M2026" s="1" t="s">
        <v>57</v>
      </c>
      <c r="N2026" s="1" t="s">
        <v>496</v>
      </c>
      <c r="O2026" s="1" t="s">
        <v>33</v>
      </c>
      <c r="P2026" s="1" t="s">
        <v>59</v>
      </c>
      <c r="Q2026" s="1" t="s">
        <v>497</v>
      </c>
      <c r="R2026">
        <v>68</v>
      </c>
      <c r="S2026">
        <v>7</v>
      </c>
      <c r="T2026">
        <v>0.2</v>
      </c>
      <c r="U2026">
        <v>9</v>
      </c>
      <c r="V2026" s="1" t="s">
        <v>61</v>
      </c>
      <c r="W2026" s="1" t="s">
        <v>80</v>
      </c>
    </row>
    <row r="2027" spans="1:23" x14ac:dyDescent="0.35">
      <c r="A2027">
        <v>9555</v>
      </c>
      <c r="B2027" s="1" t="s">
        <v>4308</v>
      </c>
      <c r="C2027" s="2">
        <v>42336</v>
      </c>
      <c r="D2027" s="2">
        <v>42340</v>
      </c>
      <c r="E2027" s="1" t="s">
        <v>42</v>
      </c>
      <c r="F2027" s="1" t="s">
        <v>2966</v>
      </c>
      <c r="G2027" s="1" t="s">
        <v>2967</v>
      </c>
      <c r="H2027" s="1" t="s">
        <v>27</v>
      </c>
      <c r="I2027" s="1" t="s">
        <v>28</v>
      </c>
      <c r="J2027" s="1" t="s">
        <v>350</v>
      </c>
      <c r="K2027" s="1" t="s">
        <v>234</v>
      </c>
      <c r="L2027">
        <v>43229</v>
      </c>
      <c r="M2027" s="1" t="s">
        <v>70</v>
      </c>
      <c r="N2027" s="1" t="s">
        <v>170</v>
      </c>
      <c r="O2027" s="1" t="s">
        <v>33</v>
      </c>
      <c r="P2027" s="1" t="s">
        <v>59</v>
      </c>
      <c r="Q2027" s="1" t="s">
        <v>171</v>
      </c>
      <c r="R2027">
        <v>71</v>
      </c>
      <c r="S2027">
        <v>5</v>
      </c>
      <c r="T2027">
        <v>0.2</v>
      </c>
      <c r="U2027">
        <v>10</v>
      </c>
      <c r="V2027" s="1" t="s">
        <v>86</v>
      </c>
      <c r="W2027" s="1" t="s">
        <v>37</v>
      </c>
    </row>
    <row r="2028" spans="1:23" x14ac:dyDescent="0.35">
      <c r="A2028">
        <v>9558</v>
      </c>
      <c r="B2028" s="1" t="s">
        <v>4309</v>
      </c>
      <c r="C2028" s="2">
        <v>41929</v>
      </c>
      <c r="D2028" s="2">
        <v>41931</v>
      </c>
      <c r="E2028" s="1" t="s">
        <v>24</v>
      </c>
      <c r="F2028" s="1" t="s">
        <v>4310</v>
      </c>
      <c r="G2028" s="1" t="s">
        <v>4311</v>
      </c>
      <c r="H2028" s="1" t="s">
        <v>27</v>
      </c>
      <c r="I2028" s="1" t="s">
        <v>28</v>
      </c>
      <c r="J2028" s="1" t="s">
        <v>104</v>
      </c>
      <c r="K2028" s="1" t="s">
        <v>95</v>
      </c>
      <c r="L2028">
        <v>77095</v>
      </c>
      <c r="M2028" s="1" t="s">
        <v>96</v>
      </c>
      <c r="N2028" s="1" t="s">
        <v>2329</v>
      </c>
      <c r="O2028" s="1" t="s">
        <v>33</v>
      </c>
      <c r="P2028" s="1" t="s">
        <v>59</v>
      </c>
      <c r="Q2028" s="1" t="s">
        <v>2330</v>
      </c>
      <c r="R2028">
        <v>5</v>
      </c>
      <c r="S2028">
        <v>2</v>
      </c>
      <c r="T2028">
        <v>0.6</v>
      </c>
      <c r="U2028">
        <v>-2</v>
      </c>
      <c r="V2028" s="1" t="s">
        <v>73</v>
      </c>
      <c r="W2028" s="1" t="s">
        <v>51</v>
      </c>
    </row>
    <row r="2029" spans="1:23" x14ac:dyDescent="0.35">
      <c r="A2029">
        <v>9561</v>
      </c>
      <c r="B2029" s="1" t="s">
        <v>4312</v>
      </c>
      <c r="C2029" s="2">
        <v>42493</v>
      </c>
      <c r="D2029" s="2">
        <v>42495</v>
      </c>
      <c r="E2029" s="1" t="s">
        <v>90</v>
      </c>
      <c r="F2029" s="1" t="s">
        <v>4313</v>
      </c>
      <c r="G2029" s="1" t="s">
        <v>4314</v>
      </c>
      <c r="H2029" s="1" t="s">
        <v>27</v>
      </c>
      <c r="I2029" s="1" t="s">
        <v>28</v>
      </c>
      <c r="J2029" s="1" t="s">
        <v>233</v>
      </c>
      <c r="K2029" s="1" t="s">
        <v>234</v>
      </c>
      <c r="L2029">
        <v>43055</v>
      </c>
      <c r="M2029" s="1" t="s">
        <v>70</v>
      </c>
      <c r="N2029" s="1" t="s">
        <v>2058</v>
      </c>
      <c r="O2029" s="1" t="s">
        <v>33</v>
      </c>
      <c r="P2029" s="1" t="s">
        <v>59</v>
      </c>
      <c r="Q2029" s="1" t="s">
        <v>2059</v>
      </c>
      <c r="R2029">
        <v>52</v>
      </c>
      <c r="S2029">
        <v>2</v>
      </c>
      <c r="T2029">
        <v>0.2</v>
      </c>
      <c r="U2029">
        <v>10</v>
      </c>
      <c r="V2029" s="1" t="s">
        <v>73</v>
      </c>
      <c r="W2029" s="1" t="s">
        <v>164</v>
      </c>
    </row>
    <row r="2030" spans="1:23" x14ac:dyDescent="0.35">
      <c r="A2030">
        <v>9566</v>
      </c>
      <c r="B2030" s="1" t="s">
        <v>4315</v>
      </c>
      <c r="C2030" s="2">
        <v>41729</v>
      </c>
      <c r="D2030" s="2">
        <v>41729</v>
      </c>
      <c r="E2030" s="1" t="s">
        <v>428</v>
      </c>
      <c r="F2030" s="1" t="s">
        <v>3239</v>
      </c>
      <c r="G2030" s="1" t="s">
        <v>3240</v>
      </c>
      <c r="H2030" s="1" t="s">
        <v>27</v>
      </c>
      <c r="I2030" s="1" t="s">
        <v>28</v>
      </c>
      <c r="J2030" s="1" t="s">
        <v>306</v>
      </c>
      <c r="K2030" s="1" t="s">
        <v>46</v>
      </c>
      <c r="L2030">
        <v>33614</v>
      </c>
      <c r="M2030" s="1" t="s">
        <v>31</v>
      </c>
      <c r="N2030" s="1" t="s">
        <v>332</v>
      </c>
      <c r="O2030" s="1" t="s">
        <v>33</v>
      </c>
      <c r="P2030" s="1" t="s">
        <v>39</v>
      </c>
      <c r="Q2030" s="1" t="s">
        <v>333</v>
      </c>
      <c r="R2030">
        <v>1125</v>
      </c>
      <c r="S2030">
        <v>7</v>
      </c>
      <c r="T2030">
        <v>0.2</v>
      </c>
      <c r="U2030">
        <v>98</v>
      </c>
      <c r="V2030" s="1" t="s">
        <v>433</v>
      </c>
      <c r="W2030" s="1" t="s">
        <v>198</v>
      </c>
    </row>
    <row r="2031" spans="1:23" x14ac:dyDescent="0.35">
      <c r="A2031">
        <v>9575</v>
      </c>
      <c r="B2031" s="1" t="s">
        <v>4316</v>
      </c>
      <c r="C2031" s="2">
        <v>42229</v>
      </c>
      <c r="D2031" s="2">
        <v>42229</v>
      </c>
      <c r="E2031" s="1" t="s">
        <v>428</v>
      </c>
      <c r="F2031" s="1" t="s">
        <v>66</v>
      </c>
      <c r="G2031" s="1" t="s">
        <v>67</v>
      </c>
      <c r="H2031" s="1" t="s">
        <v>27</v>
      </c>
      <c r="I2031" s="1" t="s">
        <v>28</v>
      </c>
      <c r="J2031" s="1" t="s">
        <v>1673</v>
      </c>
      <c r="K2031" s="1" t="s">
        <v>56</v>
      </c>
      <c r="L2031">
        <v>91767</v>
      </c>
      <c r="M2031" s="1" t="s">
        <v>57</v>
      </c>
      <c r="N2031" s="1" t="s">
        <v>1580</v>
      </c>
      <c r="O2031" s="1" t="s">
        <v>33</v>
      </c>
      <c r="P2031" s="1" t="s">
        <v>59</v>
      </c>
      <c r="Q2031" s="1" t="s">
        <v>1581</v>
      </c>
      <c r="R2031">
        <v>32</v>
      </c>
      <c r="S2031">
        <v>3</v>
      </c>
      <c r="T2031">
        <v>0</v>
      </c>
      <c r="U2031">
        <v>10</v>
      </c>
      <c r="V2031" s="1" t="s">
        <v>433</v>
      </c>
      <c r="W2031" s="1" t="s">
        <v>256</v>
      </c>
    </row>
    <row r="2032" spans="1:23" x14ac:dyDescent="0.35">
      <c r="A2032">
        <v>9576</v>
      </c>
      <c r="B2032" s="1" t="s">
        <v>4317</v>
      </c>
      <c r="C2032" s="2">
        <v>42150</v>
      </c>
      <c r="D2032" s="2">
        <v>42152</v>
      </c>
      <c r="E2032" s="1" t="s">
        <v>24</v>
      </c>
      <c r="F2032" s="1" t="s">
        <v>3583</v>
      </c>
      <c r="G2032" s="1" t="s">
        <v>3584</v>
      </c>
      <c r="H2032" s="1" t="s">
        <v>27</v>
      </c>
      <c r="I2032" s="1" t="s">
        <v>28</v>
      </c>
      <c r="J2032" s="1" t="s">
        <v>248</v>
      </c>
      <c r="K2032" s="1" t="s">
        <v>95</v>
      </c>
      <c r="L2032">
        <v>78207</v>
      </c>
      <c r="M2032" s="1" t="s">
        <v>96</v>
      </c>
      <c r="N2032" s="1" t="s">
        <v>162</v>
      </c>
      <c r="O2032" s="1" t="s">
        <v>33</v>
      </c>
      <c r="P2032" s="1" t="s">
        <v>39</v>
      </c>
      <c r="Q2032" s="1" t="s">
        <v>163</v>
      </c>
      <c r="R2032">
        <v>106</v>
      </c>
      <c r="S2032">
        <v>1</v>
      </c>
      <c r="T2032">
        <v>0.3</v>
      </c>
      <c r="U2032">
        <v>-29</v>
      </c>
      <c r="V2032" s="1" t="s">
        <v>73</v>
      </c>
      <c r="W2032" s="1" t="s">
        <v>164</v>
      </c>
    </row>
    <row r="2033" spans="1:23" x14ac:dyDescent="0.35">
      <c r="A2033">
        <v>9578</v>
      </c>
      <c r="B2033" s="1" t="s">
        <v>4317</v>
      </c>
      <c r="C2033" s="2">
        <v>42150</v>
      </c>
      <c r="D2033" s="2">
        <v>42152</v>
      </c>
      <c r="E2033" s="1" t="s">
        <v>24</v>
      </c>
      <c r="F2033" s="1" t="s">
        <v>3583</v>
      </c>
      <c r="G2033" s="1" t="s">
        <v>3584</v>
      </c>
      <c r="H2033" s="1" t="s">
        <v>27</v>
      </c>
      <c r="I2033" s="1" t="s">
        <v>28</v>
      </c>
      <c r="J2033" s="1" t="s">
        <v>248</v>
      </c>
      <c r="K2033" s="1" t="s">
        <v>95</v>
      </c>
      <c r="L2033">
        <v>78207</v>
      </c>
      <c r="M2033" s="1" t="s">
        <v>96</v>
      </c>
      <c r="N2033" s="1" t="s">
        <v>1516</v>
      </c>
      <c r="O2033" s="1" t="s">
        <v>33</v>
      </c>
      <c r="P2033" s="1" t="s">
        <v>39</v>
      </c>
      <c r="Q2033" s="1" t="s">
        <v>1517</v>
      </c>
      <c r="R2033">
        <v>105</v>
      </c>
      <c r="S2033">
        <v>5</v>
      </c>
      <c r="T2033">
        <v>0.3</v>
      </c>
      <c r="U2033">
        <v>-4</v>
      </c>
      <c r="V2033" s="1" t="s">
        <v>73</v>
      </c>
      <c r="W2033" s="1" t="s">
        <v>164</v>
      </c>
    </row>
    <row r="2034" spans="1:23" x14ac:dyDescent="0.35">
      <c r="A2034">
        <v>9582</v>
      </c>
      <c r="B2034" s="1" t="s">
        <v>4318</v>
      </c>
      <c r="C2034" s="2">
        <v>42992</v>
      </c>
      <c r="D2034" s="2">
        <v>42994</v>
      </c>
      <c r="E2034" s="1" t="s">
        <v>90</v>
      </c>
      <c r="F2034" s="1" t="s">
        <v>3246</v>
      </c>
      <c r="G2034" s="1" t="s">
        <v>3247</v>
      </c>
      <c r="H2034" s="1" t="s">
        <v>103</v>
      </c>
      <c r="I2034" s="1" t="s">
        <v>28</v>
      </c>
      <c r="J2034" s="1" t="s">
        <v>176</v>
      </c>
      <c r="K2034" s="1" t="s">
        <v>123</v>
      </c>
      <c r="L2034">
        <v>10035</v>
      </c>
      <c r="M2034" s="1" t="s">
        <v>70</v>
      </c>
      <c r="N2034" s="1" t="s">
        <v>2581</v>
      </c>
      <c r="O2034" s="1" t="s">
        <v>33</v>
      </c>
      <c r="P2034" s="1" t="s">
        <v>39</v>
      </c>
      <c r="Q2034" s="1" t="s">
        <v>2582</v>
      </c>
      <c r="R2034">
        <v>589</v>
      </c>
      <c r="S2034">
        <v>5</v>
      </c>
      <c r="T2034">
        <v>0.1</v>
      </c>
      <c r="U2034">
        <v>-7</v>
      </c>
      <c r="V2034" s="1" t="s">
        <v>73</v>
      </c>
      <c r="W2034" s="1" t="s">
        <v>80</v>
      </c>
    </row>
    <row r="2035" spans="1:23" x14ac:dyDescent="0.35">
      <c r="A2035">
        <v>9584</v>
      </c>
      <c r="B2035" s="1" t="s">
        <v>4319</v>
      </c>
      <c r="C2035" s="2">
        <v>42911</v>
      </c>
      <c r="D2035" s="2">
        <v>42913</v>
      </c>
      <c r="E2035" s="1" t="s">
        <v>24</v>
      </c>
      <c r="F2035" s="1" t="s">
        <v>4129</v>
      </c>
      <c r="G2035" s="1" t="s">
        <v>4130</v>
      </c>
      <c r="H2035" s="1" t="s">
        <v>27</v>
      </c>
      <c r="I2035" s="1" t="s">
        <v>28</v>
      </c>
      <c r="J2035" s="1" t="s">
        <v>176</v>
      </c>
      <c r="K2035" s="1" t="s">
        <v>123</v>
      </c>
      <c r="L2035">
        <v>10024</v>
      </c>
      <c r="M2035" s="1" t="s">
        <v>70</v>
      </c>
      <c r="N2035" s="1" t="s">
        <v>1698</v>
      </c>
      <c r="O2035" s="1" t="s">
        <v>33</v>
      </c>
      <c r="P2035" s="1" t="s">
        <v>34</v>
      </c>
      <c r="Q2035" s="1" t="s">
        <v>1699</v>
      </c>
      <c r="R2035">
        <v>401</v>
      </c>
      <c r="S2035">
        <v>1</v>
      </c>
      <c r="T2035">
        <v>0.2</v>
      </c>
      <c r="U2035">
        <v>-5</v>
      </c>
      <c r="V2035" s="1" t="s">
        <v>73</v>
      </c>
      <c r="W2035" s="1" t="s">
        <v>62</v>
      </c>
    </row>
    <row r="2036" spans="1:23" x14ac:dyDescent="0.35">
      <c r="A2036">
        <v>9592</v>
      </c>
      <c r="B2036" s="1" t="s">
        <v>4320</v>
      </c>
      <c r="C2036" s="2">
        <v>42579</v>
      </c>
      <c r="D2036" s="2">
        <v>42583</v>
      </c>
      <c r="E2036" s="1" t="s">
        <v>42</v>
      </c>
      <c r="F2036" s="1" t="s">
        <v>4321</v>
      </c>
      <c r="G2036" s="1" t="s">
        <v>4322</v>
      </c>
      <c r="H2036" s="1" t="s">
        <v>103</v>
      </c>
      <c r="I2036" s="1" t="s">
        <v>28</v>
      </c>
      <c r="J2036" s="1" t="s">
        <v>1188</v>
      </c>
      <c r="K2036" s="1" t="s">
        <v>95</v>
      </c>
      <c r="L2036">
        <v>77506</v>
      </c>
      <c r="M2036" s="1" t="s">
        <v>96</v>
      </c>
      <c r="N2036" s="1" t="s">
        <v>1131</v>
      </c>
      <c r="O2036" s="1" t="s">
        <v>33</v>
      </c>
      <c r="P2036" s="1" t="s">
        <v>59</v>
      </c>
      <c r="Q2036" s="1" t="s">
        <v>1132</v>
      </c>
      <c r="R2036">
        <v>25</v>
      </c>
      <c r="S2036">
        <v>5</v>
      </c>
      <c r="T2036">
        <v>0.6</v>
      </c>
      <c r="U2036">
        <v>-10</v>
      </c>
      <c r="V2036" s="1" t="s">
        <v>86</v>
      </c>
      <c r="W2036" s="1" t="s">
        <v>74</v>
      </c>
    </row>
    <row r="2037" spans="1:23" x14ac:dyDescent="0.35">
      <c r="A2037">
        <v>9593</v>
      </c>
      <c r="B2037" s="1" t="s">
        <v>4320</v>
      </c>
      <c r="C2037" s="2">
        <v>42579</v>
      </c>
      <c r="D2037" s="2">
        <v>42583</v>
      </c>
      <c r="E2037" s="1" t="s">
        <v>42</v>
      </c>
      <c r="F2037" s="1" t="s">
        <v>4321</v>
      </c>
      <c r="G2037" s="1" t="s">
        <v>4322</v>
      </c>
      <c r="H2037" s="1" t="s">
        <v>103</v>
      </c>
      <c r="I2037" s="1" t="s">
        <v>28</v>
      </c>
      <c r="J2037" s="1" t="s">
        <v>1188</v>
      </c>
      <c r="K2037" s="1" t="s">
        <v>95</v>
      </c>
      <c r="L2037">
        <v>77506</v>
      </c>
      <c r="M2037" s="1" t="s">
        <v>96</v>
      </c>
      <c r="N2037" s="1" t="s">
        <v>3679</v>
      </c>
      <c r="O2037" s="1" t="s">
        <v>33</v>
      </c>
      <c r="P2037" s="1" t="s">
        <v>59</v>
      </c>
      <c r="Q2037" s="1" t="s">
        <v>3680</v>
      </c>
      <c r="R2037">
        <v>303</v>
      </c>
      <c r="S2037">
        <v>5</v>
      </c>
      <c r="T2037">
        <v>0.6</v>
      </c>
      <c r="U2037">
        <v>-378</v>
      </c>
      <c r="V2037" s="1" t="s">
        <v>86</v>
      </c>
      <c r="W2037" s="1" t="s">
        <v>74</v>
      </c>
    </row>
    <row r="2038" spans="1:23" x14ac:dyDescent="0.35">
      <c r="A2038">
        <v>9599</v>
      </c>
      <c r="B2038" s="1" t="s">
        <v>4323</v>
      </c>
      <c r="C2038" s="2">
        <v>42266</v>
      </c>
      <c r="D2038" s="2">
        <v>42270</v>
      </c>
      <c r="E2038" s="1" t="s">
        <v>42</v>
      </c>
      <c r="F2038" s="1" t="s">
        <v>4324</v>
      </c>
      <c r="G2038" s="1" t="s">
        <v>4325</v>
      </c>
      <c r="H2038" s="1" t="s">
        <v>103</v>
      </c>
      <c r="I2038" s="1" t="s">
        <v>28</v>
      </c>
      <c r="J2038" s="1" t="s">
        <v>1852</v>
      </c>
      <c r="K2038" s="1" t="s">
        <v>56</v>
      </c>
      <c r="L2038">
        <v>95823</v>
      </c>
      <c r="M2038" s="1" t="s">
        <v>57</v>
      </c>
      <c r="N2038" s="1" t="s">
        <v>2321</v>
      </c>
      <c r="O2038" s="1" t="s">
        <v>33</v>
      </c>
      <c r="P2038" s="1" t="s">
        <v>59</v>
      </c>
      <c r="Q2038" s="1" t="s">
        <v>2322</v>
      </c>
      <c r="R2038">
        <v>61</v>
      </c>
      <c r="S2038">
        <v>3</v>
      </c>
      <c r="T2038">
        <v>0</v>
      </c>
      <c r="U2038">
        <v>19</v>
      </c>
      <c r="V2038" s="1" t="s">
        <v>86</v>
      </c>
      <c r="W2038" s="1" t="s">
        <v>80</v>
      </c>
    </row>
    <row r="2039" spans="1:23" x14ac:dyDescent="0.35">
      <c r="A2039">
        <v>9604</v>
      </c>
      <c r="B2039" s="1" t="s">
        <v>4326</v>
      </c>
      <c r="C2039" s="2">
        <v>42538</v>
      </c>
      <c r="D2039" s="2">
        <v>42544</v>
      </c>
      <c r="E2039" s="1" t="s">
        <v>42</v>
      </c>
      <c r="F2039" s="1" t="s">
        <v>2127</v>
      </c>
      <c r="G2039" s="1" t="s">
        <v>2128</v>
      </c>
      <c r="H2039" s="1" t="s">
        <v>93</v>
      </c>
      <c r="I2039" s="1" t="s">
        <v>28</v>
      </c>
      <c r="J2039" s="1" t="s">
        <v>897</v>
      </c>
      <c r="K2039" s="1" t="s">
        <v>123</v>
      </c>
      <c r="L2039">
        <v>14609</v>
      </c>
      <c r="M2039" s="1" t="s">
        <v>70</v>
      </c>
      <c r="N2039" s="1" t="s">
        <v>1331</v>
      </c>
      <c r="O2039" s="1" t="s">
        <v>33</v>
      </c>
      <c r="P2039" s="1" t="s">
        <v>48</v>
      </c>
      <c r="Q2039" s="1" t="s">
        <v>1332</v>
      </c>
      <c r="R2039">
        <v>377</v>
      </c>
      <c r="S2039">
        <v>3</v>
      </c>
      <c r="T2039">
        <v>0.4</v>
      </c>
      <c r="U2039">
        <v>-214</v>
      </c>
      <c r="V2039" s="1" t="s">
        <v>132</v>
      </c>
      <c r="W2039" s="1" t="s">
        <v>62</v>
      </c>
    </row>
    <row r="2040" spans="1:23" x14ac:dyDescent="0.35">
      <c r="A2040">
        <v>9610</v>
      </c>
      <c r="B2040" s="1" t="s">
        <v>4327</v>
      </c>
      <c r="C2040" s="2">
        <v>42506</v>
      </c>
      <c r="D2040" s="2">
        <v>42509</v>
      </c>
      <c r="E2040" s="1" t="s">
        <v>24</v>
      </c>
      <c r="F2040" s="1" t="s">
        <v>510</v>
      </c>
      <c r="G2040" s="1" t="s">
        <v>511</v>
      </c>
      <c r="H2040" s="1" t="s">
        <v>27</v>
      </c>
      <c r="I2040" s="1" t="s">
        <v>28</v>
      </c>
      <c r="J2040" s="1" t="s">
        <v>55</v>
      </c>
      <c r="K2040" s="1" t="s">
        <v>56</v>
      </c>
      <c r="L2040">
        <v>90045</v>
      </c>
      <c r="M2040" s="1" t="s">
        <v>57</v>
      </c>
      <c r="N2040" s="1" t="s">
        <v>2172</v>
      </c>
      <c r="O2040" s="1" t="s">
        <v>33</v>
      </c>
      <c r="P2040" s="1" t="s">
        <v>59</v>
      </c>
      <c r="Q2040" s="1" t="s">
        <v>2173</v>
      </c>
      <c r="R2040">
        <v>283</v>
      </c>
      <c r="S2040">
        <v>4</v>
      </c>
      <c r="T2040">
        <v>0</v>
      </c>
      <c r="U2040">
        <v>20</v>
      </c>
      <c r="V2040" s="1" t="s">
        <v>36</v>
      </c>
      <c r="W2040" s="1" t="s">
        <v>164</v>
      </c>
    </row>
    <row r="2041" spans="1:23" x14ac:dyDescent="0.35">
      <c r="A2041">
        <v>9625</v>
      </c>
      <c r="B2041" s="1" t="s">
        <v>4328</v>
      </c>
      <c r="C2041" s="2">
        <v>42915</v>
      </c>
      <c r="D2041" s="2">
        <v>42916</v>
      </c>
      <c r="E2041" s="1" t="s">
        <v>90</v>
      </c>
      <c r="F2041" s="1" t="s">
        <v>3436</v>
      </c>
      <c r="G2041" s="1" t="s">
        <v>3437</v>
      </c>
      <c r="H2041" s="1" t="s">
        <v>27</v>
      </c>
      <c r="I2041" s="1" t="s">
        <v>28</v>
      </c>
      <c r="J2041" s="1" t="s">
        <v>1742</v>
      </c>
      <c r="K2041" s="1" t="s">
        <v>95</v>
      </c>
      <c r="L2041">
        <v>75220</v>
      </c>
      <c r="M2041" s="1" t="s">
        <v>96</v>
      </c>
      <c r="N2041" s="1" t="s">
        <v>1630</v>
      </c>
      <c r="O2041" s="1" t="s">
        <v>33</v>
      </c>
      <c r="P2041" s="1" t="s">
        <v>48</v>
      </c>
      <c r="Q2041" s="1" t="s">
        <v>1631</v>
      </c>
      <c r="R2041">
        <v>307</v>
      </c>
      <c r="S2041">
        <v>3</v>
      </c>
      <c r="T2041">
        <v>0.3</v>
      </c>
      <c r="U2041">
        <v>-40</v>
      </c>
      <c r="V2041" s="1" t="s">
        <v>126</v>
      </c>
      <c r="W2041" s="1" t="s">
        <v>62</v>
      </c>
    </row>
    <row r="2042" spans="1:23" x14ac:dyDescent="0.35">
      <c r="A2042">
        <v>9626</v>
      </c>
      <c r="B2042" s="1" t="s">
        <v>4328</v>
      </c>
      <c r="C2042" s="2">
        <v>42915</v>
      </c>
      <c r="D2042" s="2">
        <v>42916</v>
      </c>
      <c r="E2042" s="1" t="s">
        <v>90</v>
      </c>
      <c r="F2042" s="1" t="s">
        <v>3436</v>
      </c>
      <c r="G2042" s="1" t="s">
        <v>3437</v>
      </c>
      <c r="H2042" s="1" t="s">
        <v>27</v>
      </c>
      <c r="I2042" s="1" t="s">
        <v>28</v>
      </c>
      <c r="J2042" s="1" t="s">
        <v>1742</v>
      </c>
      <c r="K2042" s="1" t="s">
        <v>95</v>
      </c>
      <c r="L2042">
        <v>75220</v>
      </c>
      <c r="M2042" s="1" t="s">
        <v>96</v>
      </c>
      <c r="N2042" s="1" t="s">
        <v>1872</v>
      </c>
      <c r="O2042" s="1" t="s">
        <v>33</v>
      </c>
      <c r="P2042" s="1" t="s">
        <v>34</v>
      </c>
      <c r="Q2042" s="1" t="s">
        <v>1873</v>
      </c>
      <c r="R2042">
        <v>410</v>
      </c>
      <c r="S2042">
        <v>3</v>
      </c>
      <c r="T2042">
        <v>0.32</v>
      </c>
      <c r="U2042">
        <v>-96</v>
      </c>
      <c r="V2042" s="1" t="s">
        <v>126</v>
      </c>
      <c r="W2042" s="1" t="s">
        <v>62</v>
      </c>
    </row>
    <row r="2043" spans="1:23" x14ac:dyDescent="0.35">
      <c r="A2043">
        <v>9636</v>
      </c>
      <c r="B2043" s="1" t="s">
        <v>4329</v>
      </c>
      <c r="C2043" s="2">
        <v>41926</v>
      </c>
      <c r="D2043" s="2">
        <v>41929</v>
      </c>
      <c r="E2043" s="1" t="s">
        <v>90</v>
      </c>
      <c r="F2043" s="1" t="s">
        <v>3772</v>
      </c>
      <c r="G2043" s="1" t="s">
        <v>3773</v>
      </c>
      <c r="H2043" s="1" t="s">
        <v>27</v>
      </c>
      <c r="I2043" s="1" t="s">
        <v>28</v>
      </c>
      <c r="J2043" s="1" t="s">
        <v>1360</v>
      </c>
      <c r="K2043" s="1" t="s">
        <v>437</v>
      </c>
      <c r="L2043">
        <v>2149</v>
      </c>
      <c r="M2043" s="1" t="s">
        <v>70</v>
      </c>
      <c r="N2043" s="1" t="s">
        <v>2913</v>
      </c>
      <c r="O2043" s="1" t="s">
        <v>33</v>
      </c>
      <c r="P2043" s="1" t="s">
        <v>39</v>
      </c>
      <c r="Q2043" s="1" t="s">
        <v>2914</v>
      </c>
      <c r="R2043">
        <v>1629</v>
      </c>
      <c r="S2043">
        <v>9</v>
      </c>
      <c r="T2043">
        <v>0</v>
      </c>
      <c r="U2043">
        <v>261</v>
      </c>
      <c r="V2043" s="1" t="s">
        <v>36</v>
      </c>
      <c r="W2043" s="1" t="s">
        <v>51</v>
      </c>
    </row>
    <row r="2044" spans="1:23" x14ac:dyDescent="0.35">
      <c r="A2044">
        <v>9637</v>
      </c>
      <c r="B2044" s="1" t="s">
        <v>4330</v>
      </c>
      <c r="C2044" s="2">
        <v>41961</v>
      </c>
      <c r="D2044" s="2">
        <v>41968</v>
      </c>
      <c r="E2044" s="1" t="s">
        <v>42</v>
      </c>
      <c r="F2044" s="1" t="s">
        <v>773</v>
      </c>
      <c r="G2044" s="1" t="s">
        <v>774</v>
      </c>
      <c r="H2044" s="1" t="s">
        <v>93</v>
      </c>
      <c r="I2044" s="1" t="s">
        <v>28</v>
      </c>
      <c r="J2044" s="1" t="s">
        <v>194</v>
      </c>
      <c r="K2044" s="1" t="s">
        <v>195</v>
      </c>
      <c r="L2044">
        <v>98105</v>
      </c>
      <c r="M2044" s="1" t="s">
        <v>57</v>
      </c>
      <c r="N2044" s="1" t="s">
        <v>708</v>
      </c>
      <c r="O2044" s="1" t="s">
        <v>33</v>
      </c>
      <c r="P2044" s="1" t="s">
        <v>59</v>
      </c>
      <c r="Q2044" s="1" t="s">
        <v>709</v>
      </c>
      <c r="R2044">
        <v>138</v>
      </c>
      <c r="S2044">
        <v>2</v>
      </c>
      <c r="T2044">
        <v>0</v>
      </c>
      <c r="U2044">
        <v>55</v>
      </c>
      <c r="V2044" s="1" t="s">
        <v>50</v>
      </c>
      <c r="W2044" s="1" t="s">
        <v>37</v>
      </c>
    </row>
    <row r="2045" spans="1:23" x14ac:dyDescent="0.35">
      <c r="A2045">
        <v>9638</v>
      </c>
      <c r="B2045" s="1" t="s">
        <v>4330</v>
      </c>
      <c r="C2045" s="2">
        <v>41961</v>
      </c>
      <c r="D2045" s="2">
        <v>41968</v>
      </c>
      <c r="E2045" s="1" t="s">
        <v>42</v>
      </c>
      <c r="F2045" s="1" t="s">
        <v>773</v>
      </c>
      <c r="G2045" s="1" t="s">
        <v>774</v>
      </c>
      <c r="H2045" s="1" t="s">
        <v>93</v>
      </c>
      <c r="I2045" s="1" t="s">
        <v>28</v>
      </c>
      <c r="J2045" s="1" t="s">
        <v>194</v>
      </c>
      <c r="K2045" s="1" t="s">
        <v>195</v>
      </c>
      <c r="L2045">
        <v>98105</v>
      </c>
      <c r="M2045" s="1" t="s">
        <v>57</v>
      </c>
      <c r="N2045" s="1" t="s">
        <v>1237</v>
      </c>
      <c r="O2045" s="1" t="s">
        <v>33</v>
      </c>
      <c r="P2045" s="1" t="s">
        <v>48</v>
      </c>
      <c r="Q2045" s="1" t="s">
        <v>1238</v>
      </c>
      <c r="R2045">
        <v>730</v>
      </c>
      <c r="S2045">
        <v>4</v>
      </c>
      <c r="T2045">
        <v>0</v>
      </c>
      <c r="U2045">
        <v>95</v>
      </c>
      <c r="V2045" s="1" t="s">
        <v>50</v>
      </c>
      <c r="W2045" s="1" t="s">
        <v>37</v>
      </c>
    </row>
    <row r="2046" spans="1:23" x14ac:dyDescent="0.35">
      <c r="A2046">
        <v>9640</v>
      </c>
      <c r="B2046" s="1" t="s">
        <v>4331</v>
      </c>
      <c r="C2046" s="2">
        <v>42032</v>
      </c>
      <c r="D2046" s="2">
        <v>42035</v>
      </c>
      <c r="E2046" s="1" t="s">
        <v>24</v>
      </c>
      <c r="F2046" s="1" t="s">
        <v>4332</v>
      </c>
      <c r="G2046" s="1" t="s">
        <v>4333</v>
      </c>
      <c r="H2046" s="1" t="s">
        <v>27</v>
      </c>
      <c r="I2046" s="1" t="s">
        <v>28</v>
      </c>
      <c r="J2046" s="1" t="s">
        <v>512</v>
      </c>
      <c r="K2046" s="1" t="s">
        <v>1039</v>
      </c>
      <c r="L2046">
        <v>28027</v>
      </c>
      <c r="M2046" s="1" t="s">
        <v>31</v>
      </c>
      <c r="N2046" s="1" t="s">
        <v>754</v>
      </c>
      <c r="O2046" s="1" t="s">
        <v>33</v>
      </c>
      <c r="P2046" s="1" t="s">
        <v>48</v>
      </c>
      <c r="Q2046" s="1" t="s">
        <v>755</v>
      </c>
      <c r="R2046">
        <v>4298</v>
      </c>
      <c r="S2046">
        <v>13</v>
      </c>
      <c r="T2046">
        <v>0.4</v>
      </c>
      <c r="U2046">
        <v>-1862</v>
      </c>
      <c r="V2046" s="1" t="s">
        <v>36</v>
      </c>
      <c r="W2046" s="1" t="s">
        <v>172</v>
      </c>
    </row>
    <row r="2047" spans="1:23" x14ac:dyDescent="0.35">
      <c r="A2047">
        <v>9643</v>
      </c>
      <c r="B2047" s="1" t="s">
        <v>4334</v>
      </c>
      <c r="C2047" s="2">
        <v>41705</v>
      </c>
      <c r="D2047" s="2">
        <v>41710</v>
      </c>
      <c r="E2047" s="1" t="s">
        <v>42</v>
      </c>
      <c r="F2047" s="1" t="s">
        <v>3925</v>
      </c>
      <c r="G2047" s="1" t="s">
        <v>3926</v>
      </c>
      <c r="H2047" s="1" t="s">
        <v>93</v>
      </c>
      <c r="I2047" s="1" t="s">
        <v>28</v>
      </c>
      <c r="J2047" s="1" t="s">
        <v>194</v>
      </c>
      <c r="K2047" s="1" t="s">
        <v>195</v>
      </c>
      <c r="L2047">
        <v>98103</v>
      </c>
      <c r="M2047" s="1" t="s">
        <v>57</v>
      </c>
      <c r="N2047" s="1" t="s">
        <v>4245</v>
      </c>
      <c r="O2047" s="1" t="s">
        <v>33</v>
      </c>
      <c r="P2047" s="1" t="s">
        <v>39</v>
      </c>
      <c r="Q2047" s="1" t="s">
        <v>4246</v>
      </c>
      <c r="R2047">
        <v>437</v>
      </c>
      <c r="S2047">
        <v>6</v>
      </c>
      <c r="T2047">
        <v>0.2</v>
      </c>
      <c r="U2047">
        <v>22</v>
      </c>
      <c r="V2047" s="1" t="s">
        <v>61</v>
      </c>
      <c r="W2047" s="1" t="s">
        <v>198</v>
      </c>
    </row>
    <row r="2048" spans="1:23" x14ac:dyDescent="0.35">
      <c r="A2048">
        <v>9644</v>
      </c>
      <c r="B2048" s="1" t="s">
        <v>4334</v>
      </c>
      <c r="C2048" s="2">
        <v>41705</v>
      </c>
      <c r="D2048" s="2">
        <v>41710</v>
      </c>
      <c r="E2048" s="1" t="s">
        <v>42</v>
      </c>
      <c r="F2048" s="1" t="s">
        <v>3925</v>
      </c>
      <c r="G2048" s="1" t="s">
        <v>3926</v>
      </c>
      <c r="H2048" s="1" t="s">
        <v>93</v>
      </c>
      <c r="I2048" s="1" t="s">
        <v>28</v>
      </c>
      <c r="J2048" s="1" t="s">
        <v>194</v>
      </c>
      <c r="K2048" s="1" t="s">
        <v>195</v>
      </c>
      <c r="L2048">
        <v>98103</v>
      </c>
      <c r="M2048" s="1" t="s">
        <v>57</v>
      </c>
      <c r="N2048" s="1" t="s">
        <v>2337</v>
      </c>
      <c r="O2048" s="1" t="s">
        <v>33</v>
      </c>
      <c r="P2048" s="1" t="s">
        <v>39</v>
      </c>
      <c r="Q2048" s="1" t="s">
        <v>2338</v>
      </c>
      <c r="R2048">
        <v>482</v>
      </c>
      <c r="S2048">
        <v>2</v>
      </c>
      <c r="T2048">
        <v>0.2</v>
      </c>
      <c r="U2048">
        <v>54</v>
      </c>
      <c r="V2048" s="1" t="s">
        <v>61</v>
      </c>
      <c r="W2048" s="1" t="s">
        <v>198</v>
      </c>
    </row>
    <row r="2049" spans="1:23" x14ac:dyDescent="0.35">
      <c r="A2049">
        <v>9650</v>
      </c>
      <c r="B2049" s="1" t="s">
        <v>4335</v>
      </c>
      <c r="C2049" s="2">
        <v>42700</v>
      </c>
      <c r="D2049" s="2">
        <v>42704</v>
      </c>
      <c r="E2049" s="1" t="s">
        <v>42</v>
      </c>
      <c r="F2049" s="1" t="s">
        <v>1684</v>
      </c>
      <c r="G2049" s="1" t="s">
        <v>1685</v>
      </c>
      <c r="H2049" s="1" t="s">
        <v>27</v>
      </c>
      <c r="I2049" s="1" t="s">
        <v>28</v>
      </c>
      <c r="J2049" s="1" t="s">
        <v>55</v>
      </c>
      <c r="K2049" s="1" t="s">
        <v>56</v>
      </c>
      <c r="L2049">
        <v>90045</v>
      </c>
      <c r="M2049" s="1" t="s">
        <v>57</v>
      </c>
      <c r="N2049" s="1" t="s">
        <v>1698</v>
      </c>
      <c r="O2049" s="1" t="s">
        <v>33</v>
      </c>
      <c r="P2049" s="1" t="s">
        <v>34</v>
      </c>
      <c r="Q2049" s="1" t="s">
        <v>1699</v>
      </c>
      <c r="R2049">
        <v>3407</v>
      </c>
      <c r="S2049">
        <v>8</v>
      </c>
      <c r="T2049">
        <v>0.15</v>
      </c>
      <c r="U2049">
        <v>160</v>
      </c>
      <c r="V2049" s="1" t="s">
        <v>86</v>
      </c>
      <c r="W2049" s="1" t="s">
        <v>37</v>
      </c>
    </row>
    <row r="2050" spans="1:23" x14ac:dyDescent="0.35">
      <c r="A2050">
        <v>9653</v>
      </c>
      <c r="B2050" s="1" t="s">
        <v>4335</v>
      </c>
      <c r="C2050" s="2">
        <v>42700</v>
      </c>
      <c r="D2050" s="2">
        <v>42704</v>
      </c>
      <c r="E2050" s="1" t="s">
        <v>42</v>
      </c>
      <c r="F2050" s="1" t="s">
        <v>1684</v>
      </c>
      <c r="G2050" s="1" t="s">
        <v>1685</v>
      </c>
      <c r="H2050" s="1" t="s">
        <v>27</v>
      </c>
      <c r="I2050" s="1" t="s">
        <v>28</v>
      </c>
      <c r="J2050" s="1" t="s">
        <v>55</v>
      </c>
      <c r="K2050" s="1" t="s">
        <v>56</v>
      </c>
      <c r="L2050">
        <v>90045</v>
      </c>
      <c r="M2050" s="1" t="s">
        <v>57</v>
      </c>
      <c r="N2050" s="1" t="s">
        <v>1403</v>
      </c>
      <c r="O2050" s="1" t="s">
        <v>33</v>
      </c>
      <c r="P2050" s="1" t="s">
        <v>59</v>
      </c>
      <c r="Q2050" s="1" t="s">
        <v>1404</v>
      </c>
      <c r="R2050">
        <v>595</v>
      </c>
      <c r="S2050">
        <v>6</v>
      </c>
      <c r="T2050">
        <v>0</v>
      </c>
      <c r="U2050">
        <v>298</v>
      </c>
      <c r="V2050" s="1" t="s">
        <v>86</v>
      </c>
      <c r="W2050" s="1" t="s">
        <v>37</v>
      </c>
    </row>
    <row r="2051" spans="1:23" x14ac:dyDescent="0.35">
      <c r="A2051">
        <v>9656</v>
      </c>
      <c r="B2051" s="1" t="s">
        <v>4336</v>
      </c>
      <c r="C2051" s="2">
        <v>41904</v>
      </c>
      <c r="D2051" s="2">
        <v>41911</v>
      </c>
      <c r="E2051" s="1" t="s">
        <v>42</v>
      </c>
      <c r="F2051" s="1" t="s">
        <v>1628</v>
      </c>
      <c r="G2051" s="1" t="s">
        <v>1629</v>
      </c>
      <c r="H2051" s="1" t="s">
        <v>27</v>
      </c>
      <c r="I2051" s="1" t="s">
        <v>28</v>
      </c>
      <c r="J2051" s="1" t="s">
        <v>176</v>
      </c>
      <c r="K2051" s="1" t="s">
        <v>123</v>
      </c>
      <c r="L2051">
        <v>10035</v>
      </c>
      <c r="M2051" s="1" t="s">
        <v>70</v>
      </c>
      <c r="N2051" s="1" t="s">
        <v>2058</v>
      </c>
      <c r="O2051" s="1" t="s">
        <v>33</v>
      </c>
      <c r="P2051" s="1" t="s">
        <v>59</v>
      </c>
      <c r="Q2051" s="1" t="s">
        <v>2059</v>
      </c>
      <c r="R2051">
        <v>97</v>
      </c>
      <c r="S2051">
        <v>3</v>
      </c>
      <c r="T2051">
        <v>0</v>
      </c>
      <c r="U2051">
        <v>35</v>
      </c>
      <c r="V2051" s="1" t="s">
        <v>50</v>
      </c>
      <c r="W2051" s="1" t="s">
        <v>80</v>
      </c>
    </row>
    <row r="2052" spans="1:23" x14ac:dyDescent="0.35">
      <c r="A2052">
        <v>9659</v>
      </c>
      <c r="B2052" s="1" t="s">
        <v>4336</v>
      </c>
      <c r="C2052" s="2">
        <v>41904</v>
      </c>
      <c r="D2052" s="2">
        <v>41911</v>
      </c>
      <c r="E2052" s="1" t="s">
        <v>42</v>
      </c>
      <c r="F2052" s="1" t="s">
        <v>1628</v>
      </c>
      <c r="G2052" s="1" t="s">
        <v>1629</v>
      </c>
      <c r="H2052" s="1" t="s">
        <v>27</v>
      </c>
      <c r="I2052" s="1" t="s">
        <v>28</v>
      </c>
      <c r="J2052" s="1" t="s">
        <v>176</v>
      </c>
      <c r="K2052" s="1" t="s">
        <v>123</v>
      </c>
      <c r="L2052">
        <v>10035</v>
      </c>
      <c r="M2052" s="1" t="s">
        <v>70</v>
      </c>
      <c r="N2052" s="1" t="s">
        <v>2552</v>
      </c>
      <c r="O2052" s="1" t="s">
        <v>33</v>
      </c>
      <c r="P2052" s="1" t="s">
        <v>39</v>
      </c>
      <c r="Q2052" s="1" t="s">
        <v>2553</v>
      </c>
      <c r="R2052">
        <v>580</v>
      </c>
      <c r="S2052">
        <v>4</v>
      </c>
      <c r="T2052">
        <v>0.1</v>
      </c>
      <c r="U2052">
        <v>84</v>
      </c>
      <c r="V2052" s="1" t="s">
        <v>50</v>
      </c>
      <c r="W2052" s="1" t="s">
        <v>80</v>
      </c>
    </row>
    <row r="2053" spans="1:23" x14ac:dyDescent="0.35">
      <c r="A2053">
        <v>9666</v>
      </c>
      <c r="B2053" s="1" t="s">
        <v>4337</v>
      </c>
      <c r="C2053" s="2">
        <v>43055</v>
      </c>
      <c r="D2053" s="2">
        <v>43059</v>
      </c>
      <c r="E2053" s="1" t="s">
        <v>42</v>
      </c>
      <c r="F2053" s="1" t="s">
        <v>224</v>
      </c>
      <c r="G2053" s="1" t="s">
        <v>225</v>
      </c>
      <c r="H2053" s="1" t="s">
        <v>27</v>
      </c>
      <c r="I2053" s="1" t="s">
        <v>28</v>
      </c>
      <c r="J2053" s="1" t="s">
        <v>55</v>
      </c>
      <c r="K2053" s="1" t="s">
        <v>56</v>
      </c>
      <c r="L2053">
        <v>90049</v>
      </c>
      <c r="M2053" s="1" t="s">
        <v>57</v>
      </c>
      <c r="N2053" s="1" t="s">
        <v>1126</v>
      </c>
      <c r="O2053" s="1" t="s">
        <v>33</v>
      </c>
      <c r="P2053" s="1" t="s">
        <v>59</v>
      </c>
      <c r="Q2053" s="1" t="s">
        <v>1127</v>
      </c>
      <c r="R2053">
        <v>120</v>
      </c>
      <c r="S2053">
        <v>3</v>
      </c>
      <c r="T2053">
        <v>0</v>
      </c>
      <c r="U2053">
        <v>24</v>
      </c>
      <c r="V2053" s="1" t="s">
        <v>86</v>
      </c>
      <c r="W2053" s="1" t="s">
        <v>37</v>
      </c>
    </row>
    <row r="2054" spans="1:23" x14ac:dyDescent="0.35">
      <c r="A2054">
        <v>9667</v>
      </c>
      <c r="B2054" s="1" t="s">
        <v>4337</v>
      </c>
      <c r="C2054" s="2">
        <v>43055</v>
      </c>
      <c r="D2054" s="2">
        <v>43059</v>
      </c>
      <c r="E2054" s="1" t="s">
        <v>42</v>
      </c>
      <c r="F2054" s="1" t="s">
        <v>224</v>
      </c>
      <c r="G2054" s="1" t="s">
        <v>225</v>
      </c>
      <c r="H2054" s="1" t="s">
        <v>27</v>
      </c>
      <c r="I2054" s="1" t="s">
        <v>28</v>
      </c>
      <c r="J2054" s="1" t="s">
        <v>55</v>
      </c>
      <c r="K2054" s="1" t="s">
        <v>56</v>
      </c>
      <c r="L2054">
        <v>90049</v>
      </c>
      <c r="M2054" s="1" t="s">
        <v>57</v>
      </c>
      <c r="N2054" s="1" t="s">
        <v>1983</v>
      </c>
      <c r="O2054" s="1" t="s">
        <v>33</v>
      </c>
      <c r="P2054" s="1" t="s">
        <v>59</v>
      </c>
      <c r="Q2054" s="1" t="s">
        <v>1984</v>
      </c>
      <c r="R2054">
        <v>12</v>
      </c>
      <c r="S2054">
        <v>3</v>
      </c>
      <c r="T2054">
        <v>0</v>
      </c>
      <c r="U2054">
        <v>4</v>
      </c>
      <c r="V2054" s="1" t="s">
        <v>86</v>
      </c>
      <c r="W2054" s="1" t="s">
        <v>37</v>
      </c>
    </row>
    <row r="2055" spans="1:23" x14ac:dyDescent="0.35">
      <c r="A2055">
        <v>9676</v>
      </c>
      <c r="B2055" s="1" t="s">
        <v>4338</v>
      </c>
      <c r="C2055" s="2">
        <v>42496</v>
      </c>
      <c r="D2055" s="2">
        <v>42500</v>
      </c>
      <c r="E2055" s="1" t="s">
        <v>42</v>
      </c>
      <c r="F2055" s="1" t="s">
        <v>3862</v>
      </c>
      <c r="G2055" s="1" t="s">
        <v>3863</v>
      </c>
      <c r="H2055" s="1" t="s">
        <v>27</v>
      </c>
      <c r="I2055" s="1" t="s">
        <v>28</v>
      </c>
      <c r="J2055" s="1" t="s">
        <v>2088</v>
      </c>
      <c r="K2055" s="1" t="s">
        <v>56</v>
      </c>
      <c r="L2055">
        <v>93309</v>
      </c>
      <c r="M2055" s="1" t="s">
        <v>57</v>
      </c>
      <c r="N2055" s="1" t="s">
        <v>1556</v>
      </c>
      <c r="O2055" s="1" t="s">
        <v>33</v>
      </c>
      <c r="P2055" s="1" t="s">
        <v>59</v>
      </c>
      <c r="Q2055" s="1" t="s">
        <v>1557</v>
      </c>
      <c r="R2055">
        <v>42</v>
      </c>
      <c r="S2055">
        <v>4</v>
      </c>
      <c r="T2055">
        <v>0</v>
      </c>
      <c r="U2055">
        <v>14</v>
      </c>
      <c r="V2055" s="1" t="s">
        <v>86</v>
      </c>
      <c r="W2055" s="1" t="s">
        <v>164</v>
      </c>
    </row>
    <row r="2056" spans="1:23" x14ac:dyDescent="0.35">
      <c r="A2056">
        <v>9684</v>
      </c>
      <c r="B2056" s="1" t="s">
        <v>4339</v>
      </c>
      <c r="C2056" s="2">
        <v>43082</v>
      </c>
      <c r="D2056" s="2">
        <v>43087</v>
      </c>
      <c r="E2056" s="1" t="s">
        <v>42</v>
      </c>
      <c r="F2056" s="1" t="s">
        <v>2066</v>
      </c>
      <c r="G2056" s="1" t="s">
        <v>2067</v>
      </c>
      <c r="H2056" s="1" t="s">
        <v>27</v>
      </c>
      <c r="I2056" s="1" t="s">
        <v>28</v>
      </c>
      <c r="J2056" s="1" t="s">
        <v>331</v>
      </c>
      <c r="K2056" s="1" t="s">
        <v>56</v>
      </c>
      <c r="L2056">
        <v>94122</v>
      </c>
      <c r="M2056" s="1" t="s">
        <v>57</v>
      </c>
      <c r="N2056" s="1" t="s">
        <v>1293</v>
      </c>
      <c r="O2056" s="1" t="s">
        <v>33</v>
      </c>
      <c r="P2056" s="1" t="s">
        <v>59</v>
      </c>
      <c r="Q2056" s="1" t="s">
        <v>1761</v>
      </c>
      <c r="R2056">
        <v>201</v>
      </c>
      <c r="S2056">
        <v>8</v>
      </c>
      <c r="T2056">
        <v>0</v>
      </c>
      <c r="U2056">
        <v>54</v>
      </c>
      <c r="V2056" s="1" t="s">
        <v>61</v>
      </c>
      <c r="W2056" s="1" t="s">
        <v>99</v>
      </c>
    </row>
    <row r="2057" spans="1:23" x14ac:dyDescent="0.35">
      <c r="A2057">
        <v>9692</v>
      </c>
      <c r="B2057" s="1" t="s">
        <v>4340</v>
      </c>
      <c r="C2057" s="2">
        <v>42321</v>
      </c>
      <c r="D2057" s="2">
        <v>42325</v>
      </c>
      <c r="E2057" s="1" t="s">
        <v>42</v>
      </c>
      <c r="F2057" s="1" t="s">
        <v>406</v>
      </c>
      <c r="G2057" s="1" t="s">
        <v>407</v>
      </c>
      <c r="H2057" s="1" t="s">
        <v>27</v>
      </c>
      <c r="I2057" s="1" t="s">
        <v>28</v>
      </c>
      <c r="J2057" s="1" t="s">
        <v>104</v>
      </c>
      <c r="K2057" s="1" t="s">
        <v>95</v>
      </c>
      <c r="L2057">
        <v>77041</v>
      </c>
      <c r="M2057" s="1" t="s">
        <v>96</v>
      </c>
      <c r="N2057" s="1" t="s">
        <v>1002</v>
      </c>
      <c r="O2057" s="1" t="s">
        <v>33</v>
      </c>
      <c r="P2057" s="1" t="s">
        <v>34</v>
      </c>
      <c r="Q2057" s="1" t="s">
        <v>1003</v>
      </c>
      <c r="R2057">
        <v>614</v>
      </c>
      <c r="S2057">
        <v>3</v>
      </c>
      <c r="T2057">
        <v>0.32</v>
      </c>
      <c r="U2057">
        <v>-18</v>
      </c>
      <c r="V2057" s="1" t="s">
        <v>86</v>
      </c>
      <c r="W2057" s="1" t="s">
        <v>37</v>
      </c>
    </row>
    <row r="2058" spans="1:23" x14ac:dyDescent="0.35">
      <c r="A2058">
        <v>9698</v>
      </c>
      <c r="B2058" s="1" t="s">
        <v>4341</v>
      </c>
      <c r="C2058" s="2">
        <v>42440</v>
      </c>
      <c r="D2058" s="2">
        <v>42440</v>
      </c>
      <c r="E2058" s="1" t="s">
        <v>428</v>
      </c>
      <c r="F2058" s="1" t="s">
        <v>4342</v>
      </c>
      <c r="G2058" s="1" t="s">
        <v>4343</v>
      </c>
      <c r="H2058" s="1" t="s">
        <v>103</v>
      </c>
      <c r="I2058" s="1" t="s">
        <v>28</v>
      </c>
      <c r="J2058" s="1" t="s">
        <v>68</v>
      </c>
      <c r="K2058" s="1" t="s">
        <v>69</v>
      </c>
      <c r="L2058">
        <v>19140</v>
      </c>
      <c r="M2058" s="1" t="s">
        <v>70</v>
      </c>
      <c r="N2058" s="1" t="s">
        <v>1598</v>
      </c>
      <c r="O2058" s="1" t="s">
        <v>33</v>
      </c>
      <c r="P2058" s="1" t="s">
        <v>59</v>
      </c>
      <c r="Q2058" s="1" t="s">
        <v>1599</v>
      </c>
      <c r="R2058">
        <v>30</v>
      </c>
      <c r="S2058">
        <v>4</v>
      </c>
      <c r="T2058">
        <v>0.2</v>
      </c>
      <c r="U2058">
        <v>9</v>
      </c>
      <c r="V2058" s="1" t="s">
        <v>433</v>
      </c>
      <c r="W2058" s="1" t="s">
        <v>198</v>
      </c>
    </row>
    <row r="2059" spans="1:23" x14ac:dyDescent="0.35">
      <c r="A2059">
        <v>9707</v>
      </c>
      <c r="B2059" s="1" t="s">
        <v>4344</v>
      </c>
      <c r="C2059" s="2">
        <v>42664</v>
      </c>
      <c r="D2059" s="2">
        <v>42670</v>
      </c>
      <c r="E2059" s="1" t="s">
        <v>42</v>
      </c>
      <c r="F2059" s="1" t="s">
        <v>631</v>
      </c>
      <c r="G2059" s="1" t="s">
        <v>632</v>
      </c>
      <c r="H2059" s="1" t="s">
        <v>27</v>
      </c>
      <c r="I2059" s="1" t="s">
        <v>28</v>
      </c>
      <c r="J2059" s="1" t="s">
        <v>55</v>
      </c>
      <c r="K2059" s="1" t="s">
        <v>56</v>
      </c>
      <c r="L2059">
        <v>90045</v>
      </c>
      <c r="M2059" s="1" t="s">
        <v>57</v>
      </c>
      <c r="N2059" s="1" t="s">
        <v>3020</v>
      </c>
      <c r="O2059" s="1" t="s">
        <v>33</v>
      </c>
      <c r="P2059" s="1" t="s">
        <v>39</v>
      </c>
      <c r="Q2059" s="1" t="s">
        <v>3021</v>
      </c>
      <c r="R2059">
        <v>242</v>
      </c>
      <c r="S2059">
        <v>3</v>
      </c>
      <c r="T2059">
        <v>0.2</v>
      </c>
      <c r="U2059">
        <v>12</v>
      </c>
      <c r="V2059" s="1" t="s">
        <v>132</v>
      </c>
      <c r="W2059" s="1" t="s">
        <v>51</v>
      </c>
    </row>
    <row r="2060" spans="1:23" x14ac:dyDescent="0.35">
      <c r="A2060">
        <v>9709</v>
      </c>
      <c r="B2060" s="1" t="s">
        <v>4344</v>
      </c>
      <c r="C2060" s="2">
        <v>42664</v>
      </c>
      <c r="D2060" s="2">
        <v>42670</v>
      </c>
      <c r="E2060" s="1" t="s">
        <v>42</v>
      </c>
      <c r="F2060" s="1" t="s">
        <v>631</v>
      </c>
      <c r="G2060" s="1" t="s">
        <v>632</v>
      </c>
      <c r="H2060" s="1" t="s">
        <v>27</v>
      </c>
      <c r="I2060" s="1" t="s">
        <v>28</v>
      </c>
      <c r="J2060" s="1" t="s">
        <v>55</v>
      </c>
      <c r="K2060" s="1" t="s">
        <v>56</v>
      </c>
      <c r="L2060">
        <v>90045</v>
      </c>
      <c r="M2060" s="1" t="s">
        <v>57</v>
      </c>
      <c r="N2060" s="1" t="s">
        <v>2662</v>
      </c>
      <c r="O2060" s="1" t="s">
        <v>33</v>
      </c>
      <c r="P2060" s="1" t="s">
        <v>59</v>
      </c>
      <c r="Q2060" s="1" t="s">
        <v>2663</v>
      </c>
      <c r="R2060">
        <v>20</v>
      </c>
      <c r="S2060">
        <v>2</v>
      </c>
      <c r="T2060">
        <v>0</v>
      </c>
      <c r="U2060">
        <v>6</v>
      </c>
      <c r="V2060" s="1" t="s">
        <v>132</v>
      </c>
      <c r="W2060" s="1" t="s">
        <v>51</v>
      </c>
    </row>
    <row r="2061" spans="1:23" x14ac:dyDescent="0.35">
      <c r="A2061">
        <v>9711</v>
      </c>
      <c r="B2061" s="1" t="s">
        <v>4345</v>
      </c>
      <c r="C2061" s="2">
        <v>41948</v>
      </c>
      <c r="D2061" s="2">
        <v>41953</v>
      </c>
      <c r="E2061" s="1" t="s">
        <v>42</v>
      </c>
      <c r="F2061" s="1" t="s">
        <v>1386</v>
      </c>
      <c r="G2061" s="1" t="s">
        <v>1387</v>
      </c>
      <c r="H2061" s="1" t="s">
        <v>27</v>
      </c>
      <c r="I2061" s="1" t="s">
        <v>28</v>
      </c>
      <c r="J2061" s="1" t="s">
        <v>68</v>
      </c>
      <c r="K2061" s="1" t="s">
        <v>69</v>
      </c>
      <c r="L2061">
        <v>19143</v>
      </c>
      <c r="M2061" s="1" t="s">
        <v>70</v>
      </c>
      <c r="N2061" s="1" t="s">
        <v>1834</v>
      </c>
      <c r="O2061" s="1" t="s">
        <v>33</v>
      </c>
      <c r="P2061" s="1" t="s">
        <v>59</v>
      </c>
      <c r="Q2061" s="1" t="s">
        <v>1835</v>
      </c>
      <c r="R2061">
        <v>274</v>
      </c>
      <c r="S2061">
        <v>2</v>
      </c>
      <c r="T2061">
        <v>0.2</v>
      </c>
      <c r="U2061">
        <v>-34</v>
      </c>
      <c r="V2061" s="1" t="s">
        <v>61</v>
      </c>
      <c r="W2061" s="1" t="s">
        <v>37</v>
      </c>
    </row>
    <row r="2062" spans="1:23" x14ac:dyDescent="0.35">
      <c r="A2062">
        <v>9721</v>
      </c>
      <c r="B2062" s="1" t="s">
        <v>4346</v>
      </c>
      <c r="C2062" s="2">
        <v>42635</v>
      </c>
      <c r="D2062" s="2">
        <v>42639</v>
      </c>
      <c r="E2062" s="1" t="s">
        <v>42</v>
      </c>
      <c r="F2062" s="1" t="s">
        <v>3081</v>
      </c>
      <c r="G2062" s="1" t="s">
        <v>3082</v>
      </c>
      <c r="H2062" s="1" t="s">
        <v>93</v>
      </c>
      <c r="I2062" s="1" t="s">
        <v>28</v>
      </c>
      <c r="J2062" s="1" t="s">
        <v>4150</v>
      </c>
      <c r="K2062" s="1" t="s">
        <v>241</v>
      </c>
      <c r="L2062">
        <v>54302</v>
      </c>
      <c r="M2062" s="1" t="s">
        <v>96</v>
      </c>
      <c r="N2062" s="1" t="s">
        <v>2207</v>
      </c>
      <c r="O2062" s="1" t="s">
        <v>33</v>
      </c>
      <c r="P2062" s="1" t="s">
        <v>59</v>
      </c>
      <c r="Q2062" s="1" t="s">
        <v>2208</v>
      </c>
      <c r="R2062">
        <v>19</v>
      </c>
      <c r="S2062">
        <v>2</v>
      </c>
      <c r="T2062">
        <v>0</v>
      </c>
      <c r="U2062">
        <v>8</v>
      </c>
      <c r="V2062" s="1" t="s">
        <v>86</v>
      </c>
      <c r="W2062" s="1" t="s">
        <v>80</v>
      </c>
    </row>
    <row r="2063" spans="1:23" x14ac:dyDescent="0.35">
      <c r="A2063">
        <v>9722</v>
      </c>
      <c r="B2063" s="1" t="s">
        <v>4347</v>
      </c>
      <c r="C2063" s="2">
        <v>42416</v>
      </c>
      <c r="D2063" s="2">
        <v>42420</v>
      </c>
      <c r="E2063" s="1" t="s">
        <v>42</v>
      </c>
      <c r="F2063" s="1" t="s">
        <v>2214</v>
      </c>
      <c r="G2063" s="1" t="s">
        <v>2215</v>
      </c>
      <c r="H2063" s="1" t="s">
        <v>27</v>
      </c>
      <c r="I2063" s="1" t="s">
        <v>28</v>
      </c>
      <c r="J2063" s="1" t="s">
        <v>176</v>
      </c>
      <c r="K2063" s="1" t="s">
        <v>123</v>
      </c>
      <c r="L2063">
        <v>10024</v>
      </c>
      <c r="M2063" s="1" t="s">
        <v>70</v>
      </c>
      <c r="N2063" s="1" t="s">
        <v>2991</v>
      </c>
      <c r="O2063" s="1" t="s">
        <v>33</v>
      </c>
      <c r="P2063" s="1" t="s">
        <v>39</v>
      </c>
      <c r="Q2063" s="1" t="s">
        <v>2992</v>
      </c>
      <c r="R2063">
        <v>327</v>
      </c>
      <c r="S2063">
        <v>3</v>
      </c>
      <c r="T2063">
        <v>0.1</v>
      </c>
      <c r="U2063">
        <v>40</v>
      </c>
      <c r="V2063" s="1" t="s">
        <v>86</v>
      </c>
      <c r="W2063" s="1" t="s">
        <v>300</v>
      </c>
    </row>
    <row r="2064" spans="1:23" x14ac:dyDescent="0.35">
      <c r="A2064">
        <v>9733</v>
      </c>
      <c r="B2064" s="1" t="s">
        <v>4348</v>
      </c>
      <c r="C2064" s="2">
        <v>41871</v>
      </c>
      <c r="D2064" s="2">
        <v>41876</v>
      </c>
      <c r="E2064" s="1" t="s">
        <v>42</v>
      </c>
      <c r="F2064" s="1" t="s">
        <v>2744</v>
      </c>
      <c r="G2064" s="1" t="s">
        <v>2745</v>
      </c>
      <c r="H2064" s="1" t="s">
        <v>93</v>
      </c>
      <c r="I2064" s="1" t="s">
        <v>28</v>
      </c>
      <c r="J2064" s="1" t="s">
        <v>2853</v>
      </c>
      <c r="K2064" s="1" t="s">
        <v>719</v>
      </c>
      <c r="L2064">
        <v>23666</v>
      </c>
      <c r="M2064" s="1" t="s">
        <v>31</v>
      </c>
      <c r="N2064" s="1" t="s">
        <v>2221</v>
      </c>
      <c r="O2064" s="1" t="s">
        <v>33</v>
      </c>
      <c r="P2064" s="1" t="s">
        <v>39</v>
      </c>
      <c r="Q2064" s="1" t="s">
        <v>2222</v>
      </c>
      <c r="R2064">
        <v>500</v>
      </c>
      <c r="S2064">
        <v>13</v>
      </c>
      <c r="T2064">
        <v>0</v>
      </c>
      <c r="U2064">
        <v>145</v>
      </c>
      <c r="V2064" s="1" t="s">
        <v>61</v>
      </c>
      <c r="W2064" s="1" t="s">
        <v>256</v>
      </c>
    </row>
    <row r="2065" spans="1:23" x14ac:dyDescent="0.35">
      <c r="A2065">
        <v>9742</v>
      </c>
      <c r="B2065" s="1" t="s">
        <v>4349</v>
      </c>
      <c r="C2065" s="2">
        <v>42316</v>
      </c>
      <c r="D2065" s="2">
        <v>42320</v>
      </c>
      <c r="E2065" s="1" t="s">
        <v>42</v>
      </c>
      <c r="F2065" s="1" t="s">
        <v>4350</v>
      </c>
      <c r="G2065" s="1" t="s">
        <v>4351</v>
      </c>
      <c r="H2065" s="1" t="s">
        <v>93</v>
      </c>
      <c r="I2065" s="1" t="s">
        <v>28</v>
      </c>
      <c r="J2065" s="1" t="s">
        <v>3034</v>
      </c>
      <c r="K2065" s="1" t="s">
        <v>3109</v>
      </c>
      <c r="L2065">
        <v>5408</v>
      </c>
      <c r="M2065" s="1" t="s">
        <v>70</v>
      </c>
      <c r="N2065" s="1" t="s">
        <v>84</v>
      </c>
      <c r="O2065" s="1" t="s">
        <v>33</v>
      </c>
      <c r="P2065" s="1" t="s">
        <v>34</v>
      </c>
      <c r="Q2065" s="1" t="s">
        <v>85</v>
      </c>
      <c r="R2065">
        <v>4405</v>
      </c>
      <c r="S2065">
        <v>5</v>
      </c>
      <c r="T2065">
        <v>0</v>
      </c>
      <c r="U2065">
        <v>1013</v>
      </c>
      <c r="V2065" s="1" t="s">
        <v>86</v>
      </c>
      <c r="W2065" s="1" t="s">
        <v>37</v>
      </c>
    </row>
    <row r="2066" spans="1:23" x14ac:dyDescent="0.35">
      <c r="A2066">
        <v>9746</v>
      </c>
      <c r="B2066" s="1" t="s">
        <v>4352</v>
      </c>
      <c r="C2066" s="2">
        <v>43063</v>
      </c>
      <c r="D2066" s="2">
        <v>43063</v>
      </c>
      <c r="E2066" s="1" t="s">
        <v>428</v>
      </c>
      <c r="F2066" s="1" t="s">
        <v>1210</v>
      </c>
      <c r="G2066" s="1" t="s">
        <v>1211</v>
      </c>
      <c r="H2066" s="1" t="s">
        <v>27</v>
      </c>
      <c r="I2066" s="1" t="s">
        <v>28</v>
      </c>
      <c r="J2066" s="1" t="s">
        <v>55</v>
      </c>
      <c r="K2066" s="1" t="s">
        <v>56</v>
      </c>
      <c r="L2066">
        <v>90008</v>
      </c>
      <c r="M2066" s="1" t="s">
        <v>57</v>
      </c>
      <c r="N2066" s="1" t="s">
        <v>444</v>
      </c>
      <c r="O2066" s="1" t="s">
        <v>33</v>
      </c>
      <c r="P2066" s="1" t="s">
        <v>48</v>
      </c>
      <c r="Q2066" s="1" t="s">
        <v>445</v>
      </c>
      <c r="R2066">
        <v>364</v>
      </c>
      <c r="S2066">
        <v>2</v>
      </c>
      <c r="T2066">
        <v>0.2</v>
      </c>
      <c r="U2066">
        <v>9</v>
      </c>
      <c r="V2066" s="1" t="s">
        <v>433</v>
      </c>
      <c r="W2066" s="1" t="s">
        <v>37</v>
      </c>
    </row>
    <row r="2067" spans="1:23" x14ac:dyDescent="0.35">
      <c r="A2067">
        <v>9747</v>
      </c>
      <c r="B2067" s="1" t="s">
        <v>4352</v>
      </c>
      <c r="C2067" s="2">
        <v>43063</v>
      </c>
      <c r="D2067" s="2">
        <v>43063</v>
      </c>
      <c r="E2067" s="1" t="s">
        <v>428</v>
      </c>
      <c r="F2067" s="1" t="s">
        <v>1210</v>
      </c>
      <c r="G2067" s="1" t="s">
        <v>1211</v>
      </c>
      <c r="H2067" s="1" t="s">
        <v>27</v>
      </c>
      <c r="I2067" s="1" t="s">
        <v>28</v>
      </c>
      <c r="J2067" s="1" t="s">
        <v>55</v>
      </c>
      <c r="K2067" s="1" t="s">
        <v>56</v>
      </c>
      <c r="L2067">
        <v>90008</v>
      </c>
      <c r="M2067" s="1" t="s">
        <v>57</v>
      </c>
      <c r="N2067" s="1" t="s">
        <v>1252</v>
      </c>
      <c r="O2067" s="1" t="s">
        <v>33</v>
      </c>
      <c r="P2067" s="1" t="s">
        <v>48</v>
      </c>
      <c r="Q2067" s="1" t="s">
        <v>1253</v>
      </c>
      <c r="R2067">
        <v>71</v>
      </c>
      <c r="S2067">
        <v>2</v>
      </c>
      <c r="T2067">
        <v>0.2</v>
      </c>
      <c r="U2067">
        <v>-2</v>
      </c>
      <c r="V2067" s="1" t="s">
        <v>433</v>
      </c>
      <c r="W2067" s="1" t="s">
        <v>37</v>
      </c>
    </row>
    <row r="2068" spans="1:23" x14ac:dyDescent="0.35">
      <c r="A2068">
        <v>9748</v>
      </c>
      <c r="B2068" s="1" t="s">
        <v>4353</v>
      </c>
      <c r="C2068" s="2">
        <v>41954</v>
      </c>
      <c r="D2068" s="2">
        <v>41958</v>
      </c>
      <c r="E2068" s="1" t="s">
        <v>42</v>
      </c>
      <c r="F2068" s="1" t="s">
        <v>53</v>
      </c>
      <c r="G2068" s="1" t="s">
        <v>54</v>
      </c>
      <c r="H2068" s="1" t="s">
        <v>27</v>
      </c>
      <c r="I2068" s="1" t="s">
        <v>28</v>
      </c>
      <c r="J2068" s="1" t="s">
        <v>136</v>
      </c>
      <c r="K2068" s="1" t="s">
        <v>137</v>
      </c>
      <c r="L2068">
        <v>60653</v>
      </c>
      <c r="M2068" s="1" t="s">
        <v>96</v>
      </c>
      <c r="N2068" s="1" t="s">
        <v>2790</v>
      </c>
      <c r="O2068" s="1" t="s">
        <v>33</v>
      </c>
      <c r="P2068" s="1" t="s">
        <v>59</v>
      </c>
      <c r="Q2068" s="1" t="s">
        <v>2791</v>
      </c>
      <c r="R2068">
        <v>11</v>
      </c>
      <c r="S2068">
        <v>2</v>
      </c>
      <c r="T2068">
        <v>0.6</v>
      </c>
      <c r="U2068">
        <v>-8</v>
      </c>
      <c r="V2068" s="1" t="s">
        <v>86</v>
      </c>
      <c r="W2068" s="1" t="s">
        <v>37</v>
      </c>
    </row>
    <row r="2069" spans="1:23" x14ac:dyDescent="0.35">
      <c r="A2069">
        <v>9749</v>
      </c>
      <c r="B2069" s="1" t="s">
        <v>4353</v>
      </c>
      <c r="C2069" s="2">
        <v>41954</v>
      </c>
      <c r="D2069" s="2">
        <v>41958</v>
      </c>
      <c r="E2069" s="1" t="s">
        <v>42</v>
      </c>
      <c r="F2069" s="1" t="s">
        <v>53</v>
      </c>
      <c r="G2069" s="1" t="s">
        <v>54</v>
      </c>
      <c r="H2069" s="1" t="s">
        <v>27</v>
      </c>
      <c r="I2069" s="1" t="s">
        <v>28</v>
      </c>
      <c r="J2069" s="1" t="s">
        <v>136</v>
      </c>
      <c r="K2069" s="1" t="s">
        <v>137</v>
      </c>
      <c r="L2069">
        <v>60653</v>
      </c>
      <c r="M2069" s="1" t="s">
        <v>96</v>
      </c>
      <c r="N2069" s="1" t="s">
        <v>578</v>
      </c>
      <c r="O2069" s="1" t="s">
        <v>33</v>
      </c>
      <c r="P2069" s="1" t="s">
        <v>39</v>
      </c>
      <c r="Q2069" s="1" t="s">
        <v>579</v>
      </c>
      <c r="R2069">
        <v>798</v>
      </c>
      <c r="S2069">
        <v>4</v>
      </c>
      <c r="T2069">
        <v>0.3</v>
      </c>
      <c r="U2069">
        <v>-57</v>
      </c>
      <c r="V2069" s="1" t="s">
        <v>86</v>
      </c>
      <c r="W2069" s="1" t="s">
        <v>37</v>
      </c>
    </row>
    <row r="2070" spans="1:23" x14ac:dyDescent="0.35">
      <c r="A2070">
        <v>9757</v>
      </c>
      <c r="B2070" s="1" t="s">
        <v>4354</v>
      </c>
      <c r="C2070" s="2">
        <v>42821</v>
      </c>
      <c r="D2070" s="2">
        <v>42823</v>
      </c>
      <c r="E2070" s="1" t="s">
        <v>24</v>
      </c>
      <c r="F2070" s="1" t="s">
        <v>180</v>
      </c>
      <c r="G2070" s="1" t="s">
        <v>181</v>
      </c>
      <c r="H2070" s="1" t="s">
        <v>27</v>
      </c>
      <c r="I2070" s="1" t="s">
        <v>28</v>
      </c>
      <c r="J2070" s="1" t="s">
        <v>638</v>
      </c>
      <c r="K2070" s="1" t="s">
        <v>719</v>
      </c>
      <c r="L2070">
        <v>23223</v>
      </c>
      <c r="M2070" s="1" t="s">
        <v>31</v>
      </c>
      <c r="N2070" s="1" t="s">
        <v>371</v>
      </c>
      <c r="O2070" s="1" t="s">
        <v>33</v>
      </c>
      <c r="P2070" s="1" t="s">
        <v>48</v>
      </c>
      <c r="Q2070" s="1" t="s">
        <v>372</v>
      </c>
      <c r="R2070">
        <v>292</v>
      </c>
      <c r="S2070">
        <v>2</v>
      </c>
      <c r="T2070">
        <v>0</v>
      </c>
      <c r="U2070">
        <v>58</v>
      </c>
      <c r="V2070" s="1" t="s">
        <v>73</v>
      </c>
      <c r="W2070" s="1" t="s">
        <v>198</v>
      </c>
    </row>
    <row r="2071" spans="1:23" x14ac:dyDescent="0.35">
      <c r="A2071">
        <v>9760</v>
      </c>
      <c r="B2071" s="1" t="s">
        <v>4355</v>
      </c>
      <c r="C2071" s="2">
        <v>42674</v>
      </c>
      <c r="D2071" s="2">
        <v>42679</v>
      </c>
      <c r="E2071" s="1" t="s">
        <v>42</v>
      </c>
      <c r="F2071" s="1" t="s">
        <v>656</v>
      </c>
      <c r="G2071" s="1" t="s">
        <v>657</v>
      </c>
      <c r="H2071" s="1" t="s">
        <v>93</v>
      </c>
      <c r="I2071" s="1" t="s">
        <v>28</v>
      </c>
      <c r="J2071" s="1" t="s">
        <v>331</v>
      </c>
      <c r="K2071" s="1" t="s">
        <v>56</v>
      </c>
      <c r="L2071">
        <v>94109</v>
      </c>
      <c r="M2071" s="1" t="s">
        <v>57</v>
      </c>
      <c r="N2071" s="1" t="s">
        <v>1489</v>
      </c>
      <c r="O2071" s="1" t="s">
        <v>33</v>
      </c>
      <c r="P2071" s="1" t="s">
        <v>39</v>
      </c>
      <c r="Q2071" s="1" t="s">
        <v>1490</v>
      </c>
      <c r="R2071">
        <v>1404</v>
      </c>
      <c r="S2071">
        <v>5</v>
      </c>
      <c r="T2071">
        <v>0.2</v>
      </c>
      <c r="U2071">
        <v>70</v>
      </c>
      <c r="V2071" s="1" t="s">
        <v>61</v>
      </c>
      <c r="W2071" s="1" t="s">
        <v>51</v>
      </c>
    </row>
    <row r="2072" spans="1:23" x14ac:dyDescent="0.35">
      <c r="A2072">
        <v>9770</v>
      </c>
      <c r="B2072" s="1" t="s">
        <v>4356</v>
      </c>
      <c r="C2072" s="2">
        <v>42698</v>
      </c>
      <c r="D2072" s="2">
        <v>42704</v>
      </c>
      <c r="E2072" s="1" t="s">
        <v>42</v>
      </c>
      <c r="F2072" s="1" t="s">
        <v>904</v>
      </c>
      <c r="G2072" s="1" t="s">
        <v>905</v>
      </c>
      <c r="H2072" s="1" t="s">
        <v>103</v>
      </c>
      <c r="I2072" s="1" t="s">
        <v>28</v>
      </c>
      <c r="J2072" s="1" t="s">
        <v>2053</v>
      </c>
      <c r="K2072" s="1" t="s">
        <v>46</v>
      </c>
      <c r="L2072">
        <v>33012</v>
      </c>
      <c r="M2072" s="1" t="s">
        <v>31</v>
      </c>
      <c r="N2072" s="1" t="s">
        <v>770</v>
      </c>
      <c r="O2072" s="1" t="s">
        <v>33</v>
      </c>
      <c r="P2072" s="1" t="s">
        <v>34</v>
      </c>
      <c r="Q2072" s="1" t="s">
        <v>771</v>
      </c>
      <c r="R2072">
        <v>340</v>
      </c>
      <c r="S2072">
        <v>5</v>
      </c>
      <c r="T2072">
        <v>0.2</v>
      </c>
      <c r="U2072">
        <v>8</v>
      </c>
      <c r="V2072" s="1" t="s">
        <v>132</v>
      </c>
      <c r="W2072" s="1" t="s">
        <v>37</v>
      </c>
    </row>
    <row r="2073" spans="1:23" x14ac:dyDescent="0.35">
      <c r="A2073">
        <v>9776</v>
      </c>
      <c r="B2073" s="1" t="s">
        <v>4357</v>
      </c>
      <c r="C2073" s="2">
        <v>41846</v>
      </c>
      <c r="D2073" s="2">
        <v>41850</v>
      </c>
      <c r="E2073" s="1" t="s">
        <v>42</v>
      </c>
      <c r="F2073" s="1" t="s">
        <v>1577</v>
      </c>
      <c r="G2073" s="1" t="s">
        <v>1578</v>
      </c>
      <c r="H2073" s="1" t="s">
        <v>27</v>
      </c>
      <c r="I2073" s="1" t="s">
        <v>28</v>
      </c>
      <c r="J2073" s="1" t="s">
        <v>248</v>
      </c>
      <c r="K2073" s="1" t="s">
        <v>95</v>
      </c>
      <c r="L2073">
        <v>78207</v>
      </c>
      <c r="M2073" s="1" t="s">
        <v>96</v>
      </c>
      <c r="N2073" s="1" t="s">
        <v>2264</v>
      </c>
      <c r="O2073" s="1" t="s">
        <v>33</v>
      </c>
      <c r="P2073" s="1" t="s">
        <v>59</v>
      </c>
      <c r="Q2073" s="1" t="s">
        <v>2265</v>
      </c>
      <c r="R2073">
        <v>17</v>
      </c>
      <c r="S2073">
        <v>3</v>
      </c>
      <c r="T2073">
        <v>0.6</v>
      </c>
      <c r="U2073">
        <v>-10</v>
      </c>
      <c r="V2073" s="1" t="s">
        <v>86</v>
      </c>
      <c r="W2073" s="1" t="s">
        <v>74</v>
      </c>
    </row>
    <row r="2074" spans="1:23" x14ac:dyDescent="0.35">
      <c r="A2074">
        <v>9785</v>
      </c>
      <c r="B2074" s="1" t="s">
        <v>4358</v>
      </c>
      <c r="C2074" s="2">
        <v>42155</v>
      </c>
      <c r="D2074" s="2">
        <v>42157</v>
      </c>
      <c r="E2074" s="1" t="s">
        <v>24</v>
      </c>
      <c r="F2074" s="1" t="s">
        <v>1826</v>
      </c>
      <c r="G2074" s="1" t="s">
        <v>1827</v>
      </c>
      <c r="H2074" s="1" t="s">
        <v>93</v>
      </c>
      <c r="I2074" s="1" t="s">
        <v>28</v>
      </c>
      <c r="J2074" s="1" t="s">
        <v>3566</v>
      </c>
      <c r="K2074" s="1" t="s">
        <v>365</v>
      </c>
      <c r="L2074">
        <v>7501</v>
      </c>
      <c r="M2074" s="1" t="s">
        <v>70</v>
      </c>
      <c r="N2074" s="1" t="s">
        <v>1983</v>
      </c>
      <c r="O2074" s="1" t="s">
        <v>33</v>
      </c>
      <c r="P2074" s="1" t="s">
        <v>59</v>
      </c>
      <c r="Q2074" s="1" t="s">
        <v>1984</v>
      </c>
      <c r="R2074">
        <v>8</v>
      </c>
      <c r="S2074">
        <v>2</v>
      </c>
      <c r="T2074">
        <v>0</v>
      </c>
      <c r="U2074">
        <v>3</v>
      </c>
      <c r="V2074" s="1" t="s">
        <v>73</v>
      </c>
      <c r="W2074" s="1" t="s">
        <v>164</v>
      </c>
    </row>
    <row r="2075" spans="1:23" x14ac:dyDescent="0.35">
      <c r="A2075">
        <v>9787</v>
      </c>
      <c r="B2075" s="1" t="s">
        <v>4359</v>
      </c>
      <c r="C2075" s="2">
        <v>41948</v>
      </c>
      <c r="D2075" s="2">
        <v>41948</v>
      </c>
      <c r="E2075" s="1" t="s">
        <v>428</v>
      </c>
      <c r="F2075" s="1" t="s">
        <v>4360</v>
      </c>
      <c r="G2075" s="1" t="s">
        <v>4361</v>
      </c>
      <c r="H2075" s="1" t="s">
        <v>27</v>
      </c>
      <c r="I2075" s="1" t="s">
        <v>28</v>
      </c>
      <c r="J2075" s="1" t="s">
        <v>2853</v>
      </c>
      <c r="K2075" s="1" t="s">
        <v>719</v>
      </c>
      <c r="L2075">
        <v>23666</v>
      </c>
      <c r="M2075" s="1" t="s">
        <v>31</v>
      </c>
      <c r="N2075" s="1" t="s">
        <v>1516</v>
      </c>
      <c r="O2075" s="1" t="s">
        <v>33</v>
      </c>
      <c r="P2075" s="1" t="s">
        <v>39</v>
      </c>
      <c r="Q2075" s="1" t="s">
        <v>1517</v>
      </c>
      <c r="R2075">
        <v>150</v>
      </c>
      <c r="S2075">
        <v>5</v>
      </c>
      <c r="T2075">
        <v>0</v>
      </c>
      <c r="U2075">
        <v>40</v>
      </c>
      <c r="V2075" s="1" t="s">
        <v>433</v>
      </c>
      <c r="W2075" s="1" t="s">
        <v>37</v>
      </c>
    </row>
    <row r="2076" spans="1:23" x14ac:dyDescent="0.35">
      <c r="A2076">
        <v>9788</v>
      </c>
      <c r="B2076" s="1" t="s">
        <v>4362</v>
      </c>
      <c r="C2076" s="2">
        <v>42821</v>
      </c>
      <c r="D2076" s="2">
        <v>42826</v>
      </c>
      <c r="E2076" s="1" t="s">
        <v>42</v>
      </c>
      <c r="F2076" s="1" t="s">
        <v>1348</v>
      </c>
      <c r="G2076" s="1" t="s">
        <v>1349</v>
      </c>
      <c r="H2076" s="1" t="s">
        <v>27</v>
      </c>
      <c r="I2076" s="1" t="s">
        <v>28</v>
      </c>
      <c r="J2076" s="1" t="s">
        <v>104</v>
      </c>
      <c r="K2076" s="1" t="s">
        <v>95</v>
      </c>
      <c r="L2076">
        <v>77070</v>
      </c>
      <c r="M2076" s="1" t="s">
        <v>96</v>
      </c>
      <c r="N2076" s="1" t="s">
        <v>1002</v>
      </c>
      <c r="O2076" s="1" t="s">
        <v>33</v>
      </c>
      <c r="P2076" s="1" t="s">
        <v>34</v>
      </c>
      <c r="Q2076" s="1" t="s">
        <v>1003</v>
      </c>
      <c r="R2076">
        <v>1023</v>
      </c>
      <c r="S2076">
        <v>5</v>
      </c>
      <c r="T2076">
        <v>0.32</v>
      </c>
      <c r="U2076">
        <v>-30</v>
      </c>
      <c r="V2076" s="1" t="s">
        <v>61</v>
      </c>
      <c r="W2076" s="1" t="s">
        <v>198</v>
      </c>
    </row>
    <row r="2077" spans="1:23" x14ac:dyDescent="0.35">
      <c r="A2077">
        <v>9789</v>
      </c>
      <c r="B2077" s="1" t="s">
        <v>4362</v>
      </c>
      <c r="C2077" s="2">
        <v>42821</v>
      </c>
      <c r="D2077" s="2">
        <v>42826</v>
      </c>
      <c r="E2077" s="1" t="s">
        <v>42</v>
      </c>
      <c r="F2077" s="1" t="s">
        <v>1348</v>
      </c>
      <c r="G2077" s="1" t="s">
        <v>1349</v>
      </c>
      <c r="H2077" s="1" t="s">
        <v>27</v>
      </c>
      <c r="I2077" s="1" t="s">
        <v>28</v>
      </c>
      <c r="J2077" s="1" t="s">
        <v>104</v>
      </c>
      <c r="K2077" s="1" t="s">
        <v>95</v>
      </c>
      <c r="L2077">
        <v>77070</v>
      </c>
      <c r="M2077" s="1" t="s">
        <v>96</v>
      </c>
      <c r="N2077" s="1" t="s">
        <v>209</v>
      </c>
      <c r="O2077" s="1" t="s">
        <v>33</v>
      </c>
      <c r="P2077" s="1" t="s">
        <v>39</v>
      </c>
      <c r="Q2077" s="1" t="s">
        <v>210</v>
      </c>
      <c r="R2077">
        <v>601</v>
      </c>
      <c r="S2077">
        <v>3</v>
      </c>
      <c r="T2077">
        <v>0.3</v>
      </c>
      <c r="U2077">
        <v>-9</v>
      </c>
      <c r="V2077" s="1" t="s">
        <v>61</v>
      </c>
      <c r="W2077" s="1" t="s">
        <v>198</v>
      </c>
    </row>
    <row r="2078" spans="1:23" x14ac:dyDescent="0.35">
      <c r="A2078">
        <v>9791</v>
      </c>
      <c r="B2078" s="1" t="s">
        <v>4362</v>
      </c>
      <c r="C2078" s="2">
        <v>42821</v>
      </c>
      <c r="D2078" s="2">
        <v>42826</v>
      </c>
      <c r="E2078" s="1" t="s">
        <v>42</v>
      </c>
      <c r="F2078" s="1" t="s">
        <v>1348</v>
      </c>
      <c r="G2078" s="1" t="s">
        <v>1349</v>
      </c>
      <c r="H2078" s="1" t="s">
        <v>27</v>
      </c>
      <c r="I2078" s="1" t="s">
        <v>28</v>
      </c>
      <c r="J2078" s="1" t="s">
        <v>104</v>
      </c>
      <c r="K2078" s="1" t="s">
        <v>95</v>
      </c>
      <c r="L2078">
        <v>77070</v>
      </c>
      <c r="M2078" s="1" t="s">
        <v>96</v>
      </c>
      <c r="N2078" s="1" t="s">
        <v>1853</v>
      </c>
      <c r="O2078" s="1" t="s">
        <v>33</v>
      </c>
      <c r="P2078" s="1" t="s">
        <v>39</v>
      </c>
      <c r="Q2078" s="1" t="s">
        <v>1854</v>
      </c>
      <c r="R2078">
        <v>211</v>
      </c>
      <c r="S2078">
        <v>2</v>
      </c>
      <c r="T2078">
        <v>0.3</v>
      </c>
      <c r="U2078">
        <v>-66</v>
      </c>
      <c r="V2078" s="1" t="s">
        <v>61</v>
      </c>
      <c r="W2078" s="1" t="s">
        <v>198</v>
      </c>
    </row>
    <row r="2079" spans="1:23" x14ac:dyDescent="0.35">
      <c r="A2079">
        <v>9793</v>
      </c>
      <c r="B2079" s="1" t="s">
        <v>4363</v>
      </c>
      <c r="C2079" s="2">
        <v>41780</v>
      </c>
      <c r="D2079" s="2">
        <v>41782</v>
      </c>
      <c r="E2079" s="1" t="s">
        <v>24</v>
      </c>
      <c r="F2079" s="1" t="s">
        <v>928</v>
      </c>
      <c r="G2079" s="1" t="s">
        <v>929</v>
      </c>
      <c r="H2079" s="1" t="s">
        <v>27</v>
      </c>
      <c r="I2079" s="1" t="s">
        <v>28</v>
      </c>
      <c r="J2079" s="1" t="s">
        <v>104</v>
      </c>
      <c r="K2079" s="1" t="s">
        <v>95</v>
      </c>
      <c r="L2079">
        <v>77070</v>
      </c>
      <c r="M2079" s="1" t="s">
        <v>96</v>
      </c>
      <c r="N2079" s="1" t="s">
        <v>491</v>
      </c>
      <c r="O2079" s="1" t="s">
        <v>33</v>
      </c>
      <c r="P2079" s="1" t="s">
        <v>39</v>
      </c>
      <c r="Q2079" s="1" t="s">
        <v>492</v>
      </c>
      <c r="R2079">
        <v>108</v>
      </c>
      <c r="S2079">
        <v>2</v>
      </c>
      <c r="T2079">
        <v>0.3</v>
      </c>
      <c r="U2079">
        <v>-29</v>
      </c>
      <c r="V2079" s="1" t="s">
        <v>73</v>
      </c>
      <c r="W2079" s="1" t="s">
        <v>164</v>
      </c>
    </row>
    <row r="2080" spans="1:23" x14ac:dyDescent="0.35">
      <c r="A2080">
        <v>9805</v>
      </c>
      <c r="B2080" s="1" t="s">
        <v>4364</v>
      </c>
      <c r="C2080" s="2">
        <v>42203</v>
      </c>
      <c r="D2080" s="2">
        <v>42205</v>
      </c>
      <c r="E2080" s="1" t="s">
        <v>24</v>
      </c>
      <c r="F2080" s="1" t="s">
        <v>850</v>
      </c>
      <c r="G2080" s="1" t="s">
        <v>851</v>
      </c>
      <c r="H2080" s="1" t="s">
        <v>27</v>
      </c>
      <c r="I2080" s="1" t="s">
        <v>28</v>
      </c>
      <c r="J2080" s="1" t="s">
        <v>176</v>
      </c>
      <c r="K2080" s="1" t="s">
        <v>123</v>
      </c>
      <c r="L2080">
        <v>10024</v>
      </c>
      <c r="M2080" s="1" t="s">
        <v>70</v>
      </c>
      <c r="N2080" s="1" t="s">
        <v>1721</v>
      </c>
      <c r="O2080" s="1" t="s">
        <v>33</v>
      </c>
      <c r="P2080" s="1" t="s">
        <v>59</v>
      </c>
      <c r="Q2080" s="1" t="s">
        <v>1722</v>
      </c>
      <c r="R2080">
        <v>7</v>
      </c>
      <c r="S2080">
        <v>1</v>
      </c>
      <c r="T2080">
        <v>0</v>
      </c>
      <c r="U2080">
        <v>2</v>
      </c>
      <c r="V2080" s="1" t="s">
        <v>73</v>
      </c>
      <c r="W2080" s="1" t="s">
        <v>74</v>
      </c>
    </row>
    <row r="2081" spans="1:23" x14ac:dyDescent="0.35">
      <c r="A2081">
        <v>9806</v>
      </c>
      <c r="B2081" s="1" t="s">
        <v>4365</v>
      </c>
      <c r="C2081" s="2">
        <v>42664</v>
      </c>
      <c r="D2081" s="2">
        <v>42669</v>
      </c>
      <c r="E2081" s="1" t="s">
        <v>42</v>
      </c>
      <c r="F2081" s="1" t="s">
        <v>1953</v>
      </c>
      <c r="G2081" s="1" t="s">
        <v>1954</v>
      </c>
      <c r="H2081" s="1" t="s">
        <v>103</v>
      </c>
      <c r="I2081" s="1" t="s">
        <v>28</v>
      </c>
      <c r="J2081" s="1" t="s">
        <v>45</v>
      </c>
      <c r="K2081" s="1" t="s">
        <v>46</v>
      </c>
      <c r="L2081">
        <v>33311</v>
      </c>
      <c r="M2081" s="1" t="s">
        <v>31</v>
      </c>
      <c r="N2081" s="1" t="s">
        <v>1521</v>
      </c>
      <c r="O2081" s="1" t="s">
        <v>33</v>
      </c>
      <c r="P2081" s="1" t="s">
        <v>59</v>
      </c>
      <c r="Q2081" s="1" t="s">
        <v>1522</v>
      </c>
      <c r="R2081">
        <v>46</v>
      </c>
      <c r="S2081">
        <v>2</v>
      </c>
      <c r="T2081">
        <v>0.2</v>
      </c>
      <c r="U2081">
        <v>10</v>
      </c>
      <c r="V2081" s="1" t="s">
        <v>61</v>
      </c>
      <c r="W2081" s="1" t="s">
        <v>51</v>
      </c>
    </row>
    <row r="2082" spans="1:23" x14ac:dyDescent="0.35">
      <c r="A2082">
        <v>9808</v>
      </c>
      <c r="B2082" s="1" t="s">
        <v>4366</v>
      </c>
      <c r="C2082" s="2">
        <v>42943</v>
      </c>
      <c r="D2082" s="2">
        <v>42948</v>
      </c>
      <c r="E2082" s="1" t="s">
        <v>24</v>
      </c>
      <c r="F2082" s="1" t="s">
        <v>1471</v>
      </c>
      <c r="G2082" s="1" t="s">
        <v>1472</v>
      </c>
      <c r="H2082" s="1" t="s">
        <v>27</v>
      </c>
      <c r="I2082" s="1" t="s">
        <v>28</v>
      </c>
      <c r="J2082" s="1" t="s">
        <v>2020</v>
      </c>
      <c r="K2082" s="1" t="s">
        <v>1039</v>
      </c>
      <c r="L2082">
        <v>27604</v>
      </c>
      <c r="M2082" s="1" t="s">
        <v>31</v>
      </c>
      <c r="N2082" s="1" t="s">
        <v>138</v>
      </c>
      <c r="O2082" s="1" t="s">
        <v>33</v>
      </c>
      <c r="P2082" s="1" t="s">
        <v>39</v>
      </c>
      <c r="Q2082" s="1" t="s">
        <v>139</v>
      </c>
      <c r="R2082">
        <v>195</v>
      </c>
      <c r="S2082">
        <v>4</v>
      </c>
      <c r="T2082">
        <v>0.2</v>
      </c>
      <c r="U2082">
        <v>12</v>
      </c>
      <c r="V2082" s="1" t="s">
        <v>61</v>
      </c>
      <c r="W2082" s="1" t="s">
        <v>74</v>
      </c>
    </row>
    <row r="2083" spans="1:23" x14ac:dyDescent="0.35">
      <c r="A2083">
        <v>9818</v>
      </c>
      <c r="B2083" s="1" t="s">
        <v>4367</v>
      </c>
      <c r="C2083" s="2">
        <v>42163</v>
      </c>
      <c r="D2083" s="2">
        <v>42167</v>
      </c>
      <c r="E2083" s="1" t="s">
        <v>42</v>
      </c>
      <c r="F2083" s="1" t="s">
        <v>3144</v>
      </c>
      <c r="G2083" s="1" t="s">
        <v>3145</v>
      </c>
      <c r="H2083" s="1" t="s">
        <v>93</v>
      </c>
      <c r="I2083" s="1" t="s">
        <v>28</v>
      </c>
      <c r="J2083" s="1" t="s">
        <v>792</v>
      </c>
      <c r="K2083" s="1" t="s">
        <v>46</v>
      </c>
      <c r="L2083">
        <v>33710</v>
      </c>
      <c r="M2083" s="1" t="s">
        <v>31</v>
      </c>
      <c r="N2083" s="1" t="s">
        <v>2113</v>
      </c>
      <c r="O2083" s="1" t="s">
        <v>33</v>
      </c>
      <c r="P2083" s="1" t="s">
        <v>59</v>
      </c>
      <c r="Q2083" s="1" t="s">
        <v>2114</v>
      </c>
      <c r="R2083">
        <v>173</v>
      </c>
      <c r="S2083">
        <v>7</v>
      </c>
      <c r="T2083">
        <v>0.2</v>
      </c>
      <c r="U2083">
        <v>45</v>
      </c>
      <c r="V2083" s="1" t="s">
        <v>86</v>
      </c>
      <c r="W2083" s="1" t="s">
        <v>62</v>
      </c>
    </row>
    <row r="2084" spans="1:23" x14ac:dyDescent="0.35">
      <c r="A2084">
        <v>9827</v>
      </c>
      <c r="B2084" s="1" t="s">
        <v>4368</v>
      </c>
      <c r="C2084" s="2">
        <v>41866</v>
      </c>
      <c r="D2084" s="2">
        <v>41870</v>
      </c>
      <c r="E2084" s="1" t="s">
        <v>42</v>
      </c>
      <c r="F2084" s="1" t="s">
        <v>1063</v>
      </c>
      <c r="G2084" s="1" t="s">
        <v>1064</v>
      </c>
      <c r="H2084" s="1" t="s">
        <v>27</v>
      </c>
      <c r="I2084" s="1" t="s">
        <v>28</v>
      </c>
      <c r="J2084" s="1" t="s">
        <v>331</v>
      </c>
      <c r="K2084" s="1" t="s">
        <v>56</v>
      </c>
      <c r="L2084">
        <v>94122</v>
      </c>
      <c r="M2084" s="1" t="s">
        <v>57</v>
      </c>
      <c r="N2084" s="1" t="s">
        <v>1659</v>
      </c>
      <c r="O2084" s="1" t="s">
        <v>33</v>
      </c>
      <c r="P2084" s="1" t="s">
        <v>39</v>
      </c>
      <c r="Q2084" s="1" t="s">
        <v>1660</v>
      </c>
      <c r="R2084">
        <v>195</v>
      </c>
      <c r="S2084">
        <v>4</v>
      </c>
      <c r="T2084">
        <v>0.2</v>
      </c>
      <c r="U2084">
        <v>-12</v>
      </c>
      <c r="V2084" s="1" t="s">
        <v>86</v>
      </c>
      <c r="W2084" s="1" t="s">
        <v>256</v>
      </c>
    </row>
    <row r="2085" spans="1:23" x14ac:dyDescent="0.35">
      <c r="A2085">
        <v>9830</v>
      </c>
      <c r="B2085" s="1" t="s">
        <v>4369</v>
      </c>
      <c r="C2085" s="2">
        <v>42932</v>
      </c>
      <c r="D2085" s="2">
        <v>42939</v>
      </c>
      <c r="E2085" s="1" t="s">
        <v>42</v>
      </c>
      <c r="F2085" s="1" t="s">
        <v>478</v>
      </c>
      <c r="G2085" s="1" t="s">
        <v>479</v>
      </c>
      <c r="H2085" s="1" t="s">
        <v>27</v>
      </c>
      <c r="I2085" s="1" t="s">
        <v>28</v>
      </c>
      <c r="J2085" s="1" t="s">
        <v>1530</v>
      </c>
      <c r="K2085" s="1" t="s">
        <v>1039</v>
      </c>
      <c r="L2085">
        <v>28205</v>
      </c>
      <c r="M2085" s="1" t="s">
        <v>31</v>
      </c>
      <c r="N2085" s="1" t="s">
        <v>107</v>
      </c>
      <c r="O2085" s="1" t="s">
        <v>33</v>
      </c>
      <c r="P2085" s="1" t="s">
        <v>39</v>
      </c>
      <c r="Q2085" s="1" t="s">
        <v>108</v>
      </c>
      <c r="R2085">
        <v>242</v>
      </c>
      <c r="S2085">
        <v>3</v>
      </c>
      <c r="T2085">
        <v>0.2</v>
      </c>
      <c r="U2085">
        <v>15</v>
      </c>
      <c r="V2085" s="1" t="s">
        <v>50</v>
      </c>
      <c r="W2085" s="1" t="s">
        <v>74</v>
      </c>
    </row>
    <row r="2086" spans="1:23" x14ac:dyDescent="0.35">
      <c r="A2086">
        <v>9832</v>
      </c>
      <c r="B2086" s="1" t="s">
        <v>4370</v>
      </c>
      <c r="C2086" s="2">
        <v>41989</v>
      </c>
      <c r="D2086" s="2">
        <v>41991</v>
      </c>
      <c r="E2086" s="1" t="s">
        <v>24</v>
      </c>
      <c r="F2086" s="1" t="s">
        <v>3686</v>
      </c>
      <c r="G2086" s="1" t="s">
        <v>3687</v>
      </c>
      <c r="H2086" s="1" t="s">
        <v>27</v>
      </c>
      <c r="I2086" s="1" t="s">
        <v>28</v>
      </c>
      <c r="J2086" s="1" t="s">
        <v>4371</v>
      </c>
      <c r="K2086" s="1" t="s">
        <v>95</v>
      </c>
      <c r="L2086">
        <v>77705</v>
      </c>
      <c r="M2086" s="1" t="s">
        <v>96</v>
      </c>
      <c r="N2086" s="1" t="s">
        <v>114</v>
      </c>
      <c r="O2086" s="1" t="s">
        <v>33</v>
      </c>
      <c r="P2086" s="1" t="s">
        <v>59</v>
      </c>
      <c r="Q2086" s="1" t="s">
        <v>115</v>
      </c>
      <c r="R2086">
        <v>9</v>
      </c>
      <c r="S2086">
        <v>7</v>
      </c>
      <c r="T2086">
        <v>0.6</v>
      </c>
      <c r="U2086">
        <v>-3</v>
      </c>
      <c r="V2086" s="1" t="s">
        <v>73</v>
      </c>
      <c r="W2086" s="1" t="s">
        <v>99</v>
      </c>
    </row>
    <row r="2087" spans="1:23" x14ac:dyDescent="0.35">
      <c r="A2087">
        <v>9835</v>
      </c>
      <c r="B2087" s="1" t="s">
        <v>4372</v>
      </c>
      <c r="C2087" s="2">
        <v>42653</v>
      </c>
      <c r="D2087" s="2">
        <v>42655</v>
      </c>
      <c r="E2087" s="1" t="s">
        <v>90</v>
      </c>
      <c r="F2087" s="1" t="s">
        <v>1733</v>
      </c>
      <c r="G2087" s="1" t="s">
        <v>1734</v>
      </c>
      <c r="H2087" s="1" t="s">
        <v>27</v>
      </c>
      <c r="I2087" s="1" t="s">
        <v>28</v>
      </c>
      <c r="J2087" s="1" t="s">
        <v>1157</v>
      </c>
      <c r="K2087" s="1" t="s">
        <v>95</v>
      </c>
      <c r="L2087">
        <v>77571</v>
      </c>
      <c r="M2087" s="1" t="s">
        <v>96</v>
      </c>
      <c r="N2087" s="1" t="s">
        <v>2192</v>
      </c>
      <c r="O2087" s="1" t="s">
        <v>33</v>
      </c>
      <c r="P2087" s="1" t="s">
        <v>59</v>
      </c>
      <c r="Q2087" s="1" t="s">
        <v>2193</v>
      </c>
      <c r="R2087">
        <v>14</v>
      </c>
      <c r="S2087">
        <v>4</v>
      </c>
      <c r="T2087">
        <v>0.6</v>
      </c>
      <c r="U2087">
        <v>-6</v>
      </c>
      <c r="V2087" s="1" t="s">
        <v>73</v>
      </c>
      <c r="W2087" s="1" t="s">
        <v>51</v>
      </c>
    </row>
    <row r="2088" spans="1:23" x14ac:dyDescent="0.35">
      <c r="A2088">
        <v>9843</v>
      </c>
      <c r="B2088" s="1" t="s">
        <v>4373</v>
      </c>
      <c r="C2088" s="2">
        <v>42638</v>
      </c>
      <c r="D2088" s="2">
        <v>42644</v>
      </c>
      <c r="E2088" s="1" t="s">
        <v>42</v>
      </c>
      <c r="F2088" s="1" t="s">
        <v>2051</v>
      </c>
      <c r="G2088" s="1" t="s">
        <v>2052</v>
      </c>
      <c r="H2088" s="1" t="s">
        <v>27</v>
      </c>
      <c r="I2088" s="1" t="s">
        <v>28</v>
      </c>
      <c r="J2088" s="1" t="s">
        <v>733</v>
      </c>
      <c r="K2088" s="1" t="s">
        <v>56</v>
      </c>
      <c r="L2088">
        <v>90805</v>
      </c>
      <c r="M2088" s="1" t="s">
        <v>57</v>
      </c>
      <c r="N2088" s="1" t="s">
        <v>858</v>
      </c>
      <c r="O2088" s="1" t="s">
        <v>33</v>
      </c>
      <c r="P2088" s="1" t="s">
        <v>39</v>
      </c>
      <c r="Q2088" s="1" t="s">
        <v>859</v>
      </c>
      <c r="R2088">
        <v>483</v>
      </c>
      <c r="S2088">
        <v>4</v>
      </c>
      <c r="T2088">
        <v>0.2</v>
      </c>
      <c r="U2088">
        <v>60</v>
      </c>
      <c r="V2088" s="1" t="s">
        <v>132</v>
      </c>
      <c r="W2088" s="1" t="s">
        <v>80</v>
      </c>
    </row>
    <row r="2089" spans="1:23" x14ac:dyDescent="0.35">
      <c r="A2089">
        <v>9845</v>
      </c>
      <c r="B2089" s="1" t="s">
        <v>4374</v>
      </c>
      <c r="C2089" s="2">
        <v>41793</v>
      </c>
      <c r="D2089" s="2">
        <v>41796</v>
      </c>
      <c r="E2089" s="1" t="s">
        <v>90</v>
      </c>
      <c r="F2089" s="1" t="s">
        <v>3084</v>
      </c>
      <c r="G2089" s="1" t="s">
        <v>3085</v>
      </c>
      <c r="H2089" s="1" t="s">
        <v>27</v>
      </c>
      <c r="I2089" s="1" t="s">
        <v>28</v>
      </c>
      <c r="J2089" s="1" t="s">
        <v>516</v>
      </c>
      <c r="K2089" s="1" t="s">
        <v>137</v>
      </c>
      <c r="L2089">
        <v>62521</v>
      </c>
      <c r="M2089" s="1" t="s">
        <v>96</v>
      </c>
      <c r="N2089" s="1" t="s">
        <v>633</v>
      </c>
      <c r="O2089" s="1" t="s">
        <v>33</v>
      </c>
      <c r="P2089" s="1" t="s">
        <v>59</v>
      </c>
      <c r="Q2089" s="1" t="s">
        <v>634</v>
      </c>
      <c r="R2089">
        <v>62</v>
      </c>
      <c r="S2089">
        <v>7</v>
      </c>
      <c r="T2089">
        <v>0.6</v>
      </c>
      <c r="U2089">
        <v>-40</v>
      </c>
      <c r="V2089" s="1" t="s">
        <v>36</v>
      </c>
      <c r="W2089" s="1" t="s">
        <v>62</v>
      </c>
    </row>
    <row r="2090" spans="1:23" x14ac:dyDescent="0.35">
      <c r="A2090">
        <v>9848</v>
      </c>
      <c r="B2090" s="1" t="s">
        <v>4375</v>
      </c>
      <c r="C2090" s="2">
        <v>42980</v>
      </c>
      <c r="D2090" s="2">
        <v>42982</v>
      </c>
      <c r="E2090" s="1" t="s">
        <v>24</v>
      </c>
      <c r="F2090" s="1" t="s">
        <v>3153</v>
      </c>
      <c r="G2090" s="1" t="s">
        <v>3154</v>
      </c>
      <c r="H2090" s="1" t="s">
        <v>103</v>
      </c>
      <c r="I2090" s="1" t="s">
        <v>28</v>
      </c>
      <c r="J2090" s="1" t="s">
        <v>55</v>
      </c>
      <c r="K2090" s="1" t="s">
        <v>56</v>
      </c>
      <c r="L2090">
        <v>90008</v>
      </c>
      <c r="M2090" s="1" t="s">
        <v>57</v>
      </c>
      <c r="N2090" s="1" t="s">
        <v>938</v>
      </c>
      <c r="O2090" s="1" t="s">
        <v>33</v>
      </c>
      <c r="P2090" s="1" t="s">
        <v>59</v>
      </c>
      <c r="Q2090" s="1" t="s">
        <v>939</v>
      </c>
      <c r="R2090">
        <v>512</v>
      </c>
      <c r="S2090">
        <v>5</v>
      </c>
      <c r="T2090">
        <v>0</v>
      </c>
      <c r="U2090">
        <v>133</v>
      </c>
      <c r="V2090" s="1" t="s">
        <v>73</v>
      </c>
      <c r="W2090" s="1" t="s">
        <v>80</v>
      </c>
    </row>
    <row r="2091" spans="1:23" x14ac:dyDescent="0.35">
      <c r="A2091">
        <v>9851</v>
      </c>
      <c r="B2091" s="1" t="s">
        <v>4376</v>
      </c>
      <c r="C2091" s="2">
        <v>42492</v>
      </c>
      <c r="D2091" s="2">
        <v>42496</v>
      </c>
      <c r="E2091" s="1" t="s">
        <v>42</v>
      </c>
      <c r="F2091" s="1" t="s">
        <v>1601</v>
      </c>
      <c r="G2091" s="1" t="s">
        <v>1602</v>
      </c>
      <c r="H2091" s="1" t="s">
        <v>93</v>
      </c>
      <c r="I2091" s="1" t="s">
        <v>28</v>
      </c>
      <c r="J2091" s="1" t="s">
        <v>176</v>
      </c>
      <c r="K2091" s="1" t="s">
        <v>123</v>
      </c>
      <c r="L2091">
        <v>10009</v>
      </c>
      <c r="M2091" s="1" t="s">
        <v>70</v>
      </c>
      <c r="N2091" s="1" t="s">
        <v>680</v>
      </c>
      <c r="O2091" s="1" t="s">
        <v>33</v>
      </c>
      <c r="P2091" s="1" t="s">
        <v>59</v>
      </c>
      <c r="Q2091" s="1" t="s">
        <v>681</v>
      </c>
      <c r="R2091">
        <v>13</v>
      </c>
      <c r="S2091">
        <v>2</v>
      </c>
      <c r="T2091">
        <v>0</v>
      </c>
      <c r="U2091">
        <v>4</v>
      </c>
      <c r="V2091" s="1" t="s">
        <v>86</v>
      </c>
      <c r="W2091" s="1" t="s">
        <v>164</v>
      </c>
    </row>
    <row r="2092" spans="1:23" x14ac:dyDescent="0.35">
      <c r="A2092">
        <v>9854</v>
      </c>
      <c r="B2092" s="1" t="s">
        <v>4376</v>
      </c>
      <c r="C2092" s="2">
        <v>42492</v>
      </c>
      <c r="D2092" s="2">
        <v>42496</v>
      </c>
      <c r="E2092" s="1" t="s">
        <v>42</v>
      </c>
      <c r="F2092" s="1" t="s">
        <v>1601</v>
      </c>
      <c r="G2092" s="1" t="s">
        <v>1602</v>
      </c>
      <c r="H2092" s="1" t="s">
        <v>93</v>
      </c>
      <c r="I2092" s="1" t="s">
        <v>28</v>
      </c>
      <c r="J2092" s="1" t="s">
        <v>176</v>
      </c>
      <c r="K2092" s="1" t="s">
        <v>123</v>
      </c>
      <c r="L2092">
        <v>10009</v>
      </c>
      <c r="M2092" s="1" t="s">
        <v>70</v>
      </c>
      <c r="N2092" s="1" t="s">
        <v>748</v>
      </c>
      <c r="O2092" s="1" t="s">
        <v>33</v>
      </c>
      <c r="P2092" s="1" t="s">
        <v>59</v>
      </c>
      <c r="Q2092" s="1" t="s">
        <v>749</v>
      </c>
      <c r="R2092">
        <v>215</v>
      </c>
      <c r="S2092">
        <v>5</v>
      </c>
      <c r="T2092">
        <v>0</v>
      </c>
      <c r="U2092">
        <v>84</v>
      </c>
      <c r="V2092" s="1" t="s">
        <v>86</v>
      </c>
      <c r="W2092" s="1" t="s">
        <v>164</v>
      </c>
    </row>
    <row r="2093" spans="1:23" x14ac:dyDescent="0.35">
      <c r="A2093">
        <v>9855</v>
      </c>
      <c r="B2093" s="1" t="s">
        <v>4377</v>
      </c>
      <c r="C2093" s="2">
        <v>42905</v>
      </c>
      <c r="D2093" s="2">
        <v>42909</v>
      </c>
      <c r="E2093" s="1" t="s">
        <v>42</v>
      </c>
      <c r="F2093" s="1" t="s">
        <v>2705</v>
      </c>
      <c r="G2093" s="1" t="s">
        <v>2706</v>
      </c>
      <c r="H2093" s="1" t="s">
        <v>27</v>
      </c>
      <c r="I2093" s="1" t="s">
        <v>28</v>
      </c>
      <c r="J2093" s="1" t="s">
        <v>331</v>
      </c>
      <c r="K2093" s="1" t="s">
        <v>56</v>
      </c>
      <c r="L2093">
        <v>94109</v>
      </c>
      <c r="M2093" s="1" t="s">
        <v>57</v>
      </c>
      <c r="N2093" s="1" t="s">
        <v>2617</v>
      </c>
      <c r="O2093" s="1" t="s">
        <v>33</v>
      </c>
      <c r="P2093" s="1" t="s">
        <v>59</v>
      </c>
      <c r="Q2093" s="1" t="s">
        <v>2618</v>
      </c>
      <c r="R2093">
        <v>50</v>
      </c>
      <c r="S2093">
        <v>4</v>
      </c>
      <c r="T2093">
        <v>0</v>
      </c>
      <c r="U2093">
        <v>21</v>
      </c>
      <c r="V2093" s="1" t="s">
        <v>86</v>
      </c>
      <c r="W2093" s="1" t="s">
        <v>62</v>
      </c>
    </row>
    <row r="2094" spans="1:23" x14ac:dyDescent="0.35">
      <c r="A2094">
        <v>9858</v>
      </c>
      <c r="B2094" s="1" t="s">
        <v>4378</v>
      </c>
      <c r="C2094" s="2">
        <v>42089</v>
      </c>
      <c r="D2094" s="2">
        <v>42093</v>
      </c>
      <c r="E2094" s="1" t="s">
        <v>42</v>
      </c>
      <c r="F2094" s="1" t="s">
        <v>626</v>
      </c>
      <c r="G2094" s="1" t="s">
        <v>627</v>
      </c>
      <c r="H2094" s="1" t="s">
        <v>93</v>
      </c>
      <c r="I2094" s="1" t="s">
        <v>28</v>
      </c>
      <c r="J2094" s="1" t="s">
        <v>194</v>
      </c>
      <c r="K2094" s="1" t="s">
        <v>195</v>
      </c>
      <c r="L2094">
        <v>98103</v>
      </c>
      <c r="M2094" s="1" t="s">
        <v>57</v>
      </c>
      <c r="N2094" s="1" t="s">
        <v>524</v>
      </c>
      <c r="O2094" s="1" t="s">
        <v>33</v>
      </c>
      <c r="P2094" s="1" t="s">
        <v>48</v>
      </c>
      <c r="Q2094" s="1" t="s">
        <v>525</v>
      </c>
      <c r="R2094">
        <v>3394</v>
      </c>
      <c r="S2094">
        <v>8</v>
      </c>
      <c r="T2094">
        <v>0</v>
      </c>
      <c r="U2094">
        <v>611</v>
      </c>
      <c r="V2094" s="1" t="s">
        <v>86</v>
      </c>
      <c r="W2094" s="1" t="s">
        <v>198</v>
      </c>
    </row>
    <row r="2095" spans="1:23" x14ac:dyDescent="0.35">
      <c r="A2095">
        <v>9866</v>
      </c>
      <c r="B2095" s="1" t="s">
        <v>4379</v>
      </c>
      <c r="C2095" s="2">
        <v>42749</v>
      </c>
      <c r="D2095" s="2">
        <v>42755</v>
      </c>
      <c r="E2095" s="1" t="s">
        <v>42</v>
      </c>
      <c r="F2095" s="1" t="s">
        <v>3024</v>
      </c>
      <c r="G2095" s="1" t="s">
        <v>3025</v>
      </c>
      <c r="H2095" s="1" t="s">
        <v>103</v>
      </c>
      <c r="I2095" s="1" t="s">
        <v>28</v>
      </c>
      <c r="J2095" s="1" t="s">
        <v>638</v>
      </c>
      <c r="K2095" s="1" t="s">
        <v>113</v>
      </c>
      <c r="L2095">
        <v>47374</v>
      </c>
      <c r="M2095" s="1" t="s">
        <v>96</v>
      </c>
      <c r="N2095" s="1" t="s">
        <v>1598</v>
      </c>
      <c r="O2095" s="1" t="s">
        <v>33</v>
      </c>
      <c r="P2095" s="1" t="s">
        <v>59</v>
      </c>
      <c r="Q2095" s="1" t="s">
        <v>1599</v>
      </c>
      <c r="R2095">
        <v>19</v>
      </c>
      <c r="S2095">
        <v>2</v>
      </c>
      <c r="T2095">
        <v>0</v>
      </c>
      <c r="U2095">
        <v>9</v>
      </c>
      <c r="V2095" s="1" t="s">
        <v>132</v>
      </c>
      <c r="W2095" s="1" t="s">
        <v>172</v>
      </c>
    </row>
    <row r="2096" spans="1:23" x14ac:dyDescent="0.35">
      <c r="A2096">
        <v>9869</v>
      </c>
      <c r="B2096" s="1" t="s">
        <v>4380</v>
      </c>
      <c r="C2096" s="2">
        <v>41944</v>
      </c>
      <c r="D2096" s="2">
        <v>41946</v>
      </c>
      <c r="E2096" s="1" t="s">
        <v>90</v>
      </c>
      <c r="F2096" s="1" t="s">
        <v>1514</v>
      </c>
      <c r="G2096" s="1" t="s">
        <v>1515</v>
      </c>
      <c r="H2096" s="1" t="s">
        <v>93</v>
      </c>
      <c r="I2096" s="1" t="s">
        <v>28</v>
      </c>
      <c r="J2096" s="1" t="s">
        <v>4381</v>
      </c>
      <c r="K2096" s="1" t="s">
        <v>234</v>
      </c>
      <c r="L2096">
        <v>45040</v>
      </c>
      <c r="M2096" s="1" t="s">
        <v>70</v>
      </c>
      <c r="N2096" s="1" t="s">
        <v>748</v>
      </c>
      <c r="O2096" s="1" t="s">
        <v>33</v>
      </c>
      <c r="P2096" s="1" t="s">
        <v>59</v>
      </c>
      <c r="Q2096" s="1" t="s">
        <v>749</v>
      </c>
      <c r="R2096">
        <v>69</v>
      </c>
      <c r="S2096">
        <v>2</v>
      </c>
      <c r="T2096">
        <v>0.2</v>
      </c>
      <c r="U2096">
        <v>16</v>
      </c>
      <c r="V2096" s="1" t="s">
        <v>73</v>
      </c>
      <c r="W2096" s="1" t="s">
        <v>37</v>
      </c>
    </row>
    <row r="2097" spans="1:23" x14ac:dyDescent="0.35">
      <c r="A2097">
        <v>9880</v>
      </c>
      <c r="B2097" s="1" t="s">
        <v>4382</v>
      </c>
      <c r="C2097" s="2">
        <v>42603</v>
      </c>
      <c r="D2097" s="2">
        <v>42607</v>
      </c>
      <c r="E2097" s="1" t="s">
        <v>42</v>
      </c>
      <c r="F2097" s="1" t="s">
        <v>731</v>
      </c>
      <c r="G2097" s="1" t="s">
        <v>732</v>
      </c>
      <c r="H2097" s="1" t="s">
        <v>27</v>
      </c>
      <c r="I2097" s="1" t="s">
        <v>28</v>
      </c>
      <c r="J2097" s="1" t="s">
        <v>176</v>
      </c>
      <c r="K2097" s="1" t="s">
        <v>123</v>
      </c>
      <c r="L2097">
        <v>10035</v>
      </c>
      <c r="M2097" s="1" t="s">
        <v>70</v>
      </c>
      <c r="N2097" s="1" t="s">
        <v>1220</v>
      </c>
      <c r="O2097" s="1" t="s">
        <v>33</v>
      </c>
      <c r="P2097" s="1" t="s">
        <v>39</v>
      </c>
      <c r="Q2097" s="1" t="s">
        <v>1221</v>
      </c>
      <c r="R2097">
        <v>573</v>
      </c>
      <c r="S2097">
        <v>7</v>
      </c>
      <c r="T2097">
        <v>0.1</v>
      </c>
      <c r="U2097">
        <v>64</v>
      </c>
      <c r="V2097" s="1" t="s">
        <v>86</v>
      </c>
      <c r="W2097" s="1" t="s">
        <v>256</v>
      </c>
    </row>
    <row r="2098" spans="1:23" x14ac:dyDescent="0.35">
      <c r="A2098">
        <v>9894</v>
      </c>
      <c r="B2098" s="1" t="s">
        <v>4383</v>
      </c>
      <c r="C2098" s="2">
        <v>42576</v>
      </c>
      <c r="D2098" s="2">
        <v>42579</v>
      </c>
      <c r="E2098" s="1" t="s">
        <v>24</v>
      </c>
      <c r="F2098" s="1" t="s">
        <v>2027</v>
      </c>
      <c r="G2098" s="1" t="s">
        <v>2028</v>
      </c>
      <c r="H2098" s="1" t="s">
        <v>93</v>
      </c>
      <c r="I2098" s="1" t="s">
        <v>28</v>
      </c>
      <c r="J2098" s="1" t="s">
        <v>908</v>
      </c>
      <c r="K2098" s="1" t="s">
        <v>241</v>
      </c>
      <c r="L2098">
        <v>53209</v>
      </c>
      <c r="M2098" s="1" t="s">
        <v>96</v>
      </c>
      <c r="N2098" s="1" t="s">
        <v>3020</v>
      </c>
      <c r="O2098" s="1" t="s">
        <v>33</v>
      </c>
      <c r="P2098" s="1" t="s">
        <v>39</v>
      </c>
      <c r="Q2098" s="1" t="s">
        <v>3021</v>
      </c>
      <c r="R2098">
        <v>404</v>
      </c>
      <c r="S2098">
        <v>4</v>
      </c>
      <c r="T2098">
        <v>0</v>
      </c>
      <c r="U2098">
        <v>97</v>
      </c>
      <c r="V2098" s="1" t="s">
        <v>36</v>
      </c>
      <c r="W2098" s="1" t="s">
        <v>74</v>
      </c>
    </row>
    <row r="2099" spans="1:23" x14ac:dyDescent="0.35">
      <c r="A2099">
        <v>9895</v>
      </c>
      <c r="B2099" s="1" t="s">
        <v>4383</v>
      </c>
      <c r="C2099" s="2">
        <v>42576</v>
      </c>
      <c r="D2099" s="2">
        <v>42579</v>
      </c>
      <c r="E2099" s="1" t="s">
        <v>24</v>
      </c>
      <c r="F2099" s="1" t="s">
        <v>2027</v>
      </c>
      <c r="G2099" s="1" t="s">
        <v>2028</v>
      </c>
      <c r="H2099" s="1" t="s">
        <v>93</v>
      </c>
      <c r="I2099" s="1" t="s">
        <v>28</v>
      </c>
      <c r="J2099" s="1" t="s">
        <v>908</v>
      </c>
      <c r="K2099" s="1" t="s">
        <v>241</v>
      </c>
      <c r="L2099">
        <v>53209</v>
      </c>
      <c r="M2099" s="1" t="s">
        <v>96</v>
      </c>
      <c r="N2099" s="1" t="s">
        <v>386</v>
      </c>
      <c r="O2099" s="1" t="s">
        <v>33</v>
      </c>
      <c r="P2099" s="1" t="s">
        <v>59</v>
      </c>
      <c r="Q2099" s="1" t="s">
        <v>387</v>
      </c>
      <c r="R2099">
        <v>95</v>
      </c>
      <c r="S2099">
        <v>5</v>
      </c>
      <c r="T2099">
        <v>0</v>
      </c>
      <c r="U2099">
        <v>28</v>
      </c>
      <c r="V2099" s="1" t="s">
        <v>36</v>
      </c>
      <c r="W2099" s="1" t="s">
        <v>74</v>
      </c>
    </row>
    <row r="2100" spans="1:23" x14ac:dyDescent="0.35">
      <c r="A2100">
        <v>9898</v>
      </c>
      <c r="B2100" s="1" t="s">
        <v>4384</v>
      </c>
      <c r="C2100" s="2">
        <v>42527</v>
      </c>
      <c r="D2100" s="2">
        <v>42531</v>
      </c>
      <c r="E2100" s="1" t="s">
        <v>42</v>
      </c>
      <c r="F2100" s="1" t="s">
        <v>3988</v>
      </c>
      <c r="G2100" s="1" t="s">
        <v>3989</v>
      </c>
      <c r="H2100" s="1" t="s">
        <v>27</v>
      </c>
      <c r="I2100" s="1" t="s">
        <v>28</v>
      </c>
      <c r="J2100" s="1" t="s">
        <v>1583</v>
      </c>
      <c r="K2100" s="1" t="s">
        <v>234</v>
      </c>
      <c r="L2100">
        <v>45014</v>
      </c>
      <c r="M2100" s="1" t="s">
        <v>70</v>
      </c>
      <c r="N2100" s="1" t="s">
        <v>793</v>
      </c>
      <c r="O2100" s="1" t="s">
        <v>33</v>
      </c>
      <c r="P2100" s="1" t="s">
        <v>59</v>
      </c>
      <c r="Q2100" s="1" t="s">
        <v>794</v>
      </c>
      <c r="R2100">
        <v>466</v>
      </c>
      <c r="S2100">
        <v>3</v>
      </c>
      <c r="T2100">
        <v>0.2</v>
      </c>
      <c r="U2100">
        <v>35</v>
      </c>
      <c r="V2100" s="1" t="s">
        <v>86</v>
      </c>
      <c r="W2100" s="1" t="s">
        <v>62</v>
      </c>
    </row>
    <row r="2101" spans="1:23" x14ac:dyDescent="0.35">
      <c r="A2101">
        <v>9899</v>
      </c>
      <c r="B2101" s="1" t="s">
        <v>4384</v>
      </c>
      <c r="C2101" s="2">
        <v>42527</v>
      </c>
      <c r="D2101" s="2">
        <v>42531</v>
      </c>
      <c r="E2101" s="1" t="s">
        <v>42</v>
      </c>
      <c r="F2101" s="1" t="s">
        <v>3988</v>
      </c>
      <c r="G2101" s="1" t="s">
        <v>3989</v>
      </c>
      <c r="H2101" s="1" t="s">
        <v>27</v>
      </c>
      <c r="I2101" s="1" t="s">
        <v>28</v>
      </c>
      <c r="J2101" s="1" t="s">
        <v>1583</v>
      </c>
      <c r="K2101" s="1" t="s">
        <v>234</v>
      </c>
      <c r="L2101">
        <v>45014</v>
      </c>
      <c r="M2101" s="1" t="s">
        <v>70</v>
      </c>
      <c r="N2101" s="1" t="s">
        <v>2976</v>
      </c>
      <c r="O2101" s="1" t="s">
        <v>33</v>
      </c>
      <c r="P2101" s="1" t="s">
        <v>59</v>
      </c>
      <c r="Q2101" s="1" t="s">
        <v>2977</v>
      </c>
      <c r="R2101">
        <v>83</v>
      </c>
      <c r="S2101">
        <v>2</v>
      </c>
      <c r="T2101">
        <v>0.2</v>
      </c>
      <c r="U2101">
        <v>0</v>
      </c>
      <c r="V2101" s="1" t="s">
        <v>86</v>
      </c>
      <c r="W2101" s="1" t="s">
        <v>62</v>
      </c>
    </row>
    <row r="2102" spans="1:23" x14ac:dyDescent="0.35">
      <c r="A2102">
        <v>9900</v>
      </c>
      <c r="B2102" s="1" t="s">
        <v>4385</v>
      </c>
      <c r="C2102" s="2">
        <v>41726</v>
      </c>
      <c r="D2102" s="2">
        <v>41732</v>
      </c>
      <c r="E2102" s="1" t="s">
        <v>42</v>
      </c>
      <c r="F2102" s="1" t="s">
        <v>1354</v>
      </c>
      <c r="G2102" s="1" t="s">
        <v>1355</v>
      </c>
      <c r="H2102" s="1" t="s">
        <v>103</v>
      </c>
      <c r="I2102" s="1" t="s">
        <v>28</v>
      </c>
      <c r="J2102" s="1" t="s">
        <v>881</v>
      </c>
      <c r="K2102" s="1" t="s">
        <v>234</v>
      </c>
      <c r="L2102">
        <v>45503</v>
      </c>
      <c r="M2102" s="1" t="s">
        <v>70</v>
      </c>
      <c r="N2102" s="1" t="s">
        <v>754</v>
      </c>
      <c r="O2102" s="1" t="s">
        <v>33</v>
      </c>
      <c r="P2102" s="1" t="s">
        <v>48</v>
      </c>
      <c r="Q2102" s="1" t="s">
        <v>755</v>
      </c>
      <c r="R2102">
        <v>331</v>
      </c>
      <c r="S2102">
        <v>1</v>
      </c>
      <c r="T2102">
        <v>0.4</v>
      </c>
      <c r="U2102">
        <v>-143</v>
      </c>
      <c r="V2102" s="1" t="s">
        <v>132</v>
      </c>
      <c r="W2102" s="1" t="s">
        <v>198</v>
      </c>
    </row>
    <row r="2103" spans="1:23" x14ac:dyDescent="0.35">
      <c r="A2103">
        <v>9902</v>
      </c>
      <c r="B2103" s="1" t="s">
        <v>4386</v>
      </c>
      <c r="C2103" s="2">
        <v>42968</v>
      </c>
      <c r="D2103" s="2">
        <v>42972</v>
      </c>
      <c r="E2103" s="1" t="s">
        <v>42</v>
      </c>
      <c r="F2103" s="1" t="s">
        <v>4387</v>
      </c>
      <c r="G2103" s="1" t="s">
        <v>4388</v>
      </c>
      <c r="H2103" s="1" t="s">
        <v>27</v>
      </c>
      <c r="I2103" s="1" t="s">
        <v>28</v>
      </c>
      <c r="J2103" s="1" t="s">
        <v>868</v>
      </c>
      <c r="K2103" s="1" t="s">
        <v>183</v>
      </c>
      <c r="L2103">
        <v>80027</v>
      </c>
      <c r="M2103" s="1" t="s">
        <v>57</v>
      </c>
      <c r="N2103" s="1" t="s">
        <v>1598</v>
      </c>
      <c r="O2103" s="1" t="s">
        <v>33</v>
      </c>
      <c r="P2103" s="1" t="s">
        <v>59</v>
      </c>
      <c r="Q2103" s="1" t="s">
        <v>1599</v>
      </c>
      <c r="R2103">
        <v>23</v>
      </c>
      <c r="S2103">
        <v>3</v>
      </c>
      <c r="T2103">
        <v>0.2</v>
      </c>
      <c r="U2103">
        <v>7</v>
      </c>
      <c r="V2103" s="1" t="s">
        <v>86</v>
      </c>
      <c r="W2103" s="1" t="s">
        <v>256</v>
      </c>
    </row>
    <row r="2104" spans="1:23" x14ac:dyDescent="0.35">
      <c r="A2104">
        <v>9904</v>
      </c>
      <c r="B2104" s="1" t="s">
        <v>4389</v>
      </c>
      <c r="C2104" s="2">
        <v>41955</v>
      </c>
      <c r="D2104" s="2">
        <v>41961</v>
      </c>
      <c r="E2104" s="1" t="s">
        <v>42</v>
      </c>
      <c r="F2104" s="1" t="s">
        <v>110</v>
      </c>
      <c r="G2104" s="1" t="s">
        <v>111</v>
      </c>
      <c r="H2104" s="1" t="s">
        <v>27</v>
      </c>
      <c r="I2104" s="1" t="s">
        <v>28</v>
      </c>
      <c r="J2104" s="1" t="s">
        <v>1392</v>
      </c>
      <c r="K2104" s="1" t="s">
        <v>95</v>
      </c>
      <c r="L2104">
        <v>75007</v>
      </c>
      <c r="M2104" s="1" t="s">
        <v>96</v>
      </c>
      <c r="N2104" s="1" t="s">
        <v>1981</v>
      </c>
      <c r="O2104" s="1" t="s">
        <v>33</v>
      </c>
      <c r="P2104" s="1" t="s">
        <v>59</v>
      </c>
      <c r="Q2104" s="1" t="s">
        <v>1982</v>
      </c>
      <c r="R2104">
        <v>25</v>
      </c>
      <c r="S2104">
        <v>3</v>
      </c>
      <c r="T2104">
        <v>0.6</v>
      </c>
      <c r="U2104">
        <v>-7</v>
      </c>
      <c r="V2104" s="1" t="s">
        <v>132</v>
      </c>
      <c r="W2104" s="1" t="s">
        <v>37</v>
      </c>
    </row>
    <row r="2105" spans="1:23" x14ac:dyDescent="0.35">
      <c r="A2105">
        <v>9906</v>
      </c>
      <c r="B2105" s="1" t="s">
        <v>4390</v>
      </c>
      <c r="C2105" s="2">
        <v>42260</v>
      </c>
      <c r="D2105" s="2">
        <v>42262</v>
      </c>
      <c r="E2105" s="1" t="s">
        <v>90</v>
      </c>
      <c r="F2105" s="1" t="s">
        <v>1949</v>
      </c>
      <c r="G2105" s="1" t="s">
        <v>1950</v>
      </c>
      <c r="H2105" s="1" t="s">
        <v>93</v>
      </c>
      <c r="I2105" s="1" t="s">
        <v>28</v>
      </c>
      <c r="J2105" s="1" t="s">
        <v>3050</v>
      </c>
      <c r="K2105" s="1" t="s">
        <v>56</v>
      </c>
      <c r="L2105">
        <v>92804</v>
      </c>
      <c r="M2105" s="1" t="s">
        <v>57</v>
      </c>
      <c r="N2105" s="1" t="s">
        <v>1545</v>
      </c>
      <c r="O2105" s="1" t="s">
        <v>33</v>
      </c>
      <c r="P2105" s="1" t="s">
        <v>59</v>
      </c>
      <c r="Q2105" s="1" t="s">
        <v>1546</v>
      </c>
      <c r="R2105">
        <v>132</v>
      </c>
      <c r="S2105">
        <v>7</v>
      </c>
      <c r="T2105">
        <v>0</v>
      </c>
      <c r="U2105">
        <v>55</v>
      </c>
      <c r="V2105" s="1" t="s">
        <v>73</v>
      </c>
      <c r="W2105" s="1" t="s">
        <v>80</v>
      </c>
    </row>
    <row r="2106" spans="1:23" x14ac:dyDescent="0.35">
      <c r="A2106">
        <v>9908</v>
      </c>
      <c r="B2106" s="1" t="s">
        <v>4390</v>
      </c>
      <c r="C2106" s="2">
        <v>42260</v>
      </c>
      <c r="D2106" s="2">
        <v>42262</v>
      </c>
      <c r="E2106" s="1" t="s">
        <v>90</v>
      </c>
      <c r="F2106" s="1" t="s">
        <v>1949</v>
      </c>
      <c r="G2106" s="1" t="s">
        <v>1950</v>
      </c>
      <c r="H2106" s="1" t="s">
        <v>93</v>
      </c>
      <c r="I2106" s="1" t="s">
        <v>28</v>
      </c>
      <c r="J2106" s="1" t="s">
        <v>3050</v>
      </c>
      <c r="K2106" s="1" t="s">
        <v>56</v>
      </c>
      <c r="L2106">
        <v>92804</v>
      </c>
      <c r="M2106" s="1" t="s">
        <v>57</v>
      </c>
      <c r="N2106" s="1" t="s">
        <v>1588</v>
      </c>
      <c r="O2106" s="1" t="s">
        <v>33</v>
      </c>
      <c r="P2106" s="1" t="s">
        <v>39</v>
      </c>
      <c r="Q2106" s="1" t="s">
        <v>1589</v>
      </c>
      <c r="R2106">
        <v>718</v>
      </c>
      <c r="S2106">
        <v>3</v>
      </c>
      <c r="T2106">
        <v>0.2</v>
      </c>
      <c r="U2106">
        <v>72</v>
      </c>
      <c r="V2106" s="1" t="s">
        <v>73</v>
      </c>
      <c r="W2106" s="1" t="s">
        <v>80</v>
      </c>
    </row>
    <row r="2107" spans="1:23" x14ac:dyDescent="0.35">
      <c r="A2107">
        <v>9909</v>
      </c>
      <c r="B2107" s="1" t="s">
        <v>4390</v>
      </c>
      <c r="C2107" s="2">
        <v>42260</v>
      </c>
      <c r="D2107" s="2">
        <v>42262</v>
      </c>
      <c r="E2107" s="1" t="s">
        <v>90</v>
      </c>
      <c r="F2107" s="1" t="s">
        <v>1949</v>
      </c>
      <c r="G2107" s="1" t="s">
        <v>1950</v>
      </c>
      <c r="H2107" s="1" t="s">
        <v>93</v>
      </c>
      <c r="I2107" s="1" t="s">
        <v>28</v>
      </c>
      <c r="J2107" s="1" t="s">
        <v>3050</v>
      </c>
      <c r="K2107" s="1" t="s">
        <v>56</v>
      </c>
      <c r="L2107">
        <v>92804</v>
      </c>
      <c r="M2107" s="1" t="s">
        <v>57</v>
      </c>
      <c r="N2107" s="1" t="s">
        <v>2294</v>
      </c>
      <c r="O2107" s="1" t="s">
        <v>33</v>
      </c>
      <c r="P2107" s="1" t="s">
        <v>59</v>
      </c>
      <c r="Q2107" s="1" t="s">
        <v>2295</v>
      </c>
      <c r="R2107">
        <v>207</v>
      </c>
      <c r="S2107">
        <v>5</v>
      </c>
      <c r="T2107">
        <v>0</v>
      </c>
      <c r="U2107">
        <v>25</v>
      </c>
      <c r="V2107" s="1" t="s">
        <v>73</v>
      </c>
      <c r="W2107" s="1" t="s">
        <v>80</v>
      </c>
    </row>
    <row r="2108" spans="1:23" x14ac:dyDescent="0.35">
      <c r="A2108">
        <v>9910</v>
      </c>
      <c r="B2108" s="1" t="s">
        <v>4390</v>
      </c>
      <c r="C2108" s="2">
        <v>42260</v>
      </c>
      <c r="D2108" s="2">
        <v>42262</v>
      </c>
      <c r="E2108" s="1" t="s">
        <v>90</v>
      </c>
      <c r="F2108" s="1" t="s">
        <v>1949</v>
      </c>
      <c r="G2108" s="1" t="s">
        <v>1950</v>
      </c>
      <c r="H2108" s="1" t="s">
        <v>93</v>
      </c>
      <c r="I2108" s="1" t="s">
        <v>28</v>
      </c>
      <c r="J2108" s="1" t="s">
        <v>3050</v>
      </c>
      <c r="K2108" s="1" t="s">
        <v>56</v>
      </c>
      <c r="L2108">
        <v>92804</v>
      </c>
      <c r="M2108" s="1" t="s">
        <v>57</v>
      </c>
      <c r="N2108" s="1" t="s">
        <v>1207</v>
      </c>
      <c r="O2108" s="1" t="s">
        <v>33</v>
      </c>
      <c r="P2108" s="1" t="s">
        <v>59</v>
      </c>
      <c r="Q2108" s="1" t="s">
        <v>1208</v>
      </c>
      <c r="R2108">
        <v>45</v>
      </c>
      <c r="S2108">
        <v>3</v>
      </c>
      <c r="T2108">
        <v>0</v>
      </c>
      <c r="U2108">
        <v>12</v>
      </c>
      <c r="V2108" s="1" t="s">
        <v>73</v>
      </c>
      <c r="W2108" s="1" t="s">
        <v>80</v>
      </c>
    </row>
    <row r="2109" spans="1:23" x14ac:dyDescent="0.35">
      <c r="A2109">
        <v>9913</v>
      </c>
      <c r="B2109" s="1" t="s">
        <v>4391</v>
      </c>
      <c r="C2109" s="2">
        <v>42287</v>
      </c>
      <c r="D2109" s="2">
        <v>42289</v>
      </c>
      <c r="E2109" s="1" t="s">
        <v>90</v>
      </c>
      <c r="F2109" s="1" t="s">
        <v>3491</v>
      </c>
      <c r="G2109" s="1" t="s">
        <v>3492</v>
      </c>
      <c r="H2109" s="1" t="s">
        <v>93</v>
      </c>
      <c r="I2109" s="1" t="s">
        <v>28</v>
      </c>
      <c r="J2109" s="1" t="s">
        <v>4392</v>
      </c>
      <c r="K2109" s="1" t="s">
        <v>56</v>
      </c>
      <c r="L2109">
        <v>93101</v>
      </c>
      <c r="M2109" s="1" t="s">
        <v>57</v>
      </c>
      <c r="N2109" s="1" t="s">
        <v>1853</v>
      </c>
      <c r="O2109" s="1" t="s">
        <v>33</v>
      </c>
      <c r="P2109" s="1" t="s">
        <v>39</v>
      </c>
      <c r="Q2109" s="1" t="s">
        <v>1854</v>
      </c>
      <c r="R2109">
        <v>362</v>
      </c>
      <c r="S2109">
        <v>3</v>
      </c>
      <c r="T2109">
        <v>0.2</v>
      </c>
      <c r="U2109">
        <v>-54</v>
      </c>
      <c r="V2109" s="1" t="s">
        <v>73</v>
      </c>
      <c r="W2109" s="1" t="s">
        <v>51</v>
      </c>
    </row>
    <row r="2110" spans="1:23" x14ac:dyDescent="0.35">
      <c r="A2110">
        <v>9918</v>
      </c>
      <c r="B2110" s="1" t="s">
        <v>4393</v>
      </c>
      <c r="C2110" s="2">
        <v>42764</v>
      </c>
      <c r="D2110" s="2">
        <v>42766</v>
      </c>
      <c r="E2110" s="1" t="s">
        <v>24</v>
      </c>
      <c r="F2110" s="1" t="s">
        <v>1968</v>
      </c>
      <c r="G2110" s="1" t="s">
        <v>1969</v>
      </c>
      <c r="H2110" s="1" t="s">
        <v>27</v>
      </c>
      <c r="I2110" s="1" t="s">
        <v>28</v>
      </c>
      <c r="J2110" s="1" t="s">
        <v>1773</v>
      </c>
      <c r="K2110" s="1" t="s">
        <v>804</v>
      </c>
      <c r="L2110">
        <v>52302</v>
      </c>
      <c r="M2110" s="1" t="s">
        <v>96</v>
      </c>
      <c r="N2110" s="1" t="s">
        <v>653</v>
      </c>
      <c r="O2110" s="1" t="s">
        <v>33</v>
      </c>
      <c r="P2110" s="1" t="s">
        <v>59</v>
      </c>
      <c r="Q2110" s="1" t="s">
        <v>654</v>
      </c>
      <c r="R2110">
        <v>15</v>
      </c>
      <c r="S2110">
        <v>3</v>
      </c>
      <c r="T2110">
        <v>0</v>
      </c>
      <c r="U2110">
        <v>5</v>
      </c>
      <c r="V2110" s="1" t="s">
        <v>73</v>
      </c>
      <c r="W2110" s="1" t="s">
        <v>172</v>
      </c>
    </row>
    <row r="2111" spans="1:23" x14ac:dyDescent="0.35">
      <c r="A2111">
        <v>9920</v>
      </c>
      <c r="B2111" s="1" t="s">
        <v>4394</v>
      </c>
      <c r="C2111" s="2">
        <v>42444</v>
      </c>
      <c r="D2111" s="2">
        <v>42448</v>
      </c>
      <c r="E2111" s="1" t="s">
        <v>42</v>
      </c>
      <c r="F2111" s="1" t="s">
        <v>2591</v>
      </c>
      <c r="G2111" s="1" t="s">
        <v>2592</v>
      </c>
      <c r="H2111" s="1" t="s">
        <v>93</v>
      </c>
      <c r="I2111" s="1" t="s">
        <v>28</v>
      </c>
      <c r="J2111" s="1" t="s">
        <v>4395</v>
      </c>
      <c r="K2111" s="1" t="s">
        <v>95</v>
      </c>
      <c r="L2111">
        <v>77803</v>
      </c>
      <c r="M2111" s="1" t="s">
        <v>96</v>
      </c>
      <c r="N2111" s="1" t="s">
        <v>162</v>
      </c>
      <c r="O2111" s="1" t="s">
        <v>33</v>
      </c>
      <c r="P2111" s="1" t="s">
        <v>39</v>
      </c>
      <c r="Q2111" s="1" t="s">
        <v>163</v>
      </c>
      <c r="R2111">
        <v>528</v>
      </c>
      <c r="S2111">
        <v>5</v>
      </c>
      <c r="T2111">
        <v>0.3</v>
      </c>
      <c r="U2111">
        <v>-143</v>
      </c>
      <c r="V2111" s="1" t="s">
        <v>86</v>
      </c>
      <c r="W2111" s="1" t="s">
        <v>198</v>
      </c>
    </row>
    <row r="2112" spans="1:23" x14ac:dyDescent="0.35">
      <c r="A2112">
        <v>9929</v>
      </c>
      <c r="B2112" s="1" t="s">
        <v>4396</v>
      </c>
      <c r="C2112" s="2">
        <v>42617</v>
      </c>
      <c r="D2112" s="2">
        <v>42617</v>
      </c>
      <c r="E2112" s="1" t="s">
        <v>428</v>
      </c>
      <c r="F2112" s="1" t="s">
        <v>4397</v>
      </c>
      <c r="G2112" s="1" t="s">
        <v>4398</v>
      </c>
      <c r="H2112" s="1" t="s">
        <v>27</v>
      </c>
      <c r="I2112" s="1" t="s">
        <v>28</v>
      </c>
      <c r="J2112" s="1" t="s">
        <v>331</v>
      </c>
      <c r="K2112" s="1" t="s">
        <v>56</v>
      </c>
      <c r="L2112">
        <v>94122</v>
      </c>
      <c r="M2112" s="1" t="s">
        <v>57</v>
      </c>
      <c r="N2112" s="1" t="s">
        <v>152</v>
      </c>
      <c r="O2112" s="1" t="s">
        <v>33</v>
      </c>
      <c r="P2112" s="1" t="s">
        <v>59</v>
      </c>
      <c r="Q2112" s="1" t="s">
        <v>153</v>
      </c>
      <c r="R2112">
        <v>24</v>
      </c>
      <c r="S2112">
        <v>3</v>
      </c>
      <c r="T2112">
        <v>0</v>
      </c>
      <c r="U2112">
        <v>9</v>
      </c>
      <c r="V2112" s="1" t="s">
        <v>433</v>
      </c>
      <c r="W2112" s="1" t="s">
        <v>80</v>
      </c>
    </row>
    <row r="2113" spans="1:23" x14ac:dyDescent="0.35">
      <c r="A2113">
        <v>9932</v>
      </c>
      <c r="B2113" s="1" t="s">
        <v>4399</v>
      </c>
      <c r="C2113" s="2">
        <v>42321</v>
      </c>
      <c r="D2113" s="2">
        <v>42325</v>
      </c>
      <c r="E2113" s="1" t="s">
        <v>42</v>
      </c>
      <c r="F2113" s="1" t="s">
        <v>455</v>
      </c>
      <c r="G2113" s="1" t="s">
        <v>456</v>
      </c>
      <c r="H2113" s="1" t="s">
        <v>27</v>
      </c>
      <c r="I2113" s="1" t="s">
        <v>28</v>
      </c>
      <c r="J2113" s="1" t="s">
        <v>4400</v>
      </c>
      <c r="K2113" s="1" t="s">
        <v>56</v>
      </c>
      <c r="L2113">
        <v>92404</v>
      </c>
      <c r="M2113" s="1" t="s">
        <v>57</v>
      </c>
      <c r="N2113" s="1" t="s">
        <v>1970</v>
      </c>
      <c r="O2113" s="1" t="s">
        <v>33</v>
      </c>
      <c r="P2113" s="1" t="s">
        <v>34</v>
      </c>
      <c r="Q2113" s="1" t="s">
        <v>1971</v>
      </c>
      <c r="R2113">
        <v>683</v>
      </c>
      <c r="S2113">
        <v>4</v>
      </c>
      <c r="T2113">
        <v>0.15</v>
      </c>
      <c r="U2113">
        <v>-40</v>
      </c>
      <c r="V2113" s="1" t="s">
        <v>86</v>
      </c>
      <c r="W2113" s="1" t="s">
        <v>37</v>
      </c>
    </row>
    <row r="2114" spans="1:23" x14ac:dyDescent="0.35">
      <c r="A2114">
        <v>9938</v>
      </c>
      <c r="B2114" s="1" t="s">
        <v>4401</v>
      </c>
      <c r="C2114" s="2">
        <v>42524</v>
      </c>
      <c r="D2114" s="2">
        <v>42527</v>
      </c>
      <c r="E2114" s="1" t="s">
        <v>24</v>
      </c>
      <c r="F2114" s="1" t="s">
        <v>1844</v>
      </c>
      <c r="G2114" s="1" t="s">
        <v>1845</v>
      </c>
      <c r="H2114" s="1" t="s">
        <v>93</v>
      </c>
      <c r="I2114" s="1" t="s">
        <v>28</v>
      </c>
      <c r="J2114" s="1" t="s">
        <v>55</v>
      </c>
      <c r="K2114" s="1" t="s">
        <v>56</v>
      </c>
      <c r="L2114">
        <v>90049</v>
      </c>
      <c r="M2114" s="1" t="s">
        <v>57</v>
      </c>
      <c r="N2114" s="1" t="s">
        <v>1252</v>
      </c>
      <c r="O2114" s="1" t="s">
        <v>33</v>
      </c>
      <c r="P2114" s="1" t="s">
        <v>48</v>
      </c>
      <c r="Q2114" s="1" t="s">
        <v>1253</v>
      </c>
      <c r="R2114">
        <v>71</v>
      </c>
      <c r="S2114">
        <v>2</v>
      </c>
      <c r="T2114">
        <v>0.2</v>
      </c>
      <c r="U2114">
        <v>-2</v>
      </c>
      <c r="V2114" s="1" t="s">
        <v>36</v>
      </c>
      <c r="W2114" s="1" t="s">
        <v>62</v>
      </c>
    </row>
    <row r="2115" spans="1:23" x14ac:dyDescent="0.35">
      <c r="A2115">
        <v>9939</v>
      </c>
      <c r="B2115" s="1" t="s">
        <v>4402</v>
      </c>
      <c r="C2115" s="2">
        <v>42716</v>
      </c>
      <c r="D2115" s="2">
        <v>42721</v>
      </c>
      <c r="E2115" s="1" t="s">
        <v>42</v>
      </c>
      <c r="F2115" s="1" t="s">
        <v>1041</v>
      </c>
      <c r="G2115" s="1" t="s">
        <v>1042</v>
      </c>
      <c r="H2115" s="1" t="s">
        <v>93</v>
      </c>
      <c r="I2115" s="1" t="s">
        <v>28</v>
      </c>
      <c r="J2115" s="1" t="s">
        <v>176</v>
      </c>
      <c r="K2115" s="1" t="s">
        <v>123</v>
      </c>
      <c r="L2115">
        <v>10009</v>
      </c>
      <c r="M2115" s="1" t="s">
        <v>70</v>
      </c>
      <c r="N2115" s="1" t="s">
        <v>554</v>
      </c>
      <c r="O2115" s="1" t="s">
        <v>33</v>
      </c>
      <c r="P2115" s="1" t="s">
        <v>59</v>
      </c>
      <c r="Q2115" s="1" t="s">
        <v>3128</v>
      </c>
      <c r="R2115">
        <v>60</v>
      </c>
      <c r="S2115">
        <v>5</v>
      </c>
      <c r="T2115">
        <v>0</v>
      </c>
      <c r="U2115">
        <v>20</v>
      </c>
      <c r="V2115" s="1" t="s">
        <v>61</v>
      </c>
      <c r="W2115" s="1" t="s">
        <v>99</v>
      </c>
    </row>
    <row r="2116" spans="1:23" x14ac:dyDescent="0.35">
      <c r="A2116">
        <v>9948</v>
      </c>
      <c r="B2116" s="1" t="s">
        <v>4403</v>
      </c>
      <c r="C2116" s="2">
        <v>42887</v>
      </c>
      <c r="D2116" s="2">
        <v>42889</v>
      </c>
      <c r="E2116" s="1" t="s">
        <v>24</v>
      </c>
      <c r="F2116" s="1" t="s">
        <v>831</v>
      </c>
      <c r="G2116" s="1" t="s">
        <v>832</v>
      </c>
      <c r="H2116" s="1" t="s">
        <v>93</v>
      </c>
      <c r="I2116" s="1" t="s">
        <v>28</v>
      </c>
      <c r="J2116" s="1" t="s">
        <v>4404</v>
      </c>
      <c r="K2116" s="1" t="s">
        <v>113</v>
      </c>
      <c r="L2116">
        <v>46203</v>
      </c>
      <c r="M2116" s="1" t="s">
        <v>96</v>
      </c>
      <c r="N2116" s="1" t="s">
        <v>798</v>
      </c>
      <c r="O2116" s="1" t="s">
        <v>33</v>
      </c>
      <c r="P2116" s="1" t="s">
        <v>39</v>
      </c>
      <c r="Q2116" s="1" t="s">
        <v>799</v>
      </c>
      <c r="R2116">
        <v>1926</v>
      </c>
      <c r="S2116">
        <v>6</v>
      </c>
      <c r="T2116">
        <v>0</v>
      </c>
      <c r="U2116">
        <v>539</v>
      </c>
      <c r="V2116" s="1" t="s">
        <v>73</v>
      </c>
      <c r="W2116" s="1" t="s">
        <v>62</v>
      </c>
    </row>
    <row r="2117" spans="1:23" x14ac:dyDescent="0.35">
      <c r="A2117">
        <v>9956</v>
      </c>
      <c r="B2117" s="1" t="s">
        <v>4405</v>
      </c>
      <c r="C2117" s="2">
        <v>42352</v>
      </c>
      <c r="D2117" s="2">
        <v>42354</v>
      </c>
      <c r="E2117" s="1" t="s">
        <v>24</v>
      </c>
      <c r="F2117" s="1" t="s">
        <v>3197</v>
      </c>
      <c r="G2117" s="1" t="s">
        <v>3198</v>
      </c>
      <c r="H2117" s="1" t="s">
        <v>93</v>
      </c>
      <c r="I2117" s="1" t="s">
        <v>28</v>
      </c>
      <c r="J2117" s="1" t="s">
        <v>55</v>
      </c>
      <c r="K2117" s="1" t="s">
        <v>56</v>
      </c>
      <c r="L2117">
        <v>90045</v>
      </c>
      <c r="M2117" s="1" t="s">
        <v>57</v>
      </c>
      <c r="N2117" s="1" t="s">
        <v>1257</v>
      </c>
      <c r="O2117" s="1" t="s">
        <v>33</v>
      </c>
      <c r="P2117" s="1" t="s">
        <v>48</v>
      </c>
      <c r="Q2117" s="1" t="s">
        <v>1258</v>
      </c>
      <c r="R2117">
        <v>274</v>
      </c>
      <c r="S2117">
        <v>2</v>
      </c>
      <c r="T2117">
        <v>0.2</v>
      </c>
      <c r="U2117">
        <v>10</v>
      </c>
      <c r="V2117" s="1" t="s">
        <v>73</v>
      </c>
      <c r="W2117" s="1" t="s">
        <v>99</v>
      </c>
    </row>
    <row r="2118" spans="1:23" x14ac:dyDescent="0.35">
      <c r="A2118">
        <v>9963</v>
      </c>
      <c r="B2118" s="1" t="s">
        <v>4406</v>
      </c>
      <c r="C2118" s="2">
        <v>42082</v>
      </c>
      <c r="D2118" s="2">
        <v>42085</v>
      </c>
      <c r="E2118" s="1" t="s">
        <v>90</v>
      </c>
      <c r="F2118" s="1" t="s">
        <v>1317</v>
      </c>
      <c r="G2118" s="1" t="s">
        <v>1318</v>
      </c>
      <c r="H2118" s="1" t="s">
        <v>103</v>
      </c>
      <c r="I2118" s="1" t="s">
        <v>28</v>
      </c>
      <c r="J2118" s="1" t="s">
        <v>104</v>
      </c>
      <c r="K2118" s="1" t="s">
        <v>95</v>
      </c>
      <c r="L2118">
        <v>77041</v>
      </c>
      <c r="M2118" s="1" t="s">
        <v>96</v>
      </c>
      <c r="N2118" s="1" t="s">
        <v>2625</v>
      </c>
      <c r="O2118" s="1" t="s">
        <v>33</v>
      </c>
      <c r="P2118" s="1" t="s">
        <v>34</v>
      </c>
      <c r="Q2118" s="1" t="s">
        <v>2626</v>
      </c>
      <c r="R2118">
        <v>383</v>
      </c>
      <c r="S2118">
        <v>4</v>
      </c>
      <c r="T2118">
        <v>0.32</v>
      </c>
      <c r="U2118">
        <v>-68</v>
      </c>
      <c r="V2118" s="1" t="s">
        <v>36</v>
      </c>
      <c r="W2118" s="1" t="s">
        <v>198</v>
      </c>
    </row>
    <row r="2119" spans="1:23" x14ac:dyDescent="0.35">
      <c r="A2119">
        <v>9965</v>
      </c>
      <c r="B2119" s="1" t="s">
        <v>4407</v>
      </c>
      <c r="C2119" s="2">
        <v>42709</v>
      </c>
      <c r="D2119" s="2">
        <v>42714</v>
      </c>
      <c r="E2119" s="1" t="s">
        <v>24</v>
      </c>
      <c r="F2119" s="1" t="s">
        <v>4031</v>
      </c>
      <c r="G2119" s="1" t="s">
        <v>4032</v>
      </c>
      <c r="H2119" s="1" t="s">
        <v>93</v>
      </c>
      <c r="I2119" s="1" t="s">
        <v>28</v>
      </c>
      <c r="J2119" s="1" t="s">
        <v>233</v>
      </c>
      <c r="K2119" s="1" t="s">
        <v>203</v>
      </c>
      <c r="L2119">
        <v>19711</v>
      </c>
      <c r="M2119" s="1" t="s">
        <v>70</v>
      </c>
      <c r="N2119" s="1" t="s">
        <v>376</v>
      </c>
      <c r="O2119" s="1" t="s">
        <v>33</v>
      </c>
      <c r="P2119" s="1" t="s">
        <v>59</v>
      </c>
      <c r="Q2119" s="1" t="s">
        <v>377</v>
      </c>
      <c r="R2119">
        <v>13</v>
      </c>
      <c r="S2119">
        <v>1</v>
      </c>
      <c r="T2119">
        <v>0</v>
      </c>
      <c r="U2119">
        <v>6</v>
      </c>
      <c r="V2119" s="1" t="s">
        <v>61</v>
      </c>
      <c r="W2119" s="1" t="s">
        <v>99</v>
      </c>
    </row>
    <row r="2120" spans="1:23" x14ac:dyDescent="0.35">
      <c r="A2120">
        <v>9981</v>
      </c>
      <c r="B2120" s="1" t="s">
        <v>4408</v>
      </c>
      <c r="C2120" s="2">
        <v>42253</v>
      </c>
      <c r="D2120" s="2">
        <v>42256</v>
      </c>
      <c r="E2120" s="1" t="s">
        <v>24</v>
      </c>
      <c r="F2120" s="1" t="s">
        <v>1906</v>
      </c>
      <c r="G2120" s="1" t="s">
        <v>1907</v>
      </c>
      <c r="H2120" s="1" t="s">
        <v>27</v>
      </c>
      <c r="I2120" s="1" t="s">
        <v>28</v>
      </c>
      <c r="J2120" s="1" t="s">
        <v>1408</v>
      </c>
      <c r="K2120" s="1" t="s">
        <v>1409</v>
      </c>
      <c r="L2120">
        <v>70506</v>
      </c>
      <c r="M2120" s="1" t="s">
        <v>31</v>
      </c>
      <c r="N2120" s="1" t="s">
        <v>1262</v>
      </c>
      <c r="O2120" s="1" t="s">
        <v>33</v>
      </c>
      <c r="P2120" s="1" t="s">
        <v>48</v>
      </c>
      <c r="Q2120" s="1" t="s">
        <v>1066</v>
      </c>
      <c r="R2120">
        <v>86</v>
      </c>
      <c r="S2120">
        <v>1</v>
      </c>
      <c r="T2120">
        <v>0</v>
      </c>
      <c r="U2120">
        <v>22</v>
      </c>
      <c r="V2120" s="1" t="s">
        <v>36</v>
      </c>
      <c r="W2120" s="1" t="s">
        <v>80</v>
      </c>
    </row>
    <row r="2121" spans="1:23" x14ac:dyDescent="0.35">
      <c r="A2121">
        <v>9990</v>
      </c>
      <c r="B2121" s="1" t="s">
        <v>4409</v>
      </c>
      <c r="C2121" s="2">
        <v>41660</v>
      </c>
      <c r="D2121" s="2">
        <v>41662</v>
      </c>
      <c r="E2121" s="1" t="s">
        <v>24</v>
      </c>
      <c r="F2121" s="1" t="s">
        <v>2022</v>
      </c>
      <c r="G2121" s="1" t="s">
        <v>2023</v>
      </c>
      <c r="H2121" s="1" t="s">
        <v>27</v>
      </c>
      <c r="I2121" s="1" t="s">
        <v>28</v>
      </c>
      <c r="J2121" s="1" t="s">
        <v>1009</v>
      </c>
      <c r="K2121" s="1" t="s">
        <v>46</v>
      </c>
      <c r="L2121">
        <v>33180</v>
      </c>
      <c r="M2121" s="1" t="s">
        <v>31</v>
      </c>
      <c r="N2121" s="1" t="s">
        <v>1580</v>
      </c>
      <c r="O2121" s="1" t="s">
        <v>33</v>
      </c>
      <c r="P2121" s="1" t="s">
        <v>59</v>
      </c>
      <c r="Q2121" s="1" t="s">
        <v>1581</v>
      </c>
      <c r="R2121">
        <v>25</v>
      </c>
      <c r="S2121">
        <v>3</v>
      </c>
      <c r="T2121">
        <v>0.2</v>
      </c>
      <c r="U2121">
        <v>4</v>
      </c>
      <c r="V2121" s="1" t="s">
        <v>73</v>
      </c>
      <c r="W2121" s="1" t="s">
        <v>172</v>
      </c>
    </row>
    <row r="2122" spans="1:23" x14ac:dyDescent="0.35">
      <c r="A2122">
        <v>9991</v>
      </c>
      <c r="B2122" s="1" t="s">
        <v>4410</v>
      </c>
      <c r="C2122" s="2">
        <v>42792</v>
      </c>
      <c r="D2122" s="2">
        <v>42797</v>
      </c>
      <c r="E2122" s="1" t="s">
        <v>42</v>
      </c>
      <c r="F2122" s="1" t="s">
        <v>243</v>
      </c>
      <c r="G2122" s="1" t="s">
        <v>244</v>
      </c>
      <c r="H2122" s="1" t="s">
        <v>27</v>
      </c>
      <c r="I2122" s="1" t="s">
        <v>28</v>
      </c>
      <c r="J2122" s="1" t="s">
        <v>553</v>
      </c>
      <c r="K2122" s="1" t="s">
        <v>56</v>
      </c>
      <c r="L2122">
        <v>92627</v>
      </c>
      <c r="M2122" s="1" t="s">
        <v>57</v>
      </c>
      <c r="N2122" s="1" t="s">
        <v>3291</v>
      </c>
      <c r="O2122" s="1" t="s">
        <v>33</v>
      </c>
      <c r="P2122" s="1" t="s">
        <v>59</v>
      </c>
      <c r="Q2122" s="1" t="s">
        <v>3292</v>
      </c>
      <c r="R2122">
        <v>92</v>
      </c>
      <c r="S2122">
        <v>2</v>
      </c>
      <c r="T2122">
        <v>0</v>
      </c>
      <c r="U2122">
        <v>16</v>
      </c>
      <c r="V2122" s="1" t="s">
        <v>61</v>
      </c>
      <c r="W2122" s="1" t="s">
        <v>300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6BFF-2A59-4251-81B4-E1A64EFAD27E}">
  <dimension ref="B3:M86"/>
  <sheetViews>
    <sheetView topLeftCell="D35" zoomScale="130" zoomScaleNormal="130" workbookViewId="0">
      <selection activeCell="M48" sqref="M48"/>
    </sheetView>
  </sheetViews>
  <sheetFormatPr defaultRowHeight="14.5" x14ac:dyDescent="0.35"/>
  <cols>
    <col min="2" max="2" width="12.90625" bestFit="1" customWidth="1"/>
    <col min="3" max="3" width="11.54296875" bestFit="1" customWidth="1"/>
    <col min="4" max="4" width="14.26953125" bestFit="1" customWidth="1"/>
    <col min="5" max="5" width="11.54296875" bestFit="1" customWidth="1"/>
    <col min="6" max="6" width="17.7265625" bestFit="1" customWidth="1"/>
    <col min="7" max="7" width="12.453125" bestFit="1" customWidth="1"/>
    <col min="8" max="8" width="11.54296875" bestFit="1" customWidth="1"/>
    <col min="9" max="12" width="9.90625" customWidth="1"/>
    <col min="13" max="49" width="17.7265625" bestFit="1" customWidth="1"/>
    <col min="50" max="51" width="10.36328125" bestFit="1" customWidth="1"/>
  </cols>
  <sheetData>
    <row r="3" spans="2:13" x14ac:dyDescent="0.35">
      <c r="H3" s="10" t="s">
        <v>4415</v>
      </c>
      <c r="I3" s="10"/>
      <c r="J3" s="10"/>
      <c r="K3" s="10"/>
      <c r="L3" s="10"/>
    </row>
    <row r="4" spans="2:13" x14ac:dyDescent="0.35">
      <c r="B4" t="s">
        <v>4411</v>
      </c>
      <c r="C4" t="s">
        <v>4412</v>
      </c>
      <c r="D4" t="s">
        <v>4413</v>
      </c>
      <c r="H4" t="s">
        <v>4414</v>
      </c>
      <c r="I4" t="s">
        <v>4416</v>
      </c>
      <c r="J4" t="s">
        <v>4417</v>
      </c>
      <c r="K4" t="s">
        <v>4418</v>
      </c>
      <c r="L4" t="s">
        <v>4419</v>
      </c>
    </row>
    <row r="5" spans="2:13" x14ac:dyDescent="0.35">
      <c r="B5" s="1">
        <v>70806</v>
      </c>
      <c r="C5" s="1">
        <v>695</v>
      </c>
      <c r="D5" s="1">
        <v>4619</v>
      </c>
      <c r="H5" t="s">
        <v>4420</v>
      </c>
      <c r="I5" s="7">
        <f>B5</f>
        <v>70806</v>
      </c>
      <c r="J5" s="8">
        <f>C12</f>
        <v>23226</v>
      </c>
      <c r="K5" s="8">
        <f>C11</f>
        <v>18861</v>
      </c>
      <c r="L5" s="6">
        <f>J5/K5-1</f>
        <v>0.23142993478606644</v>
      </c>
      <c r="M5" t="str">
        <f>IF(L5&gt;0,"▲","▼")&amp;TEXT(ABS(L5),"0%")&amp;"YoY"</f>
        <v>▲23%YoY</v>
      </c>
    </row>
    <row r="6" spans="2:13" x14ac:dyDescent="0.35">
      <c r="H6" t="s">
        <v>4421</v>
      </c>
      <c r="I6" s="7">
        <f>C5</f>
        <v>695</v>
      </c>
      <c r="J6" s="8">
        <f>D12</f>
        <v>215</v>
      </c>
      <c r="K6" s="8">
        <f>D11</f>
        <v>193</v>
      </c>
      <c r="L6" s="6">
        <f t="shared" ref="L6:L7" si="0">J6/K6-1</f>
        <v>0.11398963730569944</v>
      </c>
      <c r="M6" t="str">
        <f t="shared" ref="M6:M7" si="1">IF(L6&gt;0,"▲","▼")&amp;TEXT(ABS(L6),"0%")&amp;"YoY"</f>
        <v>▲11%YoY</v>
      </c>
    </row>
    <row r="7" spans="2:13" x14ac:dyDescent="0.35">
      <c r="H7" t="s">
        <v>4422</v>
      </c>
      <c r="I7" s="7">
        <f>D5</f>
        <v>4619</v>
      </c>
      <c r="J7" s="8">
        <f>E12</f>
        <v>1347</v>
      </c>
      <c r="K7" s="8">
        <f>E11</f>
        <v>2973</v>
      </c>
      <c r="L7" s="6">
        <f t="shared" si="0"/>
        <v>-0.54692230070635728</v>
      </c>
      <c r="M7" t="str">
        <f t="shared" si="1"/>
        <v>▼55%YoY</v>
      </c>
    </row>
    <row r="8" spans="2:13" x14ac:dyDescent="0.35">
      <c r="B8" s="3" t="s">
        <v>4423</v>
      </c>
      <c r="C8" t="s">
        <v>4411</v>
      </c>
      <c r="D8" t="s">
        <v>4412</v>
      </c>
      <c r="E8" t="s">
        <v>4413</v>
      </c>
    </row>
    <row r="9" spans="2:13" x14ac:dyDescent="0.35">
      <c r="B9" s="4" t="s">
        <v>4425</v>
      </c>
      <c r="C9" s="1">
        <v>12069</v>
      </c>
      <c r="D9" s="1">
        <v>141</v>
      </c>
      <c r="E9" s="1">
        <v>940</v>
      </c>
    </row>
    <row r="10" spans="2:13" x14ac:dyDescent="0.35">
      <c r="B10" s="4" t="s">
        <v>4426</v>
      </c>
      <c r="C10" s="1">
        <v>16650</v>
      </c>
      <c r="D10" s="1">
        <v>146</v>
      </c>
      <c r="E10" s="1">
        <v>-641</v>
      </c>
    </row>
    <row r="11" spans="2:13" x14ac:dyDescent="0.35">
      <c r="B11" s="4" t="s">
        <v>4427</v>
      </c>
      <c r="C11" s="1">
        <v>18861</v>
      </c>
      <c r="D11" s="1">
        <v>193</v>
      </c>
      <c r="E11" s="1">
        <v>2973</v>
      </c>
    </row>
    <row r="12" spans="2:13" x14ac:dyDescent="0.35">
      <c r="B12" s="4" t="s">
        <v>4428</v>
      </c>
      <c r="C12" s="1">
        <v>23226</v>
      </c>
      <c r="D12" s="1">
        <v>215</v>
      </c>
      <c r="E12" s="1">
        <v>1347</v>
      </c>
    </row>
    <row r="13" spans="2:13" x14ac:dyDescent="0.35">
      <c r="B13" s="4" t="s">
        <v>4424</v>
      </c>
      <c r="C13" s="5">
        <v>70806</v>
      </c>
      <c r="D13" s="5">
        <v>695</v>
      </c>
      <c r="E13" s="5">
        <v>4619</v>
      </c>
    </row>
    <row r="15" spans="2:13" x14ac:dyDescent="0.35">
      <c r="B15" s="4" t="s">
        <v>4429</v>
      </c>
      <c r="G15" s="4" t="s">
        <v>4431</v>
      </c>
    </row>
    <row r="16" spans="2:13" x14ac:dyDescent="0.35">
      <c r="B16" s="4" t="s">
        <v>4430</v>
      </c>
      <c r="G16" s="4" t="s">
        <v>4432</v>
      </c>
    </row>
    <row r="17" spans="2:11" x14ac:dyDescent="0.35">
      <c r="B17" s="3" t="s">
        <v>4423</v>
      </c>
      <c r="C17" t="s">
        <v>4411</v>
      </c>
      <c r="G17" s="3" t="s">
        <v>4423</v>
      </c>
      <c r="H17" t="s">
        <v>4411</v>
      </c>
      <c r="J17" s="1">
        <f>MAX(J18:J22)*1.2</f>
        <v>6717.5999999999995</v>
      </c>
    </row>
    <row r="18" spans="2:11" x14ac:dyDescent="0.35">
      <c r="B18" s="4" t="s">
        <v>172</v>
      </c>
      <c r="C18" s="8">
        <v>7239</v>
      </c>
      <c r="G18" s="4" t="s">
        <v>2123</v>
      </c>
      <c r="H18" s="1">
        <v>3414</v>
      </c>
      <c r="I18" s="8" t="str" cm="1">
        <f t="array" ref="I18:J22">G18:H22</f>
        <v>Chesapeake</v>
      </c>
      <c r="J18" s="8">
        <v>3414</v>
      </c>
      <c r="K18" s="8">
        <f>$J$17-J18</f>
        <v>3303.5999999999995</v>
      </c>
    </row>
    <row r="19" spans="2:11" x14ac:dyDescent="0.35">
      <c r="B19" s="4" t="s">
        <v>300</v>
      </c>
      <c r="C19" s="8">
        <v>3800</v>
      </c>
      <c r="G19" s="4" t="s">
        <v>512</v>
      </c>
      <c r="H19" s="1">
        <v>4978</v>
      </c>
      <c r="I19" s="8" t="str">
        <v>Concord</v>
      </c>
      <c r="J19" s="8">
        <v>4978</v>
      </c>
      <c r="K19" s="8">
        <f t="shared" ref="K19:K22" si="2">$J$17-J19</f>
        <v>1739.5999999999995</v>
      </c>
    </row>
    <row r="20" spans="2:11" x14ac:dyDescent="0.35">
      <c r="B20" s="4" t="s">
        <v>198</v>
      </c>
      <c r="C20" s="8">
        <v>2006</v>
      </c>
      <c r="G20" s="4" t="s">
        <v>29</v>
      </c>
      <c r="H20" s="1">
        <v>3342</v>
      </c>
      <c r="I20" s="8" t="str">
        <v>Henderson</v>
      </c>
      <c r="J20" s="8">
        <v>3342</v>
      </c>
      <c r="K20" s="8">
        <f t="shared" si="2"/>
        <v>3375.5999999999995</v>
      </c>
    </row>
    <row r="21" spans="2:11" x14ac:dyDescent="0.35">
      <c r="B21" s="4" t="s">
        <v>116</v>
      </c>
      <c r="C21" s="8">
        <v>4125</v>
      </c>
      <c r="G21" s="4" t="s">
        <v>480</v>
      </c>
      <c r="H21" s="1">
        <v>4574</v>
      </c>
      <c r="I21" s="8" t="str">
        <v>Jackson</v>
      </c>
      <c r="J21" s="8">
        <v>4574</v>
      </c>
      <c r="K21" s="8">
        <f t="shared" si="2"/>
        <v>2143.5999999999995</v>
      </c>
    </row>
    <row r="22" spans="2:11" x14ac:dyDescent="0.35">
      <c r="B22" s="4" t="s">
        <v>164</v>
      </c>
      <c r="C22" s="8">
        <v>7657</v>
      </c>
      <c r="G22" s="4" t="s">
        <v>609</v>
      </c>
      <c r="H22" s="1">
        <v>5598</v>
      </c>
      <c r="I22" s="8" t="str">
        <v>Jacksonville</v>
      </c>
      <c r="J22" s="8">
        <v>5598</v>
      </c>
      <c r="K22" s="8">
        <f t="shared" si="2"/>
        <v>1119.5999999999995</v>
      </c>
    </row>
    <row r="23" spans="2:11" x14ac:dyDescent="0.35">
      <c r="B23" s="4" t="s">
        <v>62</v>
      </c>
      <c r="C23" s="8">
        <v>4680</v>
      </c>
      <c r="G23" s="4" t="s">
        <v>4424</v>
      </c>
      <c r="H23" s="5">
        <v>21906</v>
      </c>
    </row>
    <row r="24" spans="2:11" x14ac:dyDescent="0.35">
      <c r="B24" s="4" t="s">
        <v>74</v>
      </c>
      <c r="C24" s="8">
        <v>4962</v>
      </c>
    </row>
    <row r="25" spans="2:11" x14ac:dyDescent="0.35">
      <c r="B25" s="4" t="s">
        <v>256</v>
      </c>
      <c r="C25" s="8">
        <v>2912</v>
      </c>
      <c r="G25" s="4" t="s">
        <v>4434</v>
      </c>
    </row>
    <row r="26" spans="2:11" x14ac:dyDescent="0.35">
      <c r="B26" s="4" t="s">
        <v>80</v>
      </c>
      <c r="C26" s="8">
        <v>7842</v>
      </c>
      <c r="G26" s="4" t="s">
        <v>4435</v>
      </c>
    </row>
    <row r="27" spans="2:11" x14ac:dyDescent="0.35">
      <c r="B27" s="4" t="s">
        <v>51</v>
      </c>
      <c r="C27" s="8">
        <v>4013</v>
      </c>
      <c r="G27" s="3" t="s">
        <v>4423</v>
      </c>
      <c r="H27" t="s">
        <v>4433</v>
      </c>
    </row>
    <row r="28" spans="2:11" x14ac:dyDescent="0.35">
      <c r="B28" s="4" t="s">
        <v>37</v>
      </c>
      <c r="C28" s="8">
        <v>10942</v>
      </c>
      <c r="G28" s="4" t="s">
        <v>433</v>
      </c>
      <c r="H28" s="9">
        <v>4.4444444444444446E-2</v>
      </c>
    </row>
    <row r="29" spans="2:11" x14ac:dyDescent="0.35">
      <c r="B29" s="4" t="s">
        <v>99</v>
      </c>
      <c r="C29" s="8">
        <v>10628</v>
      </c>
      <c r="G29" s="4" t="s">
        <v>126</v>
      </c>
      <c r="H29" s="9">
        <v>3.3333333333333333E-2</v>
      </c>
    </row>
    <row r="30" spans="2:11" x14ac:dyDescent="0.35">
      <c r="B30" s="4" t="s">
        <v>4424</v>
      </c>
      <c r="C30" s="5">
        <v>70806</v>
      </c>
      <c r="G30" s="4" t="s">
        <v>73</v>
      </c>
      <c r="H30" s="9">
        <v>0.1388888888888889</v>
      </c>
    </row>
    <row r="31" spans="2:11" x14ac:dyDescent="0.35">
      <c r="G31" s="4" t="s">
        <v>36</v>
      </c>
      <c r="H31" s="9">
        <v>0.11666666666666667</v>
      </c>
    </row>
    <row r="32" spans="2:11" x14ac:dyDescent="0.35">
      <c r="G32" s="4" t="s">
        <v>86</v>
      </c>
      <c r="H32" s="9">
        <v>0.26111111111111113</v>
      </c>
    </row>
    <row r="33" spans="2:8" x14ac:dyDescent="0.35">
      <c r="G33" s="4" t="s">
        <v>61</v>
      </c>
      <c r="H33" s="9">
        <v>0.18888888888888888</v>
      </c>
    </row>
    <row r="34" spans="2:8" x14ac:dyDescent="0.35">
      <c r="G34" s="4" t="s">
        <v>132</v>
      </c>
      <c r="H34" s="9">
        <v>0.14444444444444443</v>
      </c>
    </row>
    <row r="35" spans="2:8" x14ac:dyDescent="0.35">
      <c r="G35" s="4" t="s">
        <v>50</v>
      </c>
      <c r="H35" s="9">
        <v>7.2222222222222215E-2</v>
      </c>
    </row>
    <row r="36" spans="2:8" x14ac:dyDescent="0.35">
      <c r="B36" s="4" t="s">
        <v>4436</v>
      </c>
      <c r="G36" s="4" t="s">
        <v>4424</v>
      </c>
      <c r="H36" s="9">
        <v>1</v>
      </c>
    </row>
    <row r="37" spans="2:8" x14ac:dyDescent="0.35">
      <c r="B37" s="4"/>
    </row>
    <row r="38" spans="2:8" x14ac:dyDescent="0.35">
      <c r="B38" s="3" t="s">
        <v>4423</v>
      </c>
      <c r="C38" t="s">
        <v>4411</v>
      </c>
      <c r="D38" t="s">
        <v>10</v>
      </c>
      <c r="E38" t="s">
        <v>17</v>
      </c>
    </row>
    <row r="39" spans="2:8" x14ac:dyDescent="0.35">
      <c r="B39" s="4" t="s">
        <v>1279</v>
      </c>
      <c r="C39" s="8">
        <v>4039</v>
      </c>
      <c r="D39" t="str">
        <f>B39</f>
        <v>Alabama</v>
      </c>
      <c r="E39" s="7">
        <f>C39</f>
        <v>4039</v>
      </c>
      <c r="G39" s="4" t="s">
        <v>4437</v>
      </c>
    </row>
    <row r="40" spans="2:8" x14ac:dyDescent="0.35">
      <c r="B40" s="4" t="s">
        <v>1061</v>
      </c>
      <c r="C40" s="8">
        <v>2414</v>
      </c>
      <c r="D40" t="str">
        <f t="shared" ref="D40:D86" si="3">B40</f>
        <v>Arkansas</v>
      </c>
      <c r="E40" s="7">
        <f t="shared" ref="E40:E86" si="4">C40</f>
        <v>2414</v>
      </c>
      <c r="G40" s="4" t="s">
        <v>4438</v>
      </c>
    </row>
    <row r="41" spans="2:8" x14ac:dyDescent="0.35">
      <c r="B41" s="4" t="s">
        <v>46</v>
      </c>
      <c r="C41" s="8">
        <v>11519</v>
      </c>
      <c r="D41" t="str">
        <f t="shared" si="3"/>
        <v>Florida</v>
      </c>
      <c r="E41" s="7">
        <f t="shared" si="4"/>
        <v>11519</v>
      </c>
      <c r="G41" s="3" t="s">
        <v>4423</v>
      </c>
      <c r="H41" t="s">
        <v>4433</v>
      </c>
    </row>
    <row r="42" spans="2:8" x14ac:dyDescent="0.35">
      <c r="B42" s="4" t="s">
        <v>670</v>
      </c>
      <c r="C42" s="8">
        <v>4607</v>
      </c>
      <c r="D42" t="str">
        <f t="shared" si="3"/>
        <v>Georgia</v>
      </c>
      <c r="E42" s="7">
        <f t="shared" si="4"/>
        <v>4607</v>
      </c>
      <c r="G42" s="4" t="s">
        <v>90</v>
      </c>
      <c r="H42" s="9">
        <v>0.12777777777777777</v>
      </c>
    </row>
    <row r="43" spans="2:8" x14ac:dyDescent="0.35">
      <c r="B43" s="4" t="s">
        <v>30</v>
      </c>
      <c r="C43" s="8">
        <v>7578</v>
      </c>
      <c r="D43" t="str">
        <f t="shared" si="3"/>
        <v>Kentucky</v>
      </c>
      <c r="E43" s="7">
        <f t="shared" si="4"/>
        <v>7578</v>
      </c>
      <c r="G43" s="4" t="s">
        <v>428</v>
      </c>
      <c r="H43" s="9">
        <v>4.4444444444444446E-2</v>
      </c>
    </row>
    <row r="44" spans="2:8" x14ac:dyDescent="0.35">
      <c r="B44" s="4" t="s">
        <v>1409</v>
      </c>
      <c r="C44" s="8">
        <v>2834</v>
      </c>
      <c r="D44" t="str">
        <f t="shared" si="3"/>
        <v>Louisiana</v>
      </c>
      <c r="E44" s="7">
        <f t="shared" si="4"/>
        <v>2834</v>
      </c>
      <c r="G44" s="4" t="s">
        <v>24</v>
      </c>
      <c r="H44" s="9">
        <v>0.2388888888888889</v>
      </c>
    </row>
    <row r="45" spans="2:8" x14ac:dyDescent="0.35">
      <c r="B45" s="4" t="s">
        <v>481</v>
      </c>
      <c r="C45" s="8">
        <v>4206</v>
      </c>
      <c r="D45" t="str">
        <f t="shared" si="3"/>
        <v>Mississippi</v>
      </c>
      <c r="E45" s="7">
        <f t="shared" si="4"/>
        <v>4206</v>
      </c>
      <c r="G45" s="4" t="s">
        <v>42</v>
      </c>
      <c r="H45" s="9">
        <v>0.58888888888888891</v>
      </c>
    </row>
    <row r="46" spans="2:8" x14ac:dyDescent="0.35">
      <c r="B46" s="4" t="s">
        <v>1039</v>
      </c>
      <c r="C46" s="8">
        <v>11957</v>
      </c>
      <c r="D46" t="str">
        <f t="shared" si="3"/>
        <v>North Carolina</v>
      </c>
      <c r="E46" s="7">
        <f t="shared" si="4"/>
        <v>11957</v>
      </c>
      <c r="G46" s="4" t="s">
        <v>4424</v>
      </c>
      <c r="H46" s="9">
        <v>1</v>
      </c>
    </row>
    <row r="47" spans="2:8" x14ac:dyDescent="0.35">
      <c r="B47" s="4" t="s">
        <v>161</v>
      </c>
      <c r="C47" s="8">
        <v>2538</v>
      </c>
      <c r="D47" t="str">
        <f t="shared" si="3"/>
        <v>South Carolina</v>
      </c>
      <c r="E47" s="7">
        <f t="shared" si="4"/>
        <v>2538</v>
      </c>
    </row>
    <row r="48" spans="2:8" x14ac:dyDescent="0.35">
      <c r="B48" s="4" t="s">
        <v>144</v>
      </c>
      <c r="C48" s="8">
        <v>5287</v>
      </c>
      <c r="D48" t="str">
        <f t="shared" si="3"/>
        <v>Tennessee</v>
      </c>
      <c r="E48" s="7">
        <f t="shared" si="4"/>
        <v>5287</v>
      </c>
    </row>
    <row r="49" spans="2:11" x14ac:dyDescent="0.35">
      <c r="B49" s="4" t="s">
        <v>719</v>
      </c>
      <c r="C49" s="8">
        <v>13827</v>
      </c>
      <c r="D49" t="str">
        <f t="shared" si="3"/>
        <v>Virginia</v>
      </c>
      <c r="E49" s="7">
        <f t="shared" si="4"/>
        <v>13827</v>
      </c>
      <c r="G49" s="4" t="s">
        <v>4439</v>
      </c>
    </row>
    <row r="50" spans="2:11" x14ac:dyDescent="0.35">
      <c r="B50" s="4" t="s">
        <v>4424</v>
      </c>
      <c r="C50" s="8">
        <v>70806</v>
      </c>
      <c r="D50" t="str">
        <f t="shared" si="3"/>
        <v>Grand Total</v>
      </c>
      <c r="E50" s="7">
        <f t="shared" si="4"/>
        <v>70806</v>
      </c>
      <c r="G50" s="4" t="s">
        <v>4440</v>
      </c>
    </row>
    <row r="51" spans="2:11" x14ac:dyDescent="0.35">
      <c r="D51">
        <f t="shared" si="3"/>
        <v>0</v>
      </c>
      <c r="E51" s="7">
        <f t="shared" si="4"/>
        <v>0</v>
      </c>
      <c r="G51" s="3" t="s">
        <v>4423</v>
      </c>
      <c r="H51" t="s">
        <v>4411</v>
      </c>
      <c r="J51" s="8">
        <f>MAX(J52:J56)*1.2</f>
        <v>84967.2</v>
      </c>
    </row>
    <row r="52" spans="2:11" x14ac:dyDescent="0.35">
      <c r="D52">
        <f t="shared" si="3"/>
        <v>0</v>
      </c>
      <c r="E52" s="7">
        <f t="shared" si="4"/>
        <v>0</v>
      </c>
      <c r="G52" s="4" t="s">
        <v>34</v>
      </c>
      <c r="H52" s="8">
        <v>8717</v>
      </c>
      <c r="I52" s="8" t="str" cm="1">
        <f t="array" ref="I52:J56">G52:H56</f>
        <v>Bookcases</v>
      </c>
      <c r="J52" s="8">
        <v>8717</v>
      </c>
      <c r="K52" s="8">
        <f>$J$51-J52</f>
        <v>76250.2</v>
      </c>
    </row>
    <row r="53" spans="2:11" x14ac:dyDescent="0.35">
      <c r="D53">
        <f t="shared" si="3"/>
        <v>0</v>
      </c>
      <c r="E53" s="7">
        <f t="shared" si="4"/>
        <v>0</v>
      </c>
      <c r="G53" s="4" t="s">
        <v>39</v>
      </c>
      <c r="H53" s="8">
        <v>26805</v>
      </c>
      <c r="I53" s="8" t="str">
        <v>Chairs</v>
      </c>
      <c r="J53" s="8">
        <v>26805</v>
      </c>
      <c r="K53" s="8">
        <f t="shared" ref="K53:K56" si="5">$J$51-J53</f>
        <v>58162.2</v>
      </c>
    </row>
    <row r="54" spans="2:11" x14ac:dyDescent="0.35">
      <c r="D54">
        <f t="shared" si="3"/>
        <v>0</v>
      </c>
      <c r="E54" s="7">
        <f t="shared" si="4"/>
        <v>0</v>
      </c>
      <c r="G54" s="4" t="s">
        <v>59</v>
      </c>
      <c r="H54" s="8">
        <v>10873</v>
      </c>
      <c r="I54" s="8" t="str">
        <v>Furnishings</v>
      </c>
      <c r="J54" s="8">
        <v>10873</v>
      </c>
      <c r="K54" s="8">
        <f t="shared" si="5"/>
        <v>74094.2</v>
      </c>
    </row>
    <row r="55" spans="2:11" x14ac:dyDescent="0.35">
      <c r="D55">
        <f t="shared" si="3"/>
        <v>0</v>
      </c>
      <c r="E55" s="7">
        <f t="shared" si="4"/>
        <v>0</v>
      </c>
      <c r="G55" s="4" t="s">
        <v>48</v>
      </c>
      <c r="H55" s="8">
        <v>24411</v>
      </c>
      <c r="I55" s="8" t="str">
        <v>Tables</v>
      </c>
      <c r="J55" s="8">
        <v>24411</v>
      </c>
      <c r="K55" s="8">
        <f t="shared" si="5"/>
        <v>60556.2</v>
      </c>
    </row>
    <row r="56" spans="2:11" x14ac:dyDescent="0.35">
      <c r="D56">
        <f t="shared" si="3"/>
        <v>0</v>
      </c>
      <c r="E56" s="7">
        <f t="shared" si="4"/>
        <v>0</v>
      </c>
      <c r="G56" s="4" t="s">
        <v>4424</v>
      </c>
      <c r="H56" s="8">
        <v>70806</v>
      </c>
      <c r="I56" s="8" t="str">
        <v>Grand Total</v>
      </c>
      <c r="J56" s="8">
        <v>70806</v>
      </c>
      <c r="K56" s="8">
        <f t="shared" si="5"/>
        <v>14161.199999999997</v>
      </c>
    </row>
    <row r="57" spans="2:11" x14ac:dyDescent="0.35">
      <c r="D57">
        <f t="shared" si="3"/>
        <v>0</v>
      </c>
      <c r="E57" s="7">
        <f t="shared" si="4"/>
        <v>0</v>
      </c>
    </row>
    <row r="58" spans="2:11" x14ac:dyDescent="0.35">
      <c r="D58">
        <f t="shared" si="3"/>
        <v>0</v>
      </c>
      <c r="E58" s="7">
        <f t="shared" si="4"/>
        <v>0</v>
      </c>
    </row>
    <row r="59" spans="2:11" x14ac:dyDescent="0.35">
      <c r="D59">
        <f t="shared" si="3"/>
        <v>0</v>
      </c>
      <c r="E59" s="7">
        <f t="shared" si="4"/>
        <v>0</v>
      </c>
    </row>
    <row r="60" spans="2:11" x14ac:dyDescent="0.35">
      <c r="D60">
        <f t="shared" si="3"/>
        <v>0</v>
      </c>
      <c r="E60" s="7">
        <f t="shared" si="4"/>
        <v>0</v>
      </c>
    </row>
    <row r="61" spans="2:11" x14ac:dyDescent="0.35">
      <c r="D61">
        <f t="shared" si="3"/>
        <v>0</v>
      </c>
      <c r="E61" s="7">
        <f t="shared" si="4"/>
        <v>0</v>
      </c>
    </row>
    <row r="62" spans="2:11" x14ac:dyDescent="0.35">
      <c r="D62">
        <f t="shared" si="3"/>
        <v>0</v>
      </c>
      <c r="E62" s="7">
        <f t="shared" si="4"/>
        <v>0</v>
      </c>
    </row>
    <row r="63" spans="2:11" x14ac:dyDescent="0.35">
      <c r="D63">
        <f t="shared" si="3"/>
        <v>0</v>
      </c>
      <c r="E63" s="7">
        <f t="shared" si="4"/>
        <v>0</v>
      </c>
    </row>
    <row r="64" spans="2:11" x14ac:dyDescent="0.35">
      <c r="D64">
        <f t="shared" si="3"/>
        <v>0</v>
      </c>
      <c r="E64" s="7">
        <f t="shared" si="4"/>
        <v>0</v>
      </c>
    </row>
    <row r="65" spans="4:5" x14ac:dyDescent="0.35">
      <c r="D65">
        <f t="shared" si="3"/>
        <v>0</v>
      </c>
      <c r="E65" s="7">
        <f t="shared" si="4"/>
        <v>0</v>
      </c>
    </row>
    <row r="66" spans="4:5" x14ac:dyDescent="0.35">
      <c r="D66">
        <f t="shared" si="3"/>
        <v>0</v>
      </c>
      <c r="E66" s="7">
        <f t="shared" si="4"/>
        <v>0</v>
      </c>
    </row>
    <row r="67" spans="4:5" x14ac:dyDescent="0.35">
      <c r="D67">
        <f t="shared" si="3"/>
        <v>0</v>
      </c>
      <c r="E67" s="7">
        <f t="shared" si="4"/>
        <v>0</v>
      </c>
    </row>
    <row r="68" spans="4:5" x14ac:dyDescent="0.35">
      <c r="D68">
        <f t="shared" si="3"/>
        <v>0</v>
      </c>
      <c r="E68" s="7">
        <f t="shared" si="4"/>
        <v>0</v>
      </c>
    </row>
    <row r="69" spans="4:5" x14ac:dyDescent="0.35">
      <c r="D69">
        <f t="shared" si="3"/>
        <v>0</v>
      </c>
      <c r="E69" s="7">
        <f t="shared" si="4"/>
        <v>0</v>
      </c>
    </row>
    <row r="70" spans="4:5" x14ac:dyDescent="0.35">
      <c r="D70">
        <f t="shared" si="3"/>
        <v>0</v>
      </c>
      <c r="E70" s="7">
        <f t="shared" si="4"/>
        <v>0</v>
      </c>
    </row>
    <row r="71" spans="4:5" x14ac:dyDescent="0.35">
      <c r="D71">
        <f t="shared" si="3"/>
        <v>0</v>
      </c>
      <c r="E71" s="7">
        <f t="shared" si="4"/>
        <v>0</v>
      </c>
    </row>
    <row r="72" spans="4:5" x14ac:dyDescent="0.35">
      <c r="D72">
        <f t="shared" si="3"/>
        <v>0</v>
      </c>
      <c r="E72" s="7">
        <f t="shared" si="4"/>
        <v>0</v>
      </c>
    </row>
    <row r="73" spans="4:5" x14ac:dyDescent="0.35">
      <c r="D73">
        <f t="shared" si="3"/>
        <v>0</v>
      </c>
      <c r="E73" s="7">
        <f t="shared" si="4"/>
        <v>0</v>
      </c>
    </row>
    <row r="74" spans="4:5" x14ac:dyDescent="0.35">
      <c r="D74">
        <f t="shared" si="3"/>
        <v>0</v>
      </c>
      <c r="E74" s="7">
        <f t="shared" si="4"/>
        <v>0</v>
      </c>
    </row>
    <row r="75" spans="4:5" x14ac:dyDescent="0.35">
      <c r="D75">
        <f t="shared" si="3"/>
        <v>0</v>
      </c>
      <c r="E75" s="7">
        <f t="shared" si="4"/>
        <v>0</v>
      </c>
    </row>
    <row r="76" spans="4:5" x14ac:dyDescent="0.35">
      <c r="D76">
        <f t="shared" si="3"/>
        <v>0</v>
      </c>
      <c r="E76" s="7">
        <f t="shared" si="4"/>
        <v>0</v>
      </c>
    </row>
    <row r="77" spans="4:5" x14ac:dyDescent="0.35">
      <c r="D77">
        <f t="shared" si="3"/>
        <v>0</v>
      </c>
      <c r="E77" s="7">
        <f t="shared" si="4"/>
        <v>0</v>
      </c>
    </row>
    <row r="78" spans="4:5" x14ac:dyDescent="0.35">
      <c r="D78">
        <f t="shared" si="3"/>
        <v>0</v>
      </c>
      <c r="E78" s="7">
        <f t="shared" si="4"/>
        <v>0</v>
      </c>
    </row>
    <row r="79" spans="4:5" x14ac:dyDescent="0.35">
      <c r="D79">
        <f t="shared" si="3"/>
        <v>0</v>
      </c>
      <c r="E79" s="7">
        <f t="shared" si="4"/>
        <v>0</v>
      </c>
    </row>
    <row r="80" spans="4:5" x14ac:dyDescent="0.35">
      <c r="D80">
        <f t="shared" si="3"/>
        <v>0</v>
      </c>
      <c r="E80" s="7">
        <f t="shared" si="4"/>
        <v>0</v>
      </c>
    </row>
    <row r="81" spans="4:5" x14ac:dyDescent="0.35">
      <c r="D81">
        <f t="shared" si="3"/>
        <v>0</v>
      </c>
      <c r="E81" s="7">
        <f t="shared" si="4"/>
        <v>0</v>
      </c>
    </row>
    <row r="82" spans="4:5" x14ac:dyDescent="0.35">
      <c r="D82">
        <f t="shared" si="3"/>
        <v>0</v>
      </c>
      <c r="E82" s="7">
        <f t="shared" si="4"/>
        <v>0</v>
      </c>
    </row>
    <row r="83" spans="4:5" x14ac:dyDescent="0.35">
      <c r="D83">
        <f t="shared" si="3"/>
        <v>0</v>
      </c>
      <c r="E83" s="7">
        <f t="shared" si="4"/>
        <v>0</v>
      </c>
    </row>
    <row r="84" spans="4:5" x14ac:dyDescent="0.35">
      <c r="D84">
        <f t="shared" si="3"/>
        <v>0</v>
      </c>
      <c r="E84" s="7">
        <f t="shared" si="4"/>
        <v>0</v>
      </c>
    </row>
    <row r="85" spans="4:5" x14ac:dyDescent="0.35">
      <c r="D85">
        <f t="shared" si="3"/>
        <v>0</v>
      </c>
      <c r="E85" s="7">
        <f t="shared" si="4"/>
        <v>0</v>
      </c>
    </row>
    <row r="86" spans="4:5" x14ac:dyDescent="0.35">
      <c r="D86">
        <f t="shared" si="3"/>
        <v>0</v>
      </c>
      <c r="E86" s="7">
        <f t="shared" si="4"/>
        <v>0</v>
      </c>
    </row>
  </sheetData>
  <mergeCells count="1">
    <mergeCell ref="H3:L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6F84-FCFE-4262-ABB0-B76CFA42855F}">
  <dimension ref="A1"/>
  <sheetViews>
    <sheetView showGridLines="0" tabSelected="1" topLeftCell="E1" zoomScale="90" zoomScaleNormal="90" workbookViewId="0">
      <selection activeCell="AD9" sqref="AD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19C6FD-0CD8-4FEE-AB52-A0640A5BC1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Furniture_Sales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Rashed Munshi</dc:creator>
  <cp:lastModifiedBy>Rashed Munshi</cp:lastModifiedBy>
  <dcterms:created xsi:type="dcterms:W3CDTF">2026-03-08T16:37:46Z</dcterms:created>
  <dcterms:modified xsi:type="dcterms:W3CDTF">2026-03-08T18:27:11Z</dcterms:modified>
</cp:coreProperties>
</file>