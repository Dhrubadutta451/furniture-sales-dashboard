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0bb4b85cacdedfec/Desktop/"/>
    </mc:Choice>
  </mc:AlternateContent>
  <xr:revisionPtr revIDLastSave="333" documentId="13_ncr:1_{6FD5A02A-A024-44AD-A9BA-896B4862ED32}" xr6:coauthVersionLast="47" xr6:coauthVersionMax="47" xr10:uidLastSave="{642050CC-E8FD-4056-B1F4-80F14D4279EA}"/>
  <bookViews>
    <workbookView xWindow="-110" yWindow="-110" windowWidth="22780" windowHeight="14540" activeTab="2" xr2:uid="{D0D8CABB-414C-4D69-B600-AAB00A18BEAA}"/>
  </bookViews>
  <sheets>
    <sheet name="Dashbaord-2" sheetId="6" r:id="rId1"/>
    <sheet name="Calculation" sheetId="7" r:id="rId2"/>
    <sheet name="KPI Dashboard" sheetId="10" r:id="rId3"/>
    <sheet name="Analysis" sheetId="11" r:id="rId4"/>
    <sheet name="Raw Data 2" sheetId="4" r:id="rId5"/>
    <sheet name="Dashboard." sheetId="8" state="hidden" r:id="rId6"/>
    <sheet name="Calculation-1" sheetId="9" state="hidden" r:id="rId7"/>
    <sheet name="Dashboard" sheetId="3" state="hidden" r:id="rId8"/>
    <sheet name="Data" sheetId="1" state="hidden" r:id="rId9"/>
    <sheet name="Calculation Table" sheetId="2" state="hidden" r:id="rId10"/>
  </sheets>
  <definedNames>
    <definedName name="_xlchart.v5.0" hidden="1">Calculation!$D$12</definedName>
    <definedName name="_xlchart.v5.1" hidden="1">Calculation!$D$13:$D$17</definedName>
    <definedName name="_xlchart.v5.10" hidden="1">Analysis!$E$33</definedName>
    <definedName name="_xlchart.v5.11" hidden="1">Analysis!$E$34:$E$38</definedName>
    <definedName name="_xlchart.v5.12" hidden="1">Analysis!$D$33</definedName>
    <definedName name="_xlchart.v5.13" hidden="1">Analysis!$D$34:$D$38</definedName>
    <definedName name="_xlchart.v5.14" hidden="1">Analysis!$E$33</definedName>
    <definedName name="_xlchart.v5.15" hidden="1">Analysis!$E$34:$E$38</definedName>
    <definedName name="_xlchart.v5.16" hidden="1">Analysis!$D$33</definedName>
    <definedName name="_xlchart.v5.17" hidden="1">Analysis!$D$34:$D$38</definedName>
    <definedName name="_xlchart.v5.18" hidden="1">Analysis!$E$32</definedName>
    <definedName name="_xlchart.v5.19" hidden="1">Analysis!$E$33</definedName>
    <definedName name="_xlchart.v5.2" hidden="1">Calculation!$E$12</definedName>
    <definedName name="_xlchart.v5.20" hidden="1">Analysis!$E$34:$E$38</definedName>
    <definedName name="_xlchart.v5.21" hidden="1">'Calculation-1'!$G$18</definedName>
    <definedName name="_xlchart.v5.22" hidden="1">'Calculation-1'!$G$19:$G$23</definedName>
    <definedName name="_xlchart.v5.23" hidden="1">'Calculation-1'!$H$18</definedName>
    <definedName name="_xlchart.v5.24" hidden="1">'Calculation-1'!$H$19:$H$23</definedName>
    <definedName name="_xlchart.v5.3" hidden="1">Calculation!$E$13:$E$17</definedName>
    <definedName name="_xlchart.v5.4" hidden="1">Analysis!$D$33</definedName>
    <definedName name="_xlchart.v5.5" hidden="1">Analysis!$D$34:$D$38</definedName>
    <definedName name="_xlchart.v5.6" hidden="1">Analysis!$E$33</definedName>
    <definedName name="_xlchart.v5.7" hidden="1">Analysis!$E$34:$E$38</definedName>
    <definedName name="_xlchart.v5.8" hidden="1">Analysis!$D$33</definedName>
    <definedName name="_xlchart.v5.9" hidden="1">Analysis!$D$34:$D$38</definedName>
    <definedName name="Slicer_Name">#N/A</definedName>
    <definedName name="Slicer_Name2">#N/A</definedName>
  </definedNames>
  <calcPr calcId="191029"/>
  <pivotCaches>
    <pivotCache cacheId="0" r:id="rId11"/>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1" l="1"/>
  <c r="E35" i="11"/>
  <c r="D36" i="11"/>
  <c r="E36" i="11"/>
  <c r="D37" i="11"/>
  <c r="E37" i="11"/>
  <c r="D38" i="11"/>
  <c r="E38" i="11"/>
  <c r="E34" i="11"/>
  <c r="D34" i="11"/>
  <c r="G19" i="9"/>
  <c r="H19" i="9"/>
  <c r="G20" i="9"/>
  <c r="H20" i="9"/>
  <c r="G21" i="9"/>
  <c r="H21" i="9"/>
  <c r="G22" i="9"/>
  <c r="H22" i="9"/>
  <c r="G23" i="9"/>
  <c r="H23" i="9"/>
  <c r="D14" i="7"/>
  <c r="E14" i="7"/>
  <c r="D15" i="7"/>
  <c r="E15" i="7"/>
  <c r="D16" i="7"/>
  <c r="E16" i="7"/>
  <c r="D17" i="7"/>
  <c r="E17" i="7"/>
  <c r="E13" i="7"/>
  <c r="D13" i="7"/>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<sst xmlns="http://schemas.openxmlformats.org/spreadsheetml/2006/main" count="1238" uniqueCount="76">
  <si>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</si>
  <si>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</si>
  <si>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</si>
  <si>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</si>
  <si>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</si>
  <si>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</si>
  <si>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</si>
  <si>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</si>
  <si>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</si>
  <si>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</si>
  <si>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</si>
  <si>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</si>
  <si>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</si>
  <si>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</si>
  <si>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</si>
  <si>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</si>
  <si>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</si>
  <si>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</si>
  <si>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</si>
  <si>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</si>
  <si>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</si>
  <si>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</si>
  <si>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</si>
  <si>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</si>
  <si>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</si>
  <si>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</si>
  <si>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</si>
  <si>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</si>
  <si>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</si>
  <si>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</si>
  <si>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</si>
  <si>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</si>
  <si>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</si>
  <si>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</si>
  <si>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</si>
  <si>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</si>
  <si>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Evaluating Sales Person KPI</t>
  </si>
  <si>
    <t>Grand Total</t>
  </si>
  <si>
    <t>Sum of Total Calls</t>
  </si>
  <si>
    <t>Sum of Calls Reached</t>
  </si>
  <si>
    <t>Sum of Deals Closed</t>
  </si>
  <si>
    <t>Sum of Deal Value ($)</t>
  </si>
  <si>
    <t>Values</t>
  </si>
  <si>
    <t xml:space="preserve"> Total Calls</t>
  </si>
  <si>
    <t xml:space="preserve"> Calls Reached</t>
  </si>
  <si>
    <t xml:space="preserve"> Deals Closed</t>
  </si>
  <si>
    <t xml:space="preserve"> Deal Value ($)</t>
  </si>
  <si>
    <t>Jan</t>
  </si>
  <si>
    <t>Feb</t>
  </si>
  <si>
    <t>Mar</t>
  </si>
  <si>
    <t>Apr</t>
  </si>
  <si>
    <t>May</t>
  </si>
  <si>
    <t>Jun</t>
  </si>
  <si>
    <t>Jul</t>
  </si>
  <si>
    <t>Aug</t>
  </si>
  <si>
    <t>Sep</t>
  </si>
  <si>
    <t>Oct</t>
  </si>
  <si>
    <t>Nov</t>
  </si>
  <si>
    <t>Dec</t>
  </si>
  <si>
    <t>Months (Date)</t>
  </si>
  <si>
    <t>Sum of Average Duration (sec)</t>
  </si>
  <si>
    <t>Sum of Call Drop Rate (%)</t>
  </si>
  <si>
    <t>Region</t>
  </si>
  <si>
    <t>Service Level</t>
  </si>
  <si>
    <t>Dhaka</t>
  </si>
  <si>
    <t>Rangpur</t>
  </si>
  <si>
    <t>Sylhet</t>
  </si>
  <si>
    <t>Chittagong</t>
  </si>
  <si>
    <t>Barisal</t>
  </si>
  <si>
    <t>Evaluation of Sales KPI</t>
  </si>
  <si>
    <t>Row Labels</t>
  </si>
  <si>
    <t>Names</t>
  </si>
  <si>
    <t>Average of Service Level</t>
  </si>
  <si>
    <t>Evaluation of KPI</t>
  </si>
  <si>
    <t>Division</t>
  </si>
  <si>
    <t>Avg. Service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</si>
</sst>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_(* #,##0.0_);_(* \(#,##0.0\);_(* &quot;-&quot;??_);_(@_)"/>
    <numFmt numFmtId="168" formatCode="_(&quot;$&quot;* #,##0.0_);_(&quot;$&quot;* \(#,##0.0\);_(&quot;$&quot;* &quot;-&quot;??_);_(@_)"/>
  </numFmts>
  <fonts count="13" x14ac:knownFonts="1">
    <font>
      <sz val="11"/>
      <color theme="1"/>
      <name val="Aptos Narrow"/>
      <family val="2"/>
      <scheme val="minor"/>
    </font>
    <font>
      <sz val="11"/>
      <color theme="1"/>
      <name val="Aptos Narrow"/>
      <family val="2"/>
      <scheme val="minor"/>
    </font>
    <font>
      <sz val="36"/>
      <color theme="0"/>
      <name val="Aptos Narrow"/>
      <family val="2"/>
      <scheme val="minor"/>
    </font>
    <font>
      <sz val="14"/>
      <color rgb="FFFFC000"/>
      <name val="Aptos Narrow"/>
      <family val="2"/>
      <scheme val="minor"/>
    </font>
    <font>
      <sz val="26"/>
      <color theme="0"/>
      <name val="Aptos Narrow"/>
      <family val="2"/>
      <scheme val="minor"/>
    </font>
    <font>
      <sz val="14"/>
      <color theme="4" tint="0.59999389629810485"/>
      <name val="Aptos Narrow"/>
      <family val="2"/>
      <scheme val="minor"/>
    </font>
    <font>
      <sz val="22"/>
      <color theme="0"/>
      <name val="Aptos Narrow"/>
      <family val="2"/>
      <scheme val="minor"/>
    </font>
    <font>
      <sz val="11"/>
      <color rgb="FFFFC000"/>
      <name val="Aptos Narrow"/>
      <family val="2"/>
      <scheme val="minor"/>
    </font>
    <font>
      <b/>
      <sz val="11"/>
      <color theme="1"/>
      <name val="Aptos Narrow"/>
      <family val="2"/>
      <scheme val="minor"/>
    </font>
    <font>
      <sz val="11"/>
      <color theme="0"/>
      <name val="Aptos Narrow"/>
      <family val="2"/>
      <scheme val="minor"/>
    </font>
    <font>
      <sz val="20"/>
      <color theme="2" tint="-9.9978637043366805E-2"/>
      <name val="Aptos Narrow"/>
      <family val="2"/>
      <scheme val="minor"/>
    </font>
    <font>
      <b/>
      <sz val="20"/>
      <color theme="2" tint="-9.9978637043366805E-2"/>
      <name val="Aptos Narrow"/>
      <family val="2"/>
      <scheme val="minor"/>
    </font>
    <font>
      <sz val="20"/>
      <color theme="1"/>
      <name val="Aptos Narrow"/>
      <family val="2"/>
      <scheme val="minor"/>
    </font>
  </fonts>
  <fills count="8">
    <fill>
      <patternFill patternType="none"/>
    </fill>
    <fill>
      <patternFill patternType="gray125"/>
    </fill>
    <fill>
      <patternFill patternType="solid">
        <fgColor theme="8" tint="0.39997558519241921"/>
        <bgColor indexed="64"/>
      </patternFill>
    </fill>
    <fill>
      <patternFill patternType="solid">
        <fgColor theme="0" tint="-4.9989318521683403E-2"/>
        <bgColor indexed="64"/>
      </patternFill>
    </fill>
    <fill>
      <patternFill patternType="solid">
        <fgColor theme="8"/>
        <bgColor indexed="64"/>
      </patternFill>
    </fill>
    <fill>
      <patternFill patternType="solid">
        <fgColor rgb="FFF2EFF5"/>
        <bgColor indexed="64"/>
      </patternFill>
    </fill>
    <fill>
      <patternFill patternType="solid">
        <fgColor rgb="FF7030A0"/>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14" fontId="0" fillId="0" borderId="0" xfId="0" applyNumberFormat="1"/>
    <xf numFmtId="9" fontId="0" fillId="0" borderId="0" xfId="1" applyFont="1"/>
    <xf numFmtId="0" fontId="0" fillId="2" borderId="0" xfId="0" applyFill="1"/>
    <xf numFmtId="0" fontId="2" fillId="2" borderId="0" xfId="0" applyFont="1" applyFill="1"/>
    <xf numFmtId="0" fontId="3" fillId="2" borderId="0" xfId="0" applyFont="1" applyFill="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44" fontId="0" fillId="0" borderId="0" xfId="0" applyNumberFormat="1"/>
    <xf numFmtId="165" fontId="0" fillId="0" borderId="0" xfId="0" applyNumberFormat="1"/>
    <xf numFmtId="0" fontId="0" fillId="3" borderId="0" xfId="0" applyFill="1"/>
    <xf numFmtId="9" fontId="0" fillId="0" borderId="0" xfId="0" applyNumberFormat="1"/>
    <xf numFmtId="0" fontId="0" fillId="4" borderId="0" xfId="0" applyFill="1"/>
    <xf numFmtId="0" fontId="0" fillId="5" borderId="0" xfId="0" applyFill="1"/>
    <xf numFmtId="0" fontId="4" fillId="4" borderId="0" xfId="0" applyFont="1" applyFill="1"/>
    <xf numFmtId="0" fontId="5" fillId="4" borderId="0" xfId="0" applyFont="1" applyFill="1"/>
    <xf numFmtId="166" fontId="0" fillId="0" borderId="0" xfId="0" applyNumberFormat="1"/>
    <xf numFmtId="166" fontId="0" fillId="0" borderId="0" xfId="0" applyNumberFormat="1" applyAlignment="1">
      <alignment horizontal="left"/>
    </xf>
    <xf numFmtId="0" fontId="0" fillId="6" borderId="0" xfId="0" applyFill="1"/>
    <xf numFmtId="0" fontId="7" fillId="6" borderId="0" xfId="0" applyFont="1" applyFill="1" applyAlignment="1">
      <alignment vertical="center"/>
    </xf>
    <xf numFmtId="0" fontId="6" fillId="6" borderId="0" xfId="0" applyFont="1" applyFill="1" applyAlignment="1">
      <alignment horizontal="left" vertical="center"/>
    </xf>
    <xf numFmtId="0" fontId="0" fillId="5" borderId="0" xfId="0" applyFill="1" applyAlignment="1">
      <alignment horizontal="left"/>
    </xf>
    <xf numFmtId="165" fontId="0" fillId="5" borderId="0" xfId="0" applyNumberFormat="1" applyFill="1"/>
    <xf numFmtId="2" fontId="0" fillId="0" borderId="0" xfId="0" applyNumberFormat="1"/>
    <xf numFmtId="0" fontId="0" fillId="0" borderId="0" xfId="0" applyNumberFormat="1"/>
    <xf numFmtId="0" fontId="0" fillId="5" borderId="0" xfId="0" applyNumberFormat="1" applyFill="1"/>
    <xf numFmtId="0" fontId="0" fillId="7" borderId="0" xfId="0" applyFill="1"/>
    <xf numFmtId="0" fontId="10" fillId="7" borderId="0" xfId="0" applyFont="1" applyFill="1"/>
    <xf numFmtId="0" fontId="9" fillId="7" borderId="0" xfId="0" applyFont="1" applyFill="1"/>
    <xf numFmtId="0" fontId="11" fillId="7" borderId="0" xfId="0" applyFont="1" applyFill="1"/>
    <xf numFmtId="168" fontId="0" fillId="0" borderId="0" xfId="0" applyNumberFormat="1"/>
    <xf numFmtId="0" fontId="8" fillId="0" borderId="0" xfId="0" applyFont="1"/>
    <xf numFmtId="0" fontId="12" fillId="5" borderId="0" xfId="0" applyFont="1" applyFill="1"/>
    <xf numFmtId="0" fontId="0" fillId="0" borderId="0" xfId="0" applyAlignment="1">
      <alignment vertical="center"/>
    </xf>
    <xf numFmtId="44" fontId="0" fillId="0" borderId="0" xfId="0" applyNumberFormat="1" applyAlignment="1">
      <alignment vertical="center"/>
    </xf>
    <xf numFmtId="0" fontId="0" fillId="0" borderId="0" xfId="0" applyNumberFormat="1" applyAlignment="1">
      <alignment vertical="center"/>
    </xf>
  </cellXfs>
  <cellStyles count="2">
    <cellStyle name="Normal" xfId="0" builtinId="0"/>
    <cellStyle name="Percent" xfId="1" builtinId="5"/>
  </cellStyles>
  <dxfs count="1082">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6" formatCode="_(* #,##0.0_);_(* \(#,##0.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168" formatCode="_(&quot;$&quot;* #,##0.0_);_(&quot;$&quot;* \(#,##0.0\);_(&quot;$&quot;* &quot;-&quot;??_);_(@_)"/>
    </dxf>
    <dxf>
      <numFmt numFmtId="164" formatCode="_(* #,##0_);_(* \(#,##0\);_(* &quot;-&quot;??_);_(@_)"/>
    </dxf>
    <dxf>
      <numFmt numFmtId="168" formatCode="_(&quot;$&quot;* #,##0.0_);_(&quot;$&quot;* \(#,##0.0\);_(&quot;$&quot;* &quot;-&quot;??_);_(@_)"/>
    </dxf>
    <dxf>
      <numFmt numFmtId="34" formatCode="_(&quot;$&quot;* #,##0.00_);_(&quot;$&quot;* \(#,##0.00\);_(&quot;$&quot;* &quot;-&quot;??_);_(@_)"/>
    </dxf>
    <dxf>
      <numFmt numFmtId="34" formatCode="_(&quot;$&quot;* #,##0.00_);_(&quot;$&quot;* \(#,##0.00\);_(&quot;$&quot;* &quot;-&quot;??_);_(@_)"/>
    </dxf>
    <dxf>
      <alignment vertical="center"/>
    </dxf>
    <dxf>
      <alignment vertical="center"/>
    </dxf>
    <dxf>
      <numFmt numFmtId="0" formatCode="General"/>
    </dxf>
    <dxf>
      <numFmt numFmtId="166" formatCode="_(* #,##0.0_);_(* \(#,##0.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164" formatCode="_(* #,##0_);_(* \(#,##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6" formatCode="_(* #,##0.0_);_(* \(#,##0.0\);_(* &quot;-&quot;??_);_(@_)"/>
    </dxf>
    <dxf>
      <numFmt numFmtId="166" formatCode="_(* #,##0.0_);_(* \(#,##0.0\);_(* &quot;-&quot;??_);_(@_)"/>
    </dxf>
    <dxf>
      <numFmt numFmtId="164" formatCode="_(* #,##0_);_(* \(#,##0\);_(* &quot;-&quot;??_);_(@_)"/>
    </dxf>
    <dxf>
      <numFmt numFmtId="166" formatCode="_(* #,##0.0_);_(* \(#,##0.0\);_(* &quot;-&quot;??_);_(@_)"/>
    </dxf>
    <dxf>
      <numFmt numFmtId="166" formatCode="_(* #,##0.0_);_(* \(#,##0.0\);_(* &quot;-&quot;??_);_(@_)"/>
    </dxf>
    <dxf>
      <numFmt numFmtId="166" formatCode="_(* #,##0.0_);_(* \(#,##0.0\);_(* &quot;-&quot;??_);_(@_)"/>
    </dxf>
    <dxf>
      <numFmt numFmtId="165" formatCode="_(&quot;$&quot;* #,##0_);_(&quot;$&quot;* \(#,##0\);_(&quot;$&quot;* &quot;-&quot;??_);_(@_)"/>
    </dxf>
    <dxf>
      <numFmt numFmtId="164" formatCode="_(* #,##0_);_(* \(#,##0\);_(*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164" formatCode="_(* #,##0_);_(* \(#,##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6" formatCode="_(* #,##0.0_);_(* \(#,##0.0\);_(* &quot;-&quot;??_);_(@_)"/>
    </dxf>
    <dxf>
      <numFmt numFmtId="166" formatCode="_(* #,##0.0_);_(* \(#,##0.0\);_(* &quot;-&quot;??_);_(@_)"/>
    </dxf>
    <dxf>
      <numFmt numFmtId="164" formatCode="_(* #,##0_);_(* \(#,##0\);_(* &quot;-&quot;??_);_(@_)"/>
    </dxf>
    <dxf>
      <numFmt numFmtId="166" formatCode="_(* #,##0.0_);_(* \(#,##0.0\);_(* &quot;-&quot;??_);_(@_)"/>
    </dxf>
    <dxf>
      <numFmt numFmtId="166" formatCode="_(* #,##0.0_);_(* \(#,##0.0\);_(* &quot;-&quot;??_);_(@_)"/>
    </dxf>
    <dxf>
      <numFmt numFmtId="166" formatCode="_(* #,##0.0_);_(* \(#,##0.0\);_(* &quot;-&quot;??_);_(@_)"/>
    </dxf>
    <dxf>
      <numFmt numFmtId="165" formatCode="_(&quot;$&quot;* #,##0_);_(&quot;$&quot;* \(#,##0\);_(&quot;$&quot;* &quot;-&quot;??_);_(@_)"/>
    </dxf>
    <dxf>
      <numFmt numFmtId="164" formatCode="_(* #,##0_);_(* \(#,##0\);_(*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164" formatCode="_(* #,##0_);_(* \(#,##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6" formatCode="_(* #,##0.0_);_(* \(#,##0.0\);_(* &quot;-&quot;??_);_(@_)"/>
    </dxf>
    <dxf>
      <numFmt numFmtId="166" formatCode="_(* #,##0.0_);_(* \(#,##0.0\);_(* &quot;-&quot;??_);_(@_)"/>
    </dxf>
    <dxf>
      <numFmt numFmtId="164" formatCode="_(* #,##0_);_(* \(#,##0\);_(* &quot;-&quot;??_);_(@_)"/>
    </dxf>
    <dxf>
      <numFmt numFmtId="166" formatCode="_(* #,##0.0_);_(* \(#,##0.0\);_(* &quot;-&quot;??_);_(@_)"/>
    </dxf>
    <dxf>
      <numFmt numFmtId="166" formatCode="_(* #,##0.0_);_(* \(#,##0.0\);_(* &quot;-&quot;??_);_(@_)"/>
    </dxf>
    <dxf>
      <numFmt numFmtId="166" formatCode="_(* #,##0.0_);_(* \(#,##0.0\);_(* &quot;-&quot;??_);_(@_)"/>
    </dxf>
    <dxf>
      <numFmt numFmtId="165" formatCode="_(&quot;$&quot;* #,##0_);_(&quot;$&quot;* \(#,##0\);_(&quot;$&quot;* &quot;-&quot;??_);_(@_)"/>
    </dxf>
    <dxf>
      <numFmt numFmtId="164" formatCode="_(* #,##0_);_(* \(#,##0\);_(*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164" formatCode="_(* #,##0_);_(* \(#,##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6" formatCode="_(* #,##0.0_);_(* \(#,##0.0\);_(* &quot;-&quot;??_);_(@_)"/>
    </dxf>
    <dxf>
      <numFmt numFmtId="166" formatCode="_(* #,##0.0_);_(* \(#,##0.0\);_(* &quot;-&quot;??_);_(@_)"/>
    </dxf>
    <dxf>
      <numFmt numFmtId="164" formatCode="_(* #,##0_);_(* \(#,##0\);_(* &quot;-&quot;??_);_(@_)"/>
    </dxf>
    <dxf>
      <numFmt numFmtId="166" formatCode="_(* #,##0.0_);_(* \(#,##0.0\);_(* &quot;-&quot;??_);_(@_)"/>
    </dxf>
    <dxf>
      <numFmt numFmtId="166" formatCode="_(* #,##0.0_);_(* \(#,##0.0\);_(* &quot;-&quot;??_);_(@_)"/>
    </dxf>
    <dxf>
      <numFmt numFmtId="166" formatCode="_(* #,##0.0_);_(* \(#,##0.0\);_(* &quot;-&quot;??_);_(@_)"/>
    </dxf>
    <dxf>
      <numFmt numFmtId="165" formatCode="_(&quot;$&quot;* #,##0_);_(&quot;$&quot;* \(#,##0\);_(&quot;$&quot;* &quot;-&quot;??_);_(@_)"/>
    </dxf>
    <dxf>
      <numFmt numFmtId="164" formatCode="_(* #,##0_);_(* \(#,##0\);_(*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164" formatCode="_(* #,##0_);_(* \(#,##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6" formatCode="_(* #,##0.0_);_(* \(#,##0.0\);_(* &quot;-&quot;??_);_(@_)"/>
    </dxf>
    <dxf>
      <numFmt numFmtId="166" formatCode="_(* #,##0.0_);_(* \(#,##0.0\);_(* &quot;-&quot;??_);_(@_)"/>
    </dxf>
    <dxf>
      <numFmt numFmtId="164" formatCode="_(* #,##0_);_(* \(#,##0\);_(* &quot;-&quot;??_);_(@_)"/>
    </dxf>
    <dxf>
      <numFmt numFmtId="166" formatCode="_(* #,##0.0_);_(* \(#,##0.0\);_(* &quot;-&quot;??_);_(@_)"/>
    </dxf>
    <dxf>
      <numFmt numFmtId="166" formatCode="_(* #,##0.0_);_(* \(#,##0.0\);_(* &quot;-&quot;??_);_(@_)"/>
    </dxf>
    <dxf>
      <numFmt numFmtId="166" formatCode="_(* #,##0.0_);_(* \(#,##0.0\);_(* &quot;-&quot;??_);_(@_)"/>
    </dxf>
    <dxf>
      <numFmt numFmtId="165" formatCode="_(&quot;$&quot;* #,##0_);_(&quot;$&quot;* \(#,##0\);_(&quot;$&quot;* &quot;-&quot;??_);_(@_)"/>
    </dxf>
    <dxf>
      <numFmt numFmtId="164" formatCode="_(* #,##0_);_(* \(#,##0\);_(*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164" formatCode="_(* #,##0_);_(* \(#,##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6" formatCode="_(* #,##0.0_);_(* \(#,##0.0\);_(* &quot;-&quot;??_);_(@_)"/>
    </dxf>
    <dxf>
      <numFmt numFmtId="166" formatCode="_(* #,##0.0_);_(* \(#,##0.0\);_(* &quot;-&quot;??_);_(@_)"/>
    </dxf>
    <dxf>
      <numFmt numFmtId="164" formatCode="_(* #,##0_);_(* \(#,##0\);_(* &quot;-&quot;??_);_(@_)"/>
    </dxf>
    <dxf>
      <numFmt numFmtId="166" formatCode="_(* #,##0.0_);_(* \(#,##0.0\);_(* &quot;-&quot;??_);_(@_)"/>
    </dxf>
    <dxf>
      <numFmt numFmtId="166" formatCode="_(* #,##0.0_);_(* \(#,##0.0\);_(* &quot;-&quot;??_);_(@_)"/>
    </dxf>
    <dxf>
      <numFmt numFmtId="166" formatCode="_(* #,##0.0_);_(* \(#,##0.0\);_(* &quot;-&quot;??_);_(@_)"/>
    </dxf>
    <dxf>
      <numFmt numFmtId="165" formatCode="_(&quot;$&quot;* #,##0_);_(&quot;$&quot;* \(#,##0\);_(&quot;$&quot;* &quot;-&quot;??_);_(@_)"/>
    </dxf>
    <dxf>
      <numFmt numFmtId="164" formatCode="_(* #,##0_);_(* \(#,##0\);_(*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164" formatCode="_(* #,##0_);_(* \(#,##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6" formatCode="_(* #,##0.0_);_(* \(#,##0.0\);_(* &quot;-&quot;??_);_(@_)"/>
    </dxf>
    <dxf>
      <numFmt numFmtId="166" formatCode="_(* #,##0.0_);_(* \(#,##0.0\);_(* &quot;-&quot;??_);_(@_)"/>
    </dxf>
    <dxf>
      <numFmt numFmtId="164" formatCode="_(* #,##0_);_(* \(#,##0\);_(* &quot;-&quot;??_);_(@_)"/>
    </dxf>
    <dxf>
      <numFmt numFmtId="166" formatCode="_(* #,##0.0_);_(* \(#,##0.0\);_(* &quot;-&quot;??_);_(@_)"/>
    </dxf>
    <dxf>
      <numFmt numFmtId="166" formatCode="_(* #,##0.0_);_(* \(#,##0.0\);_(* &quot;-&quot;??_);_(@_)"/>
    </dxf>
    <dxf>
      <numFmt numFmtId="166" formatCode="_(* #,##0.0_);_(* \(#,##0.0\);_(* &quot;-&quot;??_);_(@_)"/>
    </dxf>
    <dxf>
      <numFmt numFmtId="165" formatCode="_(&quot;$&quot;* #,##0_);_(&quot;$&quot;* \(#,##0\);_(&quot;$&quot;* &quot;-&quot;??_);_(@_)"/>
    </dxf>
    <dxf>
      <numFmt numFmtId="164" formatCode="_(* #,##0_);_(* \(#,##0\);_(*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numFmt numFmtId="34" formatCode="_(&quot;$&quot;* #,##0.00_);_(&quot;$&quot;* \(#,##0.00\);_(&quot;$&quot;* &quot;-&quot;??_);_(@_)"/>
    </dxf>
    <dxf>
      <alignment vertical="center"/>
    </dxf>
    <dxf>
      <alignment vertical="center"/>
    </dxf>
    <dxf>
      <numFmt numFmtId="0" formatCode="Genera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164" formatCode="_(* #,##0_);_(* \(#,##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6" formatCode="_(* #,##0.0_);_(* \(#,##0.0\);_(* &quot;-&quot;??_);_(@_)"/>
    </dxf>
    <dxf>
      <numFmt numFmtId="166" formatCode="_(* #,##0.0_);_(* \(#,##0.0\);_(* &quot;-&quot;??_);_(@_)"/>
    </dxf>
    <dxf>
      <numFmt numFmtId="164" formatCode="_(* #,##0_);_(* \(#,##0\);_(* &quot;-&quot;??_);_(@_)"/>
    </dxf>
    <dxf>
      <numFmt numFmtId="166" formatCode="_(* #,##0.0_);_(* \(#,##0.0\);_(* &quot;-&quot;??_);_(@_)"/>
    </dxf>
    <dxf>
      <numFmt numFmtId="166" formatCode="_(* #,##0.0_);_(* \(#,##0.0\);_(* &quot;-&quot;??_);_(@_)"/>
    </dxf>
    <dxf>
      <numFmt numFmtId="166" formatCode="_(* #,##0.0_);_(* \(#,##0.0\);_(* &quot;-&quot;??_);_(@_)"/>
    </dxf>
    <dxf>
      <numFmt numFmtId="165" formatCode="_(&quot;$&quot;* #,##0_);_(&quot;$&quot;* \(#,##0\);_(&quot;$&quot;* &quot;-&quot;??_);_(@_)"/>
    </dxf>
    <dxf>
      <numFmt numFmtId="164" formatCode="_(* #,##0_);_(* \(#,##0\);_(*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0" formatCode="General"/>
    </dxf>
    <dxf>
      <numFmt numFmtId="34" formatCode="_(&quot;$&quot;* #,##0.00_);_(&quot;$&quot;* \(#,##0.00\);_(&quot;$&quot;* &quot;-&quot;??_);_(@_)"/>
    </dxf>
    <dxf>
      <alignment vertical="center"/>
    </dxf>
    <dxf>
      <alignment vertical="center"/>
    </dxf>
    <dxf>
      <numFmt numFmtId="0" formatCode="General"/>
    </dxf>
    <dxf>
      <numFmt numFmtId="34" formatCode="_(&quot;$&quot;* #,##0.00_);_(&quot;$&quot;* \(#,##0.00\);_(&quot;$&quot;* &quot;-&quot;??_);_(@_)"/>
    </dxf>
    <dxf>
      <alignment vertical="center"/>
    </dxf>
    <dxf>
      <alignment vertical="center"/>
    </dxf>
    <dxf>
      <numFmt numFmtId="0" formatCode="General"/>
    </dxf>
    <dxf>
      <numFmt numFmtId="34" formatCode="_(&quot;$&quot;* #,##0.00_);_(&quot;$&quot;* \(#,##0.00\);_(&quot;$&quot;* &quot;-&quot;??_);_(@_)"/>
    </dxf>
    <dxf>
      <alignment vertical="center"/>
    </dxf>
    <dxf>
      <alignment vertical="center"/>
    </dxf>
    <dxf>
      <numFmt numFmtId="0" formatCode="General"/>
    </dxf>
    <dxf>
      <numFmt numFmtId="34" formatCode="_(&quot;$&quot;* #,##0.00_);_(&quot;$&quot;* \(#,##0.00\);_(&quot;$&quot;* &quot;-&quot;??_);_(@_)"/>
    </dxf>
    <dxf>
      <alignment vertical="center"/>
    </dxf>
    <dxf>
      <alignment vertical="center"/>
    </dxf>
    <dxf>
      <numFmt numFmtId="0" formatCode="General"/>
    </dxf>
    <dxf>
      <numFmt numFmtId="34" formatCode="_(&quot;$&quot;* #,##0.00_);_(&quot;$&quot;* \(#,##0.00\);_(&quot;$&quot;* &quot;-&quot;??_);_(@_)"/>
    </dxf>
    <dxf>
      <alignment vertical="center"/>
    </dxf>
    <dxf>
      <alignment vertical="center"/>
    </dxf>
    <dxf>
      <numFmt numFmtId="0" formatCode="General"/>
    </dxf>
    <dxf>
      <numFmt numFmtId="0" formatCode="General"/>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34" formatCode="_(&quot;$&quot;* #,##0.00_);_(&quot;$&quot;* \(#,##0.00\);_(&quot;$&quot;* &quot;-&quot;??_);_(@_)"/>
    </dxf>
    <dxf>
      <alignment vertical="center"/>
    </dxf>
    <dxf>
      <alignment vertical="center"/>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4" formatCode="_(* #,##0_);_(* \(#,##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numFmt numFmtId="165" formatCode="_(&quot;$&quot;* #,##0_);_(&quot;$&quot;* \(#,##0\);_(&quot;$&quot;*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4" formatCode="_(&quot;$&quot;* #,##0.00_);_(&quot;$&quot;* \(#,##0.00\);_(&quot;$&quot;* &quot;-&quot;??_);_(@_)"/>
    </dxf>
    <dxf>
      <alignment vertical="center"/>
    </dxf>
    <dxf>
      <alignment vertical="center"/>
    </dxf>
    <dxf>
      <numFmt numFmtId="34" formatCode="_(&quot;$&quot;* #,##0.00_);_(&quot;$&quot;* \(#,##0.00\);_(&quot;$&quot;* &quot;-&quot;??_);_(@_)"/>
    </dxf>
    <dxf>
      <alignment vertical="center"/>
    </dxf>
    <dxf>
      <alignment vertical="center"/>
    </dxf>
    <dxf>
      <numFmt numFmtId="34" formatCode="_(&quot;$&quot;* #,##0.00_);_(&quot;$&quot;* \(#,##0.00\);_(&quot;$&quot;* &quot;-&quot;??_);_(@_)"/>
    </dxf>
    <dxf>
      <alignment vertical="center"/>
    </dxf>
    <dxf>
      <alignment vertical="center"/>
    </dxf>
    <dxf>
      <alignment vertical="center"/>
    </dxf>
    <dxf>
      <alignment vertical="center"/>
    </dxf>
    <dxf>
      <numFmt numFmtId="34" formatCode="_(&quot;$&quot;* #,##0.00_);_(&quot;$&quot;* \(#,##0.00\);_(&quot;$&quot;* &quot;-&quot;??_);_(@_)"/>
    </dxf>
    <dxf>
      <numFmt numFmtId="164" formatCode="_(* #,##0_);_(* \(#,##0\);_(* &quot;-&quot;??_);_(@_)"/>
    </dxf>
    <dxf>
      <numFmt numFmtId="34" formatCode="_(&quot;$&quot;* #,##0.00_);_(&quot;$&quot;* \(#,##0.00\);_(&quot;$&quot;* &quot;-&quot;??_);_(@_)"/>
    </dxf>
    <dxf>
      <numFmt numFmtId="168" formatCode="_(&quot;$&quot;* #,##0.0_);_(&quot;$&quot;* \(#,##0.0\);_(&quot;$&quot;* &quot;-&quot;??_);_(@_)"/>
    </dxf>
    <dxf>
      <numFmt numFmtId="168" formatCode="_(&quot;$&quot;* #,##0.0_);_(&quot;$&quot;* \(#,##0.0\);_(&quot;$&quot;* &quot;-&quot;??_);_(@_)"/>
    </dxf>
    <dxf>
      <numFmt numFmtId="164" formatCode="_(* #,##0_);_(* \(#,##0\);_(* &quot;-&quot;??_);_(@_)"/>
    </dxf>
    <dxf>
      <numFmt numFmtId="35" formatCode="_(* #,##0.00_);_(* \(#,##0.00\);_(* &quot;-&quot;??_);_(@_)"/>
    </dxf>
    <dxf>
      <numFmt numFmtId="13" formatCode="0%"/>
    </dxf>
    <dxf>
      <numFmt numFmtId="35" formatCode="_(* #,##0.00_);_(* \(#,##0.00\);_(* &quot;-&quot;??_);_(@_)"/>
    </dxf>
    <dxf>
      <numFmt numFmtId="34" formatCode="_(&quot;$&quot;* #,##0.00_);_(&quot;$&quot;* \(#,##0.00\);_(&quot;$&quot;* &quot;-&quot;??_);_(@_)"/>
    </dxf>
    <dxf>
      <numFmt numFmtId="164" formatCode="_(* #,##0_);_(* \(#,##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7" formatCode="d/mm/yyyy"/>
    </dxf>
    <dxf>
      <fill>
        <patternFill patternType="solid">
          <bgColor theme="0" tint="-4.9989318521683403E-2"/>
        </patternFill>
      </fill>
    </dxf>
    <dxf>
      <fill>
        <patternFill patternType="solid">
          <bgColor theme="0" tint="-4.9989318521683403E-2"/>
        </patternFill>
      </fill>
    </dxf>
    <dxf>
      <numFmt numFmtId="165" formatCode="_(&quot;$&quot;* #,##0_);_(&quot;$&quot;* \(#,##0\);_(&quot;$&quot;* &quot;-&quot;??_);_(@_)"/>
    </dxf>
    <dxf>
      <numFmt numFmtId="166" formatCode="_(* #,##0.0_);_(* \(#,##0.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7" formatCode="d/mm/yyyy"/>
    </dxf>
    <dxf>
      <numFmt numFmtId="166" formatCode="_(* #,##0.0_);_(* \(#,##0.0\);_(* &quot;-&quot;??_);_(@_)"/>
    </dxf>
    <dxf>
      <numFmt numFmtId="166" formatCode="_(* #,##0.0_);_(* \(#,##0.0\);_(* &quot;-&quot;??_);_(@_)"/>
    </dxf>
    <dxf>
      <numFmt numFmtId="166" formatCode="_(* #,##0.0_);_(* \(#,##0.0\);_(* &quot;-&quot;??_);_(@_)"/>
    </dxf>
    <dxf>
      <numFmt numFmtId="164" formatCode="_(* #,##0_);_(* \(#,##0\);_(* &quot;-&quot;??_);_(@_)"/>
    </dxf>
    <dxf>
      <numFmt numFmtId="165" formatCode="_(&quot;$&quot;* #,##0_);_(&quot;$&quot;* \(#,##0\);_(&quot;$&quot;* &quot;-&quot;??_);_(@_)"/>
    </dxf>
    <dxf>
      <numFmt numFmtId="164" formatCode="_(* #,##0_);_(* \(#,##0\);_(* &quot;-&quot;??_);_(@_)"/>
    </dxf>
    <dxf>
      <numFmt numFmtId="166" formatCode="_(* #,##0.0_);_(* \(#,##0.0\);_(* &quot;-&quot;??_);_(@_)"/>
    </dxf>
    <dxf>
      <numFmt numFmtId="166" formatCode="_(* #,##0.0_);_(* \(#,##0.0\);_(* &quot;-&quot;??_);_(@_)"/>
    </dxf>
    <dxf>
      <numFmt numFmtId="164" formatCode="_(* #,##0_);_(* \(#,##0\);_(* &quot;-&quot;??_);_(@_)"/>
    </dxf>
    <dxf>
      <numFmt numFmtId="164" formatCode="_(* #,##0_);_(* \(#,##0\);_(* &quot;-&quot;??_);_(@_)"/>
    </dxf>
  </dxfs>
  <tableStyles count="1" defaultTableStyle="TableStyleMedium2" defaultPivotStyle="PivotStyleLight16">
    <tableStyle name="Invisible" pivot="0" table="0" count="0" xr9:uid="{825DE3AE-B40F-4271-9FCB-5B920B3A79A8}"/>
  </tableStyles>
  <colors>
    <mruColors>
      <color rgb="FFFFFF66"/>
      <color rgb="FFF2EFF5"/>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Dashboard.xlsx]Calculation!PivotTable5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94225721784777"/>
          <c:y val="9.1817053187630698E-2"/>
          <c:w val="0.68134470691163607"/>
          <c:h val="0.8011540091003545"/>
        </c:manualLayout>
      </c:layout>
      <c:barChart>
        <c:barDir val="bar"/>
        <c:grouping val="clustered"/>
        <c:varyColors val="0"/>
        <c:ser>
          <c:idx val="0"/>
          <c:order val="0"/>
          <c:tx>
            <c:strRef>
              <c:f>Calculation!$C$22</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Calculation!$B$23:$B$35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Calculation!$C$23:$C$35</c:f>
              <c:numCache>
                <c:formatCode>_(* #,##0_);_(* \(#,##0\);_(* "-"??_);_(@_)</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47E7-4E2E-AFE5-0D2F157249C4}"/>
            </c:ext>
          </c:extLst>
        </c:ser>
        <c:dLbls>
          <c:showLegendKey val="0"/>
          <c:showVal val="0"/>
          <c:showCatName val="0"/>
          <c:showSerName val="0"/>
          <c:showPercent val="0"/>
          <c:showBubbleSize val="0"/>
        </c:dLbls>
        <c:gapWidth val="27"/>
        <c:axId val="1325961392"/>
        <c:axId val="1325961872"/>
      </c:barChart>
      <c:catAx>
        <c:axId val="132596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61872"/>
        <c:crosses val="autoZero"/>
        <c:auto val="1"/>
        <c:lblAlgn val="ctr"/>
        <c:lblOffset val="100"/>
        <c:noMultiLvlLbl val="0"/>
      </c:catAx>
      <c:valAx>
        <c:axId val="1325961872"/>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6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Value By Month</a:t>
            </a:r>
          </a:p>
        </c:rich>
      </c:tx>
      <c:layout>
        <c:manualLayout>
          <c:xMode val="edge"/>
          <c:yMode val="edge"/>
          <c:x val="0.32857188214376432"/>
          <c:y val="2.0520036835080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Analysis!$B$13</c:f>
              <c:strCache>
                <c:ptCount val="1"/>
                <c:pt idx="0">
                  <c:v>Total</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Analysis!$B$14:$B$26</c:f>
              <c:numCache>
                <c:formatCode>_("$"* #,##0.0_);_("$"* \(#,##0.0\);_("$"* "-"??_);_(@_)</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5602-4FB5-8F73-09B1EE9BFE8B}"/>
            </c:ext>
          </c:extLst>
        </c:ser>
        <c:dLbls>
          <c:showLegendKey val="0"/>
          <c:showVal val="0"/>
          <c:showCatName val="0"/>
          <c:showSerName val="0"/>
          <c:showPercent val="0"/>
          <c:showBubbleSize val="0"/>
        </c:dLbls>
        <c:gapWidth val="14"/>
        <c:overlap val="-20"/>
        <c:axId val="1706937824"/>
        <c:axId val="1706934944"/>
      </c:barChart>
      <c:catAx>
        <c:axId val="170693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934944"/>
        <c:crosses val="autoZero"/>
        <c:auto val="1"/>
        <c:lblAlgn val="ctr"/>
        <c:lblOffset val="100"/>
        <c:noMultiLvlLbl val="0"/>
      </c:catAx>
      <c:valAx>
        <c:axId val="1706934944"/>
        <c:scaling>
          <c:orientation val="minMax"/>
        </c:scaling>
        <c:delete val="1"/>
        <c:axPos val="b"/>
        <c:numFmt formatCode="_(&quot;$&quot;* #,##0.0_);_(&quot;$&quot;* \(#,##0.0\);_(&quot;$&quot;* &quot;-&quot;??_);_(@_)" sourceLinked="1"/>
        <c:majorTickMark val="none"/>
        <c:minorTickMark val="none"/>
        <c:tickLblPos val="nextTo"/>
        <c:crossAx val="17069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Dashboard.xlsx]Calculation-1!PivotTable4</c:name>
    <c:fmtId val="4"/>
  </c:pivotSource>
  <c:chart>
    <c:title>
      <c:tx>
        <c:rich>
          <a:bodyPr rot="0" spcFirstLastPara="1" vertOverflow="ellipsis" vert="horz" wrap="square" anchor="ctr" anchorCtr="1"/>
          <a:lstStyle/>
          <a:p>
            <a:pPr>
              <a:defRPr sz="1200" b="0" i="0" u="none" strike="noStrike" kern="1200" spc="0" baseline="0">
                <a:solidFill>
                  <a:schemeClr val="bg2">
                    <a:lumMod val="50000"/>
                  </a:schemeClr>
                </a:solidFill>
                <a:latin typeface="+mn-lt"/>
                <a:ea typeface="+mn-ea"/>
                <a:cs typeface="+mn-cs"/>
              </a:defRPr>
            </a:pPr>
            <a:r>
              <a:rPr lang="en-US" sz="1200">
                <a:solidFill>
                  <a:schemeClr val="bg2">
                    <a:lumMod val="50000"/>
                  </a:schemeClr>
                </a:solidFill>
              </a:rPr>
              <a:t>Deal</a:t>
            </a:r>
            <a:r>
              <a:rPr lang="en-US" sz="1200" baseline="0">
                <a:solidFill>
                  <a:schemeClr val="bg2">
                    <a:lumMod val="50000"/>
                  </a:schemeClr>
                </a:solidFill>
              </a:rPr>
              <a:t> value By Month</a:t>
            </a:r>
            <a:endParaRPr lang="en-US" sz="1200">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82452392198406"/>
          <c:y val="6.2036137170511131E-2"/>
          <c:w val="0.69122207752170761"/>
          <c:h val="0.83093476665542765"/>
        </c:manualLayout>
      </c:layout>
      <c:barChart>
        <c:barDir val="bar"/>
        <c:grouping val="clustered"/>
        <c:varyColors val="0"/>
        <c:ser>
          <c:idx val="0"/>
          <c:order val="0"/>
          <c:tx>
            <c:strRef>
              <c:f>'Calculation-1'!$E$3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'Calculation-1'!$D$4:$D$15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'Calculation-1'!$E$4:$E$15</c:f>
              <c:numCache>
                <c:formatCode>_("$"* #,##0_);_("$"* \(#,##0\);_("$"* "-"??_);_(@_)</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C90C-4CF2-ADAA-881ED98ED706}"/>
            </c:ext>
          </c:extLst>
        </c:ser>
        <c:dLbls>
          <c:showLegendKey val="0"/>
          <c:showVal val="0"/>
          <c:showCatName val="0"/>
          <c:showSerName val="0"/>
          <c:showPercent val="0"/>
          <c:showBubbleSize val="0"/>
        </c:dLbls>
        <c:gapWidth val="18"/>
        <c:axId val="790646047"/>
        <c:axId val="790646527"/>
      </c:barChart>
      <c:catAx>
        <c:axId val="79064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2">
                    <a:lumMod val="50000"/>
                  </a:schemeClr>
                </a:solidFill>
                <a:latin typeface="+mn-lt"/>
                <a:ea typeface="+mn-ea"/>
                <a:cs typeface="+mn-cs"/>
              </a:defRPr>
            </a:pPr>
            <a:endParaRPr lang="en-US"/>
          </a:p>
        </c:txPr>
        <c:crossAx val="790646527"/>
        <c:crosses val="autoZero"/>
        <c:auto val="1"/>
        <c:lblAlgn val="ctr"/>
        <c:lblOffset val="100"/>
        <c:noMultiLvlLbl val="0"/>
      </c:catAx>
      <c:valAx>
        <c:axId val="790646527"/>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64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Dashboard.xlsx]Calculation Table!PivotTable3</c:name>
    <c:fmtId val="5"/>
  </c:pivotSource>
  <c:chart>
    <c:autoTitleDeleted val="0"/>
    <c:pivotFmts>
      <c:pivotFmt>
        <c:idx val="0"/>
        <c:spPr>
          <a:solidFill>
            <a:srgbClr val="CCE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E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E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Table'!$E$1</c:f>
              <c:strCache>
                <c:ptCount val="1"/>
                <c:pt idx="0">
                  <c:v>Sum of Calls Reached</c:v>
                </c:pt>
              </c:strCache>
            </c:strRef>
          </c:tx>
          <c:spPr>
            <a:solidFill>
              <a:srgbClr val="CCE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Table'!$D$2:$D$13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Table'!$E$2:$E$13</c:f>
              <c:numCache>
                <c:formatCode>_(* #,##0_);_(* \(#,##0\);_(* "-"??_);_(@_)</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1961-4592-AB3F-08BE17349D8B}"/>
            </c:ext>
          </c:extLst>
        </c:ser>
        <c:ser>
          <c:idx val="1"/>
          <c:order val="1"/>
          <c:tx>
            <c:strRef>
              <c:f>'Calculation Table'!$F$1</c:f>
              <c:strCache>
                <c:ptCount val="1"/>
                <c:pt idx="0">
                  <c:v>Sum of Deals Closed</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Table'!$D$2:$D$13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Table'!$F$2:$F$13</c:f>
              <c:numCache>
                <c:formatCode>_(* #,##0_);_(* \(#,##0\);_(* "-"??_);_(@_)</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1961-4592-AB3F-08BE17349D8B}"/>
            </c:ext>
          </c:extLst>
        </c:ser>
        <c:dLbls>
          <c:showLegendKey val="0"/>
          <c:showVal val="0"/>
          <c:showCatName val="0"/>
          <c:showSerName val="0"/>
          <c:showPercent val="0"/>
          <c:showBubbleSize val="0"/>
        </c:dLbls>
        <c:gapWidth val="50"/>
        <c:overlap val="100"/>
        <c:axId val="72004687"/>
        <c:axId val="72003247"/>
      </c:barChart>
      <c:catAx>
        <c:axId val="7200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3247"/>
        <c:crosses val="autoZero"/>
        <c:auto val="1"/>
        <c:lblAlgn val="ctr"/>
        <c:lblOffset val="100"/>
        <c:noMultiLvlLbl val="0"/>
      </c:catAx>
      <c:valAx>
        <c:axId val="720032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46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Dashboard.xlsx]Calculation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t>
            </a:r>
          </a:p>
        </c:rich>
      </c:tx>
      <c:layout>
        <c:manualLayout>
          <c:xMode val="edge"/>
          <c:yMode val="edge"/>
          <c:x val="6.593744531933509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pivotFmt>
      <c:pivotFmt>
        <c:idx val="1"/>
        <c:spPr>
          <a:solidFill>
            <a:schemeClr val="accent5">
              <a:lumMod val="60000"/>
              <a:lumOff val="40000"/>
            </a:schemeClr>
          </a:solidFill>
          <a:ln>
            <a:noFill/>
          </a:ln>
          <a:effectLst/>
        </c:spPr>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pivotFmt>
    </c:pivotFmts>
    <c:plotArea>
      <c:layout/>
      <c:barChart>
        <c:barDir val="col"/>
        <c:grouping val="clustered"/>
        <c:varyColors val="0"/>
        <c:ser>
          <c:idx val="0"/>
          <c:order val="0"/>
          <c:tx>
            <c:strRef>
              <c:f>'Calculation Table'!$I$1</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cmpd="thickThin">
                <a:solidFill>
                  <a:schemeClr val="accent1">
                    <a:lumMod val="60000"/>
                    <a:lumOff val="40000"/>
                  </a:schemeClr>
                </a:solidFill>
                <a:prstDash val="lgDash"/>
              </a:ln>
              <a:effectLst/>
            </c:spPr>
            <c:trendlineType val="linear"/>
            <c:dispRSqr val="0"/>
            <c:dispEq val="0"/>
          </c:trendline>
          <c:cat>
            <c:strRef>
              <c:f>'Calculation Table'!$H$2:$H$13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Table'!$I$2:$I$13</c:f>
              <c:numCache>
                <c:formatCode>_("$"* #,##0.00_);_("$"* \(#,##0.00\);_("$"* "-"??_);_(@_)</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1-50EA-4C3C-BA06-4FE299EEA01B}"/>
            </c:ext>
          </c:extLst>
        </c:ser>
        <c:dLbls>
          <c:dLblPos val="inEnd"/>
          <c:showLegendKey val="0"/>
          <c:showVal val="1"/>
          <c:showCatName val="0"/>
          <c:showSerName val="0"/>
          <c:showPercent val="0"/>
          <c:showBubbleSize val="0"/>
        </c:dLbls>
        <c:gapWidth val="50"/>
        <c:overlap val="-27"/>
        <c:axId val="999256431"/>
        <c:axId val="999257871"/>
      </c:barChart>
      <c:catAx>
        <c:axId val="99925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57871"/>
        <c:crosses val="autoZero"/>
        <c:auto val="1"/>
        <c:lblAlgn val="ctr"/>
        <c:lblOffset val="100"/>
        <c:noMultiLvlLbl val="0"/>
      </c:catAx>
      <c:valAx>
        <c:axId val="9992578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56431"/>
        <c:crosses val="autoZero"/>
        <c:crossBetween val="between"/>
      </c:valAx>
      <c:spPr>
        <a:noFill/>
        <a:ln>
          <a:noFill/>
        </a:ln>
        <a:effectLst/>
      </c:spPr>
    </c:plotArea>
    <c:legend>
      <c:legendPos val="t"/>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Dashboard.xlsx]Calculation Table!PivotTable5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Call Duration</a:t>
            </a:r>
            <a:endParaRPr lang="en-US"/>
          </a:p>
        </c:rich>
      </c:tx>
      <c:layout>
        <c:manualLayout>
          <c:xMode val="edge"/>
          <c:yMode val="edge"/>
          <c:x val="4.771772149638711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E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E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E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13837695004139E-2"/>
          <c:y val="9.3009259259259264E-2"/>
          <c:w val="0.89089290618121342"/>
          <c:h val="0.85606481481481478"/>
        </c:manualLayout>
      </c:layout>
      <c:barChart>
        <c:barDir val="bar"/>
        <c:grouping val="clustered"/>
        <c:varyColors val="0"/>
        <c:ser>
          <c:idx val="0"/>
          <c:order val="0"/>
          <c:tx>
            <c:strRef>
              <c:f>'Calculation Table'!$E$16</c:f>
              <c:strCache>
                <c:ptCount val="1"/>
                <c:pt idx="0">
                  <c:v>Total</c:v>
                </c:pt>
              </c:strCache>
            </c:strRef>
          </c:tx>
          <c:spPr>
            <a:solidFill>
              <a:srgbClr val="CCE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Table'!$D$17:$D$28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Table'!$E$17:$E$28</c:f>
              <c:numCache>
                <c:formatCode>_(* #,##0.00_);_(* \(#,##0.00\);_(* "-"??_);_(@_)</c:formatCode>
                <c:ptCount val="12"/>
                <c:pt idx="0">
                  <c:v>8875.18</c:v>
                </c:pt>
                <c:pt idx="1">
                  <c:v>8911.2900000000027</c:v>
                </c:pt>
                <c:pt idx="2">
                  <c:v>8901.9599999999991</c:v>
                </c:pt>
                <c:pt idx="3">
                  <c:v>8995.93</c:v>
                </c:pt>
                <c:pt idx="4">
                  <c:v>8957.58</c:v>
                </c:pt>
                <c:pt idx="5">
                  <c:v>8836.5699999999979</c:v>
                </c:pt>
                <c:pt idx="6">
                  <c:v>8804.7099999999991</c:v>
                </c:pt>
                <c:pt idx="7">
                  <c:v>8915.9800000000014</c:v>
                </c:pt>
                <c:pt idx="8">
                  <c:v>8993.82</c:v>
                </c:pt>
                <c:pt idx="9">
                  <c:v>8908.4199999999983</c:v>
                </c:pt>
                <c:pt idx="10">
                  <c:v>8950.369999999999</c:v>
                </c:pt>
                <c:pt idx="11">
                  <c:v>8744.49</c:v>
                </c:pt>
              </c:numCache>
            </c:numRef>
          </c:val>
          <c:extLst>
            <c:ext xmlns:c16="http://schemas.microsoft.com/office/drawing/2014/chart" uri="{C3380CC4-5D6E-409C-BE32-E72D297353CC}">
              <c16:uniqueId val="{00000000-6021-4B12-B6FF-B8A3A8647E95}"/>
            </c:ext>
          </c:extLst>
        </c:ser>
        <c:dLbls>
          <c:showLegendKey val="0"/>
          <c:showVal val="0"/>
          <c:showCatName val="0"/>
          <c:showSerName val="0"/>
          <c:showPercent val="0"/>
          <c:showBubbleSize val="0"/>
        </c:dLbls>
        <c:gapWidth val="24"/>
        <c:axId val="85696159"/>
        <c:axId val="85694719"/>
      </c:barChart>
      <c:catAx>
        <c:axId val="8569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4719"/>
        <c:crosses val="autoZero"/>
        <c:auto val="1"/>
        <c:lblAlgn val="ctr"/>
        <c:lblOffset val="100"/>
        <c:noMultiLvlLbl val="0"/>
      </c:catAx>
      <c:valAx>
        <c:axId val="85694719"/>
        <c:scaling>
          <c:orientation val="minMax"/>
          <c:min val="0"/>
        </c:scaling>
        <c:delete val="1"/>
        <c:axPos val="b"/>
        <c:numFmt formatCode="_(* #,##0.00_);_(* \(#,##0.00\);_(* &quot;-&quot;??_);_(@_)" sourceLinked="1"/>
        <c:majorTickMark val="none"/>
        <c:minorTickMark val="none"/>
        <c:tickLblPos val="nextTo"/>
        <c:crossAx val="8569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Dashboard.xlsx]Calculation Table!PivotTable6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Drop Rate%</a:t>
            </a:r>
            <a:endParaRPr lang="en-US"/>
          </a:p>
        </c:rich>
      </c:tx>
      <c:layout>
        <c:manualLayout>
          <c:xMode val="edge"/>
          <c:yMode val="edge"/>
          <c:x val="4.584711286089242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 Table'!$H$16</c:f>
              <c:strCache>
                <c:ptCount val="1"/>
                <c:pt idx="0">
                  <c:v>Total</c:v>
                </c:pt>
              </c:strCache>
            </c:strRef>
          </c:tx>
          <c:spPr>
            <a:solidFill>
              <a:schemeClr val="accent5">
                <a:lumMod val="20000"/>
                <a:lumOff val="80000"/>
              </a:schemeClr>
            </a:solidFill>
            <a:ln>
              <a:noFill/>
            </a:ln>
            <a:effectLst/>
          </c:spPr>
          <c:cat>
            <c:strRef>
              <c:f>'Calculation Table'!$G$17:$G$28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Table'!$H$17:$H$28</c:f>
              <c:numCache>
                <c:formatCode>0%</c:formatCode>
                <c:ptCount val="12"/>
                <c:pt idx="0">
                  <c:v>1.2944999999999998</c:v>
                </c:pt>
                <c:pt idx="1">
                  <c:v>1.3083</c:v>
                </c:pt>
                <c:pt idx="2">
                  <c:v>1.2968999999999999</c:v>
                </c:pt>
                <c:pt idx="3">
                  <c:v>1.2936000000000001</c:v>
                </c:pt>
                <c:pt idx="4">
                  <c:v>1.3026999999999997</c:v>
                </c:pt>
                <c:pt idx="5">
                  <c:v>1.2805000000000002</c:v>
                </c:pt>
                <c:pt idx="6">
                  <c:v>1.2975000000000001</c:v>
                </c:pt>
                <c:pt idx="7">
                  <c:v>1.3157000000000001</c:v>
                </c:pt>
                <c:pt idx="8">
                  <c:v>1.3006999999999997</c:v>
                </c:pt>
                <c:pt idx="9">
                  <c:v>1.2853999999999999</c:v>
                </c:pt>
                <c:pt idx="10">
                  <c:v>1.2805</c:v>
                </c:pt>
                <c:pt idx="11">
                  <c:v>1.2999000000000005</c:v>
                </c:pt>
              </c:numCache>
            </c:numRef>
          </c:val>
          <c:extLst>
            <c:ext xmlns:c16="http://schemas.microsoft.com/office/drawing/2014/chart" uri="{C3380CC4-5D6E-409C-BE32-E72D297353CC}">
              <c16:uniqueId val="{00000000-83A9-4245-AF0A-04FBD836D83B}"/>
            </c:ext>
          </c:extLst>
        </c:ser>
        <c:dLbls>
          <c:showLegendKey val="0"/>
          <c:showVal val="0"/>
          <c:showCatName val="0"/>
          <c:showSerName val="0"/>
          <c:showPercent val="0"/>
          <c:showBubbleSize val="0"/>
        </c:dLbls>
        <c:axId val="1362349455"/>
        <c:axId val="1362352335"/>
      </c:areaChart>
      <c:catAx>
        <c:axId val="1362349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52335"/>
        <c:crosses val="autoZero"/>
        <c:auto val="1"/>
        <c:lblAlgn val="ctr"/>
        <c:lblOffset val="100"/>
        <c:noMultiLvlLbl val="0"/>
      </c:catAx>
      <c:valAx>
        <c:axId val="13623523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49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Service Level By Division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Service Level By Division</a:t>
          </a:r>
        </a:p>
      </cx:txPr>
    </cx:title>
    <cx:plotArea>
      <cx:plotAreaRegion>
        <cx:series layoutId="regionMap" uniqueId="{78B35187-D9D6-4CB1-8377-CE977FE595C6}">
          <cx:dataId val="0"/>
          <cx:layoutPr>
            <cx:regionLabelLayout val="showAll"/>
            <cx:geography cultureLanguage="en-US" cultureRegion="US" attribution="Powered by Bing">
              <cx:geoCache provider="{E9337A44-BEBE-4D9F-B70C-5C5E7DAFC167}">
                <cx:binary>1HrJktw4su2vlGn9oCJmsK3rLkDGlKNy1LChZUopgiQIDgDH3f2392HPUyrdK0Xlk7rMetNaVEnB
YDgAdz9+/Dj++XH+x0f79ND/NtfW+X98nP94ZUJo//H77/6jeaof/Ou6+Ng3vvkcXn9s6t+bz5+L
j0+/f+ofpsLlv5MIs98/moc+PM2v/uuf8Gv5U3PWfHwIReOuhqd+uX7ygw3+J89efPTbx2Zw4fn1
HH7pj1f6weX24dOTN69+e3KhCMvt0j798eqHr7367ffjH/uL4d8srC0Mn+BdQl8ryWgUcxp//fPq
N9u4/M/HcfSacEGkitXXp+qb6YuHGl7/15b0ZUEPnz71T97/9uf/f3z3hy38+KjwTfL1HJLmecU6
/bLF33885//659EHsOmjT75zxfEJ/eoRLLouXFr40BcfA/7j1W83izVP4bdvp/HVET986+86gr2W
mJMoYvhFR+DXQgisKJPRlz/ym+mvjvi6nm+fvbScl53w7b0flv7Hq28f/8f5JTUP1cO/1y2RFFLJ
mB8nBiaY8xizr/4g387+qz++rOPbR/+6O/587cgbf376H+cM/dAX/sH+O91BXjPKhaDk5SwBuKIU
8Ir++fgoS74s6P/+t/37jvnfN498878P/uPck5gihIcc0P7f7CGJqRT/XxxTilDO5J/15shDiXkI
ocn7h/rv++j7d4+89P2j/zg/XUPdb4f+3+kk/lpRCsCF5UvFRsXfDv8rmH1bQFqMhQcq8u3pv45r
f/2FIwf99Qv/Bjf9SBG+Zz2wfx4Twr7hBGz4O9aj4tc4IpRw9ie44287/s8+jyNC9AuKdPTt7zjS
/xDK9CE8bL4w0X/56TfqdfTqzwjtV657+PTMVr9jVc+/8OdrX92i/8KPv73z9ODDH69i8lpIKkQE
fJaSiGKo2dPT8xOlXkdEKSYkiyQhgotXv7mmDwZMiteCxAQIMlaMEoEBsHwzfHkUveaSxbFSHIhA
pMj/sP83jV0AV//nnP78929uqN80hQv+j1dgof36redFSiYgEeHnARixgIU8r639+HANDQZ8Gf+f
OieLMCgu9mvZsK2fl3KXGyoTsTq7y2nFtt8dzQv2YNk/2AMaSSPOOFAbhamKj+w5iis/Opfvl0zN
CcM+u2WjqQ/LOpbnizLRGbE20z83CpzpL0ZxJDDwWKVihsGd32+SeDUNY8Pyfeg4OvO2Mil2gmoE
f/3F/iCDj00xyGFOKIuAEghoXL435cZ+WVtBiv0y1OVZvDKUmihmOouqattjznQRpN99+ZtR0XT3
850emVewSRURDgirMI7Boz+a5xVbJ8tVv6/CMOjJ1nQbmhW9IcajRXdNv2oVDLsoC9U9Oqr87uf2
8dFRwwIIxRwzySTUYojrHxdQTSPPBoG7fTY8O7mayd3gUfGhGos6NUuxTjrrDTttSZfmtht2Xe14
SPKZiCIZg8c3UgzzTuFhejct1OZf27KvkPtC/B3F+5f1EWidY0Y4sLnoaH1Fw6FFtVG375QZtK3d
mHo+i72y47wJuUNvfnEggNnfB8SzQcUjhbmEhI0YPwp41AcVxjD4PVrBrGZ4IFjDzoTaRFnDrk3T
lddlX6VVZLJNrUjIdDXI5Wxuqipsfr4acpR+ikPPTb8ADqYYs+P0qwfZ9GjIqv1IPFt12+dxo0dJ
/ElHsJw17U15NrZx864Y2k8CMGXnJ7FuvF1YqYdMmWu6ZtEH1pC+0HTu8z5xtGD3eRjaQ7+YudV5
K/GYzAGrRk8KEq4BfDmrXYcOtVGTTUhuyTYbm+xc4jr68PMt0mcPfodoX7YYE4bBy895eJyBbQgY
sLCo97ydFNar6zxNQXeZ72wvqqSR7XzfxF0Z6WXA8UVk22rb2To/6wfmd1XGw6GpM/84Yo7erGG2
N5YP0Yc5XsR+GUt7U1a4fa8anh2kH8pPFNuQNGsgD8OK4lzPLkxR0pGR3jPvo157t/rzqR7HTZfH
9ubn231O6L/sVkJrggXFkVRHeIPGKasUMna/DivTYmBV4heOkp9bOc4aCBscQbIQTEXMoGj8mNWK
V3KYYV17WfX5O2QgcrLgD2O/8idVRfPfw+tnF+KIK/wMZBQL8pxT3xUlOfvOrD2Yo3WTn1dNcQIL
m5OYzuMv4OCFfIDC8FxhIWSEJM9w9p2leiYup97b/TTm+bmN3XxXisjerKjzJwMt7E2NTXH989M8
Bunn7WHBBAMYAggiR6dJQfSKbHD1PrCQP4ZyUmojqw4yseQNploaQe+XeG7fV8FCEvUc/cqhxzD9
vAQOi5DQEsUCKsWP+0aTkOUYVe2+byRKCx41EDeDK5aE8Do7//l+XzQGMhKLAXSi6LgokVpUghjV
7pci57pCUHQzad1pnLPu9uemXvKnUOKZFYGqFYvndPnOn04Vne9q0kKl77NzTDw+H/w8nSDSqRNG
K3dq6Cj2Pzf6kj8lwUSAWgMlnx0Z7VRlVz6Jdl900bijLCuuTbfQLpmlzc7LdQEfFhOZrV56E7y2
OVSdny/hpX2D+sAlV5JjyY5gYPUqG0fF2z0zkdjnRIjDFLJo0xT+qs4R5toS+6va9pJfY8EJIG0s
IimPSpuikkadhyDKSxZfZGiEyiZJV5u0EFn5C2L1fIhHQAfiCpERlFEhga3+6NkWmKKqJtXsO6hZ
F0Xd343+l9X6BSMghVLoTxVEkCJH7KCOac/X2kD45HNWatyiuNQo99XfBzgSQf4RzJ71iuOTs34d
UYumdj+Ljt1Xhfdet200J2NFXfuL2Hj2/dHJEcAU4JbQdQM1O9pU30zVOM+h3wNTIbvaxAVJ4wgq
+ypUfWpQh95kQzMWyYTEw8/D8qXzBOEs5s+blfi5wf8+HVEJOBRm1+9tJVDaj+wRldO8+bmRF4oT
FAoFFSMWhMTHkTHSEsYqVd7vWyTtDSvAQCgmuWugmdHGhvDx5/bwCwdKoYvDBJgUVEVylGwNj8qi
i+tmH3XduiZslDxsjGwgtVloxjpZUbW+wTJ3qUFllqdZo4qzhfTO6dEUqjw0gF3nLiv84yD64REA
a2TaTBndToVAZxkL7fufL/qFXKWwXCJjEkdC8mcA+Q4Y14l1FXHI7Wfq2FZSl50vkxd7xzN09nNT
L8AhZSx+nt/EFDrV4+MxS2fXpW32WZiM29aiLM9quqrNyDp/NQS8HAgNIU/40PCzSdX53683INaS
GHpkSGUVH7V7Q7TKCcng9jXLB10H2CFe2vhyKJr44ud7fSkUBCSxAuSX8i+dJfTH4pmr1HsGlPFk
dtSfeLECNVbRSu9z4mWZqmb1J6j7Zdl5AfOpgEkAlziWf63hMYo6OUey3neIA/yuQBrWfPYneZiK
ra+6qdBFnP+KvLyQbVDjYiYgo6GeHzdQKzOzWWxW71Fw7N5VC3qj1rm7VbQp96Wof1XZnrWWY/ii
0MnSmEH4xkAHf4zcnAtc21U0+5LSWuznZcw6XRbIfIYiIO+gIMZID3E83a2tyt7Eboq9NkUzjjrn
Zfe5ZdjeTCWBLqB3i9yhNlCVLpN55KwA7l/xMNEE8tbooLqYbqjpxn3TEX8LyNK+/XnAvJCHLAK0
4s8EBSa4R8lBReQDc1GzJy1Co26toKnsMvQ2lHi8/Nu2ngkBRCYBX0Hv+ePJSaJatZAKyK1AeRrw
tG7XHvld/KxF/H1TMYUUwEqCyWOFZYm64Bay2P0XxcNHck6iTKGUZabc/9zUs/J1FBAMWjuQGYDp
CApU78dt1UWOpmjOoKjMOXTUQdAJ9ALR7nBvow8ukJWnrOfNehnsAqRrWJT4FJnK3ng0uSqxEGdv
FjWuZ0G29R1bZzxuwCVFYhrUPP58teSZBP1YfRnUXmDaEYmg2IsjJ3Rs8XwxIIjUk8tP24m2D1Za
dNb62Xg9FUX+OESmvw28yydd4QwlTU/Wq1ya7rJcWZ4YHIWrvglVUkvoRRo7jKkRwZ+IYlRXk3Lz
LiqmIe0zUZ9Oohh+QVbwXztqaDCB2QKiwsT+L3iK2xUBq1duz0lXaTs0cZuUzGea2wgae4CfC+QM
KBjBTEmU48fFluvh5+eI4dB+OEkQLaCgEBFxHsWEg+uPyIRyzdIWOW72MvTKJmXf5eZycqzHSV+2
m6JEw6UEdNJrmO5lWUmueV9EKZ9N8ZlUzf3cN2WXgBwXboYZFZAMZUjzqpn3aunLhEdGnLJgL0fX
p2gtWu1zvkMTf5xMoTMznoJ4k/Z+vO5M/uAWcyfkc3jR+ZDX8a6IS6c7VEktMucSWp1GziZrJZMo
HtIibvdjZzbMuMsW92e5KHe+Xe6iuU7G+AOZoxRZv3dVebVM4+kk4/XQrDZdzfS+b7t0jNfLBUSM
MhVOHFQppa6iAaSU5bD23b1CrW4nkbRcnXlSJHncH0IRJbQkmxC6bZnbw+jrpyFDm6jud8yXB8fN
hsvxPQ0+UQWUYxAvjG1Av6mSUKINUlGhbYX269SdzrzeR5PPN6zPtI9Hl0ZloIln/MOAG9AD1viW
RVlauTc0R7oCPrPaudKN8RdFwPnerehs4eaa9XGhnXXvXWn1PJSAv9kjld3VsrAE9O53IGmkLYm2
kp9VIftU1AgOMb/tlvFgGLlo5brF3WWek9NR9e/nBQQWMYA0ZSfdT9UOlfFmqYsEI7XJ8mwzrMtp
j+YqXcdOT4GftK7dFd311J76iL8bxSe2slETyS+VK7b98ok1yGsF0nQiWnIi2uhJDZ9XQk8Gv2gA
1DSYfGd7rlfFD7LkG+H8aRHPuV6oum8xrnUMEu869efENhLYX3WCO3xth7CXtug2Y5Pfkk5sIYo1
MkzTyBkddZnTEV2TvBrhXJfx0g7iLodwtrK8G3qfhLpNRVYd6nXdeoE/htxuORpViufsQvZOr17c
tZX/REw/61J2iUU520luNBXlZq79exQRHc9zpPsl+sDr5oIuI9DTDO1Ye+H70ykHkRbFSdw6jUp0
ANknMZSfrZ7uVgdl1onTPIhzOsfaNdOcCFyedL0lmkLDN8Z3MkRJVrIbNSOukXXnMdxvSqtqDklN
Sy2LYkNp/55VzUeYRZyPrTl1rU+DjY0WpD4tZHHOG9YneT1tZlwXGmDyrly7m2iqr3DsP664263Q
ayQhe+ohudoeb3CA3P5Y4OqU8Sptx/K+jN65uEoqSJOinHdLMd7H3u1R7B8plA1dsC6pO/PZK3/I
Gqwpaj6ZUZyRrE/rHg5hLtJo7DdoHFlijTodluHMDOM+F9mhqfo+gdlBfzqWZmtpOGeC3MVOpnPD
by0fqR4dh80CgsQd/AbZldaCjfHaQVXU9ZDr0E6HJlIpmWrtmDpEoMlGg7le4QDbrjq1gCODKmKt
ym5Kx3Fs39PFhHpnG0PrxM8gO0K32A7dts/ac2v4e+KElrbcODbrxbXXBau6RYtSpd1idZ3TjRdt
mLRvrM4UcA+YU+g4rnQVhLixsqiTbmku6r59HKPJ3ivfbaCl2HZR/CDdeMb64brzzRWomUIGlNQj
m/ZlyFtYntw5OuvKhTO3rHWSB4AgNOSXroLGQ1fsU43wbbwOF9zAgtt8v/L90HUjRFTVpKvPNfSJ
umjNVVR9wk2ZqHZ852O098N8tYSwbWv5rgRYzWKus6X52KxAAJp8zVIs1z4h1PC3fJX4sBCWtTvV
nLZ9by/tzN027oJMqtp3XtOaZ5vIen+bj31nAHByclnmwOCTxctuTfoV5NtdN4XmkRtborTJRJEG
GU+Q+izXw1rKkyyu5B1mYdRygO2trIk3qJv3GcF+M3c4C0mGGntT2Bx9Um1GgaWUdnySfr1eK/c5
wg1J/SLXjZmxLpYqHpJW5ARU1WF9iOYeHXgZMR2qRl5YgtZNs4ztLV/7T3EGGULbONqDtuxrzWAQ
dQcpaoWm1ogDif143im0DjuLV3XIAGYvc9PZPUFLa/XkMnTbNUvxbiEd4bqJCrE3fEafOfHtRsUB
wDCqiiWc8cLGt0VHs0tnvQXqwlyzIapXbdKGlm9D6/m6QWvJ0nJoi1pncgznjQWBAYTobHyIO1pF
23HkJpnb6YNvZv64rGBcB14v7/uZFQdfdmjYgGpX7YaMGqtVL/jGTb68hg7OBtDnx/dAo+uPeA7z
AcYt9MzWtr2P83HQCx/CuXBxluuKVC34aDIPNctuvISEr209QXKtMdsSphqhS4TnSz/VUpezjXu9
Luswahb7mKa2sM3WRJFP5qWoUrISlqgmat6gzvmzAkSMt4WoljTqs+JEhaw5IOqirauZOl/i2jEA
xKDeC4b6w+qfsQcJqKfT+E62otKiRuakpPxT2Y98m4WZ7mtBoTnk6obNzYMMod47aApuwlj1t7yU
dO9XEAwG0sxUN309XtRDxCqdR9RsPBZQzvqOPEL77K8MrTq9jKw6gakOOeSdKO8wwmizgupwFmVm
I+ryds3GMh2KKZzA6K53iUCTTV1JVi3wOm2aWIlN4bPVJE01d3BIIi7Mth/KZZvhTuhKlSrXuYHJ
ps7DOAybEM1tB9XOQjevlihkiYq9TaCf2eGA1OPcFRW03UxthTNrUs0ZT1pncNKuqk6r1eZnw9pF
qZRmPDeG0qDXwo5pLmJ8WFe8SL10kTqljKDEFWzQeOTqwziVwNudGlLXDoNPIMbxoQYSiDSAL7pX
izkPa7a+7eel3c1zgZ+KzrjPWc7zOxSJ5nHtrjIkCbR8QKJ3OB7ybday8nJes/ZMusJEABihkAmI
vk3CRQf/llOR8qkGcCmm9kLGOHps+2LeO5PPJxNw5GvPbA50CJHNaCd3WNp5PWGjkDruOXREU4uB
O4aRPImhjhLgq1nqozlsuSNvfURhYIpcB3Ppfg5rDFJRtJxWkk1GL3kLx9U07QCcpJN32YSGt6wC
ySF3go8bvnBXb0FBHPdzIMtHJWfnk3WGxraaos5uZDsKqAElVJ4uX+jlwhWrNa/ZfOWyeH07FATv
uZtJOsthbN8U1CGgtt2MHnG5FDsbEbMpi7G+bw1UwzmqXNL1EGspG9c5dTTrqySaJuqT0VVhZ1xR
bjIg2XsGfe0JjzN/i7jhve44pxyCmLRvuKMGJYsZ8aCrOmPbPAoVVHO/Sqf51I3FFlrj+Gyu43ob
DSuw6Lylt7yNgSqBn6sDOI9022Zox11e1fUnAXrtzcgoffTu8zxVMG1emX2CMRXdyEKeVtNZAIBM
45LxK08BfGeZycSsqEmsjeRNh+v4NIRBaZkLV8EqRgBzQ7vsQYw+vgxt6U6mZuxOQstQpiWPhndi
qudzXAeR8NGc8j63+3ouo8RhWm1pD4V6ieWU4K7vdpC2w1YiMmzWlcFeORnS2Y5oi2vBDt0SnisI
tJMfJrhQUiUdTGpuCj/E1TuLSiDLkoQ9ZlO9gcBva92F5YmjdjhHs2WHxS7tew5dyQ6G2+UVaXm/
80q2N5bwaVNLZD4tzK337VTaTde5XSDEXg2S3fveAPtE05Su0zM/NGReAL2aDFjwUJWw0wwmDO+Z
Zex8UDw/qekgkjWvplbPZDEHvtBo0i2M88oErTSctqwvbl3tcKV7j6qzZ7Zw2S2ib06GwDnZwAs8
Jfk8ghOMza9WVhYJ7QexqVEDlQ0uUpWwJF7ckklG2yyn823fILXLjBo3isN9AknaC8RGHGvZ5jD0
dEVQN6tsxJLCfCtD2opW3Ro511dNyNouaQkyxW4KGIQKL+mTifp8yyz1UeqWrrgSmJvU1qbDujVN
Dkwjbg+cA0WB07dnLEL7BSbPjxSkx8NcjyUMcxgfdyKb4j41Y2/PxmX1n0zWGZOsLc/X1LKuhXH4
BEpdmsuCbGbgQUmdW/fZogFftMLwuzF2nOiAx/xstAW1QIWIBTBtxiH1g2jFpnFiuBrzluxX1TQH
UuernpuCnC6xkjqHWzwX7UKfQ3tYT/satol8A0rZ3AoMHRLudcbogwdJKFFAzJMF+QyqLY2qdBIW
epeO19cRENkN46aFqzltt54CYD0ZGrvNCmzl1Lu82zfl6B7GOYeAl3naNmg8hBDHmqluPMuBc0LP
Se0lUK58A5r9kqi5KdOW0cdynPq3Uc+hN1kH/K7wCu1DJu9xi9dEVR3RMEiLgjaRpIdijoHFNnWV
OBeXe7E2ZpOPU0gzx9G+mJY4xdjRswwoApmmpgZAiAUQT7LokUPdRzDETxaA/Ru4UVHvyrw352so
qxwej27byZFeVpWh17Sa1gvULiBdTHEAUVrG132b+ZsermaEpCLzqJs6gts00aIOEPvNW0N7lIap
z+7nEiRtNDVlnxSNbLb18xF5WS2glZRDKgvR72U/5RtavYPqByjuSI5vGa5WUIAWaFxhYAoiAs5d
cZ57ccBwyCeRXx+UIb2mPqgt8VW0x64Zk2zqrNGoj/prIDifBaqbD+PqoA8x/dshm/v3so8fQVYY
k0UCBmLA36niBbQ0+EMW8eYNBVzYuLxer2UV7tGUZduSoOLKDKstdFvmyy7v6lnXxK0JHsSUDj1c
SBkIaKx9HOrzSPh4w0ToNllX96cqzvnWNDbe5tmU1L7sDwyavHPQo3YLFNhKZ3TB27pb87e9Qvlh
qUECoPWtXQz0DT60J9BXLsnMMncW03p4zoGQdhl7HIrqmdvNYhMT+A+QzY2r2+J94YQ4gQ6XpbgX
2b5Ua5N2q1EbVHq0nfsJZAVRxwAGs9+Q2j0Tzf58KYdeuz7cx9EIjQrlw0kUR+2iI5ypBOOirDQW
RQy6Q5alBUPirlzq1ekWdaXRErcM0g3Hia/yeOMGJM5LG0yC12bcjTVCu7WgLRSAWp6Xaq4v55K3
H1vnxE66+WZoMr7F5RptzVDUb4cpH3fTzOYNaabbLp4JzPtbfm+Lojrv83za+GqqznMUx2lU7Avm
lhMbtdGB2Cm66Icw7kzTDHvc5UqHWhVph1p/skKT93EqaLQNovRJ3kkgZ4Oa7xhb4gTOv01ky8wJ
3PcZNs7QDwU0q+lM7bqxYYIIx1kP6nCz7+tyTUpeQFXEFiSIgAp3EU+h3VQ9HzZk6tilaqg8YGM/
Yl+E+5B1bA+IPp5kfYDJaYmrDRt4/jgtvNSicwauxNDqHrSa4aFHormKC1G8I2OkWcfdbqgVPQ1T
5lO4NNhrwuPxBI3YxfvCgazcsLndLC314Du7Vro2o/vMYlmkdGk9AMrODDBpL6J9RHpzEQvTJSyH
ohshULyQGbqTfgE2bcZs3ErcRCm4zCamRT1Q8IB1PKkdhTMFiQgruK03AlHyIUFFxTe87HVZKQLk
c15StNh+W09VmVAft9dzZfN9WwAWTnXVb1q4KJXEErBHQA+TlrZuzkU1z5sqUtAzx0Xltjh03RbB
XbMt6nOaaQbEvtBTWY3ni+2KN1KM4hTk+n67CLpCnIqTXi7KpTGdmktccHzpgAHuEbC6g6qGIVkC
zba+y/NrCz2TBgNTGpTqNdzg6o1Ws9pb5OFCQtSC1uG7SKtsPbNN8RgtkbiwHRuv6rW8GB0Q/BGt
n1gXykTW1bkqXKzJRMjnxowmGTq3XK2S2y0BtfQdLRZ0aptmJXqZB17oSAx32UjcWdeYJTXcXYRx
/ADXIlrNfPTWVdV4iYbGpoMhSJNWhMRH+bS32FvoZUN11Y4N1G24B6CjgB+YbSnoehkbTvBICmjM
u2wXkcJAts/VxrAsvp8wKTe2LD5WfFrPOg+jq6QpV5nIAgZxbAzLjq+m/jQCt9oGuOB2wKQt30xl
06SEAObKCMiKBrkghKSrO/aBjVWkp9qiTYZJfYe8z06VF2pbZWJJ8gULGPRmgyZzvlzC7cFHlbdL
+v+YO7MluW2sWz8ROwiOwM25IHOuyhpVJaluEBpBggQBkAQJ8unPypLbGuy22/+JE/GHHbZlSclM
Jgjsvda3ttxak6roq/xjY40u0TeRA6uS5I1L0fJ2KjMbAu0ccouScVFnbY7jQ64vucO3Rcy4FiKp
xZNm7Jo0DqJ0Puv9PPjxpqVr96S6scOBovlmMnFzmoFFQdBZQijyUfYmm/h+0fNwZEmV7TWb+g+j
E+M27P2Nbq0vgw6LO3XM3GdCpZ/C1j5HydxdT11uynrxfblSX5+Y4tlO5kO+abI6mnc+G9x1z/Xw
uDTjXDqF/rGcWw/p0vi6uYr50pRCVF/XEJCJU4HYkjYLy3WZ1CnksNighRm/G+Mq2oXKrxup5EGT
btoaCksjCmJWCDdAZZOuOYCNX796VKTXAc/Jdl75Oajj8THOGihtK8QbFdNwM5Bcf4650GVsgwHV
AZ48VtFUFTkYkTsJUgxwJ3bHt3nt532amJNrKnszihmycetfWNN/qWqZ7/IehsKc9ssuXFm4Z/Os
Tn7SWVK0Jpu+wPggXRkIPT1JtlRvWyr7z6n9KvscvWaqw0PE4RZAelNlHq3qvdC23kRx5k79NCen
xvrpbo0WHCFz1o3biLPhwCWhkDtHke1DRZLSX3p5UwkNKS/jD2LG5sXF2h7qsZOPOF19GZmOb6Ro
RMlN43UR54netXrEk9QE69JAPh5QMOrGvHA1e2hrI4cS1VTb0dUVbitZTnHOPvZJRE79zPi+aS1s
A0Cft0vnmSoqGV4jrCmuZ93KEuyaZru+tk2IDr2v5l2FDoMUKKMDnKOp0b5Ilr6ZtpnV4IzSZEna
kog+FHhD1sybIVqgt7WgkIaNnteiRwvyBpJxt9MwLY9509xVaR5vEcoRu2qFoZMsDVydZrW7UK/N
EfhoiIODmudV6cUXKGa9KNHgNXEZtWLZZWPf+CIljiwQqyuydXX9AM0K5nADicksKAfzvDEoo322
ibOVlAKWzA6XmW84HfieyNrdeN6GZVStybZVeUkA5ZaZbc65qz9M3eqKJKnHA7ynekdYsLVrZgvC
Q8gTlrmrOWb80M7JXT/rHipNj/KzisxTOCW6tKGPipW7Otjqmfu38MnrUqXopHWY2a8zWJ8PGsfj
vQymBZq7FKWGBLonmYjPiOhG77osb7AtoNKOC6Ui+cUIQfY5T16YMWo7sy4qHDIERxI27TEPyJXQ
6dtuoN0xV4PZ1NY9aQJdvE3i6cDUMGxSm6xbxej4fspcRvcLn8etSRLsv0OXpPs55+kjZNNm08bO
7mPTurMHn3wyvF52VZRUL9D6RVPMfQVleZgMXA4+bHM2wGWjdX0TTJbu0WlNmwwV38lhlV6hMtAH
bXJ2GBIRlP2YJSel1hA17Bg/QVKAxEx1dNVX2XBOJ5/fMSbg3c8Mq1BT1OEOkvYuG/DIop2KdqL1
4/3K6+zOL3FTrBUUnVT07lKLpVeDnxIUbU3sPjRw83QxMp/QwuMePoZjXAdFuIjscw2wrS5Qv/R3
XeRxYPQwmUbUDSfuxHDGYQ3zjvL8yo6ZgWtFgvzgokYduwApnyK30HdsOvB3a17po8yn8Ei1IM8E
GtOuWZuJoZKoHLbWaUWLDCrppeeAzWVtxh0Jmd/W+ag0cghzUugul29DGvePpE/sjXA9au5Wzqso
PXYyXbA16LOCiQZeiZBdjYjdgtfus0mJzUKFP2cAIjYxfLdPYyUDPDxVu2+WiyHF9TrfrkHQ32ve
RFct78wbSUSDaqJb0AvCSdjaKpuummwOZSnk6JpNvjL4J2tDyOe5bvtrKWb1MVSZZmWVeXk3LRUU
+XA1dXatxg5FALVaXg90BPDYWEerTe7r6G1ST/br4Jp+LBcydVeRpDiYvcxpUARdxO+6uXY4etFx
X4cOoPi5z7sgKsmcZgdrw/zzUiNMsWJf/CoWLegV6rDsQOIE56oPSMVLx8gUlmnTd1cm61IoRUNg
3wSiSp5Zq8ZPYWcM1EIuJMUeBlxmxlb14oZw2qxqwtt1MqivhQP62yBD+Nyyxn5NkNN6wZecF7BU
Wb+doyApXCWN2QBWEbRk2di6YogDIFvgzOluQEsH/b6JDryKo0fT9sPNUoWxwslYL10hIp2cq0EB
W5jDcUC9lEAk31TukhBhwj91KwU7b7VCZCN5fV8xn9JyMDKUOxSY9v2w+JQVdTPhn2bEjjd3Hp8E
ibvbGKjTOXVVD3mEVfyw+Nw/aR614X5WCzvJfl1tEWWusWfR5WFcgI2th0cJ5/ggeCjEPlcgZupp
qobHSZqG7BIlk52S8Pc3k47bR3iVojm2lFd1OcKAjTch3LC6XFUXFwtnCZSNCE89dzLuN8MAtxUH
QgV+Xi0kLhjl6iqfh/bRUjnujVM+3Y65ww0ZlgG3lADPFSj/DUl2WKWS7MBOoLJQAyieBtaVK4yA
ulHyfG0fIWmId5Dh0UGzwCQ7R+bwRQ/5cIJ+LndMyfY59HJqCpYmHn6oHve8W8ZPw+zGG7L45ZSl
0tVXDOTPDQRZvHwzABpbL/AKHRnWKTp6fvYaC7NEVAtMNnPmfdahMmFSinOOmMaO20keKM9A9HT5
Ij6SQMjrdJHDUEyIh0zbPoPwVMoKDdK2gWg5lQYYgobHuOjHXMHXL+uhWdRmrB1Wo+ApkJWB4j/7
mNfXDtL4MxSBui772vTYLNrBf9AstW/k3I2f5MSjHBJdHHwIIhD6qY7tG6iaAZq7RWebmjZxXiDs
Mj/1Ydy/tQyCRUM6+oyeIbvJY+FXWP3srPsM9YFthwyHfBfAUBywX4GgQT3Oows42hrhdrKSoKuH
NCpDH6CuHLGR3uA5GFXpIc42pXQtcPaYLGLYRIbDPHAxjcXe5XP4zrRNTct2BK0JBQsrq59k8kyh
0HcFtzG+CCtTmBJ92OLLbKS5mmokNeKlH/gDeD+cuxCD1W2NoMPGTrQ6s5a1d2zseLsjHLpqEXg8
9Cu+bwigavFbwGxLdQKsmD7HVmERwAp930Zj9jmLK3ldGRFBhlxmbA/hCAB+DJJcFS06c9jqSy0X
eAwhHp5WX1BdadbEbdI2ZW+qKsCSzxlWYGAsvoTOwTnaDYkD+TfJNF6LLqJAASdG1AEa1fwU0Foe
QrButzEMg0dRg+NoZyxcHAv8XOVZ+7ikuX3TMFoNpzod8s9odma10dOIZwMjNLAriXgNkFcINCqz
EWjnHnW0kDud8EiXK3TEd+2yRqiztImGI5Lr1QOOIpttaN9wecwWJw89zQVIFDwfqpxhcbxULZZ2
A/fqBhzKuF9S3ey0abHrNot4B3cKtzMn0dLdzgNdUHRUYt2GcIzk7pVhcoAhv5pQ6Gir+YTtPjMx
lrCVl+d7NGh0bugl8dMtQ7O7cI0pmuyui7akmbHf4yJ4UbbMb9uYQRaeWdQ/jvEyw4rictzJy87c
4QDYsdX76zDlomSdNg9d3Xk4R2T0WxT1OIGaDD8NxTncR7JbzllIe9wDREDuhpzr9KVp+7ZGC1ll
EFGhq18UKnxJGNQy7nVXoRnqlcpouUQya2+r0U97O1p9DAOjj0wH4WlcK3wXOORMVuILhsid90O8
Sz3+uanWBnv7HNb8tk0z7JH1GmOfS7nGJhLaIH5GSxnuWwmwJxVB9dBjfd9a3/DzjKTidqzS6RAI
ArPMo6YulV5xk5aoVuNVPulh2eRdB6W1CygPTosK26XQGgsumtI4KadFTvsogue66RqLYjuESrqv
YNeAwHErLWTcYCfpMH5FwjFtkXQZnX3jDcGz2PUZu53MNG1wH7IDtywom1j1djP3uocjMqQnDT8B
jj0FYRoRk75JsLr3zRAogbpMpx9aHCiokslqD0bMZ6kATV3DCsWRNWbIm3QJAhAoHuSBeRkfnPQp
CKUUS2WCQ1saCucDYBfOi7Ba5qckHDPUjT0OqZTGYG3jpX1EoRXIAmUPFu8oGTzKytCoKue8xYGJ
6jC6Qhvvbhc7jcVsKkAR1TAg0SU9uYNGdetIgoKlC0mRgZgog8AjDWN8cHJuHk6QJvBp0irmQwlp
PDj41qIEVPmEPX7C9n/v0BxNkKj9EF5Jhu/uZuUEAZpghsa29Z7UwRnkgW7Rsxg47dKu6Tf6+LcE
9N03jPBbmveTNktfC8RDXpPMv//w/7zRCn+/Dp35/j8v04C+/+j87zFCf/mr9l/0Jc88/PqLLu/m
99fC1X97d5cY9E8/+EMg+z9Err9NJfoPP/lTHvunrP6/o/CX2DK5pN2AdiNu8PvUoT/Esv89S+Z7
jPuH3/Z7MjtBEDRK0oTGiEhckjvzazIbA4gYIaD8CaawIKx8yUX/O5md/uuSLMRugRQNRZL5ezA7
+Vd4yaeECHMjKgde+Z8ks+NXPvdHdDTMQhTYWYLwN3hHmv9CPg/WrUoucj34dbFAEJR8evWE61TW
RzLlcg8etNlV86Wjogt/qzjJD98N4gwe4sYZsFzfXGKLz7OV40yn0mWi2jRK0rLiUBusj/VuCmpR
BM3oNySM7xn4vqbI51wfFhLBRwr4gWfrp1WuUOm9oe4W3AJkDGQb7puFrcXao9V/dZeHITthI4tL
7ZNmiweCbV6t5tSv7CZYZlZm3nWwveE383VOkcSGFmOLjIYCUb/AXg/aTFvuAv4+hCFZCAohoUCq
c942skEhdXGiw1BGe1+xp1c32uM3Hzqm8AJi8I8iG56jPF2KXiZ03+KIesjbHhJzKHkFvdScf/Op
5RtNIBd896qzIOlvu5qYnUnEfOTQVbYEleFthBjeJs0gRL+612sTAbUF15QcpdXoWbquun61sT0C
CEec0IaUwwSrNkXa7fFHPzuS6bULw696Tv1vdvZIQKJ4RPXKnFVjjTbPw5lEXHYXAhU8vlrctarf
MTrZnWCz3K15/+HV707wgVHhERyxnUigm7i6EALaGqGw/jTcxq3NUn3zuwueh+0p1AK1pFnbo6rh
emWBA2oCPfCKKnNT15fjIkZXiZjLvgsg4nVo+HZIYUYfVB3y7VwF/Y1pgvgDRbFxx/oRCudIxsKj
gbztq4aUy5LhJdf57atd3tTyrqcz3zW1lS/fbXPd4aCv+vp4sc5h41RbIpZu92qdQ8W7T/LlpSf4
37KzGpegevPdQldGjNdZYmn53ULvET0B2Tv1Odpm+OjcYX1nEWluI9KaPfbyg21HchSj5gWCkWYT
QXN4Eb51EMqHsO63YzwxUAjLfA/ne5tVsi4AJalrMYpPyxC8H4c0/XBx3jnk+BH43QOMi7j87r7H
vWz3VVWDS7tY8J3zqIWZnI7oHXj53YxXSCnC+Ae56hmex2+2PO/4STbcw3PVTWHcQDbx0KOogfJ0
982XD/relCSV5AGAv9xmxrvNDy59Nc3NramT8RitPsNra7/hy+I+1zSrj8Afl+e1j4cdfFM5FWk0
1cCdf7bsszSo9xlUqkNrPN1gYbTX0jv+EvU55A+ToS4WUe9QN8LgR86Vb1dBViT80/y6ktrbAnMv
htIsfNwpqLVntEik2dDGd5+DRAtVwJodTwG8hIOux+prqiIOL6iLtz5ek421Sw5RI0YzHIrogqII
ukPTM1y5tDXgj2BdFWuo+6OpVsRdbL6rc1odh8j1J9iTl+YjWk81t/Kkgyw+Ccggm37O1ANBzzix
/rFvmmwvl/kG8n9z72Ml95ljfcnHSez6OFNArdFqMdZBdqztIc7q9zlJggKKWfSRmYs017j4XrIc
AJsE/S18qgvI388IkQcl2quHTEzLYVEdaihY+1Usz3Dvb21nLrGDI0FWZcPHFvw1S3Jsqo1/tt1q
NhBeZNkZbXdjEOanuLfJPlZEFnVPxYll7XhMWPwpNW5ROxUYsjGDVFfh6ugdSkt7ztrJ3dDKIvTH
VjoUKdJAGxRoHg5OHGy7qDOIoer5VtugvcpyRLNQr9X62FfEPxqk9PbLEAbbyfX9zVQv29mtxe+s
Erot+Zaqft2nrRC3Il2jh2/k0uuB/Y/qm/+uePmPv+p/Y/WC2iBFYv+viperyrUdwpY/FC+//65v
tQuGBTEULUkKpCaPEVZFXOJb7YKpMmkeXqqQS4L+e92S/Osy9YKwFFNX4ku5871wwZS/NELHmVKE
4SlGd/yTwuWXfA4ukcHrQUuZXEqnLP4l8QKR0eYtSTuYeiJ6aDHGBnmDJu2Dgi3AmvdiRTdmxilb
tj/cot+q4R9n2fzZhTHegqFcQklHX4df/JBxBAda02B23SEk9Qo9sV1j+PUIzbib2aXr0U5DdobS
OP9N4PFSh/1Qp71+YIpcSsbyMEGp9usHZitbegqBm4EZ209Nw0/pHKeIWur0qup08DeZotfhPz9d
8TKMEVe7DNPJ4dEklzvxwyeFXpqMHoz9fiJB9gXBLLjIS+incxipuioGMk1n33fphwpGFy/jhSts
W1lf7yPIiR/gFs+f2hZ4XkEW2V8DsugeTSySU23r5aFPGsA3nSD9xUru2XVgoRluJLatXVzPgSqG
gGqEXV2QfGBtBc6dpyGHfLCAdBmVoxsqtfkyKzftw/DyYunIBajgCZ0oJF9Z33TWpwcAUitSeuta
mSJaW3bNSI3IhqKLCYsGkMYB1KziBW3rym4w2kaMBexd/zCFCNwMtZrfZdYNnynoyofGh+xZ5lmK
OPqCmzCHSQuNEnS1gEQbT/uOLGjevQEi52tAAzEUT7vFnCWQjlNM83udt+4ObnbXbcUYu1O0hupr
Hqplq2CDfsZ0mPQDAPsq30yCTGfCNRB0lUz7QGVqC+c0HyG88vhIhFIzRHRG0XRikMNdHab9dDK9
Mc1WLZAaYMkr3EfTJHOxwBvaQl5qq21DR8xaCVa6CxThkBBcHNyPaB/ftCt6TFAIEqAvC3jywQ+I
32+tHNg+D7oF3Oakr1iqMlHCAWDXUeVxb6MmbJ9BsiLMnvKpfbaW6Culvb4Kl1G+pELIFcoMMe9t
BpYD5t+Mu0E5DilKjZgOxLgWdgHDUnEjbngZzxBoyzha9ZHETt3PllTvBxyl9Q6Zme5EUw8NCQvk
duA5GIAMVA8vLLjto1wvyNkMnCl+iJwZPgcxSv269m1U5rYmN1Colm2mZNrczWEanzq4jenO52sN
RBcne0nVFAFrkchjkQH916ZCmO+GWDXL0kDEaDahiCegliNru73m6FwKNBjjk+xnILZwuYc9b+Ff
IT2iQgl7ModcIyyBug8pQrK9IFVyWo2toYeuJvw4MQ5MJF5Dc5qWDHc0cZdbDHhwiRDeoY6WoQqB
WDHR46upgorn2wADdG7dNKp3TbrQhwaZpz2fuxxxTwFygTClShq27p4oaLpXrjX1vkEsVJVGEfU1
hRGzdwnF3QP0jjOZorXYZCuHnIJc2t7UDVb2VI3mfVQ5s6M1vlTQUvWNgjB/gcnG8ckHBk9cZyd1
X1czlnvfuUvnROrqA3Nxf4oVq25yP+uriM9mN9OmP4BIHkuS91BWnInkC1LL4xNZJnIjiGC3vOrb
dJNWlf80xV4f80wADeR5+HFEfVxt1JQG2SYa4vQqb1JzQoE4fJqw+kBeaSwVwf1DpjGfo+Q2xYMO
Ngzg7Qpi80jatuMFpu3Ufq9FNacF1QEIOm09f6Sjz/ty0oreyCZFWA1ioJ7H9T403iLMsiTRG246
9dIFIHkLgjjDUxynwSfENtT1qGbgwYFLbqwguKXItyWQvUYsnL7v31ZznAxFxGpxj6Sl/thkYb+V
k1y2U8bXU2wdWBAnwn1t0ChVani3Xo7ksrIRRK7Z+ewULnm0xcwLvZ2kfcLMlep6dEH6xpl5fY5X
B8MON4U9DEO+HEibw83uwfNleND4iVbJ3iEghTLYmutmIF9SL9sHVnNAjMGy7KfV5ne1BPuNimtA
rjZfnm0u0ttuzdotXPDp82z7+NzW/QFcRv7RDgMoTJ6Dn42EgLNkwgoyreG3MeZx7eOMyaNA0vPA
4bNt0MRHJaR3AUvCyqs0RtO0dCrFaU0w0siZgq4YCAfEO7+TKXlnp/hN1Y/9e3j91XU66UeOYUcn
LdMv4HKCDbFhV/TtOm5yfHBA55OpASIRpfbB1C60WPM23k9BNO7yBZriZsSyoEXXLbc8GL9yi5kt
vlJ004Kv2DFvzVOzIuTm2HifhnO8kePi0C6KD1xVal9XJjnxClJoEbtxwdABX204bAoQmLF4D6ch
RawuQkAuSW49X0NerCJGr5eHViEVFUzgyqA9eEvrk0lBqGwrOQYTgBkzPuU2InJnwZvutESuMYGJ
GRUYiNKfx6YxdzQCzs0m6p5HlqSHrCYJvsK+3ecMA8XwjuLmHDSxBTOeLHvayvCzG70AKKi7mp7S
sL8YSlF6tQwJR1qStMrukEkSwCsahAiBqvGmdKvJP8EIYZthAbFXxAhF7KaR+wuolqqN9DXa3ZBM
1e0yTJ+bGanXepUdIF4Pq9yO4MNDCYh0yezNOiRhOSCutU1ade9zcqYgVwoagdOLkfkpEA2QeEAT
uQ8oFQiI1FcZ8ExIt+o2WRZyJk0kdlOV+yuGHFox50ngi7Y6Q4f4C/AhSBCDqmG0wT0K/QYNJtqL
gGZVUdchFlIAC/g/MxBZkzZxMbQ5//xfMRApAnc4rmBsUMBPMZzEQi7x4wWIyFU+vMEKb8rvQIRH
5uw5XczXFrboOzSF1dG6doYF2fYPlJu6bCokLFvQ3h9hSbHrziwKRr0imzGcnoBwW6CVDnmRGoLv
yCywLPBN62mUfrikS2tIYO1oz42QANiQOa5BKE/vKotjjmmGHn9MEe+8ABO0RsMGqR9Ryd+pCZ3P
cwG/Hz4xm1u3/QWbEFWL0zNNkisr8+caSOy7X9GJ1Xl5CyqYbAjlyZWqfY1wJnREfOXlQJ3fOd2Q
4pWhiKu4OnoWNw+TqwS29dDB0B/WeC+iJN+uFYoOkYnkMUKqbaOHyNwDNZ6DQmoyL8jFItjMYwA0
qss+YroVcDnA6HddU8/nNFPzhiJJDPdceMSraV59IyukGYBXuNXD3kQR8AJVnx4RNiBFP1WAn+vG
/wGvCFLPwAwjP4bysGeHP2MsIuTe3q5aE2Q2/81ZxFqjlGHGH43nO4eK45rnwF+KNLBYNH8ELvql
nz7EOVICZTu1CM2GxIGGhuO3ocB0P4XJkv0BuBgwcuXZVyP4xv8KuJimIQbNlmGKFq4SoXqMM09h
CSK3soQtCtm1CVPQKJbdoiyN3k4DingMVKQTsrkobkbMtKsCkMyzaF4S1uLUlHBtrjEQhdywUURv
I039A1wNzNgMwqA75YGXL3pieK1OsdvA8hFRaYy0eq5bUJsbyiCYCTjH52i6jEQyiKgh36ydfLHR
Sh+ImdMniZgnRbB4TLICeqj+NsDo/4MM8P9ihvzvVQr+0ub4aeL7qznyTSjAb/rN5CD4sxQwfTLM
CQZQYOAc5ib8JhSwf0XQEC6zOmPMsMHJ/qNYcJnQCn8D06nSFFOLv4sFEYYYYxALOlDK0ISizf63
mfOTY4U/jeK/69kTWCxRkhCKN/HrAL56anUE9r4/UJReUdPAkKz7k6HNB6hRe4xU+GeDSi69eoKj
LMMdAXCQXVSTHztnYBgAagUqpSwF2+Tmjr2vYVfsESrwfzMbCHf8pyY9wifKYkzmiWAy0YT+IgvY
EEZLvab2sCrAFxKuBwKv6T+bzIjPg4tgFk+IMVRp+of7Z1aBrrVX9hBFfDP20UsGPBL+zQ0Oufpv
BoH86QfK0yTEYLQ8xBr4+d71iAaKZNIYZeJEf4tOGxGMNpTHv1Zx/vwqUKGwIjBVhP2ibYA3iXUQ
DPbAbLXLFarkrtLT33yUy73/WbLBdDq4FRe1COUVBK+flkGbKxDINaayQPTsURLZL6hPm7sw8s3f
rII/vxL27MvgFEz6/WUVjBEy9XSeLFxrcz2jkMgvrtmQ2Lf//LZhKt7v1/nFLFzQgS3aOnuoq/Vc
UYgHKu/3f32Ni8H6x9uGMiJOMYclwnitn2+b7BDHVxdbP/CIA8dvW7/jw37UZ5LfQFjZpuANq/4B
/5qqFib8zjGx/ev38CdvIYFUGSfIgYSXR+vnt6B5r7sV2f0DZQQFmQuQ5EO0+H9yESwLRJ5jmG6/
LI8oV8iQovU4gNxfruTauSLIXfbP5jNdnl08sBGeXgonKk5/uZu+XwIMS8ZXljCgB3y+R+Lk1Gb9
36z1P71jP1zm8vM/iIU+mkgO5QwrQ8hPntvj1OT1/+SG/XCNX1a57DG6p+vxUTIvNr5zgNEWgOJ/
/a38UWf9+X79ssStSjVvAREdHMHMkLTvBthAhp2gbiUXv45s/vp6l0FSv2wSSZRBFWc5SIBXp/+n
G0dZu/RRgA+FXL1Kt0F8noa3Vt0ua3fb+L85mf7s00E3wMi8y7W+0QA/fE0Z5pgtZLAWo0uT5rbq
4fF72kBksvaLo334N5f7k30JOyz+ijCui2E268+rIgzYvDoe2oNMJ7PnjSXldImv5xgPqf7miyOv
G8PPt5IRPDKvm26IQZS/PFAWUZMAI106xEdr4TajTuDA+hnqJ0xPNe9jPYN+r8YwnwvS5eTezSmS
p6t72+ex2gas189xtVSq1LQlE2D4RT1jaiU6pQRTDBIAf8QBKevjJ4Ns3nH1oz06zuk+H7qFFHZe
ZygdrMOoZgyF2VXKmWfpkgQKSe7OBB1+UVfje+41kl9UesRlfe2el6z+Mrsw3c60rm6jJBseqrSh
bzFbwmHEzvoR0tqIynfJHqKMCMRlOLCw1kxPUH8VpiRkmJJlDxMmnWTtnpjqvQS2O7BDu+QYBjXB
p8Sf/oRr563aYhYYfRPxjJVtNhtRpJl9bxEtQtCIK/skqiAF/rggNAD1H5m8xjzamddnm0BKxTTv
xe58xPZqDJFI0elDl1oKexda4TrWd0I91ON137HkeuVZ40CmruBD8NYGDKRYmcmOmJCSv0e/8iXS
DiRTPxK8qAKiCflKss/hinyGyrqDqNn7ZMn5XiPNF2NsXmyvEFAbjuHYfGxU3CA4B/BB7WJu8hbi
L0gMKG4VeL8ErckBYOyyiaegK33QPTdzBU23Rpa9Z5ukxvyRjMJ1htSWq3FDkmw5YYTf/Da0GFQV
Xh7zRobQL+0l0J/PZgvomm3N7JZrOgIWaZG1Liou8pelDrMC2eAdwm/tp8hxvYMYrTfU6MgVsR5N
BD27pcsG+i4kZewue8ub9eOQjEgHgjWL132fUvRVAxHuhQ4EOZW8lpqWEiMP+mvMoq12Uhm3q8S8
bJE+np7oortj3A0jKRF7DaeihWN9bxKiX8QC/rXkaw3ULYLM94B0lX4r15486bBCjptiIvVLw0nQ
nvzsghdw7yktshThzBF/hEFcQsvN7sHM8s1qsv9L3Zns2I1s3fldPKcRjGA78OSQp8u+U6akCaFM
Sez7nrP/3fxg/ijb91YepfPgN+CB7wUKBVSVeEgGo9l7rW9R5svNaLqwtKo6jlBYf6puUQfL6ent
u/r3YRxRbXUJfBDDuikoR+Z41rDdG5QZL+q5GbHwi+SyTrv5W5QMaPyKeX6wzRRE0oiqD9GvQ1fn
aLuYPTcLnNLOB00xUimKHOhehdYm5pnJ4mQepAMJGFHSIl3PFlTmTnbo0E1EXOYRtcy8pa297McV
jppXxTYXqEw+n+L19U/7x8T019Xk+2mQ+DWzwycBPFYvbvG2RN1LGaXrpySj77l4HhATFkr/hlfw
zJVPVpe/rnyy+ochrplsPflEuPh+J0HfHRWG+e9jaYajb0NAgfKEv3IjKNdFyGsEjaeZqsvaqMes
U2vbVA8heeFE2KysG1Sx+JW7oSzPLO4fvxGXEwabZTb+J5N3g7zZCXMAu3EbhRtDBcoPevO6yOwK
QMZknbncuvKcvhL9TzgBMF+I9icr01hrDqJ1o0ZyuRx4EXq07JAEub+M/i4uyoMqz62FH90ghwEd
iLAyHER37wdB3ee2qiBXHxpp3RrAJ7xWygNtVds3cufMBlY/xSmuA/yfVzvhV1Y9rZExVBxwbExW
M5RWKirrfbomPoQQSs5u7pynqT6z4v9Z0v96sIpTosGdIis8ebDC1mqzWzU9RbfokJvsgeYVbsNj
nCC11dukuERkNAJIUPRPk5Bqekhry/CsMH1eG5BXSz+OxjYO8uEiix91BfWKXtgomvsih8Hk1JXa
l8OtDvKkDquHMl82IrhqSnN6sVpKZUHfGIemdiJtA54r2kpWjQNAje5qxPk5bCIqi1snmQEOpAat
Y3BxGuZLSqVrkRIuBPYFlIdgCuEniDicq02ka8VuGGoAkNJ8M9OuuhkGvUVSHZx5fqvm8++ByV4Q
xDSkU3E6MAPJegHldgWP7lb8WjLt7NK+ZspoBu2B95V2/S53D3mEEK44u48/2bGtEwb/R/hq4X4H
cn+yx0ZX71KiS/qDUcf4kPBsoGbTja0Y6UadmZw+uNU1SQYVCVIVwUB//0VUMohdROuwZoYBShL+
o+XahSm8jZrxay7GwrP7wuYJYGqCpT7R2URtbgEj8hMrag+f/5wPZoR3v+bkixGiRg6ZGdgwzecS
o2LYL142v7hB7JkNGLwI7FtWnVkaPnzcLEEWpRWOaqdbVmSzuIIdLgpxTVzGCtukSafLr3U+3f/8
/UlA8NKm4Iad/2TJmwGNN2vN46AA6f5cInZLeT3N+yQyBXY1QkxKx/CEBEdK5UWeufrJ+fDPuOIY
Kv8c6tH0nYyr0cFkCsSgO4jEocC72FsBzO7M01xf0cncY9FYJNWDIgVLyMmA0rClRC48itUY9+Km
KCrNjI6d0C0gDNF+sCJYEnl/+fmD/Wh551s1qbzw4VDlPFlk6W6DBSPr6JA50VWSp1fJWhlparAa
hg3Nb9Cukdhs3KrGA8/d08Y4d/hZ7+yvO+dYRwAGv8RyTn6CLgYpQ+WynPUJGtyh382hsO+chC3d
kIUPUe905/YWH+xqLOoj5IpBTEUHdvJKORg1YeegFzB6lCnhMrSXAWXRQ4CW18stOWLmsAHlMAf7
TaZFR5TAGDpiNMFnXsBHE4mC2g2dn4wVJpP3E0ntYt9KYvZXQQRnxWnVb3MZ2dKtRmjtThfZ3ug6
cyMNkKVkvuCXFhwbRJpsP/8hH40/SrqIwKm2sMifrH3Mxsj5c+buIYWYAu12yaLL1DBeykYYftXr
l9XQPX1+zQ+2FZRm/3VN9yR4IY+dQJD7BQFIYMqBThzTEo6VuFm04+dX+vDuyDejuE2BH7nT+6es
sSFcInrTBzMSz0vQXbk2OGw2ETNFOTQgW4gdZ0RvHw1ri8QTCrWUNvnC3l9yGOc5sBSF9FonHgOf
FO1lJ86/ogXOEHSX5sExx+Db5/f5p/B2+jHZbIQkUVrg9k+/5yoSnU57nteoKbA0tNq/Wk7Zv0Vy
6I4OtF2Oku30gmdTbtVQ9/4CUcePsCJtSbexN40c3uxpKS/Twm2eVDqPOI6LcwEEH82otlzjZ+jF
gJY8mc/DbkKkUQ3NIRlgGIAy/QaH4MxuZP1w/noSkuok/4Mnf1q/QY2h2tHMmkPTiO1cmu4xrkmA
WpR+Lj/kz4nrr0tR812roRTETr+d3FqaSXVtcxjxLBRRK3DdJa0/G4a2B79TbGgrJ76KqswDoVMA
NnzT7Ma577QuAfRqlxfmgntqY8jxu1xoIgZxiWQQjR1IjzT8GjpYvINSiDP11Q++Pxs9qMVPd13G
6skQJfzBRZi5NAc4W8e+KF4tsXj9CPl3Ws4sNOcutY6IfxTvZhfBCZpNDnNJTQl8uMWCx2oSdriI
mfM+/wo+GF7cly2IG0JLJIyT4QV3rud8JPnarbLb5HOcfRdZZt59fpUPb0lXJMaYEhvU6YqtOCsk
CVv7g1iGYhMP0Z1NgawAXBmk8znG/AejeV2d/3WxdYL7x/MjfQaBmMHFYlHeWMCdHlzQT5lutBef
39UHM+W7C52sA1RWxrZSjIm8brfrLFkU5tbS28ZPokVsamhzbIHOjcT1Tz35gighs59GiesIjmDv
b69HXWbSkGsOfTO/BCVEUFv0+34OkCE5VoslZHla5y3XicWZjddHg2UVQ1tsYsmWVScfQdxiqI4w
5h5s2RS3hRX2T1Qr/y82y+w1/n2Vk/FvjS4GWu7wkATK8qYhgKQc63dl2J9Zdj66Hcxw65FEJ/vk
9Azbm12Xq6JsD06K4YJm5cuQqzP5MR9dY92sYjHk2MHfvH9bblk76F4aPua8OtQRmE0x4Y/4zw9E
OqRkQLE7Evjj318koyA9WxZDIqszy2N4pBuieXaFeO6aSu1KDlpbLcu0M/f20fgnV56NAl1/Ovwn
IzEzKmPs0T0eWo4bldQfwyTeT0jFuqLehs2wxw7mf36nHz3O9WVZwuAshWfh/Z06Sy1AGfRMwzac
ycKG1kHo1JnHee4i6z//xwSSTmpE7MuSm9PE2CX1/BYR73jmIn86cqff8Z9eEHVJF/Tvya1gr1m1
cnqDb5lk0oYTx2Wu691N2Or2S9b3zmNj0GTTU5I0Ni35ZI99NLrPffedrQlobCd4TFywBl7f5KD4
ZxE8oHuAyA5rxqft8dPg518YRQv3IYluze46C+CAG8O41t0oytgUPqKNbgTW9TJ32lUk0vBLVz5m
CbjWVDnU/2LnoSmNn/1gdjuF9slr7BxyWaF/Q8M7bMO2HLYlh2kfBWbiuYN5zQY9v87U0G9Nuwvu
iMFssf2X/S5ApwXsHIidx14O+dHnA+OvIK3180JOYBLJS9VNP22AZrkxkkGodQfMi6GvhX30wk2G
P4CcGzctZPnWk0WmAyXuwhIS+0RWjuskfm3VwXYu6n5bFSNsPrlqu4ZVzxGH9vUUuqafhVAgPv+5
H6xR/FpifamJYPM4LUxHbWJNEWaSQyZ0+OC0iEK8kGD9z03ZtpCM1n+PMzZzFAGkYzFpUw8wKX29
H80FuXqutrbLQtmDostjkOWyjQwotbN17JYlxzSJyrgNwb6npnsxNY78nRC/5EOIDa9ZamEimV24
hz4jNm0TNDtFvsi12STEMEASurVS4j4mo7gcW8VpyHEUkKvwobejmwoBKMy/btdH/a3A818b9/VU
A5R0EN73WuVPznJbZZPvzNmzMfyY+/pq0IgNMZf8bUDmyBX1/Fh2cBdh8M4NGQfN0N2kTWVcDits
TS/NeNuNWYZ6PivF1hLRQ6SpeJtM5HaZnVs8Fn1f7PMwpBob57iPye2p8n2tUnndVlO7qWfduBzp
7FwTEUSMU9MYXpI1r4Xdts3GFXnpBTiEGbkt6C6qKxgYXecQqHzYNwQ/vzZDln/rohywp2kFoBJm
8ID4K0h+iJxsDx3ffRiHYZPo/dGN9Z+zGLVpR8bXi8qF8dhr+G9gi7veIpO7LBT5ygGBblSBge8W
qvZiKJJLPZfljx6NtYNQthLfF7IV4IJW1SEQmX7VLeMwbhOYPa9hHzd7p9HDuyST876aCyKplrye
l41q7HDY1BlmQL7YMHmNaXJeScKCwWWG5cGYF4YkAQ2PE+DQywLSZ+9RzkFtTgzdDXDupIfnCXmv
WdzpR5a34kfZp8PdHNsJBYnSVTfIPce7PEqK26TswRymsE5AQAvZ2RQqOrEVFWEBuBIr9VjQuYHd
YTmPnEFsj0/A3U9KXy5ja4mf87hxKdfOUwttqBjMB7MIjAc5TdVtWbAEZDDQATb2qTfha643OTbO
Ld7UDhwW/yELI/XTiALcjjjU9CpTU4z+vWCra43gGVQKwCxVK4UpoDzpL8zIDKACu3ru0kucx9eh
TkAl1vY+TmATJW1uPPdz5j6iMQ4AZs1Em7sqvCq0tLipGwB5Wrss1xYzot9oTvS1D4OYBxJ+Fyvu
rjeHNwTpybPVxnJvivUAZOErI7kBMAgi+okYi+HLH7p62fWXVZxY2zST01Eb0/gQab22J802/aaG
hFQg6TCFDypMvHnBcY8w5FdIWtWN0df9AwclmJhdL5Gu2xkyCpNpN5T689gHP2aSMHgwLthZWdiH
3C3niwDf8l4vnehLSl7KZU6PfKtAFR4rLYPpTwlzGyCz9lWzRAcxdNhzRxs5ywAQduA568t4b6ho
p8OVR4o9NMCS5mVE+gyQYAus0XpxxjL63lY0Pa1F84Zas3cOcPXn0WBrpGkjgKjYKrb2pIk1pwgG
x4oQTxPgeWbU7C3KXPh3wSZHgX6bkBZ5G1XKuo10cmPGtndvwkgwBblufF+RwrDR+srBTuz212h+
LcTJAT151yCaQea5tlsc0hX0RfFmRNNCaDJTAlNa/IS0zN3O9qHWW6BBZQh6IA33VqXXN3zmlV+K
5XWYmn7ekCtcEmuRhsecP/5Ok0Xw3GK5SImmwOcEftt8VvNEqoaADPdsByECVxiUwt7A2jd/KAgz
Fg5DPYIUXqCXb8iC/Nmm7XypEfe84Z8WPBu0jFBO2VC+NYabX2TS0MDahBrkKsx4frvAOpbqBqX/
cnTFbNEwL+w7UUrm9bCltLcZOqdF5hQZajsj196DfVjmre4UjefS+v3F2OrwxpdwAN0Fwz5if78W
WfIrTHW4p40s4k1pOkzNrYjeaitbdkgromt8RHiZFmEWiIXbwCtSejKcjuT3IlO/cjJ6L2PNynZE
imYPdRcRyuH2RU6ERZTl2OFVtxv5wnwgVwo2YZnWqLjBoR1ak9gJggGi3bLgByDJwznC7louk8nS
LpPCHvx8zvqdZUfWIW3Gdgt3v9wXTeZ4XRsWF2UNayYTzbipMSDeC7IknzXNkCVlBqqXrZNNB21o
m4cx14wte+viERC49EotmmHItfICxPG8DQ2UCZBwrH0XzaAIF4vUgWmsvNKd4W4t1rDLU5QkkNO6
1Y3XwsPCrYJfKrpb4BMdVgtpEXSv4UwBvo4wQ1sZcPjwFjLvfc0CiA8u2gVwizB9bfX+oY3Ki5UO
E5XOqypeJ82d0AocB2UHqw9vKxvxpc5RKoj21dLFFYnIDfQ0cQG7g9AsErJ0QoRGD8smeSVufmxT
sOYQ63ZLBgTXMgN/VqYvEnPcB9p4oHB6nAli4r3QZquCZ3JRvKpqLhfmdDaDTB4YvAOrvF3mEWhr
ZCtPIwZdR3azBbGTHEKYg8zt2vNUjHdO2993fXRfoZLorHlnQC7aDPrU7DqqEIB+4KTqCLsS0Ilo
/tmwBv1vROF+3pMqgfwi3GaBnL1O1I/OQAPBMiuTNHT7G/4J6VkJyUfCja5mO3mgYwNZ3Jkbn7lp
XSeruyWMlAc/cDPqcf4c5eN1XeJigKAJnwohvKv/1ocrNtu/Rltb6IG7Twl5NlJzlZcvaH+m+ScH
xy+ToTNPB8uWXMSNW+AAHblKb6ELaYA9oNV4WIAmkXgNXVGQFZuP2i4K0pso4qdAaVvp4AScZEsz
3JhtI/1ilBP21PluKYy9NS37IUhfxnC5b3rtFxunCTNhojaGoE+mxT/QKiGecC3Wa7N+GxdL98HK
XSA13paqCb4yii1UGSr1V+TeSnYlGCWSCn8ubaZQ7qage2DrdpRVdCzcGnOEOgSAc+0i9bU0eB2z
/M5K86dmUISaNf0uS/TbsLWx++V9avlRVBJabK27Z53Wh9igHC4KX7PkzK5JluU+YQ+kbfImXaNf
RGc8I5LqdX8BvgqKxawfptK4UsQtX4rab6fiul8kKGGHF69NTeZXWCXIgTGaLSD7aVWetAcjjosr
x+mHn1nUxpdO+a2bZvcQ1W61mbuBviD/6q0R2P2dq81keAkz2o1WaXtwLIha64XFKAZsEDrqwkFe
Oo7MUH3iuLymin2QtTe1kOHlFA+V1poUmZ24PFjFnDy7iWVtOfTUlwXxRv4kRP80G7Z7r/Lc8Gxs
pi+aBpxmwI+CoElGB/J10heA27GftfZNKLTjUE6/acRDUVGycbbd1MRfAOzmft5q/WWukYRT5G2B
O1ckpRezYYA6W4FI3ciOeM2N048EDNlG7Ye9gwVrER4tLo6iUjBVyjZnh9xnV2EbtEQfaLqXxy0u
S0oEd3YhQR0DzeXzlM5TBjF0p0pJckL+RbRZ5Dkd8E0jvnWgiW9k04bXRYxSfilGw+s0sI3BMOnH
xiYAENhk84NdaeQxDHfTqrMCoZov9k83uSuNYguF780Fr3YwmvTKtqv5lgj4DkPv+KqsgYsZMrhm
N/tFuPOXRRubbVhW1U7karxFFUukcRw5T1ppHKxI0LzS2sc8tlHwFU762COeOAwM5B+FXeMUlcQc
ucBuj1plZhd5AhC1h/G+TRsJwywdj9U8Ld9sqx856M0Ou985v7dghnn23Ms1CaL3JqKIHoGLdtdB
ynZxL2mXBcJKKOGTPbyZpgi0T7jCYaYOMJGhx/dxhfuQ6BZs1X05HP4cA/8fuFH+v4JS/C+kFofe
/zNSa/Ojidv//h/ZOy7Fv//Df/lNaJlyhEXBT/ecIOZ/+E2YdCk94ffAtvXnn/xvqJYCnQXHAoER
4e6gIzjxtmXfRf/tv0j9v2IlcEz8Jij2aUbL/4zf5E+H6N9HaxvVi8tfTAwZ1LUFOpz3R2sSNIIE
xV96cLr40MYr2mhNJzQXca1IN2RSBLs9wegvHh1crBs1SuHVZv9civpcLfPvsjAlWYUaiCojJgTr
5JivWkZ5h7mTUxr4F0gPG3Nqggd4NZCvQyPbUqCbPViV3RfLHZadEeBDzQdixwzShn626ntQUvVQ
Bs3zuQhvXIqWO9yxrm9lbbxHWONs4IxkuyQd29vWzV5rmf9SKDeuhmW0vbIb830uQ+GB+r+oSmO4
wAGR7Nm+lW+ZyyltqkMyPVPHoSg/f41y1Kv5Erd3TuTOTJt26ydL5cLHXZFVOitZROC6TxpVSdhy
Pv1gH9x54KB2DThr7x9j7+5/vrNPcB/oFmjZUpHRGRZg0qyTnkGS2zaqAkT6wwQeeyyou4Wx40NZ
8AHkG5dJHf/8/Irr+/jH2FmviDYbmQYxzbRe/gpvLjtBZjsCqknUbwn8iQuzdufd5xf5oCrGVUwJ
SY6OGxDMtTHzj1JmV8yGlii8KVoZXLa1JfdYJHUPhgT72xD/YctrjWogqeSCgWDkrVxARU+u5no5
FHG8K1WPCD9J7G1itgTlVZrfT/M5Nf4Hg1ch04QaI0yLdtTJz5xC3SLRCwG5HNVNU7LbjiCwesYQ
+IHkZw3Api6yub2ULvmxnz8j9dGbQLOiaARLSsrOybufOLUS2Zmi64iGCVkB5HaAZdojOGF9Gy/T
PXvqaOtQIiXlz7blT76r5qkP4ulyKShCzS2a8bSMxh9U6P0u7fwpaEei6qrxZsgJ5gJhQzBrQ+0D
LcHdSJSOzyGr2reN2XznsdhUMcS0I5X5JWwjT8wE0NjDHO50VRqPVjKYL1VBisLn9/1B/5seDnOg
jqXPlTjw3o+NflmWvoyxYLUA/ae4eIni/Judinyjp9lr1U+w8UEibOGN3CPXqreia8iD1a7gYpQe
Dm7KH2p0fFtfxB2lbOPMD5TvK5dIvdY+k4t7AbEovS73ZHo1oVrXetJWBwWhls9Dv5UkW6G2KB8C
O6UOMo3ano6Ij9t3uBjK4svgrtCPqB/3dPuUJ6b6UZdsjPtminEX5Yk3La3YVKBsbmms80cYzvQr
rqczs7H9wYCmU+zwcWP5kega3j/b3NTr1nCD8lBL94h1DD/CEL4FpYt+XlCzbNZfrATboLCXYC9Q
cnehDbOjX6ytaGVIPN2AIrdyrMFXSWGxEaXwwjKobVrLfV03d36bwVdRqPu/qcy+isXYeSNJnF5N
gfSoWre4AVr0pBXNmk+bP0aLFVHvR+jz3CmRPcRxg62PpEV1P+WpATsBUHIVF1/FaNlbW9SgDJcW
UZVLv9YSkFfKSR89dPrzVZ4t4UOjgYyvE86D7TIiJWZHTDu8mkDwpiwDXa28Tidr1GqMZoec/zYI
0+i6tBHkZLL+Ddbb9eFi/shmiB+kJNe7Yn6awc2FsJ9TihXQOUiwQufG1waXnlWgOoYDcYGmIiHB
bJzlrlLoOi10yj6V9u6BtgTrram0zecfy4fv07XQHSF3BYd2OhTzilI0YPsD8I6bfrgqTEvzmNtJ
zs7KK7Qfl7IcXjgWtWcu/NFXumpskfPR8aWCfzKSkMdOgDmL6kAd7tVO6h2c9DccBanPg1hTnpWz
HaIY4b+qoYiX4cGstHHfQLkkkQ0deNVLbxzS+StoeSTXGZuSz5/NB5oOLLfMbeyGkKT9tci4qV7a
i6K/aRdkulfspK/qmggEM6yjC5uYw/uWFFhaK4ANyH7bzQ07ETNuiHx2rAupin7HkhLiul/uk7Z8
DuEI7DpZu0dJVsTYJN9IKOu/f/6rzb81CYC9gJRJSevS4a/vP9EqGu2ZFFIstZRztlCFKW4qwDMN
UZ47jRP4VVE62htCWfF1tJoFPlK8XJOokxJGieoZM4iyd6aklzGC99mavbiPCSmbqvBI47p8XABo
NpRyWnf0phqWjrlQ4s2DDoQeLcZtEAd7K590LylIoYpC7QH/0K0L5dKAIuTleVDve5HcOfP4g+Tr
7Z/JTyVmzUnWxZWhiGXAztBBeKduELqg6Kl9GvvBjbvGI+b0CJsSzF9iXNcCnBFzFYVBixLDknwD
nPZM8fXWsob86fMna6ydy5OtDRsbsiGx9qJVPB2yeVrNsLdgmDkq8Gq1XAfJ/KRPaXhjsvHwg0wv
0SwY9Gwkim/CFD3CKJgAKKdMdIQ84td38BOEb0SpRpCRQ/K0aIiIZOIvJPWUriq+QWUeSOSaQfis
V+FwCfAxRM+L44yTA9wmLbxqzFFezbGF0jcsn/8856KiDDPK5otuzdZPFEeeG2JKarEdsrpLCDWE
k+wD0PN0dqp2+/mzkR+MOhwpnFyYSljfTnc6onKHFrFXeYit9r4W5aVe4SNrR0qto2F85fPSbks2
g0ZIPWWIJrqPg4i3Eka6P2ld6+tJoF+ruL8t6mpXByEUsegGIh614IaR1WSq2upr+F1R1qlnU3hh
Ualuk0n0Pz+/l4+mJvQvQv7hFwtkUe+/IIR5gzNWDlOTpr/CcOoeRLToF4aALJSO2lMDuf+tjWj+
EU3VADlqvvMdgdDOcEdtui6FcpGEmT8y3x5janm+29H0OTODqr89EkzESvDSOfux3J/MoMYsVK8i
bLFSIxx2ipo1a1jCH9ECyursi/vCsaDJhNaDFavHkhVss1QEcbZO7E39hKMu0dwvXRV/6cbQxiya
FncII7WdOUANhg9G2l3ai+16iN3UKmd7FxLArcT8UJf811q9EHCkPZQCBKk1GOHxzIs4vUO8+hAK
WZ5Wm9Pfu43KFGBwHJUdRNgeO8Y+qaWXTmg/abX9a0rzPXW3lyQzbjTzrCp6Xfn++bGv12anwyKs
bHS5p+eYAbVCS9GamFohjhG7j0TUDAHmR5OIbikaek/VYyqKi4TZfJMTqdUU6twStL7D01+B25Xj
FIgJ+pAn63MFlTDWbD6reQ3MlcVKM0IUES/z5NtryZSv8bpGDLat0zjbwVNm10eqJY44X3Z/sEcq
vOwEpgubTs0xLip3t1jEg5UVtxTImwUw14bd1Y9KTbqfpfoZMZk8nTV5kJx+cC+yw4D/eLpl5Fgw
K2tqyoOWhGLbBcp9GZnoqaFm88U4KeJBWqPcZHFF/bWlqNY15fIjn0O0gQSsbqrKeGnDKNk2Cwgs
M+UZUDrHaUyLgEwLUuLIdPLIohhuSHpDXUXR7syn9tfstt4DNUCbkW6sX9zJa+gtPWiR6xY0VYiL
dkmlfNWs5b7Sh+2Yx6yNS3lRT6O1GzGz7kJ9AiOFpZI0kuJLWJnsOvvS01J38Ij4puqPlZT44wxo
Gi3FDbEpb1XA/B6QQYBwQ39NBlpZSzr5ojh3LDwt7lAMkChrbHYIKM15NaeKa6GJFMpzcShaoN3B
0l1h+jRvqeAyozpFvEsCIGAUf+yhA9iUS/KxAwvraRbDpHPrMx/5H3rJyRB3DWoUfzATDlrg97Mt
FS4SmfW6ODg1sPaxDkkNs4EU9zyeSc9+GphpSUQAndhDkDOLJQM8nBI5bCyP9Ei3btl9KXMcxm2U
HUfzalyWnVzyO6yxEX3HNTMxn2lfoAHdNE7C0pjuP5+n/uyST28Bz9N62lyJKeJky9XIFsRIPWUH
kgblVls6kvFkJDYuGj8g4Q7p6XlEkFXYXcxB/XsgcFfjFWzIYjB8gOb3nDjU11hvcJk51nM/kcxn
yr4AV5ePF4Rcr1HEKr4skRQjSukvLa2nv60NuwmMhHK0u5o5gPUw8sk99uJUICyvkjMFBcwOf81G
6Ho4uDJ+4Fo41snQKYleJDElSg8VIExwlNaznqJfIENE7uXUZY9w78fQK+pEfmm1cPDbEDeJNRuv
OMLmQwZA5kbFNQ36MYN8iNWbxDqbyCGVeCnUpa+z7JZdqMXN1yKFmjXACD+4WfiWLJb7TRd5+mjn
oXFn0SL1Yotjy2SFCSqnqd3nOG8P4A/mPboz3UeSs1208MaCbebRJBw83cru82Yqb7Qmaq8W2V52
U1tcpcEgDtGgN9sFcdyFxO5yFxbVD7KpGEesiZyHKjMFRtk43+y+2Zqqcg8tBC7yYGd9K+je9wmi
7TB4lZlkCm2pItRjvfhmP2I+JkFmVyjSaKlUxNu+rwK/hHZHhlpyoIVuYYh2gufSMZ1ry4XvZlXt
MZpktstkTCehQ07Ql5S1emHU+7gz6cQmMSY/vfiqElH4S9vUkGwEgVaGu7XG6CmtnfEwdqQJ1/NN
j1xghxJv4Mybjb5syHXFiz+WcP2AQar0sugN94rJH3t/FE5KbtxE31YWOy8b0hU9rGRiN5sT1mdq
Sn034umbkSRvYxQ/OPow76SdmKXfmrUCglu+VY160Qq990mtU149W8ZTO2CFFZSY8A7Rwi5nVXxH
n1p6RUikMNFfPRZIdCUB+E0vgWS/6ei67kCPRBuTBEyYr2G+bTpjT/N98pYeWRXpXl8blE737SQe
y7m8a7r0yAl7l87K8fBEm9AE0h8Qbs29PSzL3sGWuAValxyjGm+wjG3HH8gJokjVD8exLxNvbAk5
kXXyO+8M68HuE+FrdOp2xgCCcRb2sCulOVw3UO/2qavZF0Pj3GSF+0R0xlc9Erq3cMZGgUHMG9vD
+Ep0kbuZVaj/yf/b2BO/L2g0MnCU3ZFVZNwTGr1u0jlfBkHzQBF8J1M+YQ0m+2ZAiKBk7+6zcJ3F
TLvdQK/5DTSkAMCeDYdxoqwYLBaJBG731Sid8JgBY6GQzGcwQoG44qUSEU6e4rVlsoeaeriGVaie
W7KfAHNaZEuP66MKicD0MiqV37NhVrt4RXvSZ6qZ+lE/4P+R13WYk3KLpOQuHJXRbiK76MlBL20m
bTihHRx4ZBPS/R4zKLi31LjpV6qohXB9Z8xT7UFDDO8B9rukzCzFAXwfgbBNwb8XucVBJuaq0Seh
rAmN/thy6gH2UvXbUYuWe4ACPDotSvdaNvuNW323OwQNofidx4zMpidnInUyuuf1t15H9chPTvYJ
UcHfMju8WOgWRHZ5T8mYWSkd7pduuTaM4csErOF6xhXj1XVwGYSZhnqoIW84DefHxahXdRhVp1AG
RFgoZi1Kd5YvHF4kEvXaj7T4NcvdwZd1U2Exd2gruE+d6QCEHAb612EZb8A9uKsoaSHDg150XdXm
pkUM+LtqiQtI3bT9WuWVe00aInsXeDoj1vUJ4bueCOVnMCh9pwjiQzlUi49a6Tru9EssYZcBYrsx
h3AamO6jxZsHLZO9FcBeLyJKmF4W9tkRLVy5qxEX38x6Ti/fHuIbuxvuCFgkixHtzpVR6/YBw0J7
B0tZvaUyOzamVvC0FKHIIwcYiwOQN8IQ3iwJ40iWlot4so6S3wnEX9+ssuDVFq36QfBi86WtcvjP
mSYPRmkut23ec0Cp3cW+DB3+LVgg0XPPcu3xNaufaWy55JzUOdHJsmzeLCNPn/Q6mS6tJTN8M02Q
2GgR009DpHwL/2Qn4/CGtvJ3xEIFVl/VP5A5CkHdtLMn2r4WEj4CAYfW+aot5JczIMvdlCAgivqJ
HlZWrKbo0rAfhsHSrkMHlUCtZ8U1/bjopq0ynby9cvIJNznOcbg8jOQD0NoOrOeU6ocvxrn+kppZ
dOxh37wFsz38qgiPOGYqbW7gVomQNn2GXU8zMiRDUD12ZqJMInqx51sK1Gvn2MegcEBc2oSX4TaX
lpcSk0cwuxP1OZEkoXGV6/P8fZTj/+DuTJbrRrIt+yvPco4w9I1ZvRpcALdn34mawCiKQt8DDge+
vhYULyslSk+sNKua1CDCIlMRvJeAw+HnnL3XhgnqGi1cDoNpCg21XV0T3CfN+Vhib/F7r62+Tlkx
Iwtsl5Csq4zWmZgu9CwnZWnp+4u0Qr9EFGi06ZbK+JJzUodV6nwimSlec9+zy4oA3rA25+Gk99Ay
pt4JE4tXOPzH4gF1mb3RUh5zYZnJ3az1BEUuzlUlTLxt0XAoijnziy7LtmmtR+SxkCvPoSxi0mYd
Iz1qwVXGd7pW2TdzRIs3jSQKpVZlYaM8uGD33xHx0J68LCaUlHQ0Y/FdZxEHpe+WJ9aU54/2xG0B
P7LXyKh81FsLgOYwlgSGoEmyFnFeD8sAqdxtavGmi8lmDY2ijR6c2CHTaj2psGE2HQJxHb75nEz7
uWFFUULlV0IxroHXkvRum+CddYN45io39rGHxHIW0ty149ScSKkwfY08wQ3Cdpd341hsulIfDpFu
4sksLAP0OGTsi2WKmg+KQfN3xy8DGyGuerpcnJl/PikPSdpqZeQyfKX2PYvR23SKBjtnEC6qltLc
13oJa9ariTOf4EOE6ErKvWVnAIarZSF7i+UV5ar5hBeN2iNObgnYtg6cModPiE6mbeY6SHCSKZ2f
6mgwCR6au9ehWaxvUTba97aSo8S3iYC91VHDSNbqWH/qvYUIpcxeiAwz2us5i+x9kyMA3zREdGxR
K16WQxImXqzsTc2WAbv/W1pbZMDlSGz+fBZ/L0C3qM8YjpMKhU8KJ977I+rYdEu7DOVe1wk2MjjF
B1Od12Ej5+KDj1qhkO+Kcz7Lo8XKDNK0GYf8fD+WES6QU8py7yg96u25Sw5m274MU47D0krmbVHE
061X2NtVqHnyBHL7uAXb30nerGjX93E+wANa8Bsbyx3siTnIibHzFfIDP6hR/nYR/1ykUJjQtYQa
w0nTft+hsztUnIYgGo7zHvFVw9AcHBLsQ0+gYatS45NlZDgZnAKAt83R1LGn0NBozKuli1oRsHhg
qy0ivr7aGU3JEiPYJfENq+uBTUAKvNZi+FLWkqdXgzC8Qz53ykXtNm+txaOSN9HEH6bKVcx79wwq
zgvEqM7fog66jrBkOMSjuuvZDvMNkfbWE68EigRDzrR+yfCBbN/E0QumAvs4mmXKwlpznmkbntTx
uUlr91ioTHAJ6obCtGbLZInJXJ3diT0pO3dadlqKqNxrav+JZviJQHIXuavqXgizb+8XTlkzD1PK
oSQjzwpFM3h8qxoCzyjGy6ZY1aDuQtCRq0UEm1pLdR3P6TFilsf24UBb0mbt2jGLbDdNzbGme464
NpoQJ9DunJ38S1oW7WuJqhZ9kAaAW3utK3mKbVLKyFy6rLBgahqhkwZ6/D1hhTv0wejk5IxOrq/7
czOrV2pjxxdst1+bdDJuTHdAaOj0EslDInfk4uhIEZzo1bC1dGcgL7tIm0ZcoChGymp1LVsGEdUF
jelTV0bLnWL14rQM6/hbqVd9ncE81JBZwOssDrTRIuxckS94DNjfe+8A4LaDLFaw/VBPy87QEDYY
b7GhpCSOP7QOMYWFq9LsdsDW12NsbHX07zcwixGxJ7G2z3twVzASiUKvUejCQPYQyznGbl5GZWM4
MRm0xpyGXaa9ZWlRvi2N3ZxM0sfPvLcxpzbpEqByt/yEpY6+nWrbqV0o68DEurwwNtKaKIINRgN/
3lu+9/zeP0IeYxX+UjFqvW9VJOpSJUmclvtYM/Nbd7LMT9FSqxyLTYtssNTM8xPK87CtZLmz4/hL
ZqA2EJygS/aEfY5n6TpZ9EvS37UgZkpDhi7UqqYbjobIgZpHw7Lr7bE6Gnn+meHnOi4lgkF2HaTu
2Fv5N8Wu6Vp56Y2i2cCMcRETxN0Gm9xGF66Foq0dMRxD34KD3Dg3jjprnFIKF6wCc8soE8tlVQzZ
riMg5UKrJ9YSQJpFb9H705zft9GYh5nRfYD4/IXos27MgHTXSZqLo0l9Z8hlYmEz70X83GiUL009
Nbf0UprLSPEC2WI43SQya3zSPT41UXexdg7+fPd+4Vx8/wZI4InbYXqIOuXn7boa4l44Cn3UetED
ra+e6lF0m7S+t8luSpbkk2Lc24MWWOk3hiYffPpv3hUYMq3vLwy+w/dZ44+ClXIEl1TpxZ52YL7J
tUYGLRfMp10n9r1ibpfeJratrPqwFPlHrM5f9DL87ny869C4sTG4vteCKG5ORe3x8XJu0zAB2tWX
MvW1RodP3txXy2s5sEMgW9qaaZDKyqeJ4Ec2euTvcigHeS/T+rfRMHfNgHHvg3vzm9c25GX6xBqa
AoRx69Hnh8uDCkRVGw7e+06e2nGgHWJnDFHywBzFCnpBC59Yr07Ly1EjvPzezhbyyE3nyzjWqwvj
C5LN7Z+/03t4w/dLBrPBIqwSl9n7Pikqs0mWbsVyMYpPcRQ9ipKWnZdhnGKBPUjK8A/2l18GT+8/
8t0zUpMPgjiiL/burNybs2i2MP7eFhl/JbxaRRhQXaeyuCdCJKITYZpB52o3MlfvSBO/zPRsuG6m
NRrdGbIDASntB0O+XyZO6/eDUkJ6NLmyrvZeddW1besIxy32U9eITRp15t08jLcJ66oeWucAtGXa
5LK4npgzExSb3SxuVT6b5MrxxNvKTT7BVO91Uo/JP86xvS0Raiw13qkLbmgCu11/6Z1sQ4qzdei6
rL8dK/xorUaiC1L+CmPCRCBtlBNXYKdk0WX2R8KE3zRz+SXZ4NddHnzv9/n6D0tRjGlSVFpV7rsy
ORv4GQjAtWm6FQ39B+s6Y4pJEWwmAWL9NqhrjnKSPpJfpyvdq/D0XapYb56bF7c58R/HyjBvq96o
6PrjgTELDYUHsRgkbjjm4quU3cwJhjhEHphtk3YEcEQg88ZouvGQ61bQjeby2I/lZTLUHz12v46X
VmUlQwBGXTra0nePHfWCivozY9LZouJmY6ZbVY/mk9Uqw9Uq8RRE8H0xHDQX0qqcIwgERrGjZ+00
xFOWcBqms2p2/+8/eUzZsVNS52jq+zYz8TGxlmpOsxem94if+NMw2/IhahsaGnrS+GYu7Y8evfU3
ffdq12xmEGDeVRy37zeghNooK2y12SdWxjCt1atNazXLjupF2YJxkefvooNkAHMs8z4Pp8iL90Zk
rlEOH9+Y3+2HjDwZqTtcCft9GSNUiSvPsJGIaXYIrX3xRSy/WhkKQtGM6i3OFTxeff6Ia4iYk4Th
+JS1zx3G0MXFsFETQLpJCwxH//6tcVDXcVeQ2oKk/3mfjnoDBvhkMXO2abIgaAyVfIm2Xo2WdJhm
RLf0nT66N7+OgQ0kzzZmGnYeDZnNzx9KDU/6bEW3n8zFCFme4R1NN77RlqHbsVA5ZYMAoFV/oztt
bGNm4Xv8+ddeP+H96mDi4ZkU3QBe3q8OKZekU0e3hoxEe2KZqyEkxBvDHGdgUI/0Zce08itN/+Bz
f/MO0jlpouK04fgwCf/5N5dIkHLK9GZfK2Q6mZEgjJKpHRDYxY9Ke6UlaR985O8Oajo0t3XyvTq5
38sK4gjIe90huOZIyq47UetnfUYvTK19pDtbplcDRmBsFW1HPYHV44P7/dtfGsUo32LVcLrvSngs
sIVLAFWzV2drO7bzc8qyw/ySPgs7v0ERUn1QG//m7mLFXdlunNPBz79bXwrvgdowp2afY87aRaOa
7PvBRZ3bTuqBeut1XLLx/LGa8jcPuaEBXmNxg/DHxv7z3dU7s/SimMknRf/ia6VXHJAlmzzhsvvg
+LkulHcLmGeIA6WHNMzjqv78UYTtaczQCiapeAX91oVMumALji2LmmBiqvXn58X8zT006A6vAgqT
/tn7RWRMFLiiBUSKhxh3+NhpB01W9r1BXPetOefZZSQcb0fi8ZWrDKCQUGGadqsQxpZ/bgWiuvmy
1OxlmyAq2ldquusGd7qx23oMi7pRz95IxSMWV9w3pgXWoXY93xrksk0XF4urJe2tbeM2QiF4YHtt
Q2FUrzJJ8Mxny4lM6RfZlaZOcbomF/dU/hojsK3aYBxsiMb17aHUA7XG3VALSe7YVL/2Vg1O0iur
O2bL0QdzcO03q8FiMTAFU+nQ/FIhAA1VlUnmiF1UI+bIm131dhxkPODmekHWVr8mh8tpqZ+bxj3o
w1cyitBNqGWK9zXeOvRw/t7t/x/YeP4/C5X5TpdYSSyr0YYawF1pcf+95+diLt+qHs1u8h9BKtI+
rasf7T+//Wn/2wgE1JKerklBaqx+nx+MQDafa1GymWuYyI/BM9ZfPFQYgWg8/h1f+08bkPkXO5hN
igZiKaRhCBH+jdgZ7W9A3b+2DdvDOELlY8OlYXeiN/uuIDGzidTHwhZ7Z5jbAHbMvGEybSJbXPqT
GtVzoKptGRha4/LEolge3cwKxjhWsJYmGkO4EacLeXBoXlrvlkjeYyw43NpVlQao8cn4K5LsiI6f
uFA5BEvJcbsCEuZbCISZUHSdTwDewqxN7MfcPeVMpd1eY7brlOlu8Ka70k4HP2/k4vdRe4pUzHhD
3gBjQX8L5jw5TWuvO7a6u76gObbCYYJ4wCEqm9s4AraPa5GuH2PGnlPWVE3jdsD721cSYCtvp90y
KXRaYo7BzAQ3nVk8oxHCr2mq18OqYKrNsE3kpemKA/KAeFc3cNPNDO1lzHBCc6dDjwxk49He2PDw
hpGiHBZR7pknhJx4wpTudKx2fuOIA9Kbc9q156R1brwlY0YD/pgShcwt6O4+OQuwTLzqnOX5Ny1L
z9yz7qQW4Ai8JiXuGr0fE9nnfiQHbhH2yUYf03heFqCkLugNmbgKSaccFaLXC2uNHp9CHQXEgbt4
cKdB3wKP5odly5U+p6hLtIvMzaFYWBUz4o70shxZkQ9G4iIplvveI1OzI44gseNtapCQmayUglix
ySxQxMDGTwJoujIMUPIc3awkztUuorDKl8+2zVzfK6/imX/bFt4ZY+XzYoqrNp727pK/KWK+Gpus
CUp1xN1OF61o+x3t+A4GMrjzQdcYvWZoHaNcC9oxbwDXLZexybC8KYxPYwaQKsrdHXOcy2aavI3R
QppX65lMQ7U4pY36EpEwDsllN7jybrRx5ptOgGgLj2g2EVqO7qb+KlUtQrwVYxV2xxvJhHSzDC4h
czh+N6qwb9NevVRSfQA/ZCrbaSyv8pULYZEu6s8NFgAkBbGvYgj2CTMPQSI+mkX3qW1pUiu1O2/7
vg6ICZQkElSHZqxugVNs2wrwQ+JXAH30ZbppVxCFNflqlfhlsZld2jU6TPqwrbvPSx49oxyC0bFi
LBhMPpPWcJ9Vxo3WATMAfFivpIuOrptf1srZiLsb2UdYjyBhkNWwV2zsKNqwtDuFtMONgiAU2cv0
2R4BNYDTZ5XFwzWNh3lTA8PWC1IShmG7jDFtz2pKwqEZCOxV6jPTmXsnvmaiaG1Fw5WswB9uogLT
vzm5O0b9hLjDVAVOrIhDbrso/FSpH1Vm3QTAp9+k1p8RgyBdL/TPzC5vkgV9HwXJ7ZhJDbEpVBW1
8h5IggA730i+iPsysY2HUSK2yzBwgdMbTUkmPnV8nGBX+lXZ4hAYm1CuJLl6Ti6Lhv8nHc3jvOb+
dtNwOddFCq0oGv3Zce5I4LX3pZtcFFpBv64pD5U6XotKqdk9miPBwVeZh4p7StzrxrGSTY62zK+l
GYf04MpNqhcw83LUBG5R7JVKXqopnn7DwJxMiC2TMwV0QhafbQEQ8g1SqLaZkamQ0QLgrGBYhQYX
6tXAI+O1iRk65nTkvH6bqGI6tMvypsfFSSTRrkgc8CuRdZEZwCJjCJcEZ+rOpsrEg0jnq1mmPYrr
iWhNndZFpSpP7STP7Bx3+CXLsI3RIlJJ1fnOzTlP9LdLeRjc+m5qeshG89vo1U/oU48TJNCg1oyX
RbOh6Qs15AmiTB5QahYj3vveZq4iz6lO7ilz5Y1hxNdGlHKqihkURULwq5QitLroxZracxS7p3qq
v3SV+JIQMjsPuRvqkueFGRMTkagFHIU93p085OEol3kexFZTp5PEhNlK69zm9TadK+qSyaUrZ/lq
clerfcMcvDobOu0WfNUMtxwmbUZ0ywEUSX6VPI8lDR0tgsVJqsOtaXY3qlfrAdYMDONecxaJ+qVL
q1M7FFfjzLC3qteHb4HiAeTkcqnjL4S3P0Za8ihmPfcLFf9TOvDEWsVyEPO4i+uRvj4Nq4LmgF94
5WthMqplEB16vTiIpid1XcvvzcR+MmVx1VbxtWqbFzEUeMbQ66PvhUNlXDW1uBaxcjGPDQymmveh
Altjg3aOoNUCNN0Ez2zVSYTCaaeNqqREn8bzV9xPl9k6pRtGvrozV4qfirxkIooiz6BTFaEMCnvT
PZTdNIajrY6BC3vK70zjYfLioxc1j0wohrDt4hcrsoTvTvHZ8KbjiPeJZr0LfGRwnvSovtCTkhSK
4aGR4CEqo2aUY6aXAFnYaF1zCZgo4EF8iunY5dK90ggcRkL/UpXVp7xWdR/eG8qdzH01Cv3oaM0R
dfomVxRSNZNQuB60FlZbzrsO4dqpssqzJHa95vhhVMwhY975WllsDakH3A/sXMOV2rrnQitBVLi7
MsuBt0ztzTS6W5stejDHWyYULucDrvqDs4yqL0uGJ0xXhBA+owqy9tAEgSt5Yee6mJ0ODa+079tZ
XtRxtHEckxG7tRMaSJjF6i9VnmkvGS6WZdgYpX5OZrQPsKXcIr+dPO8hGot7DTGOakyACeAiYKfZ
R2uRi7CmjBSOAd1Fl4tHHTembh/c8hbHtdegeh6CnhK0hJpVVq+x7G/bqGS5TUyU9f6uHfqnKCGJ
+M2x42Oy5OY2T6z7nNQOpCVYdHjZfzEFbQtbaW6pLZB5YSeRA+LLAjGSYEea4EZZbX6FQXprSZrM
w3KO8oE2r3stojhg0ru1G/M6cuGhIb7emYx7fWGCb+0zBSJS2SI7mMpjh0DB7+Lx0aBsN2DPb/pU
7D0xXEf2tGPQdIiaLBw15Rqaz+ITd0Q20TAd5G5od22eP/WIQEFQOwxaq1MmULEBcpJ59Ym+eO0T
3usrWXZnlN0VF9Ovo/rMOBhlJe/EtjtpAH83q62katLPWpt9KRPvK2TFYlOUluCMVKCVt1t+hVOp
33G89qNOe00HL8wt3iqFaXypCvNZm9xv7qJsvRiZZlN07obf1DtG9rKHpVdu+ly/rBoehjEeNz1s
hXMzParaU9QGXX5fqQ+pcmwMoBj9uXYQdGWmvs5DhwG0XNT7HT62u0azWx4TyPyN0wWOF8w6jWEJ
2o+Q7AHSU+d1T3Lq+01fkhDRR+K2HHmbGglgFNfdRdg9LQpeZkfIjMyyPubiWcHF0Sgo4VRoTpGH
yRt7zKVmsDE1LqYQk1c+xhZAS727nScXUobMWLDoDfhv0JgS1m7eNrUug9yKPV7YrH3dym+FWBAq
qTIGnYgSKDKtBw9OsIJpyx9lEj0h+X1Ggs+GkrQHxVOVjTSltUHyT74dnNCwMuIA8VfrT05kMjpw
mEHrpzqeHr2lPJs2Bf56SIqGizq3PkdOu2W5hgoDySI3wZ5jx0GB7iJ96asgy/pN1V1CgMJBxz9C
ylyPZ47ofMulx2GIduNo4sUuZO/LSLmPzYWAqMK9pZMMSZLraMHm0eMJHeiQXENAQcbTZXsit75Z
sABBVDkDpYghGBcibx6Oc8mXK5XHUi+yB+5VvIeMN4dNzLLpTHvj9RHZZ4zGJSycXV1eLQtq1Gnf
Wq8pKtbOILmbEWvuIfxo6z18eTqnQ1jyQKnlmQ4wkwGsJXkX9iLzywzgSeWLagkyxMzR4l5FRRPw
88bF8GUG8AZPlGErOGGdjd3BAxNB1YzPax5uHYfa8oUF7iK6kY3fzo8TL89IJn6ywpL6U19HAaIO
hu3s7jt3fnS9z4sV1NaOv0cdn1+zTO2T5Z4q8bkWeuhWMJu4n/JYsqlPzZ1mvDqr2KJPtqN6r7d3
XqXsBvFcVznykcM4kxMON8n5bNQAjowzp8PKDOJuF8Gxy7EX8alDeie6KNQpHrsJs7i2r3nll9Z4
dJumDdpmQgYnnsFQET2el2MosaT7rq1d9kZ2qQ8Qz2rJVrho3RbCG+kiBhgoc+/MxmUhYU4x+e53
Qj85CNqWLwSH+9kIFsC+5sceGuoWUxVBlLY3pSi20yxWKyJ4+PTkjMYu8srbRWNJURts8NJtmRpx
DF3OLtke27iw6htQdUzbJkDMyRAdNKNC7dry8ua8RpKzq9jbmLfYLlMt9abWEb8Lab/pc2ydhjqP
72M3DZZ68E6AjsI83QL35GYRl61it53G9DAk0gl0TPwbp4f6Q3VxhxNtxMZAFFjVZS1szzb11eWa
1OujKcugkpYvxyqYOu+ImJhXX7vlBBsYuv2YLeISccq+7sGPz/k1uLmgS5vb2ev8GCfL0ra3truE
nBNIVmaDMKls1YDM1FZHZWbTgxXRzZAhBXaKl7LX/LEdwt5643KUOlOs2tswtNg5aUctvrV7hEQR
CuSFeiUJnUHZOSMy5zQLqh5TbFmFaiZ3Fp5Y8gW3VTb5JW+pKb0VqEVHMHM4sPHSPDkuzJ9TaRtB
Z9WhhEdmWp5vZHE4AglMKu8g5bBVcvAGBdEjlBZZi2rykHMwNMbDuifmu6rJOOpvdMM7LWUZUuuH
ZnJOy/veuHSlcsE7J+wJmvN2neDlffAsksuvB/cOLa5bUDUiwszVp9zlpK9fT5EMWHCkfQeJHIjz
UY8TdXESX3TeNXpOpOewIOU3ezEPQ8u8UC0OJcO1zs4Cxpgra+s09Am0Nvqi4nMjKRNidaPOb5lu
XzLsg8xzIScUT0HrbTG7MhQGhMQYLred29UAOZUZIM7xReqfJjLRWmo2JSyqR4PD3DSVQbEUuywr
j2Vv3iuZfW4yUOFEnSWT8VXrdPqJSbZ30APqiYXjOqRNuzU7v8COXphiyxPXxtnWGBufuDqv7/cJ
sqERYtniuAeyGZSJ4/2lJP3MWFSk4g3K65S8UQy/SwQ00trWpWNtIoa5A0A0gnjCWMpd2/VXmjCQ
vHx1a+CAmnN2ymHbeDrgLy3kKM6ZR9L9+Wa3dlAkAxF+e7XGiflojWNoZ8+pHjbONZwYFNdX+vjJ
Bd/SHLPoou2nLXmEQSQzJs43BEVi+m9ILKz9rDmk0zlCwut+Ybzsx6ADRUV9N4+POgDRqKTRLPmi
kU9QAS1erPfZTYYCwhn1HarOQ6ISUiDGvbC5iVxOXKeBIyK/0fLbktSb2nwAa46fY1+sv4HF42zf
1cM+0w82BWXCPsqVKZ+KuESrf9VG9lZSbNhkNSpBNl3YojxV5gzZwdsB0vFnvfPNgWDLOA3axQ1L
Thzxdl4u52xVne76/JYCjrNTjNAp4hWylXVP7ULNm55BXm7G8rNABN5SvX+bEFGPDjLPdoMYvdNC
a5aHNFXCKHvIjcDylLDHPhJR6tfs1p73mEyc8PWvwrzU5P1QPCrzHKTLY+d5m2k+K8aTQmqizF51
DFmqu6l6uNjORSaeuoS2lyTzmNclJ8dNX3gbqaysjZ2x3LseXF1YqqX3RdZvFgb+Jb5o8oOqaGHi
qHvZkaKINZCmI6yOpwjjSepw8OhemhiYbxEm8z1v243ZnWuwVrgAN66xs3jTFRcGCAZ6gn7svID/
gFVkBsBVNmn/CetsoJcK/QSTw4B28lp757Q03CC8C+2m6ImO3MyY8SvlQvKb1DbOSD0N3R7z+/xi
af3JnBl0pVj2808FLJV2JqTRVL6M5b3EjUosXaiuG+VR7eQWfgjA/FPHuXpJn9zoFVsRaToybIfV
IEEvZJY0HM9GCoiMEDug5vqUn7LGBs2KpA7mfudGxySB+LykgYkMbDctphpoHuEcuiM5CGEECJW+
utd781CYZwLKbyeBmMDDtE+SLRH3Mjob0XjrKe1NlfIR2frncQ7psjfLMIswZxcDCj0TYF4zqQQ7
zhADPb06Y1q+0UftEHkgXL1iH3Ee5f28PCSKDI15hJAGjAT4+0kmCu1IxTZ55otXpHdXE2wOHbg4
73LzghN6FJh1UbMasKw1SQvQxOxuHY1wvDJFBmXzCtvQUQDLVtUcmWV+1uKlD+cOPKBw02/Yqtfl
jiWh6Okmth7uziTeGUp1RUL0oa6SXbWiMJeiuVPNDE3KAnKgRO7ma714XTrnalagCNfRDtLu15Ju
9JiX1wsvUOyxq2mZvckhntsStHCQEp5y125CV9QDj6DKQjNUQt68S7PONWwwheDyrtbnkaPeXDSv
ScfN7KvkGoBl6DXDJ9lB2OzcmGy4RZ7qGgW70z7i5UuDyekfKHKVUGWE7scdzZaZjFbfpom1bQm8
oyM+VMeK6xtCY3i0k2w7ddVlOTdnc8qPs6YcctO+MvSErS2rb5LaflNszFON09hflsJdaPpGcBiT
qQgiEoUCRcmONqtpUxs44LpYU7ZRPI6UKWnmj1ECrHZ6Gyun8uMC6MYIYd+PdLtD+p+dkcmZvjWJ
J3XRd8Cy6Go7Fr2VXn3jO2bbIpbuHoceQzvZHQyDwDNY2xO86WWnDQkPWUIPX5jRlghdWImCa0kH
lpP2TO8yKpMHkQOFFtWXuWINVXV9iVsrx9Mz0F4a8WgNaQTlXykeC6/5NKrF52WYL+fCUmAtIFa1
ve7FbIs708wXGm69pE8NpWhYIa/0sfVNtIJfq55Yz1aqu7wmBU9WPUUC/qg5pCnSbqOGiMiVHLs4
5p2+1PmzN1FEUu93W2d2MMzZ/fXQ9y1eNQVLwoAetzX6T9KivS006msHTzVMYFSgSpxAJsAmxobC
WUOrODEDnrqbRvXr6KXX0GPw3hFFgq/HvKrRR/NY0ncierrwqVUifzabhpaJHZ3RRu5yt6Uq6l77
lYtrx/02lljYRvRgfusB4KgHQAOopEMnmZIgiuQ3qLnXGmZK1NL46iK2oFRXzE3vKFSMdLd20Qre
zaN0PmFQzvdwfSf04OJt1QAtKGtPo9c8WhMvwUlPbr7PxP7vTBPXn/JaN3OXxsnQ/8//8V8/NXgZ
Xn76H1A/02G+Gd+6+fYND/DwzwHX+m/+n/7hf7x9/ykkO7395z9evtIKCUgQ7tLX4cexHQQIVPQ2
fvb/fvLnJy/DUMfdS/n7//K/pnz6X+Qg4NPVHSB2jPJQH01v/fCf//DUv6wVAwgqn1mNidDwH//x
T9yf+ZcB089BFMkwz2Fq/y/cn/qXgzJKQ4YHQ2r9if/WnG+d4v1ryrfyqDTHpWNlIg7QyUx9pzLR
YIuSGJz3e438uSNi3GHXeC1U+HzqjrltXHfpJJ4TzS3xTwJbiZSmynxtmj7S3n0XUL/7JoBrLAQR
JggRx3wn/RDlMuSK4XX7MhVvMpHqtWZWzVVVLem9njNzKeNqp1e0pgoacunICHFTN+M5F5P1gQrl
+2/983cBMYcH2uBKk4b23t1h1P8E2WV2EoFKMO1Tm+RrjmZyUgfLe00nKkLQCXPNCIO4plNLBw4J
/gtDLJ2OUm2elAVJ0DzJNRtonu9+WGnXf3+VH9l+2qoPefcNEVKv0j1mxw7/9LOog5MCcOZl6Pf9
AvRr41HM0l1x+p2eGsYRSyRVtjSY8q3IWrdIyaLsNLFzrCV5rOHBPoO+M99yUiHcjy7er9AHlC2A
72xwOZ6BePfnr9YoS9uQlo2kZoBWT8e22jCVqW8L2QwPllXUd90yR59j3Yi+Nk7avLgpe3iGnuMh
V1FxqLjGP9Ck/EblAzwTheKqM3bJRvv5Kwm5uIujIF1TR8U9a+pYXKmYYLZqUrEPl1pJreEBMtLS
8cPL8f4JQziLwkhDrAcTkSiLd3eqKlZAwYDCSCWcYKK19FVJHDNwVEIWAXBpgcYomln4YAcpRtD9
iNQ4bChl/96C2Tvjt/o3S+Y3KnQdNQGBewjgUTq+uy2T6BIv00dyo9PlZq7p4ASqsKyT0L0yFMNq
fpzwMm86b64O0Rzt/7xif3MLkDQCSFivAjgNNrsfVd64tDNddHG37wjXvSTxAJeoDXnEyxRcyUxL
LaNStlk6fBgkvf7kHx8VboDB/uYgp1ARR7y/+bmidabW0njzYq15MaS5ZWDODQfPSd7CHIPzbwrM
gwSy+yONEoFvX1wDxrVOUsXE/OfrsGo3fvk6iL6QYhEIReTluwth9XJQsJTVyKbL5FLJa+METQuI
PYqw6qxAGdlUgvbi4BlHjb2N1pAS0ZAYaFEARqlep8H1djjFIyAEJth0k0aD3gj9qc6chdNhF0cM
U5XypnLKBupXhZQ8GaMhJNoTCcK0yCKk86K2eNtJrdngHZfy3Foi3TG4r8lYZpzz51/6N/omclrI
uOSNpSJyevf8qf1oqYNNLZ/Eq5CCAO901xP4fmWknrz982f9RkyF9Q/9rKajXyYo5t2HGYmTJUIo
xFO1reeSSqDXh3rsiGbxXEmsSlbWMr6a3SpvKZ4X5yadVHlNR7en9PfoCc1oH5i14e/V/d4ziwuJ
0iDd/PlrfpfL/rws0WTQh0PBi+oLJObPD4Sh1hKpOxjTpVKbgAk/IG83U74Y+v/i7rx27EayLPpF
bJBB/3q9v+ndC5GpVNLbYNB9/SxWowFJpSmh53FeBHSjkLwkg2HO2XvtAWO3MQY0+WwgtOHgGyTD
FBaw82jcysyFGNN6X33U3dimX51TlKjbwXLynVNhr8q9PBCLlnLvPd0DtAFKyhUdnWKrfIxTYWa4
f5hd5wf68524luE6xLYhyPPcX9eiMWjKNh5QqgYym87gx4i5mGrr858fGPuen67jYbOcE3LhmSJ8
chGuz6PsB3W+PiQicDFd7SY9tRb1QN57a2bIOgJfyyDoR/O/gWr2Uzj1D4GB0WgRD/AZIRx6wyXt
E3+bjzjgsXcx7n2qTkthjjQ7IGcYF73LivXkq+EmSUptmSs/e0Jt261KvA6trW2AIGzDqPmSCHKW
TkCRHoKGXmTLjOuaCYAfElpgcqGSpcBY0L8tD830VJBELytg4eRhkyy01AHkFmlyW8fVEScCvQLs
EMJPPjRNvOjhi2orPHiiJ/6ht/3FJMJvbhQ9kVkD6NJa+sRxNiZZBLHORcW6besNxLH95DXfJc1E
PccML5N9YUdr2+1ePUgEHU0+XEjINWjY8bvTAH9nH9H5LI1vei8RLsA9wFNZrAobRqq07DdllKAz
JwAXerDCVkqnGUFUNqSLMpIXKAThDvo8RPnoXsVTgZ60onkaU36x/RdmsVWSIj0JLJIr/Vc9ecWR
z7ne+6zt/ABK7DjadGES61VDSUDt2H9KNP1BTeNRxlq5tekZ1lRJpW6/dM4ncxwnK9e+6lLf+3PM
RVk5SzH3vytxcCr9u6e+JmEeFGpOb6SfT6kga2wE+vYeRsnaKeSRuYbJ3vSeKoPusM9maeob6Bwl
wetlejBq4y5T7W5UsOqU2W+0yMLKj0FMx5Eeph3PZeyuuZN/DSZtSidI9znAoWTU3pDKbDu0gFuX
MhZ2rscqlXBlac8l9L2otltbRdPVdJI1URqvU4LYYhTWotQzJv5G23RxuIIof4gC7SMItK1VXWRz
7MMcyoRPVbGgn0YJAN57ZNon1dxbWJBsrQYXSHJROSy1SX+1HIv5Py+eJyMSi0Kog9tSyBHTylHN
dqK+l4KZIn6moucwU71zwq4mC+1ASD2stNs7fI/nrqJkWclVm9G8ckR+5LCqr8O8p/7ONEjT8zGZ
6vtY8UAmg6QCANREPHzvpbmCCHw7SYo6IrwTVn0XU+Uf4+7Jl/CzfPlhZrwCvj7ULZ7cB6VBDan8
DMz3xop3Q+DeM1luta6z6FR7RzWqU6S6XegE+zKd9Q8ya45dEm0cbIK+3j+A2dgOpf2Q2RSWO4Rq
7CcXMBHWduTtyYiIpejWOfkbUTHt+TYPBaqHtm/fCmTtEw+nIhonS0lG82J/ATmzp2ql8cHWWFV5
R2Vk5ktJdFO2xJ5HXcAwkXsgEgMkkKwLupNWnN1xLw08x8Rb1Yh38tBcS6dqAXmUeO69DoyZA1mH
+njaOs595sY5ZUSc8U310el99uRReVTChL5F80GmqOtlyWM8G3yVS7MIh11C2Nuq69wtQpkFgRBn
3LD5Uo8xRCFCXJY00yUN7em+p/1qR/WmQWIw2TtV14REFGkJKghRDlrMuIpuE2v6qqNnXcsOmHFv
SU3aQO14SZgZAp/C/Vh+o9yZPhsuiENhRvixJ7oVDNig2nrlscKTek1AYtykuaTMbOZ2sNYzKR/S
aDT3XptU77YdimsSRvzMUWLeWwKfaPmm+7b8sKMs0circ+KVPRrRxuOvrDxzCm90k1Qiw2q7hatQ
8E1W6a8JW98FwpDA1sFNLAOtzO7xf2ufIbtM8hqq+KH2hLwbOx+QU1p86QaFFaCsmEM0/bUKH83M
Ie0M87TgsKamd31otL2dkBzYpqV7yYRGFX/sqgd7aj4J14vPcJ70nZQ63n5LmNYjHx1ZR2ZGexMv
RFzPuzMPLnZvvmXG5IHzSLJrGNUZQMaR2JWenI2HuhxjsFa1sPnOY2fnKZM2r4OpyRbUl+H2MKlB
kR3bE942+yYEOg0uEhd1kcnsWPVWASEV9lS1rNrK3rSVtLknDGirhHoNzDi3o2eeRZSOHRV07z5M
JBxB1DOXAwI+WQ72xzjxMxbgAEeEWVa8hzekqXXM+XGrAhN6hteAijUyi37aGGRg0tGUvnI4zr8h
OUchqTvmieScClB6pxYj8U9np8C7QC8spUvr9dF7bgX34Gyf/DyDElNYk29tcJmUBH5oxnCVPVlg
yZD5sMYxetPD86UP2wZ/1SbSia0aRkKoxVxy9Eq9vNHqQp7woTbPcL6QGTdBfPDaoNxrJmj/Ire8
86zEpyKgxe5rUltyP0kyr1JCXRAsdi+URCkw51pEHJP9mTSdvQlaojaU06RzotC9NZTvaDLgIYhK
u2+7tHkg8cTkMD1XQkU5mBR88+6SA95KF6FuRmtpzK3ophYfXh4iTDTZPY6dlR4kaQD7sHaSR0Mj
2mmifXPSg2iNlOVhCrpkpeK+PdC0wvrsaFRni2SOlTEm0scQ7a5jwniiZZkS47FIHJ8clUYl4yYw
0PvC8sXRAGkEQGzYdnTBWn2AGuhDagip9OnEtXk+jfGaJcNoNe9jqOMUTLuF2Anc4DIdAntZFeDx
q8nLVymgg5Oa6Oy6btSdo8g0WzoV4NZCakP7aTJmIGSte0eKIsi5YkstjM723ro+yR+twgP9Uikl
US9mBuqxBCUapP3svvEJaykTdiWYOZ+bYay2hKwYACmj4isI7fBR053yIzLjGXXrxBy1fRVSgbWS
6zAF1QkHA9uRNG+pVAjHZRfh1Pxvt2eK6HNmnbivLq5v6B9VEw+7AlrZoZ80/U7ScmCvool1l/XF
fkQNfrA6EoT9xnaHZQ+n8c401ACrIYr36OBrVLpNc/HJRxyXwojLvet2zDWmgW5qyYFCW5to4+hM
D7a6hK2sz9AJvZvECaJ3w66GfBOya4q0Ur41DN/1HGn6zmfiP7tlJffMMpLeVNqiSs3r2lsFVexc
0IBZV0r+FoefUDrr0dTcywRqEVrYGAfP7uBlx9ITuUKqHQichZpu74rQNu60NhP3bZom+5Bcr+9k
VWD8JSccLw/Bl0fXCUhA1PI2PSnA2sea1CrUhrWtX/PKC8+1yakvMbXpTJCk3W00CMDXflT9yeqM
YN8nQf6FH7Z4NgddP0pFx0EIMmbYRqnqPhMl0vsWICooH4RQLQXilehojjBb6PKQIxemRaYfQ7uf
xbRpM149FvIDbUPA0IUJP86W4rZNmRDjSBa3CfRDtSrHwXzpJBgEZNHOXWQOTbq0qCvOIu0+OrVD
5N+pTpX7sBAX1VWu3PAZxpfaJvvSs3Ehb2x38icECnk37kD6aIzCebOUdk787MZzMCx9nHYHiJ7E
pMor90SzuemyIyjU2g2WD4AGS7OxiZLYbZYNNBMEQnM58dmnELUppFcQ6oYDTDb70Qi/kMMPixw/
1VIPwll8jV2YjYPnMoNR/V0O/J6bDMPHU+ZZwZvuqhm6XORvGq2egUAjnf/eDe3oEpdCvftFcVPY
stx4gd4e7bESu1Y1742Zhy8j4Fe66GhfG6vYci6CcZfK4qAhgz132dCxLGf9sdIC96GJRb0WXRu8
0bXWII5NY/vIsXX+ccq3znEUsF2xlYby2NdI240SN4dcXhkcmTyMvZ6BBH1EetQ1c7p4PcWHxsls
tjmUyHpnKA5V4nZbMy2Ni5HV4drLeusLoAXykD4f3YGYqxynwJD3RH7mEyfwSxWSN1ZVsb2MvdC7
oXNbgxWqOmPRBgFKDQiI/hFNMiePNM/QD9dEEoIMguBvR59mxGxfQNe7YjjunKVSdbGFt0zfsBDC
XweGlyD7myoXi0MzuYvI6AFmS33Hub87dnkInAZ1Bo32apy9BxBhkG8uQyJOt0KaPhthc6Sn09lJ
u6gnoXbI7wNkgUZYr3u6/u9Dr9WnmqP1tKjTiXWu6vynNJ8pzyh5vSuaOuqHCRC0Qph7GdfiOXA8
sNcl/3AepvJQGSK4D0VqvzdeoYHHaQMyyHpgEM81gTa3RheSlwX5ZNlFPia4UQvwckXsHSVUk4Io
EytvzKvLAQpkR2scaPPka+hQw3pqM20ZToF3loVTXNDSSXah/YfJzpy+cpGU53SsXU5n8J7HmUDp
GhTaPPrzZ5JwdHIzWSerKqQqIsaoorkMiHtZD676hrcf716Qtx/Uls+O1FjHgyKUN2YZFxyM4u5Y
wSlEbhAM41dDi4Rj2ug0NmCNmi3dECKlmvWa1l55kXXoBHEz52EEjT7LZNElZ56iEtxo47sQnf9v
VOl/1Wr6f2ZJcylowWXWPVyVnm0ankWx6H9vTN29F2Glmt/60X77p/7dqfL8f3mzG00nBpBiKUWW
/3SqPO9ftKl06GMsf+SU+1SA/tOpcv7lYFJzfIuuDcX1GQH9H0ea/S9aEzhcfepcuFwt+7/pVP1S
ZPrdE/ix+CPKURNGAJMxcNjch96iHbM/lGZ/e4m5uQbO16FUPTc2fqgvmaPTdk43jDtOEsBSxG2U
Ot9/eBG/KcL/4sX99138cIn5J/xwCbfI+2YYWK9CPTiVsf9Jj3bZuREqPyda/fO1fim6/nWt+V2R
xE6iF1bDn69leC0LtmlhYK3SR46iR1POjND+D4V9e24c/FD++/d1DLgnFDGZfN25bPfDPRFjYiCA
64edWakWHXZ6tKP83VUAyjtwrnpnwLspObynzZ2jhocoQT0YWNswtI4EUL+rTJy9ki1PqaLbkfib
0I2/A4GZ9VHAaXXjNMBhlV6HKbCJb5Ci3CmJEqeo25iuvGRR1M7FDGjpY9a8tOmMlWbixUjcNwxw
LzFTzIAGENtKUq76GGFD4uypyVLxM53FVLoQl32zJpbLSJaFb9w3RYXSegjeNAd45H/9Vnyath7M
Dbopfyti+kSJFt5oD7txQJVXS2MhpHcaEwx//3yhn6ulf33nPocsQtxmDynf38+vxTenamxrb6Df
E93bIVhKP/A5vIgXEQHodfw/DLffDG26Kw59rjmPgJiYn6/X29zCpAXDrqW/YBY1JyiInVm2yji0
//Ot/eZD9Sk1M6Z1y/D/mg1/HHGMBIDPqoIqPVNfq25Xuv4fLvGbjwfLvElbHEctPbNf7gYmVtzT
x8TE0ZubAUpuitOpK/M/cLV/7TTPHw+iKvr59Jk513i/1rQjP6i1XB92laIMKsv6Wg3VFhlMijYJ
iDnQnC/bj1acjkhnmZU73oCwpqq+Sz2fdcZHp882Tols5p+f8a/9+L/9sl+UAWUDUJvnz/jx/YNs
hmZBC+p+sGuwqC2pezakSRyH+9AoD/aAAzWzqDmWzfmff8fv3jWrCOvPXxoJ95dJWXSiyc0wH3eT
U20b27gn9+FPUW2/G7oz3d/VEUAwrn55CUBydQM/zLiDJZ7ptyjHosLbEG72h2//d/cCgAvOPYgN
KPy/XEd5Bo2IiE+SFFsNxaz28s/P6neD1qLvhWDBodb7K2ct6oupaWto61BO4X5Hay0ILmPv/gFX
8NvH9cNl2Cf8+PkFVjF5Uc9SnFnffGcAIEl8D+IlL7TWf7ih36wtPhKHvzQYPs37Xz5DQys7acDw
35FddK4KW821xkun5/OMvvOEAo8r2pNy5L6vh9tYiz753Ng+W+STYD/bDUZz9Ebz3Yz0uwZPH8YZ
JLYpIVwrq26+e+BII0Fdi3LAl9QNhICyO/le/6K88CYW5ls9dRiUysfaoEtDRqe5yBSKKxMV5pSG
t2S2xouWbfMa+egZbeZHjeKXg8BHlPvI5LQ9p+GEM7BaoNTawODDfhcVKxML6D8/q9+9FRt+mj1j
m3R2az+/lUxXaZOUvBVXz7/bRbtvqVcvq2EgXrz6w0dp/NLEZnKAUESvj28SJhhT/s8Xs+lYx1ES
TDvQsJir4EcuK3vufhg7XGpYH+LnCRQPoGXjvQVtafVG8aexwSV+3nbwE9CZuMjhLIfW4y8/YQQE
CvVcB5OkH2lwrWEnbjPH/cMM/fdv6qfL/MVF+2F3Y/8fL/P31doV6BRI6TQQhXnil7cXouckKzzm
7aHgreSt1u5tDHKZ3AzV0z8PlN/dEWwXdoU4HsTfBkpsVEZp1va0c2L1rcB15MeYxBCh/deznQsj
wWMuYk848yx+fkFGHXXUu4Zp56uKYrFBqeRPnL6/T6hcwp8PLTMdin9+vkSftBYT0TSBtmk+01qH
Bqv+QM+Z/8Svw8wx2ABYLtOQ+eswc8O+GdFajDsRiHPc259hZ3H0xZXV5+WLBeSYqp2xDMqs+sMH
/duPzEGqY7Ay8SCtX+6ujeauP7TDXZ9ZQGR9Y50YSHn9zIJy3QLNIRh+nWnGwcuiz9oam4VueV//
PFh+84TZ0bEFcpBDztKdn58wHiI/Q7Kl7/RaXKMuPdSFVf1hqwFCbF7Ff3rKf6HoGIzm/JBJWPv5
MkK1caVZntp5BUlyZrmqbTxX32VzspkoS9XvhmKDpVYzTw5ll6xe+8ZdoHNuaKCIP+vje5x/T6yF
aLZ9cavdFOJZwNUMP+pinZNKHzwYVClyEhXFcM2QANEuwR2GZGaPLfBg4uXx3/14vM9UcTQLYr67
TMXrGO/gspTB3tWCLVKTlSM4cpgElSXZ1moxuOSGeYmi5rOeeZXBs/4V0bGocFFh1lpOPicd8tDw
I4K0tdYIpLYjjqxeczc53qehCpaq3zbQTyL1vUbQ2OW+3PtpXrGgFhRapbsLCnpZO9Tbw6QQ8lb0
Vz7IIMBIVe1cLV5SsUWEPbK7J7/UxgMKgn9mlejHKgpXucaPtAtiTqpu44sEWhIlexTsJXXcoS5u
XNEuvdq+7UV+qvt3KN9Lj5uWYsv0vimidz+kK74m+eUlaMVdVGBtQDwxEoYMI8XbkbK5N/Dgqujs
lJ9xtpfBC/XyemFTQvWhowtN36uQhBL0C0QgE65JZryDMaoMOqScsOl7h/U9SMBA5Ou8I79TAg3J
dYDDVrrVsalhesOpAH9ymVg3VQ8VzzU3Uenet2ykGKJLE4Yx24fHFMyGQ6rR6OJQtQcDkYfrYkiE
CqJ3z3bEkTvFeAQV6uD6Z1q+S+LO1k11jVJ/rsxf6uquD78kNAnOkXLtlONhlNH8A6JtSwOHiIVq
UaUV6LP4IY3Nkx/R0ovWxFlwEOnXbXnoKnR18nUIFYKz7pFa897OHny82W7undxh2pYkG7REwhfB
g2tYyzSclkUD8Lk6JXC5LLIfMvKBQwZsSacDTrOeLo22vDqWv/N7axNROO7UsEVoSUWtemB+/Ah8
bDFiJWz72tJ+iGvs/LIr1228Tcf4aroxsaiUNjC/XZxyomAdnRLyBWNqcyuU+QuLxMGBgKs6TJcQ
SMKgZYDTlk4TLCdiVbjnsgpXtveAWITL2vZrWN7Ww/daiUXvnMFPVNg/S42ELujz5LtY6lzA/w9X
Cmdfx1rW4ds3649R3ar8Ltd2XriL7UUVHs0SEIy5Rp7a2O9hfMYxXb/nlA8JVuyqQ80Tq9HNW+/j
QIagSb6dB0f+GJMfI79jO0faki5Mntb44NDKt5yNkb9L74HcmDhGEKFFr5yDoShW4LxviuLd0NCO
iKulgkWFoB7IAGp7XJ2rNKguDb63QZQbf25FiHfiSXASBsuwMOi3GEvXPtFbXbvxeEBysfPBkSaD
uzHd6dbGlIM2RFc7zd0XxsmCwrANmlWTNYCL8IgM0tnGIZwENVTTpTXAETmaoNbrR7T36ncz189d
GPg7t8IvEckwX9TYgHubSKU2ylZtXhZXt6jWYhgflC34hszs6NZyNekdubwhB8UqzNO1NeBbrV0j
3ZQsGYfY9tz1pOL6TfXuoe3YBrc9/h0NnEtHLYVwSW86UBO8S7Ik3FBTwh2S4DELOfVJXz+qDItM
yNlpzd8M0aUFnyTT4oanbILJra93cezOnnCBVkaoB+lor+jelp5108TyOBnFW4JfLPJIIqDHSqAq
vUySyGEvp/0+NUaJTgIViT6gcSQgu3Xr4n5KmlOIKhwQboM9nf7nSaQx7vLs6hRiiXYOVFqeu2ut
0GnkFDvTQvGQtQiDnFhEyzTxz20abXQneArNW1fIW5Wkl0TDY0hCU6/RbPe7beCOr2rEAjgRC4QX
LNZWYx6RqmwMi55hrYedt6JI8AzZ/H0wNDhRRrupW+JUBmndCVA16DoECKWXocdmTX9zQDNmo6Sc
Rh1tRkvtioZyHyYj7vLiJsjTN7s1bgMXTqdlQ3mXcXJuArUnAIPaZgyFWRHUXg90TwrTefVD+5xV
440zmK96962145ukrp9S4R77BuWqi/ZFIPRgxuu+2UmDSawxHhMKpItO2p99/Yoc641+CMMwAGwh
JmQv9m1a6cehsx54dV9RlT9SHvyUtbJ59dqx1CZI//05B72plc21cmzCnuSdh4UvM8jzibCZS7ta
iGJi2hJLV3UQ/gAW6WbFUzDqVeYPN6GTvxgjfoKWc2LONzD62clLuz3e7Z3lqn1f0JFzoXf1tf2K
8i1iIS4Otpo+8wBfpeLnjf7DyO546eTmQ+0GB6KTNkg4b8vEWSL1/IoSTGqeJj6qOfy6EDejBxTA
GALQNtrKMBhTg1+YaCw0bemixKCtPC+1kROsEyhieluVB8xWd2Uoalyd5G8XYmuP2hECV7Q2USIQ
zAdJKM165z5NCx98v4stYAaXQ+qCBkVS+tUp/Qw2iLeN8PusALU8BFI8pkrhFWrLU56Xr0XEZFFC
adaMMl/Sws2XWZXfh0P6Uab6KfCRYymJB9+vq28YMzroDJIcIUs2izQdq7XrluGWFMW7YNRuMAFm
mIjAVE6hXBjSPEQa2WjEJyyw06HYKlp9haBt4+nRkvQ2GO/8n7W6BW+SMxOaK2r2OPAdaDSDWDgW
I1E0sDIa5e2bCcmSa7Bq+BbChEaBnwqUovrSU6YKG5LRuuExasWTwPWKT7IAAuc9lSRErDyjv2ug
0C7MoUenmWmrmG3VQrK8j3lz0GW616B8suQ4Gy0IHzMDh2/nw3GhxtZPeEDt8tA2PWkE4BclqgJF
YaZKshsRaDdSz2442e+1GBCvNd3IxkCQpHHmj7MXL9EPscXdOeCgkoRXrRk7rS/uq3qAPUBAoxCY
w5oaRFjBx+m6uC+jDO+9TqMv0HhSojPyo+73R5WUZC/UCBbSsN7BOJh3E8U6sd3LoHmHMOpui2z6
HkZyXFkJxIhqYP9qhS95CX6OODMmRAnYH2DeQpOEsFUysxe9reQ6dR1I0EbyHGXd2k2wdOv+pZiC
Fyj8Ca6yzgGYIs5pmF0Du57z7qhpUEx/UCbbuqG1l2RxvZNbcxUO5uK+1W9zM79ULjTiOmpgOCfJ
RSkTBYAPeKxgA+GW5t1kSq7GHG0n67Z2d26RndmPYyJMITLYNE1lll7hC93bpY1FtVY4kBEQ8UJg
uyCKvfMmKvpJBdDB789txSo0C3QS+7lz06fEQgdrNcNdl3bFJm+m+mCnU7eAKdLAa0FaI4LwrtHa
la3EbkyltYoca+3n9Q7t4Ech7O8yTdolSrKaHuG4zyKWFxWW/iFXrNXzEQGUVBAegMCksCci42iV
XUNhn8Rj0z0zROKt3bkWucsjmwND0xZaM52IcfX3sdM9BFZ6jVVPmKJY95N3Tuqi29iIXbVW35RT
epgCCIUFI3ZGlayyFu8ypJFTMQlIC+C7gmjvtC6MDYceFGtiXBGShRSnya1XZbcbWuZXitLLtGFJ
cvJ1CSVJA0/S5Ok+I00Ti85CJUj12IeObOMimuWLnt5DzSnFUtlaq7LvrsswNdFGYd6M/fgQs1X3
KuvA0AGb0B38jrSnzk+Wk1c+tva0yYcR9WgyHiNKTVljrlQdbInEWDUCJNQ0TOCWtHOcj++Gz6JQ
jAShTGgcxXQ2eLVQI7YN2UitNtx40n4Kse2UU3Kra9+ycFNNnAiQSO0ni08/r6qTjIH7WMT9JRxB
ImpkpGFsVNtvkDNtE9l+Fpp8Fb697ES3LzBptiJYd8D6pHFWhtx4mr5s2JtKKPW5379ObraVjlzj
ZljpVbCeDBTY+baCs17X3+oRMXQK4qtP71LChsmMAeph3FeVuekStYLwdKtQMPUWytCaQzHBpbr2
Pqn8YBivDvG4ldOvUu+jdjeqtA7m9DKR4lFf9fA7qol9VaN67D3egv7geWR2tvBxp32e1+uscbBf
a9c09c+DrSOZlpfKwGzx6NvmmoV2DZf85FXGHcm0O9XF33OxL8qngKiCyIVV2Nashz6fdpWtXeku
LbdeY8JdjYmxKecEvBYUjAC8VPPwiLJfjZbPGlLvJyRPBNAjyRu8G7PCLRHCoYnYUshAAXwh6aRX
1UdYNEenrU6BjoEe24c0WwBv4d7u0XX5gbro7Htd4qitOTdPbN0gPwMFC9lDIRAObQoz2tguNdtB
G+DTSbNwmAdZdgi94tZKzLN0Zo2n2iR2s6Lmd3Li8LYnss0Htac4naGs/EwjdVfVYjcl4lOJfiWT
zDtMwl0PmI34/VRnsXRbbbUeISzqFQreyr+IBohtoZ5jvLTE2SxMuzrC9PwYJqobBXl4hKKg3icI
1pi+iiL/rNiIk0BDXkx0re3yXjFus/CScWJEzdCAvQidx0KfDxkA/BZF4TxXKZ0RBaJ/ljBvvSlm
tD76QBTRRyzHeodo8q2sJpAHiuwe/R4/s0ISGj85tbkFRL2lK7l1x/IJSTrs+0hfhRWroqM2+pjs
chdmALrS2r2Qqk5aJJwADsW1Pxw8BI9qCu8HojAR3h5azXxkalgZg7sXzXgWfYFuq7+haUqPeekV
4kqcFz3n7Gbyh2Vg6QcUJVvIZxtQUMi8sX1kS+Axpwxf+9IW0cpX9QXfEsY5orUmyEtK8zcgGLQF
lPCVATImJABsMCLE/7z8wPpCB3bvjOQKLbSie/DL+M3OE6zZsAWN9Gjp1W3Qj7uYLa+RqnnvD+Yi
Tu/0qT+VstmYQAqaRHxIrb/p2pw5zqkvaZVeNInrGNnNZnJRSI4lAAzL+Yjt5jEmpElDJe5Dv1BS
7Srkq+7UPhn9uG8DjZR6+zCNxjabAy/TOWvTOIQ6oX0kVW/r8loI/UQG52pg8tdE+dqa5VEf1bUu
+3USJxdCqxDvmFt8TI+WatGI+5AY5kVYrVKoVAyEr9Yar0kMKScCLhBY4UxPc/Htx8aSU8qqg9Ez
0b0KLAqumkfM4rThI1iPMGGKWh2Jz1n1prWyFHSL3m8OZT2xPR33ZkclvzftLdDLeiG18bmX7U0o
hh2dmVViAKqs/a2jjzdKm/kjTAAhspp6uIs54bAN4OOOLU3QCnf4sfUxj/JbT4sYE30KuqK64hiv
gZn2p3EK+OPBTW+Ha1fnkepyrRoERpNffieTd110t7jfF1YVkJApzmYffJBi8GpVGJiqpL142ciu
bhR35KDiWu2L91qDHWUE4wOmW2udyxgYjDsci1q/sXSKIzA/rMLY92CPkPYgGe2PekN+Rw91sRmc
U+QR/hSmiLNLXms17DtCRJmXEI210cqRDarIDOVu9y3SsTmAAWU1yw5ZjKUjBFIVlw1aSpBure4t
fYIu/QFdUM0N6g1CMJluWuamounvYBPctUjCiowvAIjFe+fr7iIQ3UpDnueyT6v18dUanHfEwFSz
mkvP0hLFzQGy3kvYDjjku5vCwjMA1LuFi+UkfBNEnoraClcik9uCwFPS3DYWYtOGM67FDoVTKvvx
/myP4V3Eywvi9mCl2sYbUKrH6beqkZ+dZBfpwcSaEM9R3ugPhGjsp0K+6pHLtwggraMKOBo9YUvj
nTtYF1fJIznKRLmLlNzjojh4Mn/Vmk+LmcNqdeiOibmaxmhdkTfqoqNqYC0OkU4vyr1l6zSgRna2
kyd23bCR0wFaLC+CfVFc6CcKRVCO9NUgtWs5yV0cOCeH+g4UiDn8B3BjtErpNHD85mEG7CEAkpLP
aNHaMsQlGvwHvfeXUWwcE/FV99VNFuU3VusdMcs/xI7+nqY8d85foU4cJJOc0PI7rWnepC8BQAUN
1koK/Vlid3taD3TTjOnSi56FR19FVrjpM/pg1SHVggUkSlgomv4mehbmOsXa4F4FtjcqfdMhnMQp
D+K9CVCi9eutAgJpa/0FbOmSJNRlYJhHckn3s58kMtn+drnYkFUCDaydc4p89v4WGVq6nZ+VSEkK
HeEvxxr7aM6LQCRmGGzfaa9hmzzNUKS9stPhpNyq2hBtR2KrQ8ZOjex+13fRkyl6n511i4Idr6hR
2t8wNWh8t2SABDkwrd4vmc66T32s34ZCeyk06igMQlTkj3rrLvOxvYki6xuHV0iy0xMT0WMfcNIH
Xr+m8j3i2wNo6Mlxk3Y2X12lgVLRTPE/zJ3HduNYlkV/pVeNC7ngzaBqQBI0ohElkXITLFl48+CB
Wf9bf1hvRERmhsvIzM7qVRVVk0gpKBIC3nv33nP2GVe6bd8DBH/unQSDqi4djRaWCcNW1jTJlzci
bp+71F9VDR8OBugc9SPtS6s8N4O8Nj1tQ3kKnlTQQOvG7ZCNR1Ueug3RdrjCKhkbWcXhS0Ke7yvV
3OTK2pa/6weS3LBUvTdS1C7qPGK62h7wEJ96eTzIg/UguuAY0RXlbVak4NGvGxj5STGGb8yN4yzT
CIArU2LRsJ3JYX2vZOElQMfnDEoqNN5lRmOgiKpbK9XurTLfDA1RsVilSsOA20LMZeJtPLidoUxX
pVLqdZYoS0p++rCFWEqSdF1H3L4oFE92VGCoK/d+Nh4mPo2ojMso1/fYLcj3Sm7F6JyNGtGiOtDK
tXrrBYjtJaRVzoM5nyY6sDQs46Y99pr93MGjiynWzYEOGqaNNJ0Myr6Br9JSHsQYby0PtmuLur/S
8rNm2WfAQyNATa4m0ePVygd2yUkuQybdaidE5MfRS1w/N45eVNMOKYgcVYpNhU2GT2ZsCKK6B79J
yAjguGy4COWOFNSKKNs+E++hMB5J016g2naTIt9VgbghHZWC1tiIpqFar906ksp5qGYHzH+3thW+
pFa+hFlyOxiMwCmMEZpXp0Ttz5Vt3eoWbXlHC1jkplo7Y8HuCPFEZksRXswMtQ0Xth5gHpDMZ8WK
oD9aJUyqLr6xQYnnWPQd23YHqDjoh3d0S64TL96r+A+YUvWLXIh9V5FmXUhy8mEY0pHdmHr9VhGw
HCIiBGclZdkiLoSbReLSzhmxGQBP4E3zXNLQlSv/7PjmERuLtE8qz9wWVIqaAfzTsEENjyYnQLDi
big7OzUyr1OVJKxGCWe51CFkl1aiDY6GIh6tqrjRvfiCumVjQfTKEYLBYUnz21jXlqYRLH1DP46m
f26l7tnSZDhjWTUiaNaXXU/QAjNolpK6Ly/aIKtWcakc29g6ZZL80vvVtRgYxCmSAWMqKHc6bc2w
HTd6XZ6gIyzSnFehfz8vBx9DqhkfG185+wUmNymrQcT0NaB3WrDsSBzOsqJsV7HOoKdPsx2qFLym
tFOB2lwoHQL1UelX3jjifLStdGlr0VYUqN6DMnc7ruoij+DoWF3AeaD1/ZXTg5ArIORQaiXKzMlw
IorqSZDp5ColZSq1v4ddQX8c8RRBMi6717JVIekG6r0Vd2tP033y3zCZpJZ/ruIUFBn1YdXeoloG
oViC8eqsbSGipW5NYNfBIpycyM6uSk3U3uJUAvydtTCvCAHc0jg8mgVjgdzPTmOlYPIQ9McxIRHv
U8tnzqUDQcJUYIOcb6i8bizfOeeOtu/66uCzNMyqJiv2QmDUNTP/0FjiRcfKwa8RYYdGLmZWPUY5
JzQhv6tlc6VmxNHmiJcAMmPStcXIebl/K0d43ZIN+xWP4CkqtXvZ6q+iUL31OmlhivCOiSjAcLsO
wT93p8SKH0uLpxSy0Byk7J3sExUCyX/OeU7CKogLKwrSndL7N2aT3AZNabu9UnE25jijs8mlxeBG
wN6qUbrwU+j3kHOjvr0aNdwUAA+LRabAXteK/EHzEXTB9nRDoa0FMUee0VMwB2Lut+o0CynI8g5c
qquLoBmvHFnhkQy3NmeiedonF4OqPLdkU7uSbN8xasQ7GN+GjmBdIS2KkqPzmCd19vXAzraRc/Ct
TptACY+O9MK5XImBqJ4pkmulDPdMpTtbsUoDybmywfQno3WI03hvkcbS+sF7XTbmDNi0K09BZYaT
p4uQtJaxCnAPq0drkA5JU+4BAJ2tzl75uJ8DXwbart6bmbGJ5Ja5qDMwZMkwQYU2IyobBKDjb3SI
alpRbAg4uQuqCEYvWWVRv4lScRkE8V0xTFbW9sLII2+taN0qzdWdbWarsCiPgxdciK59lh3rftAp
s6NuJQXSnsDorYide3PM7zny7jj63tlDudU1aVHr3nUoQ89kiYV5f2pjqjyPsFhFvoWNzLGu2OCb
mTWoieZ8/vuukN0Eew2HKnpHjYXhNQ4uDRvPgWAdqvPcBUa9KmNaFSGhM4q3gkgAH1UVF4UuLsfc
vjJi/zHCi8Fd1JzxlRz7/MapngpNu7Ok+Eiu9QMA/VkAzBw2E25lo3QTDy2CsJ4NmUOEa1QvLbeK
lqerRkvgFQcPshZv9NDaRhIYZj+FlGzCxOahEl1yU5XGLZaGZStUhKGhOGmZctVhtahE/5oa6TQZ
zLbw7C7GnLZtML63o7I2eFKnmgUPD1YqHVA4DFRwb4np3yld4ZrEgM+1sZtjsLz1vPqac50Pgb9y
0RB49OSxXQ/V1nGYcY6odeeVpIDNDI6wYRyu3UVHitesa6M1DzACi/ZSLUbUcs1SlNq8c7zj2MiP
QZrf8Uy31Afj22BbGgwMf9/b0Us/5fTGE8iy4gTuhNErdte1XGrvoN0vsS7OtLjYigxMQiFZwwyJ
E6bCCBgjghi+RhizUE4MQVCIrSuFDbtkRYoNYLSdc1FUyiMHWsZLZXlqq2ZjNN6h8yzo/YZzMOP+
uY+ydWQ7MIu5XXDrGx58RIOQaMY0SPN2pQR2JDugyg7IGadznyeXht49Brl2k9baGShxSaAPxzHH
JjBbDmi4ZeK2tdMrkcc3Ugr4LGkeLdPA9VweR63eEJx5sEOxlUrlfoydV1oLMoe/dIIa1DeaccVI
7zJNkoPudKvICLZqE+8KDbSxFC4rH69qwp2KtdcdbONpGIgiHlOc0Ex+ngZJ3AUl44ok38JHuyxt
437g9EJHAUJpYKO9oykDgXumCCRESmKaeJK9fRcD4aNneke/AGBz/mxX2ltWBSscUpvBqq4YAzz4
IjknVvKAgGeBQ9ltY1wppjy3NM8FhTIfSEcw6YnNMnQpGGohs3GwPRa2sqlq2n1C3kRhd03W5a0W
ODDcskMDTTi1rMTlIbsSNdADDRFeG6jPOVQXj2DhximXozrQ7ahfkBu6sh+vCn9CoYpqn4rq3uiG
RznrwMQpN8F0/QVHsNhSoDglJJ4pbXXXi3Y5ALgtE9rLJRMKp0clnsTetS0kUAJSdir7+Iyx3dmQ
80qoh5XM6xC+ZPQUlZRsDZPVrg62ea1BBerJVquV7JXkV3eowY6q6s6vyzWT322jDycc33RQEjT0
OBsFyHc6TPpVHALytWXXzj1StJjuOurGqfW1JibSIqMDK2fNb7BCxW7aNbdOHl0PocyKE9y0SREu
I9NclYp04ymcOVq6wqzh77lqkHslUXg4BGxa/mOOKFZrZAivjbgVOjksuKjR43AJqAp2sTdkLCPF
S5eeyiC+wi2ozzy5XxBhZO3KSuWKxcCra1PEi1CuNy3jpagxtgbVQtKp9cynFNCAYxcM8yS7fx27
C9O5ouBfNsTH58miUSmm4gHhQ7lucwz1dgLy0VvrpUG8T7isew0kXv6o+pM12nwuReK4BYgrd5QB
l6bW0tSSuUa6hIN31JB49x6ji8Z/lYxrVfNvYRLN2/CGj3IfTHsrmJpVz2Slbb1t48lPViad01HZ
ywnkMbM82WN6zGV0wtJB2MEGbRYjhRGNTzPO6vYptAAYJPUjuRCMTQwofIxOnJwzr4iCnZzHhIn0
J96TOZnCV0Unr+uJhZQ/94NxLlioZ3WAaqTcxun71GsrGv9aaNQ+Jcu3RvpZmM9IyL3I8TKPjvQc
lMG+z+qVoHMRpVo27+gQ4plnxCoeg6p+xPtJ0s8UiWRK4q30KFANRhdGnN/qqvLeiXhWs4DPsL6t
Y34/8gA9M5jkUvSQE2zWVmyctIDK0GE6H4fJSok6VxcZvyIAHAO87769G7JwDfjimKvIKRBlLODJ
zUBiwKrI9jV+aIOeIg7Ita6PbzIRGKk0hDsaOifFSAByDy7Y53kG7BOkpXytp0RvcNQPFiqdEa/m
4JayJfSOfAjjGLSCRVNHVvYq5o+Z32m7SB4fg17ZDnlPW4GNLBhLeljhfeWQ317P2GxsYzzk5FDI
fS/Niq5GBqAXc0hzRCw5TEtIVxoXOKIvUQIApTKCjSMsGLk5TIRIp6BP/eHdSIvbTNFudKPpZjU0
0Rlz7nPcwpHN1PhoaSG88fKI6RV+prnrUM3MoL4fu6J/beJ43Q4aV1h5lbNmKRUgJLVxD9e6nzV5
dRNkzX3UjIdRH+9NY+03cktKrL3rrJBOevBcBDRMJeWxCf0tMptN1LHfOFPLW4ZjlUXVohubnVFm
txBXZ6g/o3mYBDtD5BuguBdGyEm+Ehu5alZBjBfVCc4eQ9iENjJB9YtcL8KZkJQ3u0T7prldhz5O
jTljKnC9R51ZRwUnprL9eQGkBUUzoN5W3IbNwH1QjNgth2pypkIiVpn3awzAeMdaDMW7Ndet0tEN
Z4cu7MF3o0DATum6WarqT2pITJZdDN6cKAASgi3nsvMZZBv6sE1jDa5ouqk6kulHfT321TkdAm9m
NUhbpGrtd+26Q8mhgrJNyK6aVYjvLzDn07ENuLJVGx4VOSsXGrMHSZfPjRYh/xhuKdnmpqyvCShZ
QFAVF0Cqbq1G4mBgsXHaJNz43vhWSzqL97iyEBjnVnX0irpFgTEyQGP4b/TN3OtHNybCeG7mPcMq
BCzYpGf+KBAsCn5G658GqbqSKb6SxN7j1J9oCsqsTOsUynd6T8wl8UhDz2QxdWW1RklV1Hs9t9pZ
76UHaCHrbmANaJl21m3/bAhxr6lIFvr4NVXp4HTlgz1p8HvVOGexyT5o8iJw1Q5lHXZL+CQIXIL6
SsqUS31SzNHrNKuWMCmU8a49Jkt9yNnZjdplovfajWwVJWMU1Wqe/SCDeqi8M/m+I252VTox2HWJ
rgaTTSOyEYspS7MqiGWBGTyOiAaMzndVH1FN4BNoUgyc4ouhXQZ+/IQWg2mh2Q3zcMw5pmuXw2hy
T46oOCw/XSdUDZvEGt7BPb1M0Bww0qNxlPvXHvCAjfK/iamUmfd7l4bxopAcJ9/L8A507iDlqZQC
HhkUXQythmrhqw9eA9SuvcNJPSulN2R1i5BpRnXRh7T2QW+hMZ8bcjbX253HIMLTVkPeukEkL2pE
l8PSIkHGHlxzoI1puS0LSIEqYaRlfaWzNTNz5kCEWgndXOgt4o6FU9P2RG5Z7bPvP8fx00ivPqSl
0av9vKSIUUPZdfSbsbi22rUg6inySxoKy0Y9U1v64QMsFObNyL87Nw3vGtwFENYvu2KVdTKK0WAT
wZoxivZAyhZd3VM+spI+VLaJLoDoGZecsoU6rFO6BENDf3rn04RBxkJr9NnquoPoXu3wRJiUjuIv
ayABepuRO7auH0drmEdRMh8j7dBw/tGdK/zOLBXitgaILkFO0gUE/DraGvHzgJPc797iSHnyulcP
gfcYrMsuW4z+xQAHd5CUZR9xzz569cFDyhyYGOFxazhO+RxDXZAryZhRXszHfmdL2kbyxBW7xUMl
kQIFuIQwZLS0Oim4hkSMBRJJ6EyEuJgD+jZmXeqBxgIOB/NKV/uNk5tryAroWASZLegRpZGCBZ63
UYW3PGPzNoILHgBW14n8+cDByMtdpEdrLeUG4Gg/FA0DUHYqNJJVYkMQtq/TPlxm7U3R0qsYVTcd
Y3INbWXWydHRR5Q7KMGqlHKaPMmsMZ1LDySZFWgXFYc2ejQQrr1Z6bc3BhvcgLAPyYYr2x7SpHSD
sX5mq+QywenuA41NmOkPNeMGL/wSkNvZjkeWFLM4FKbNZlC2JvoE9QEW23MeQqQSQ7iQFR2UFG9L
pcpP+hTFK7DvEtACOyfpG1JLt7TTiLfjOK2Ctvh7nocj8lVIGoafPsVhuTIz/fx3zoAZNAkFh5KN
adCOL2oldP+sotwkQx43MHMaCu+vrSOyI6dFGwbDOkcYPazJM/jx63/rg/nSdjB9/TPDRtioQPod
PAHZg6XP6+eI9IHf8Vl9RxRvq1gcNVT5pg2S6ssfoQUQ0Hxgi2t+eT4nPOnjR/hTFvZ9+FLmVf5e
f8Ahv/yMR/4IRP7lr/9RtGQMHj8ypUdV8BSE32El8+9+daCrmLzwk8sy9rjJZ/6RlTw50MFH4oZQ
FF2dzOm/OtCNnygmwGla0/80c7JtV3lTB//4m6r9ZGPJkmXMoljXjT+XiWrYkwvhS5cCDnd8IHgh
DJi7+le/dwCmuVHIkG1lFW6JyXNZRexPZX1vQnOJ05QylPCqOXaNHZ4p0ApB+u4n8QNO4IpMFXgU
Y664cRIPqNVCkw5v0a0GbQw2WkC2feXtSOxKQY019J1k0LRteiuC4YWEG1KIapamEmFlkZcN/oTh
nWbOOkaMjEFyToogmws6Zr01IcBb5xZyn+HfB5JVgWPMLs3+obfqdzo0J+SmVle7pSSR2qUeak1s
laY5ijIKL1poSXPVj2DCVhW0wUgbSDSsZX+TxXraz8yqntwDKic2gvnq5CpPywGQFh2EeUz75hUG
4bhURRIuIdlaF7FmN8ZChDiEYLqX2ZU3dKgPHG98lT1FeS3lJLjRRQuxySe89ZaBXbNo0XO4o0rS
BV0nlV06lo+tOpKNTOwAe4zepCu7yPtDFFm07UzVPyIJChbN2IauPIb+il+VsihL9Yo5386Jk12s
VXhYDqYOj6zjDJ7IdTAfjNSYqU5Iypeck60TI1oCcbiUy/5Wi6l2ORvs9Mq5ymWITIa58cgE6v0z
CKpnryGFKwqOgMjC4aRH3sYOzTn9NzZ36MiXYUiRXRerEdxuVHaXMrJnYCp3CgdvfAU7XbkjZ/CE
CskvHTdTWL0V5brx30QeuJ5z64HBQzZeLnz4MnaWXhJYAkVsG5CKMuqvlt66LWNUTsML5mkXqP2W
DT2xkAlUNOorqyu9hR/cZD7zt2lLAUstB/dZJ21q8v1m1pAeG5PjSzmeS5/jfccgv2oKEnzL29Sw
6gtyC1b2ZD1QLhWg8TFsWa+v3/VKu6Jm0furqsPUbxgTw+2JodYstPplISmrlFlyKYGJsWzsCw3k
SqI0bVuaj7EMQVMBIakh8dzYBmvzGOftZdBjLNLietb7/T6uONqP6OLrSAnX/hAftN4+9HZFtyUV
L4nTaEzdOpV2eLWRautFmR6uJCQs982w1VdFfY8lMk0ke0qusVYJb0WgLHEa1HEaFpgu6KKZnHb3
dq2sM6dk0KzdOIW0HzRlHRkk/qQdhvIWTFOYeksyKFD/Je0jsQoLdkhOPMyO6I5bl77kkJAUQQqs
EztFcmdzewBoc8tKJ6aJ+FEMqkYFHBH1hAr+UTcZCdjRs5g28xGM5EqqufEY3gB6jaopuZfjm2qm
rC9BgPnEHrFae3qwgrLAu2gM7broknYlqzAZJb/NmbQRsC5pQ/2e6QxpoFrlW0b24SXhpcT9jlXB
SC+w18FQ5O9JBXR51tMifkbW5UHgKXIO+fDQ3EhPFdfvnBrJkRzuTSHH0EwFKp2R4XyDtRYqXuJs
sqmwyKcSo0v7/BAUSnnTaR5HHkjkB9qShOXEDADk1O/cIpXKZU7GLaYmlQNm0Un+ogzwSNPDGM9o
8u3rEjvBkctTL0wyGx4SKEkr3BCcg3Jc/vuWdrqbDJzP6Osy+tPK1sUuQy8khZXm2HHiOshMJ8rc
uEgSL1wQByP2jVy9NQaqAa0x5aXhSfUSnCEte9SlM4fP21Zdt8nsTj0wwwbDQGWbc3C0mVn6eVQ+
yngo3KiBcCY3luOamkTcivqgYT9H5dChHDNJ1M3jxMSVFDknsp2NJ0SYzd6UU/Oq9JG2jilN8RE9
8FwYDCpSfWg3ZoaWPYrQ0+uhol0i/9upGnMUjQwg1/Kk9KT5nrdxgDTuLSNiBavkhggxmYAJVjtE
2kUY2vNc0dJlnRfGuz/B+FKd1FwzIi1VK6cuu5QRHKgdSAm0FqLEnWTrKJSboUYZRW7GZEsT14pn
DPQRGmsnqRTXMMbOzDBGF5qHtMC9SSKNLHZ1bK3YyBRXanyGLbSQw5IuGkzFeScUfz7Fs3jNRS0U
e5vaJH4GNbNCCdg5ta2ay3Odn8o1z5xHJ0X2n/vaW4sCm0afk86n3JO51reJqxdyzsZFu0xL8+Im
8tHPdIyeGR16xroYu5Kqo9JdWlEm+0KtXQsLbKneGvI+9gztpFI7AKiZlyVD9cR3GPhpVr0Kk0Gb
E7kLNm/wz/mI+kPmfmHCW63bhsSpsBtmBlTyNcp9a2bY6CVjZzhLinonJQMfVWNwYMpxsBI9fXXH
aN7qmHXEoI2UszOsWQCiWT8oi6bPiQZW8rUZWJz9Q7RZRUe/rhJtsi8qSb9o5DFZa736UDsHBrIF
5HWZHpdWPNKWTPdFa113mN10HAP4Vxj5qfSPhGURXBrYyh3s7roF36uPL4mJJn8G5QtpDXQ+ES5j
NSjVBf4fhld6jwySmgR5AnYwK/Kg0XUiyuKl8DyKJ8NzoKfAIDF2wQh0F6IQdJg+t7OLkGAQzid1
xn/1YmRZtarEF5joiD2VZcb2UmGQIoOcO6bDvKxNnaNEKxKQegw0BU+yWwlVvCjeBLY30K5PmXI1
0fGBHFbYwZQwWxu5PCXJ5mN74wjg+ENUOEsNpORl40BUBgZZIF5oNOQ1HSoZtek8vF9RhpzWHG+C
0M4sF6YixSMI2tBA8DMGj3Ful0dbtIOrhLV1JIrHQkQ2CXcL+vJFT0CKWTQHyKXaq10kDU66SRgu
UvugDv344vSNedlBGtzV5LesK6e1qGnHpJ63ksK2MPZ1N5dSdjnDowUG+JIRaKVcDjmbrNbNC9WC
C1YyrJIXTYEYizz4S86yxmUo/C0pdf08NvRD0HU0OQuLhqzST3P8btnrKJEG/tJbol6HTawz4AgR
g5L456VpchVFInEb7rFHOzGvArM8mCM6T2ha0jxXQwLMWjpstEgttIftn0YJQScxHJNlGXCFgX/3
y4LHT1Bm4HoTa9uLr2mkn0Y/vcic30P1f1NX8WNMjZIQBJNqYBv/8scwajW7slfFOlfH17DULuDz
3H5WdBw/HtY/D86YTOdfHuFt7UPZ6ZgqxuqvffYg8dUEqo9YV568ihQkakKMR1t2fs/U/Hs/6Ksy
tMvzUcq8XmBCCh+Ylx6YHczy9k9zarhkn3+ery5ZLUWcsgp+DMIFeVZn1qas5Cc9aazfMWl/73cD
3YIqihuBSmuqjT4rq2G6lQlWAIEfuSu3g18ru7bqP1Fn/jWV7+cxQf885Sn//7o4/uJb/j9K6E+f
5LuJQxTjH9M4pq8egeHVp/ybWKI/9E0/fqE/GGFkwuTSaP189oD88sY+hCj96HWSJ7KWmlcyklT9
J0uBIjWhlj7++dt/JdAHP33ZUX4yTZO7UEfLNP3hDqQL8Nl1+q0r8eMP+W3C07ev88UHeMmbrC5J
hvLDPPu8y6Byq37Rl/jwQt9ega9e4LMrQBvB0jUZU8d3r4D8E4sVgE9MoB/+EH3yb7kCv5lmZelg
pn7ID/yNS/LVK352SYyf4DTw21bIcvnw54ubYgJx/GddAtotH56Gr3tUf/qDqz/pGn0oTf3+08C9
AMVFBdrx8bL8u56Gr35zbx9Czzav//jbbySb/V+uA9sBR6zvXwcFlqSqwSP69Mj8p16Hf8HqKFtw
2yyHO+vzZVH+SVGZ70Ol+bAqyvQK/+gT8QfWzl92EcT4yeuHTSZ8w7/+Ni2AUzTe737Dz6vvty/w
aVWdbhaWzi++b0rN+/jKH2+o6e///OJW+7Dwf/bFnzeCDz/m0z//9Pm+/clf/KyfP9TP/3EdvgE/
fiFf9MO9/OldHp5S9qjfjeL77cy/X3aGH73+IniKnz7fUz49Rdw9v37Wb+IE/9BLXz/9sC/+F9/4
NmiS7HvvnOPoX33nN0MSvNU/v86HteXXI8dfffHZE2CI//nv5Hsvz5P2V1/+zyNy/+IvYj+kKNzC
zA++i+UF7gRVg6mHaTHLIDvCYMH88Yf83lP0y7nr22fr5/PU9/7Zl+vG9B0vydtT+c//BQAA//8=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Servicelevel By Division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Servicelevel By Division</a:t>
          </a:r>
        </a:p>
      </cx:txPr>
    </cx:title>
    <cx:plotArea>
      <cx:plotAreaRegion>
        <cx:series layoutId="regionMap" uniqueId="{BF4FE475-E2AA-4AD1-B159-524E09CE4F66}">
          <cx:tx>
            <cx:txData>
              <cx:f>_xlchart.v5.14</cx:f>
              <cx:v>Avg. Service Level</cx:v>
            </cx:txData>
          </cx:tx>
          <cx:dataLabels/>
          <cx:dataId val="0"/>
          <cx:layoutPr>
            <cx:geography cultureLanguage="en-US" cultureRegion="US" attribution="Powered by Bing">
              <cx:geoCache provider="{E9337A44-BEBE-4D9F-B70C-5C5E7DAFC167}">
                <cx:binary>1HrZct04su2vVNTzhQszwI7u8wByTxqt0cMLQ7JlghM4ABzfzr/dD7upcrnD3qWWT0X0PRHtB1sW
N3cCOaxcuYC/f5r/9ql6euh/mevK+b99mv/xqw2h/dtvv/lP9ql+8G/q/FPf+OZLePOpqX9rvnzJ
Pz399rl/mHKX/UYx4b99sg99eJp//a+/w7dlT81Z8+kh5I27Gp765frJD1Xwrzx78dEvn5rBhefX
M/imf/xqHlxWPXx+8vbXX55cyMNyu7RP//j1h4/9+stvx1/2J8O/VLC2MHyGdyl7oxVnOBIs+vrn
11+qxmV/PI7wGyokVTrSX5/qb6YvHmp4/X+2pN8X9PD5c//k/S9//Pvjuz9s4cdHuW/ir36Im+cV
m+T3Lf72o5//6+9Hv4BNH/3mu1Ace+hnj2DRde6S3Ic+/xTI8wL73D9U35zxNQ4/fOivxoG+4UxI
ySj5V3FgDALB/nisvpn+FgdYz//971cX9K+i8O3NH5b/xxZ//8r/tODENg/hIYMs/uakf098FGFK
8pfjQ95oTZng6o8yOopPbB9CaLL+oX5tSS9H6Pt3j2L0/aP/tChdA5q1Q/+aP/4ilIk3mjGMMVEv
lZCOvpn6WjJ/2P8lycfcA75+e/pSrrwcmD9/w1F4/vyBf0OQfsS976Ec9i8iSvk3jIANfwflOnpD
MGVUcA4+enbTtx3/Z/vjCOX//+J+Yh/Kh29+eylT/mLK8jdYSaVVJH6IFbRdQokQEfkjVvSbza+x
+ukyXk7YP147ytI/fvtvSM3/1VDcLJV9Ct/88m+JhSKCYvwvEV5KSTTj6mv5HCH8z5fzcky+vXcU
lG+//l+PylEMv2NG/6SRyUN42PzOP//HT3/fO9Dio1dfo7FfGe7h8zNH/Y5MPX/DH699oz7HrPjb
O08PPvzj14i+kYpJiYHFMooZgVqanp6faP0GU625VBwrSqWQv/7imj5YMCnfSBpRoMVEc0YlgWj7
Zvj9EX4jFI8irQUUKNb0n5z/bVMtwDr+6ac//v+LG+q3Te6C/8evYKH9+qnnRSouoVPB1wNvIBIW
8ry29tPDNYwV8GHyf+qMLtKiKN+vRcO3fl6KXWaZiuXqql3GSr79zjUv2INl/2APcpdhwQVAjiZM
R0f2HCOlH53L9kuq55gTn97y0daHZR2L80VbfEarKjWvGwUs+5NRgiWB4tE64gTC+f0mqdfTMDY8
24dOoDNflTYhTjKD4Mef7A9a3LEpDk1OUMYx8GUJ48r3ptzYL2srab5fhro4i1aOEosjblJcltue
CG7yoPzu95+sxtPd6zs9Mq9hkxpTAb1VExJBRH80L0q+TpXQ/b4Mw2Cmqmbb0KzoLbUeLaZr+tXo
YPlFkevu0THtd6/bJ0euhgVQRgThiiugqpDXPy6gnEaRDpJ0+3R4DnI507vBo/xjOeZ1Ypd8nUza
W37a0i7Jqm7YdbUTIc5mKvN4DJ7cKDnMO02G6f20sCr7Oox95SQv5N9Rvv++PgoDc8SpgFEHH60v
bwQMphXu9p22g6lqNyZezHKvq3HehMyhtz9xCJCa7xPi2aAWWBOhoGAxF0cJj/qgwxgGv0crmDWc
DJQY2JnUG5w2/No2XXFd9GVSYptuak1DaspBLWdzU5Zh8/pq6FH5aQGTNvsdcAgjhB+XXz2opkdD
Wu5H6vlq2j6LGjMq6k86StRsWG+Ls7GNmvf50H6WgCk7P8l146uFF2ZItb1ma4o/8ob2uWFzn/Wx
Yzm/z8LQHvrFzq3JWkXGeA5EN2bSUHAN4MtZ7Tp0qK2eqphmFd2mY5OeK1Ljj69vkT1H8DtE+32L
EeUEovxch8cV2IZAAAvzei/aSROzus6zBNSW+a7qZRk3qp3vm6grsFkGEl3gqi23XVVnZ/3A/a5M
RTg0deofRyLQ2zXM1U0lBvxxjha5X8aiuilK0n7QjUgPyg/FZ0aqEDdroA/DiqLMzC5MOO7oyO65
97g33q3+fKrHcdNlUXXz+nafC/pPu1UwtxPJCFb6CG/QOKWlRrbar8PKjRx4GftFoPh1K8dVA2lD
MBQLJUxGHJrGj1WtRamGGda1V2WfvUcWMicN/jD2q3jSJZ7/Gl4/h5BgockzkDEi6XNNfdeU1Ow7
u/ZgjtVNdl42+QksbI4jNo8/gYMX6gEaw3OHhZSRij7D2XeW6pm6jHlf7acxy86ryM13hcTVzYo6
fzKwvLqpic2vX/fmMUg/b49ILjnAEEAQPfImA6kLV8HV+8BD9hiKSeuNKjuoxEI0hBllJbtforn9
UIYKiqgX6GcBPYbp5yUIWIQCxSCS0Cl+3DeapCpGXLb7vlEoyQVuIG8Gly8xFXV6/vp+XzQG3JVH
ADoYHzclWstSUqvb/ZJnwpQImm6qKncaZby7fd3US/GUWj6zIqDSkXwul+/i6XTe+a6mLXT6Pj0n
1JPzwc/TCaKdPuGsdKeWjXL/utGX4qkooRKmKGj5/Mhop8tqFZNs93mHxx3jaX5tu4V18ayq9LxY
F4hhPtG5MktvgzdVBl3n9SW8tG+Q5oQSWgmi+BEMrF6n46hFu+cWy31GpTxMIcWbJvdXdYaIMBWt
ftbbXoprJAUFpI0kVuqotWmmGO48JFFW8OgiRSN0NkW72ia5TIufEKtnJx4BHQhfVGFoo1IBW/0x
si0wRV1Outl30LMu8rq/G/1Pu/ULRmD+YiDgaMggTY/YQR2xXqy1hfTJ5rQwpEVRYVDmy78OcBRD
/VHCn4e9Y89Vfh1Ri6Z2P8uO35e59960LZ7jsWSu/UluPMf+yHMUMAW4JchSQM2ONtU3UznOc+j3
wFTorrZRTpMIQ2dfpa5PLerQ23RoxjyekATp4Z/q/tuvRr6fLl7yJ6jKkXjerCLPCtj35YgKwKEw
u35flRIl/cgfUTHNm9eNvNCcoFFo6BiRpDQ6zoyRFXCYUmb9vkWquuE5GAj5pHYNDDPGViF8et0e
ecGhDKY4QoFJQVekR8XWCFzkXVQ3e9x16xrzUYmwsaqB0uahGet4ReX6lqjMJRYVaZakjc7PFto7
Z0ab6+LQAHaduzT3j4Psh0cArJEbO6VsO+USnaU8tB9eX/QLtcpguVRFNMJSiWcA+Q4Y14l3JXXI
7Wfm+FYxl54vk5d7J1J09rqpF+CQcR49n9pEDCbVY/fYpavWpW32aZis29ayKM5qturNyDt/NQSy
HCgLIYvF0IizSdfZX+83cJJBI5iRoZR1dDTuDXhVE1LB7WueDaYOsEOytNHlkDfRxet7fSkVJBSx
BuRX6k+TJczH8pmr1HsOlPFkdsyfeLkCNdZ4ZfcZ9apIdLP6E9T9tO28gPlMgkInFInUn3t4hHCn
ZqzqfYcEwO8KpGHNZn+ShSnf+rKbcpNH2c/IywvVBj0u4hIqGvr58QC1cjvbpUrrPQqO37tyQW/1
One3mjXFvpD1zzrbs9ZyDF8MJlkWcUjfCOjgj5mbCUnqapXNvmCslvt5GdPOFDmyX6AJqDtoiBEy
QxRNd2ur07eRmyJvbN6Mo8lE0X1pOalupoLCFNC7Re1QG5hOlsk+Cp4D9y9FmFgMdWtN0F3ENsx2
477pqL8FZGnfvZ4wL9Qhx4BW4pmgwLntUXEwiX3gDjd72iI0mraSLFFdit6FgoyXf9nWMyGAzKQQ
K5g9f/ScorrVCy2B3EqUJYFM63btkd9Fz1rEXzcVMSgBohWYPFZYFtwFt9Cl2v+ueHis5hinGiU8
tcX+dVPPytdRQnAY7UBmAKYjGVC9H7dV5xma8JxCU5kzmKiDZBPoBbLdkb7CH12gq0h4L5r1MlQL
kK5h0fIztmV149HkyriCPHu76HE9C6qt7/g6k3EDIclj26Dm8fXV0mcS9GP35dB7gWljiqHZy6Mg
dHzxYrEgiNSTy07bibUPlarQWetn682U59njgG1/G0SXTaYkKYqbnq5XmbLdZbHyLLYEh6u+CWVc
K5hFmmoYEyuDP5H5qK8m7eYdzqch6VNZn04yH35CVsifJ2oYMIHZAqLCOf2f8JS0KwJWr91e0K40
1dBEbVxwnxpRYRjsAX4ukLOgYAQ7xTgjj0tVrIfX/UjAaT94EkQLaChUYiFwRAWE/ohMaNcsbZ6R
Zq9Cr6u46LvMXk6O9yTui3aTF2i4VIBOZg3TvSpKJYzoc5yI2eZfaNncz31TdDHIceFmmFEOxVCE
JCubea+XvogFtvKUh+pydH2C1rw1PhM7NInHyeYmteMpiDdJ78frzmYPbrF3Uj2nF5sPWR3t8qhw
pkOlMjJ1LmblKXZVvJYqxtGQ5FG7Hzu74dZdtqQ/y2Sx8+1yh+c6HqOPdMYJqvzelcXVMo2nk4rW
Q7NWyWqnD33bJWO0Xi4gYhSJdPKgC6VMiQeQUpbD2nf3GrWmnWTcCn3maR5nUX8IOY5ZQTchdNsi
qw6jr5+GFG1w3e+4Lw5O2I1Q4wcWfKxzaMcgXtiqAf2mjEOBNkjj3FQl2q9TdzqLeo8nn214nxof
jS7BRWCx5+LjQBrQA9boluM0Kd1bliFTAp9Zq7k0jfUXeSDZ3q3obBH2mvdRblzlPriiMvNQAP6m
j0x1V8vCY9C734OkkbQUb5U4K0P6Oa8RODG77ZbxYDm9aNW6Jd1lltHTUfcf5gUEFjmANFVNpp/K
HSqizVLnMUF6k2bpZliX0x7NZbKOnZmCOGldu8u766k99Vi8H+VnvvLRUCUutcu3/fKZN8gbDdJ0
LFt6Ilv8pIcvK2Ung18MAGoSbLaremFWLQ6qEBvp/GkezZlZmL5vCalNBBLvOvXntGoUsL/yhHTk
uhrCXlV5txmb7JZ2cgtZbJDlhmFnDe5SZzBb46wcwa/LeFkN8i6DdK5UcTf0Pg51m8i0PNTruvWS
fApZtRVo1AmZ0wvVO7N6edeW/jO1/WwK1cUVyvhOCWuYLDZz7T8gTE00z9j0C/4o6uaCLSPQ0xTt
eHvh+9MpA5EWRXHUOoMKdADZJ7ZMnK2e7VYHbdbJ0yzIczZHxjXTHEtSnHR9RQ2DgW+M7lTAcVrw
Gz0jYVDlziO41ZSU5RzimhVG5fmGsf4DL5tPcBZxPrb21LU+CVVkjaT1aa7yc9HwPs7qaTOTOjcA
k3fF2t3gqb4ikf+0km63wqwRh/Sph+Jqe7IhAWr7U07KUy7KpB2L+wK/d1EZl1AmeTHvlny8j7zb
o8g/MmgbJuddXHf2i9f+kDbEMNR8tqM8o2mf1D04Yc4TPPYbNI48rqw+HZbhzA7jPpPpoSn7Poaz
g/50LOy2YuGcS3oXOZXMjbitxMjM6ARsFhAk6uA76K6oKrAxXjvoiqYeMhPa6dBgndCpNo7rAwZN
Fg/2egUHtl15WgGODDqPjC66KRnHsf3AFhvqXdVYVsd+BtkRpsV26LZ92p5XVnygThpVFRvHZ7O4
9jrnZbcYWeikWypTZ2zjZRsm45vKpBq4B5xTmCgqTRmkvKlUXsfd0lzUffs44qm6177bwEix7XD0
oNx4xvvhuvPNFaiZUgUU1yOf9kXIWlie2jk2m9KFM7esdZwFgCA0ZJeuhMHDlPxzjchttA4XwsKC
22y/iv3QdSNkVNkkq88MzIkmb+0VLj+Tpoh1O773Edr7Yb5aQti2tXpfAKymkTDp0nxqViAATbam
CVFrH1NmxTuxKnJYKE/bnW5O276vLqtZuG3UBRWXte+8YbVIN7jy/jYb+84C4GT0ssiAwceLV90a
9yvIt7tuCs2jsFWBkiaVeRJUNEHp88wMa6FO0qhUd4SH0agBtrfyJtqgbt6nlPjN3JE0xClqqpu8
ytBn3aYMWEpRjU/Kr9dr6b5g0tDEL2rd2JmYfCmjIW5lRkFVHdYHPPfoIArMTSgbdVFRtG6aZWxv
xdp/jlKoENZGeA/asq8Nh4OoOyjRShpWWXmgkR/PO43WYVeRVR9SgNnLzHbVnqKlrczkUnTbNUv+
fqEdFabBudxbMaMvgvp2o6MAYIjLfAlnIq+i27xj6aWrfAXUhbtmQ3Wv27gNrdiG1ot1g9aCJ8XQ
5rVJ1RjOmwoEBhCi0/Eh6liJt+MobDy300ffzOJxWcG4CaJePvQzzw++6NCwAdWu3A0ps5XRvRQb
N/niGia4KoA+P34AGl1/InOYD3Dcws6qumrvo2wczCKGcC5dlGampGULMZrsQ83TG6+g4OuqnqC4
1ohvKdeNNAUi86WfamWKuYp6sy7rMBoe+YglVV41W4uxj+clLxO6Uh7rBjdvUef8WQ4ixrtclkuC
+zQ/0SFtDog5vHU11+dLVDsOgBj0B8lRf1j9M/YgCf10Gt+rVpZG1sieFEx8LvpRbNMws30tGQyH
Qt/wuXlQIdR7B0PBTRjL/lYUiu39CoLBQJuZmaavx4t6wLw0GWZ244mEdtZ39BHGZ39lWdmZZeTl
CZzq0EPWyeKOIII2K6gOZzi1G1kXt2s6FsmQT+EEju56F0s0VYkr6GokWadNE2m5yX262rgp5w6c
JKPcbvuhWLYp6aQpdaEzk1k42TRZGIdhE/DcdtDtKpjm9YJDGuvIVzHMMzsSkH6cu7yEsZvrrXR2
jcs5FXHrLInbVddJuVbZ2bB2OFHKjufWMhbMmldjksmIHNaVLMosHdanjFMUu5wPhoxCfxynAni7
00Pi2mHwMeQ4OdRAApEB8EX3erHnYU3Xd/28tLt5zslT3ln3Jc1EdoewbB7X7ipFisLIByR6R6Ih
26YtLy7nNW3PlMstBsAIuYpB9G1iITv4v5ryREw1gEs+tRcqIvix7fN572w2n0zAka89rzKgQ4hu
xmpyh6Wd1xM+SmWiXsBENLUEuGMY6ZMcahwDX00Tj+ewFY6+85jBgSlyHZxL93NYI5CK8HJaKj5Z
s2QtuKtp2gE4Safu0gkN73gJkkPmpBg3YhGu3oKCOO7nQJdPWs3Ox+sMg2054a7aqHaU0AMK6Dxd
trDLRWheG1Hz+cql0fpuyCnZCzfTZFbD2L7NmUNAbbsZPZJiyXcVpnZT5GN931rohjMuXdz1kGsJ
H9c5cSztyxhPE/Px6Mqwsy4vNimQ7D2HufZERKm/RcKK3nRCMAFJTNu3wjGL4sWOZDBlnfJthkMJ
3dyvyhkxdWO+hdE4OpvrqN7iYQUWnbXsVrQRUCWIc3mA4NFu2wztuMvKuv4sQa+9GTljj959macS
TptXXj3BMRXbqFydltNZAIBMooKLK88AfGeVqtiuqImrCqubjtTRaQiDNiqTroRVjADmlnXpgxx9
dBnawp1MzdidhJaj1CiBh/dyqudzUgcZi9Geij6r9vVc4NgRVm5ZD416idQUk67vdlC2w1YhOmzW
lcNeBR2SuRrRltSSH7olPHcQGCc/TnChpIw7OKm5yf0Qle8rVABZVjTsCZ/qDSR+W5suLE8CtcM5
mit+WKql/SBgKtnB4XZxRVvR77xW7U1FxbSpFbKfF+7W+3Yqqk3XuV2gtLoaFL/3vQX2iaYpWadn
fmjpvAB6NSmw4KEsYKcpnDB84BXn54MW2UnNBhmvWTm1ZqaLPYiF4cm0cJxXxGhl4bTlfX7rakdK
03tUnj2zhctukX1zMgQh6AZeEAnN5hGCYKvsauVFHrN+kJsaNdDZ4KZhAUsS+S2dFN6mGZtv+wbp
XWr1uNEC7hMo2l4gPpLIqDaDQ0+XB32zqkYuCZxvpchUstW3Vs31VRPStotbimy+mwIBocIr9mRx
n215xTxO3NLlV5IIm1S17YhpbZMB04jagxBAUcD71RnHaL/AyfMjA+nxMNdjAYc5XIw7mU5Rn9ix
r87GZfWfbdpZG6+tyNak4l0Lx+ETKHVJpnK6mYEHxXVWuS8VGshFK624GyMnqAlkzM7GKmcVUCFa
AZg245D4QbZy0zg5XI1ZS/erbpoDrbPVzE1OT5dIK5PBLZ6LdmHPqT2sp30N20S+AaVsbiWBCYn0
JuXswYMkFGsg5vGCfArdluEymWQFs0sn6msMRHbDhW3hak7bracAWE+WRW6zAls59S7r9k0xuodx
ziDhVZa0DRoPIUSR4bobzzLgnDBzsuoSKFe2Ac1+ifXcFEnL2WMxTv073AuYTdaBvM+9RvuQqnvS
kjXWZUcNHKThYCxW7JDPEbDYpi5j56JiL9fGbrJxCknqBNrn0xIlhDh2lgJFoNPU1AAIkQTiSRcz
Cuj7CA7x4wVg/wZuVNS7Iuvt+RqKMoPHo9t2amSXZWnZNSun9QK1C0gXUxRAlFbRdd+m/qaHqxkh
Luk8mqbGcJsGL/oAud+8s6xHSZj69H4uQNJGU1P0cd6oZls/u8ircgGtpBgSlct+r/op27DyPXQ/
QHFHM3LLSbmCArTA4AoHpiAikMzl55mXBwJOPsF+fdCW9ob5oLfUl3hPXDPG6dRV1qAe99dAcL5I
VDcfx9XBHGL7d0M69x9UHz2CrDDGiwIMJIC/UylyGGnIxxSL5i0DXNi4rF6vVRnu0ZSm24Ki/MoO
a5WbtsiWXdbVs6mpW2MyyCkZeriQMlDQWPso1OdY+mjDZeg2aVf3pzrKxNY2VbTN0imufdEfOAx5
56BH7RZosKVJ2UK2dbdm73qNssNSgwTA6ttqsTA3+NCewFy5xDNP3VnE6uG5BkLSpfxxyMtnbjfL
TUThLyCbG1e3+YfcSXkCEy5PSC/TfaHXJulWqzeo8Gg79xPICrKOAAxmv6G1eyaa/flSDL1xfbiP
8AiDChPDCY5wuxhMUh0TkhelITKPQHdI0yTnSN4VS70606KusEaRlkO5kSj2ZRZt3IDkeVEFG5O1
GXdjjdBuzVkLDaBW54We68u5EO2n1jm5U26+GZpUbEmx4q0d8vrdMGXjbpr5vKHNdNtFM4Xz/lbc
V3lenvdZNm18OZXnGYqiBOf7nLvlpMItPtBqwhf9EMadbZphT7pMm1DrPOlQ609WGPI+TTnD2yAL
H2edAnI26PmO8yWKwf9trFpuT+C+z7Bxln3MYVhNZlatmypMkOEk7UEdbvZ9XaxxIXLoiqQCCSKg
3F1EU2g3ZS+GDZ06fqkbpg7EVp+Iz8N9SDu+B0QfT9I+wMlpQcoNH0T2OC2iMLJzFq7EsPIetJrh
oUeyuYpymb+nIza8E2431Jqdhin1CVwa7A0V0XiCRuKife5AVm743G6WlnmIXbWWpraj+8IjlSds
aT0Ays4OcNKe4z2mvb2IpO1inkHTxQgUL2SH7qRfgE3bMR23ijQ4gZBVsW1RDxQ8EBNNesfApyAR
EQ239UYgSj7EKC/FRhS9KUpNgXzOS4KWqt/WU1nEzEft9VxW2b7NAQunuuw3LVyUiiMF2CNhhkmK
qm7OZTnPmxJrmJmjvHRbErpui+Cu2Rb1GUsNB2Kfm6kox/Ol6vK3So7yFOT6frtItkKeypNeLdol
EZuaS5ILcumAAe4RsLqDLochXgJLt77LsusKZiYDBqYkaN0buMHVW6Nnva+QhwsJuAWtw3fY6HQ9
q5r8ES9YXlQdH6/qtbgYHRD8Ea2feReKWNXluc5dZOhE6ZfGjjYeOrdcrUpUWwpq6XuWL+i0apqV
mmUeRG6wHO7SkbqzrrFLYoW7COP4Ea5FtIZ7/M6V5XiJhqZKBkuRoa0MscfZtK+Ir2CWDeVVOzbQ
t+EegMGBPPCqZaDrpXw4ISPNYTDv0h2muYVqn8uN5Wl0PxFabKoi/1SKaT3rPBxdxU2xqljlcBDH
x7DsxGrrzyNwq22AC24HQtvi7VQ0TUIpYK7CQFYMyAUhxF3d8Y98LLGZ6gptUkLrO+R9eqq91Nsy
lUucLUTCQW86GDpnyyXcHnzU/4+5M1uS28a69ROxg+AI3JwLMueqrFFVkuoGoREkSBAASZAgn/6s
LLmtwW67/Z84EX/YYVuWlMxkgsDea31rS5hl49aaVEVf5R8ba3SJvokcWJUkb1yKlrdTmdkQaOeQ
W5SMizprcxwfcn3JHb4tYsa1EEktnjRj16RxEKXzWe/nwY83LV27J9WNHQ4UzTeTiZvTDCwKgs4S
QpGPsjfZxPeLnocjS6psr9nUfxidGLdh7290a30ZdFjcqWPmPhMq/RS29jlK5u566nJT1ovvy5X6
+sQUz3YyH/JNk9XRvPPZ4K57rofHpRnn0in0j+XcekiXxtfNVcyXphSi+rqGgEycCsSWtFlYrsuk
TiGHxQYtzPjdGFfRLlR+3UglD5p009ZQWBpRELNCuAEqm3TNAeGR9atHRXod8Jxs55WfgzoeH+Os
gdK2QrxRMQ03A8n155gLXcY2GFAd4MljFU1VkYMRuZMgxQB3Ynd8m9d+3qeJObmmsjejmCEbt/6F
Nf2Xqpb5Lu9hKMxpv+zClYV7Ns/q5CedJUVrsukLjA/SlYHQ05NkS/W2pbL/nNqvss/Ra6Y6PEQc
bgGkN1Xm0areC23rTRRn7tRPc3JqrJ/u1mjBETJn3biNOBsOXBIKuXMU2T5UJCn9pZc3ldCQ8jL+
IGZsXlys7aEeO/mI09WXken4RopGlNw0Xhdxnuhdq0c8SU2wLg3k4wEFo27MC1ezh7Y2cihRTbUd
XV3htpLlFOfsY59E5NTPjO+b1sI2APR5u3SeqaKS4TUimuJ61q0swa5ptutr24To0Ptq3lXoMEiB
MjrAOZoa7Ytk6Ztpm1kNzihNlqQtiehDgTdkzbwZogV6WwsKadjoeS16tCBvIBl3Ow3T8pg3zV2V
5vEWmTWxq1YYOsnSwNVpVrsL9docgY+GODioeV6VXnyBYtaLEg1eE5dRK5ZdNvaNL1LiyAKxuiJb
V9cP0KxgDjeQmMyCcjDPG4My2mebOFtJKWDJ7HCZ+YbTge+JrN2N521YRtWabFuVlwRQbpnZ5py7
+sPUra5Ikno8wHuqd4QFW7tmtiA8hDxhmbuaY8YP7Zzc9bPuodL0KD+ryDyFU6JLG/qoWLmrg62e
uX8Ln7wuVYpOWoeZ/TqD9fmgcTzey2BaoLlLUWpIoHuSifiMYG70rsvyBtsCKu24UCqSX4wQZJ/z
5IUZo7Yz66LCIUNwJGHTHvOAXAmdvu0G2h1zNZhNbd2TJtDF2ySeDkwNwya1ybpVjI7vp8xldL/w
edyaJMH+O3RJup9znj5CNm02bezsPjatO3vwySfD62VXRUn1Aq1fNMXcV1CWh8nA5eDDNmcDXDZa
1zfBZOkenda0yVDxnRxW6RUqA33QJmeHIRFB2Y9ZclJqDVHDjvETJAVIzFRHV32VDed08vkdYwLe
/cywCjVFHe4gae+yAY8s2qloJ1o/3q+8zu78EjfFWkHRSUXvLrVYejX4KUHR1sTuQwM3Txcj8wkt
PO7hYzjGdVCEi8g+1wDb6gL1S3/XRR4HRg+TaUTdcOJODGcc1jDvKM+v7JgZuFYkyA8uatSxCxCD
K3ILfcemA3+35pU+ynwKj1QL8kygMe2atZkYKonKYWudVrTIoJJeeg7YXNZm3JGQ+W2dj0ojhzAn
he5y+Takcf9I+sTeCNej5m7lvIrSYyfTBVuDPiuYaOCVCNnVCKAueO0+m5TYLFT4cwYgYhPDd/s0
VjLAw1O1+2a5GFJcr/PtGgT9veZNdNXyzryRRDSoJroFvSCchK2tsumqyeZQlkKOrtnkK4N/sjaE
fJ7rtr+WYlYfQ5VpVlaZl3fTUkGRD1dTZ9dq7FAEUKvl9UBHAI+NdbTa5L6O3ib1ZL8OrunHciFT
dxVJioPZy5wGRdBF/K6ba4ejFx33degAip/7vAuiksxpdrA2zD8vNcIUK/bFr2LRgl6hDssOJE5w
rvqAVLx0jExhmTZ9d2WyLoVSNAT2TSCq5Jm1avwUdsZALeRCUuxhwGVmbFUvbginzaomvF0ng/pa
OKC/DSK2zy1r7NcEQcYXfMl5AUuV9ds5CpLCVdKYDWAVQUuWja0rhjgAsgXOnO4GtHTQ75vowKs4
ejRtP9wsVRgrnIz10hUi0sm5GhSwhTkcB9RLCUTyTeUuCREm/FO3UrDzVitENpLX9xXzKS0HI0O5
Q4Fp3w+LT1lRNxP+aUbseHPn8UkQSb2NgTqdU1f1kEdYxQ+Lz/2T5lEb7me1sJPs19UWUeYaexZd
HsYF2Nh6eJRwjg+Ch0LscwVipp6manicpGnILlEy2SkJf38z6bh9hFcpmmNLeVWXIwzYeBPCDavL
VXVxsXCWQNmI8NRzJ+N+MwxwW3EgVODn1ULiglGurvJ5aB8tlePeOOXT7Zg73JBhGXBLCfBcgfLf
kGSHVSrJDuwEKgs1gOJpYF25wgioGyXP1/YRkoZ4BxkeHTQLTLJzZA5f9JAPJ+jncseUbJ9DL6em
YGni4Yfqcc+7Zfw0zG68IYtfTlkqXX3FQP7cQJDFyzcDoLH1Aq/QkWGdoqPnZ6+xMEtEtcBkM2fe
Zx0qEyalOOeIaey4neSB8gxET5cv4iMJhLxOFzkMxYR4yLTtMwhPpazQIG0biJZTaYAhaHiMi37M
FXz9sh6aRW3G2mE1Cp4CWRko/rOPeX3tII0/QxGo67KvTY/Noh38B81S+0bO3fhJTjzKIdHFwYcg
AqGf6ti+gaoZoLlbdLapaRPnBcIu81Mfxv1byyBYNKSjz+gZsps8Fn6F1c/Ous9QH9h2yHDIdwEM
xQH7FQga1OM8uoCjrRFuJysJunpIozL0AerKERvpDZ6DUZUe4mxTStcCZ4/JIoZNZDjMAxfTWOxd
PofvTNvUtGxH0JpQsLCy+kkmzxQKfVdwG+OLsDKFKdGHLb7MRpqrqUZSI176gT+A98O5CzFY3dYI
OmzsRKsza1l7x8aOtzvCoasWgcdDv+L7hgCqFr8FzLZUJ8CK6XNsFRYBrND3bTRmn7O4kteVERFk
yGXG9hCOAODHIMlV0aIzh62+1HKBxxDi4Wn1BdWVZk3cJm1T9qaqAiz5nGEFBsbiS+gcnKPdkDiQ
f5NM47XoIgoUcGJEHaBRzU8BreUhBOt2G8MweBQ1OI52xsLFscDPVZ61j0ua2zcNo9VwqtMh/4xm
Z1YbPY14NjA4A7uSiNcAeYVAozIbgXbuUUcLudMJj3S5Qkd81y5rhDpLm2g4YqxD9YCjyGYb2jdc
HrPFyUNPcwESBc+HKmdYHC9Vi6XdwL26AYcy7pdUNzttWuy6zSLewZ3C7cxJtHS380AXFB2VWLch
HCO5e2WYHGDIryYUOtpqPmG7z0yMJWzl5fkeDRqdG3pJ/HTL0OwuXGOKJrvroi1pZuz3uAhelC3z
2zZmkIVnFvWPY7zMsKK4HHfysjN3OAB2bPX+Oky5KFmnzUNXdx7OERn9FkU9TqAmw09DcQ73keyW
cxbSHvcAEZC7Iec6fWnavq3RQlYZRFTo6heFCl8SxrOMe91VaIZ6pTJaLpHM2ttq9NPejlYfw8Do
I9NBeBrXCt8FDjmTlfiCIXLn/RDvUo9/bqq1wd4+hzW/bdMMe2S9xtjnUq6xiYQ2iJ/RUob7VgLs
SUVQPfRY37fWN/w8I6m4Hat0OgSCwCzzqKlLpVfcpCWq1XiVT3pYNnnXQWntAsqD06LCdim0xoKL
pjROymmR0z6K4Lluusai2A6hku4r2DUgcNxKCxk32Ek6DF2RcExbJF1GZ994Q/Asdn3GbiczTRvc
h+zALQvKJla93cy97uGIDOlJw0+AY09BmEbEpG8SrO59MwRKoC7T6YcWBwqqZLLagxHzWSpAU9ew
QnFkjRnyJl2CAASKB3lgXsYHJ30KQinFUpng0JaGwvkA2IXzIqyW+SkJxwx1Y49DKqUxWNt4aR9R
aAWyQNmDxTtKBo+yMjSqyjlvcWCiOoyu0Ma728VOYzGbClBENQxIdElP7qBR3TqSoGDpQlJkICbK
IPBIwxgfnJybhxOkCXyatIr5UEIaDw6+tSgBVT5hj5+w/d87NEcTJGo/hFeS4bu7WTlBgCaYobFt
vSd1cAZ5oFv0LAZOu7Rr+o0+/i0B/Rtf/y3N+0mbpa8F4iGvSebff/h/3miFv19HzXz/n5cZQN9/
dP738KC//FX7L/qSZx5+/UWXd/P7a+Hqv727Swz6px/8IZD9HyLX32YR/Yef/CmP/VMi/d85+0ts
mVzSbkC7ETf4PY3wh1j2vwPs32PcP/y235PZCYKgUZImNEZE4pLcmV+T2Zh/wAgB5U8wHQFh5Usu
+t/J7PRfl2QhdgukaCiSzN+D2ZdhCgAkQ4S5EZUDr/xPktnxK5/7IzoaZiEK7CxB+Bu8I81/IZ8H
61YlF7ke/LpYIAhKPr16wnUq6yOZcrkHD9rsqvnSUdGFv1Wc5IfvBnEGD3HjDFiuby6xxefZynGm
U+kyUW0aJWlZcagN1sd6NwW1KIJm9BsSxvcMfF9T5HOuDwuJ4CMF/MCz9dMqV6j03lB3C24BMgay
DffNwtZi7dHqv7rLw5CdsJHFpfZJs8UDwTavVnPqV3YTLDMrM+862N7wm/k6p0hiQ4uxRUZDgahf
YK8HbaYtdwF/H8KQLASFkFAg1TlvG9mgkLo40WEoo72v2NOrG+3xmw8dU3gBMfhHkQ3PUZ4uRS8T
um9xRD3kbQ+JOZS8gl5qzr/51PKNJpALvnvVWZD0t11NzM4kYj5y6CpbgsrwNkIMb5NmEKJf3eu1
iYDagmtKjtJq9CxdV12/2tgeAYQjTmhDymGCVZsi7fb4o58dyfTaheFXPaf+Nzt7JCBRPKJ6Zc6q
sUab5+FMIi67C4EKHl8t7lrV7xid7E6wWe7WvP/w6ncn+MCo8AiO2E4k0E1cXQgBbY1QWH8abuPW
Zqm++d0Fz8P2FGqBWtKs7VHVcL2ywAE1gR54RZW5qevLcRGjq0TMZd8FEPE6NHw7pDCjD6oO+Xau
gv7GNEH8gaLYuGP9CIVzJGPh0UDe9lVDymXJ8JLr/PbVLm9qedfTme+a2sqX77a57nDQV319vFjn
sHGqLRFLt3u1zqHi3Sf58tIT/G/ZWY1LUL35bqErI8brLLG0/G6h94iegOyd+hxtM3x07rC+s4g0
txFpzR57+cG2IzmKUfMCwUiziaA5vAjfOgjlQ1j32zGeGCiEZb6H873NKlkXgJLUtRjFp2UI3o9D
mn64OO8ccvwI/O4BxkVcfnff4162+6qqwaVdLPjOedTCTE5H9A68/G7GK6QUYfyDXPUMz+M3W553
/CQb7uG56qYwbiCbeOhR1EB5uvvmywd9b0qSSvIAwF9uM+Pd5geXvprm5tbUyXiMVp/htbXf8GVx
n2ua1Ufgj8vz2sfDDr6pnIo0mmrgzj9b9lka1PsMKtWhNZ5usDDaa+kdf4n6HPKHyVAXi6h3qBth
8CPnyrerICsS/ml+XUntbYG5F0NpFj7uFNTaM1ok0mxo47vPQaKFKmDNjqcAXsJB12P1NVURhxfU
xVsfr8nG2iWHqBGjGQ5FdEFRBN2h6RmuXNoa8Eewroo11P3RVCviLjbf1TmtjkPk+hPsyUvzEa2n
mlt50kEWnwRkkE0/Z+qBoGecWP/YN022l8t8A/m/ufexkvvMsb7k4yR2fZwpoNZotRjrIDvW9hBn
9fucJEEBxSz6yMxFmmtcfC9ZDoBNgv4WPtUF5O9nhMiDEu3VQyam5bCoDjUUrP0qlme497e2M5fY
wZEgq7LhYwv+miU5NtXGP9tuNRsIL7LsjLa7MQjzU9zbZB8rIou6p+LEsnY8Jiz+lBq3qJ0KDNmY
QaqrcHX0DqWlPWft5G5oZRH6YysdihRpoA0KNA8HJw62XdQZxFD1fKtt0F5lOaJZqNdqfewr4h8N
Unr7ZQiD7eT6/maql+3s1uJ3VgndlnxLVb/u01aIW5Gu0cM3cun1wP5H9c1/V7z8x1/1v7F6QW2Q
IrH/V8XLVeXaDmHLH4qX33/Xt9oF07QYipYkBVKTxwirIi7xrXbBVJk0Dy9VyCVB/71uSf51mXpB
WIqpK/Gl3PleuJB/ZWmEjjOlCMNTjO74J4XLL/kcXCKD14OWMrmUTln8S+IFIqPNW5J2MPVE9NBi
jA3yBk3aBwVbgDXvxYpuzIxTtmx/uEW/VcM/pk3/7MIYb8FQLqGko6/DL37IOIIDrWkwu+4QknqF
ntiuMfx6hGbczezS9WinITtDaZz/JvB4qcN+qNNePzBFLiVjeZigVPv1A7OVLT2FwM3AjO2npuGn
dI5TRC11elV1OvibTNHr8J+frniZAIWrXYbp5PBoksud+OGTQi9NRg/Gfj+RIPuCYBZc5CX00zmM
VF0VA5mms++79EMFo4uX8cIVtq2sr/cR5MQPcIvnT20LPK8gi+yvAVl0jyYWyam29fLQJw3gm06Q
/mIl9+w6sNAMNxLb1i6u50AVQ0A1wq4uSD6wtgLnztOQQz5YQLqMytENldp8mZWb9mF4ebF05AJU
8IROFJKvrG8669MDAKkVKb11rUwRrS27ZqRGZEPRxYRFA0jjAGpW8YK2dWU3GG0jxgL2rn+YQgRu
hlrN7zLrhs8UdOVD40P2LPMsRRx9wU2Yw6SFRgm6WkCijad9RxY0794AkfM1oIEYiqfdYs4SSMcp
pvm9zlt3Bze767ZijN0pWkP1NQ/VslWwQT9jOkz6AYB9lW8mQaYz4RoIukqmfaAytYVzmo8QXnl8
JEKpGSI6o2g6Mcjhrg7TfjqZ3phmqxZIDbDkFe6jaZK5WOANbSEvtdW2oSNmrQQr3QWKcEgILg7u
R7SPb9oVPSYoBAnQlwU8+eAHxO+3Vg5snwfdAm5z0lcsVZko4QCw66jyuLdRE7bPIFkRZk/51D5b
S/SV0l5fhcsoX1Ih5Aplhpj3NgPLAfNvxt2gHIcUpUZMB2JcC7uAYam4ETe8jGcItGUcrfpIYqfu
Z0uq9wOO0nqHzEx3oqmHhoQFcjvwHAxABqqHFxbc9lGuF+RsBs4UP0TODJ+DGKV+Xfs2KnNbkxso
VMs2UzJt7uYwjU8d3MZ05/O1BqKLk72kaoqAtUjksciA/mtTIcx3Q6yaZWkgYjSbUMQTUMuRtd1e
c3QuBRqM8Un2MxBbuNzDnrfwr5AeUaGEPZlDrhGWQN2HFCHZXpAqOa3G1tBDVxN+nBgHJhKvoTlN
S4Y7mrjLLQY8uEQI71BHy1CFQKyY6PHVVEHF822AATq3bhrVuyZd6EODzNOez12OuKcAuUCYUiUN
W3dPFDTdK9eaet8gFqpKo4j6msKI2buE4u4BeseZTNFabLKVQ05BLm1v6gYre6pG8z6qnNnRGl8q
aKn6RkGYv8Bk4/jkA4MnrrOTuq+rGcu979ylcyJ19YG5uD/FilU3uZ/1VcRns5tp0x9AJI8lyXso
K85E8gWp5fGJLBO5EUSwW171bbpJq8p/mmKvj3kmgAbyPPw4oj6uNmpKg2wTDXF6lTepOaFAHD5N
WH0grzSWiuD+IdOYz1Fym+JBBxsG8HYFsXkkbdvxAtN2ar/XoprTguoABJ22nj/S0ed9OWlFb2ST
IqwGMVDP43ofGm8RZlmS6A03nXrpApC8BUGc4SmO0+ATYhvqelQz8ODAJTdWENxS5NsSyF4jFk7f
92+rOU6GImK1uEfSUn9ssrDfykku2ynj6ym2DiyIE+G+NmiUKjW8Wy9HclnZCCLX7Hx2Cpc82mLm
hd5O0j5h5kp1PbogfePMvD7Hq4Nhh5vCHoYhXw6kzeFm9+D5Mjxo/ESrZO8QkEIZbM11M5AvqZft
A6s5IMZgWfbTavO7WoL9RsU1IFebL882F+ltt2btFi749Hm2fXxu6/4ALiP/aIcBFCbPwc9GQsBZ
MmEFmdbw2xjzuPZxxuRRIOl54PDZNmjioxLSu4AlYeVVGqNpWjqV4rQmGGnkTEFXDIQD4p3fyZS8
s1P8purH/j28/uo6nfQjx7Cjk5bpF3A5wYbYsCv6dh03OT44oPPJ1ACRiFL7YGoXWqx5G++nIBp3
+QJNcTNiWdCi65ZbHoxfucXMFl8pumnBV+yYt+apWRFyc2y8T8M53shxcWgXxQeuKrWvK5OceAUp
tIjduGDogK82HDYFCMxYvIfTkCJWFyEglyS3nq8hL1YRo9fLQ6uQigomcGXQHryl9cmkIFS2lRyD
CcCMGZ9yGxG5s+BNd1oi15jAxIwKDETpz2PTmDsaAedmE3XPI0vSQ1aTBF9h3+5zhoFieEdxcw6a
2IIZT5Y9bWX42Y1eABTUXU1PadhfDKUovVqGhCMtSVpld8gkCeAVDUKEQNV4U7rV5J9ghLDNsIDY
K2KEInbTyP0FVEvVRvoa7W5Ipup2GabPzYzUa73KDhCvh1VuR/DhoQREumT2Zh2SsBwQ19omrbr3
OTlTkCsFjcDpxcj8FIgGSDygidwHlAoEROqrDHgmpFt1mywLOZMmErupyv0VQw6tmPMk8EVbnaFD
/AX4ECSIQdUw2uAehX6DBhPtRUCzqqjrEAspgAX8nxmIrEmbuBjanH/+rxiIFIE7HFcwNijgpxhO
YiGX+PECROQqH95ghTfldyDCI3P2nC7mawtb9B2awupoXTvDgmz7B8pNXTYVEpYtaO+PsKTYdWcW
BaNekc0YTk9AuC3QSoe8SA3Bd2QWWBb4pvU0Sj9c0qU1JLB2tOdGSABsyBzXIJSnd5XFMcc0Q48/
poh3XoAJWqNhg9SPqOTv1ITO57mA3w+fmM2t2/6CTYiqxemZJsmVlflzDST23a/oxOq8vAUVTDaE
8uRK1b5GOBM6Ir7ycqDO75xuSPHKUMRVXB09i5uHyVUC23roYOgPa7wXUZJv1wpFh8hE8hgh1bbR
Q2TugRrPQSE1mRfkYhFs5jEAGtVlHzHdCrgcYPS7rqnnc5qpeUORJIZ7Ljzi1TSvvpEV0gzAK9zq
YW+iCHiBqk+PCBuQop8qwM914/+AVwSpZ2CGkR9Dedizw58xFhFyb29XrQkym//mLGKtUcow44/G
851DxXHNc+AvRRpYLJo/Ahf90k8f4hwpgbKdWoRmQ+JAQ8Px21Bgup/CZMn+AFwMGLny7KsRfON/
BVxM0xCDZsswRQtXiVA9xpmnsASRW1nCFoXs2oQpaBTLblGWRm+nAUU8BirSCdlcFDcjZtpVAUjm
WTQvCWtxakq4NtcYiEJu2Ciit5Gm/gGuBmZsBmHQnfLAyxc9MbxWp9htYPmIqDRGWj3XLajNDWUQ
zASc43M0XUYiGUTUkG/WTr7YaKUPxMzpk0TMkyJYPCZZAT1Ufxtg9P9BBvh/MUP+9yoFf2lz/DSJ
+dUc+SYU4Df9ZnIQ/AkKmD4Z5gQDKDBwDnMTfhMK2L8iaAiXWZ0xZtjgZP9RLLhMaIW/gelUaYqx
3t/FgghTvjGIBR0oZWhC0Wb/28z5ybHCsN3/rmdPYLFESUIo3sSvA/jqqdUR2Pv+QFF6RU0DQ7Lu
T4Y2H6BG7TFS4Z8NKrn06gmOsgx3BMBBdlFNfuycgWEAqBWolLIUbJObO/a+hl2xR6jA/81sINzx
n5r0CJ8oizGZJ4LJRBP6iyxgQxgt9Zraw6oAX0i4Hgi8pv9sMiM+Dy6CWTwhxlCl6R/un1kFutZe
2UMU8c3YRy8Z8Ej4Nzc45Oq/GQTypx8oT5MQg9HyEGvg53vXIxookkljlIkT/S06bUQw2lAe/1rF
+fOrQIXCisBUEfaLtgHeJNZBMNgDs9UuV6iSu0pPf/NRLvf+Z8kG0+ngVlzUIpRXELx+WgZtrkAg
15jKAtGzR0lkv6A+be7CyDd/swr+/ErYsy+DUzDp95dVMEbI1NN5snCtzfWMQiK/uGZDYt/+89uG
qXi/X+cXs3BBB7Zo6+yhrtZzRSEeqLzf//U1LgbrH28byog4xRyWCOO1fr5tskMcX11s/cAjDhy/
bf2OD/tRn0l+A2Flm4I3rPoH/GuqWpjwO8fE9q/fw5+8hQRSZZwgBxJeHq2f34Lmve5WZPcPlBEU
ZC5Akg/R4v/JRbAsEHmOYbr9sjyiXCFDitbjAHJ/uZJr54ogd9k/m890eXbxwEZ4eimcqDj95W76
fgkwLBlfWcKAHvD5HomTU5v1f7PW//SO/XCZy8//IBb6aCI5lDOsDCE/eW6PU5PX/5Mb9sM1flnl
ssfonq7HR8m82PjOAUZbAIr/9bfyR5315/v1yxK3KtW8BUR0cAQzQ9K+G2ADGXaCupVc/Dqy+evr
XQZJ/bJJJFEGVZzlIAFenf6fbhxl7dJHAT4UcvUq3QbxeRreWnW7rN1t4//mZPqzTwfdACPzLtf6
RgP88DVlmGO2kMFajC5Nmtuqh8fvaQORydovjvbh31zuT/Yl7LD4K8K4LobZrD+vijBg8+p4aA8y
ncyeN5aU0yW+nmM8pPqbL468bgw/30pG8Mi8brohBlH+8kBZRE0CjHTpEB+thduMOoED62eonzA9
1byP9Qz6vRrDfC5Il5N7N6dInq7ubZ/HahuwXj/H1VKpUtOWTIDhF/WMqZXolBJMMUgA/BEHpKyP
nwyyecfVj/boOKf7fOgWUth5naF0sA6jmjEUZlcpZ56lSxIoJLk7E3T4RV2N77nXSH5R6RGX9bV7
XrL6y+zCdDvTurqNkmx4qNKGvsVsCYcRO+tHSGsjKt8le4gyIhCX4cDCWjM9Qf1VmJKQYUqWPUyY
dJK1e2Kq9xLY7sAO7ZJjGNQEnxJ/5hOunbdqi1lg9E3EM1a22WxEkWb2vUW0CEEjruyTqIIU+OOC
0ADUf2TyGvNoZ16fbQIpFdO8F7vzEdurMUQiRacPXWop7F1ohetY3wn1UI/XfceS65VnjQOZuoIP
wVsbMJBiZSY7YkJK/h79ypdIO5BM/UjwogqIJuQryT6HK/IZKusOombvkyXne400X4yxebG9QkBt
OIZj87FRcYPgHMAHtYu5yVuIvyAxoLhV4P0StCYHgLHLJp6CrvRB99zMFTTdGln2nm2SGvNHMgrX
GVJbrsYNSbLlhBF+89vQYlBVeHnMGxlCv7SXQH8+my2ga7Y1s1uu6QhYpEXWuqi4yF+WOswKZIN3
CL+1nyLH9Q5itN5QoyNXxHo0EfTsli4b6LuQlLG77C1v1o9DMiIdCNYsXvd9StFXDUS4FzoQ5FTy
WmpaSow86K8xi7baSWXcrhLzskX6eHqii+6OcTeMpETsNZyKFo71vUmIfhEL+NeSrzVQtwgy3wPS
VfqtXHvypMMKOW6KidQvDSdBe/KzC17Avae0yFKEM0f8EQZxCS03uwczyzf/l7oz2bEb2brzu3hO
I8ggg+TAk0OeLvtOmZImhDIlse97zv5384P5o2zfW3mUzoPfgAe+FygUUFXiIRmMZu+1vrVUijJf
bkXThdKq6jhCYf0pu0UelNPT23f178M4otrqEvggpropKEfmeNaw3ZuUGS/quRmx8Ivksk67+VuU
DGj8inl+sK0URNKIqg/Rr0NX52i7mD03C5zSzgdNMVIpihzoXoXWJtaZyeJkHqQDCRjRoEW6ni2o
zJ3s0KGbiLjMI2qZeUtbe9mPKxw1r4ptLlCZfD7F6+uf9o+J6a+rGe+nQULXrA6fBPBYvbjF2xJ1
L2WUrp+SEX3PxfOAmLCQ+je8gmeufLK6/HXlk9U/DHHNZOvJJ8LF9zsJ+u4oMcx/H0srHH0bAgqU
J/yVG0G5LkJeI2g8zVRd1kY9Zp1a26Z6CMkLJ8JmZd2gisWv3A1leWZx//iNuJww2Cyz8T+ZvBvk
zU6YA9iN2yjcmDKQftBb10VmVwAyJnXmcuvKc/pK9D/hBMB8IdqfrExjrTmI1s0ayeVy4EXo0bJD
EuT+Mvu7uCgPsjy3Fn50gxwGdCDC0nQQ3b0fBHWf27KCXH1oDHVrAp/wWsM40Fa1fTN3zmxg9VOc
4jrA/3m1E35l1dMaGUPJAcfGZDVDaaWist6na+FDCKHk7ObOeZrqMyv+nyX9rwcrOSWa3CmywpMH
K2yttrpV01N0iw65yR5oXuE2PMYJUlu9TYpLREYjgARJ/zQJqaaHtLZMT4Xp89qAvFr6cTS3cZAP
F1n8qEuoV/TCRtHcFzkMJqeu5L4cbnWQJ3VYPZT5shHBVVNa04tqKZUFfWMemtqJtA14rmhrsGoc
AGp0VyPOz2ETUVncOskMcCA1aR2Di9MwX1IqXYuUcCGwL6A8BFMIP0HE4VxtIl0rdsNQA4A0rDcr
7aqbYdBbJNXBmee3aj7/HpjsBUFMQzoVpwMzMFgvoNyu4NHdil9Lpp1d2tdMGc2gPfC+0q7f5e4h
jxDCFWf38Sc7tnXC4P8IXxXudyD3J3tsdPUuJbqkP5h1jA8JzwZqNt3cipFu1JnJ6YNbXZNkUJEg
VREM9PdfRGUEsYtoHdbMMEBJwn+0XLswhbdRM37NxVh4dl/YPAFMTbDUJzqbqM0VMCI/UVF7+Pzn
fDAjvPs1J1+MEDVyyMzEhmk9lxgVw37xsvnFDWLPasDgRWDfsurM0vDh42YJUpRWOKqdblmRzeIK
drgoxDVxGUtskxadLr/W+XT/8/dnAII3bApu2PlPlrwZ0Hiz1jwOEpDuzyVit5TX07xPIktgVyPE
pHRMTxjgSKm8GGeufnI+/DOuOIYafw71aPpOxtXoYDIFYtAdROJQ4F3srQBmd+Zprq/oZO5RNBZJ
9aBIwRJyMqA0bCmRC49iNca9uCmKSiujYyd0BYQh2g8qgiWR95efP9iPlne+VYvKCx8OVc6TRZbu
Nlgwso4OmRNdJXl6layVkaYGq2Ha0PwG7RqJzcatajzw3D1tjHOHn/XO/rpzjnUEYPBLlHPyE3Qx
GEYoXZazPkGDO/S7ORT2nZOwpRuy8CHqne7c3uKDXY2iPkKuGMRUdGAnr5SDURN2DnoBs0eZEi5D
exlQFj0EaHm9XBkjZg4bUA5zsN9kWnRECYyhI0YTfOYFfDSRSKjd0PnJWGEyeT+R1C72rSRmfxVE
cFacVv62lpEt3WqE1u50ke3NrrM2hgmylMwX/NKCY4NIk+3nP+Sj8UdJFxE41RYW+ZO1j9kYOX/O
3D2kEFOg3S5ZdJma5kvZCNOvev2yGrqnz6/5wbaC0uy/rumeBC/ksRMIcr8gAAlMOdCJY1rCsRQ3
i3b8/Eof3h35ZhS3KfAjd3r/lDU2hEtEb/pgReJ5Cbor1waHzSZipiiHBmQLseOM6O2jYa1IPKFQ
S2mTL+z9JYdxngMlKaTXOvEY+KRoLztx/hUtcIagu7QOjjUG3z6/zz+Ft9OPyWYjZBClBW7/9Huu
ItHptOd5jZoES0Or/atyyv4tMobu6EDb5SjZTi94No2tHOreXyDq+BFWpC3pNvamMYY3e1rKy7Rw
myeZziOO4+JcAMFHM6ptrPEz9GJAS57M52E3IdKohuaQDDAMQJl+g0NwZjeyfjh/PQmD6iT/gyd/
Wr9BjSHb0cqaQ9OI7Vxa7jGuSYBapH4uP+TPieuvS1HzXauhFMROv51cLc0ku7Y5jHgWiqgVuO6S
1p9NU9uD3yk2tJUTX0ZV5oHQKQAbvml249x3WpcAerXLC2vBPbUxjfG7sdBEDOISySAaO5Aeafg1
dLB4B6UQZ+qrH3x/NnpQxU93XcbqyRAl/MFFmLk0Bzhbx74oXpVYvH6E/DstZxaac5daR8Q/inez
i+AEzSaHuaSmBD7cYsFjNQk7XMTMeZ9/BR8ML+7LFsQNoSUS5snwgjvXcz4y+NpV2W3yOc6+iyyz
7j6/yoe3pEsSYywDG9Tpii05KyQJW/uDWIZiEw/RnU2BrABcGaTzOcb8B6N5XZ3/dbF1gvvH8yN9
BoGYycViUd4o4E4PLuinTDfbi8/v6oOZ8t2FTtYBKitjW0nGRF6323WWLAprq/S28ZNoEZsa2hxb
oHMjcf1TT74gSsjsp1HiOoIj2Pvb61GXWTTkmkPfzC9BCRHUFv2+nwNkSI5qsYQsT+u85TqxOLPx
+miwrGJoxSaW8GV58hHELYbqCGPuwTaa4rZQYf9EtfL/YrPMXuPfVzkZ/2p0MdByh4ckkMqbhgCS
cqzflWF/Ztn56HYww61HEp3sk9MzbG91XS6Lsj04KYYLmpUvQy7P5Md8dI11s4rFkGMHf/P+bbll
7aB7afiY8+pQR2A2xYQ/4j8/EOmQkgHF7kjgj39/kYyC9KwUQyKrM+UxPNIN0Ty7Qjx3TSV3JQet
rZZl2pl7+2j8k/fMRoGuPx3+k5GYmZU59ugeDy3HjcrQH8Mk3k9Ixbqi3obNsMcO5n9+px89zvVl
KWFylsKz8P5OnaUWoAx6pmEbzmRhQ+sgdOrM4zx3kfWf/2MCSSc5IvZlyc1pYuySen6LiHc8c5E/
HbnT7/hPL4i6pAv69+RWsNesWjm9wbdMMmnDieMy1/XuJmx1+yXre+exMWmy6SlJGpuWfLLHPhrd
5777ztYENLYTPCYuWAOvb3JQ/LMIHtA9QGSHNePT9vhp8vMvzKKF+5BEt1Z3nQVwwM1hXOtuFGVs
Ch/RRjcDdb3MnXYViTT80pWPWQKuNZUO9b/YeWhK82c/WN1Oon3yGjuHXFbo39DwDtuwLYdtyWHa
R4GZeO5gXbNBz68zOfRby+6CO2IwW2z/Zb8L0GkBOwdi57GXQ370+cD4K0hr/byQE1hE8lJ1008b
oFlujmQQat0B82Loa2EfvXCT4Q8g5+ZNC1m+9Ywi04ESd2EJiX0iK8d1Er9WdbCdi7rfVsUIm89Y
tV3DqueIQ/t6Cl3Lz0IoEJ//3A/WKH4tsb7URLB5nBamozZRU4SZ5JAJHT44LaIQLyRY/3NTti0M
Ruu/xxmbOYoAhqOYtKkHWJS+3o/mglw9V1vbZaHRg6LLY5DlRhuZUGpndeyWJcc0icq4DcG+p5Z7
MTWO8TshfsmHEBtes9TCRLK6cA99RmzaJmh2knyRa6tJiGGAJHSrUuI+JrO4HFvJachxJJCr8KG3
o5sKASjMv27XR/2twPNfm/f1VAOUdBDe91rlT85yW2WT78zZszn8mPv6atCIDbGW/G1A5sgV9fxY
dnAXYfDODRkHzdDdpE1lXg4rbE0vrXjbjVmGej4rxVaJ6CHSZLxNJnK7rM4tHou+L/Z5GFKNjXPc
x+T2VPm+lqlx3VZTu6ln3bwc6excExFEjFPTmF6SNa+F3bbNxhV56QU4hBm5LeguqisYGF3nEMh8
2DcEP782Q5Z/66IcsKelAlAJM3hA/BUkP0ROtoeO7z6Mw7BJ9P7oxvrPWYzatCPj60XmwnzsNfw3
sMVdbzGSuywU+coBgW5UgYHvFqr2YiiSSz03yh89GmsHoWwlvi9kK8AFrapDIDL9qlvGYdwmMHte
wz5u9k6jh3dJZsz7ai6IpFryel42srHDYVNnmAH5YsPkNabJeWUQFgwuMywP5rwwJAloeJwAh14W
kD57j3IOanNi6G6Acyc9PE/Ie83iTj+yvBU/yj4d7ubYTihIlK68Qe453uVRUtwmZQ/mMIV1AgJa
GJ1NoaITW1ERFoArsZKPBZ0b2B3KeeQMYnt8Au5+kvpyGaslfs7jxqVcO08ttKFisB6sIjAfjGmq
bsuCJSCDgQ6wsU+9CV9zvcmxcW7xpnbgsPgPWRipn0YU4HbEoaZXmZxi9O8FW101gmeQKQCzVK4U
poDypL8wIzOACuzquUsvcR5fhzoBlVjb+ziBTZS0ufncz5n7iMY4AJg1E23uyvCq0NLipm4A5Gnt
slwrZkS/0Zzoax8GMQ8k/C5W3F1vDW8I0pNn1cbG3hLrAUjhKyO5ATAIIvqJGIvhyx+6etn1l1Wc
qG2aGdNRG9P4EGm9tifNNv0mh4RUIMNhCh9kmHjzguMeYcivkLSqG7Ov+wcOSjAxu95Aum5nyCgs
pt3Q0J/HPvgxk4TBg3HBzhqFfcjdcr4I8C3v9dKJvqTkpVzm9Mi3ElThsdIymP6UMLcBMmtfNkt0
EEOHPXe0kbMMAGEHnrO+jPemjHY6XHmk2EMDLGleRqTPAAm2wBrVizOW0fe2oumpFs0bas3eOcDV
n0eTrZGmjQCiYlVs7UkTa04RDI4VIZ4mwPOsqNkrylz4d8EmR4F+m5AWeRtVUt1GOrkxY9u7N2Ek
mIJcN76vSGHYaH3lYCd2+2s0vwpxckBP3jWJZjDyXNstDukK+iJ5M6JpITRZKYEpLX5CWuZuZ/tQ
6xVoUCMEPZCGe1Xp9Q2feeWXYnkdpqafN+QKl8RapOEx54+/04wieG6xXKREU+BzAr9tPct5IlVD
QIZ7toMQgSsMSmFvYO1bPySEGYXDUI8ghRfo5RuyIH+2aTtfasQ9b/inBc8GLSOUUzaUb43p5heZ
YWpgbUINchVmPL9dYB0b8gal/3J0xaxomBf2nSgN5vWwpbS3GTqnReYUmXI7I9feg31Y5q3uFI3n
0vr9xdjq8MaXcADdBcM+Yn+/FlnyK0x1uKeNUcSb0nKYmlsRvdUqW3ZIK6JrfER4mRZhFYiF28Ar
UnoynI6M70Umf+Vk9F7Gmsp2RIpmD3UXEcrh9kVOhEWU5djhZbcb+cJ8IFcSNmGZ1qi4waEdWovY
CYIBot2y4AcgycM5wu5aLpNJaZdJYQ9+Pmf9TtmROqTN2G7h7pf7oskcr2vD4qKsYc1kohk3NQbE
e0GW5LOmmUZJmYHqZetk00Eb2uZhzDVzy966eAQEbnilFs0w5FrjAsTxvA1NlAmQcNS+i2ZQhIsi
dWAaK690Z7hbixp2eYqSBHJat7rxWnhYuFXwS0V3C3yiw2ohLYLuNZwpwNcRZmiVAYcPbyHz3tcs
gPjgol0AtwjT11bvH9qovFjpMFHpvMriddLcCa3AcZB2sPrwtkYjvtQ5SgXRvipdXJGI3EBPExew
OwjNIiFLJ0Ro9LBsklfi5sc2BWsOsW63ZEBwlRX4s7R8kVjjPtDGA4XT40wQE++FNlsVPJOL4lVV
c7kwp7MZZPLA4B2o8naZR6CtkS09jRh0HdnNFsROcghhDjK3a89TMd45bX/f9dF9hUqiU/POhFy0
GfSp2XVUIQD9wEnVEXYloBPR/LNhDfrfiML9vCdVAvlFuM0CY/Y6UT86Aw0EZVUWaej2N/wThqcS
ko+EG13NdvJAxwayuDM3PnPTuk5Wd0sYSQ9+4GbU4/w5ysfrusTFAEETPhVCeFf/rQ9XbLZ/jba2
0AN3nxLybAzNlV6+oP2Z5p8cHL9Mps48HSxbchE3boEDdOQqvUIX0gB7QKvxsABNIvEauqIgKzYf
tV0UpDdRxE+B0rbSwQk4yZZmuLHaxvCL0Ziwp853S2Hu1bTshyB9GcPlvum1X2ycJsyEidyYgj6Z
Fv9Aq4R4wlWs11b9Ni5K98HKXSA13payCb4yihWqDJn6K3JvJbsSjBIZEn8ubabQ2E1B98DW7WhU
0bFwa8wR8hAAzrWL1NfS4HXM8juV5k/NIAk1a/pdlui3YWtj98v7VPlRVBJarNbds07rQ2xQDheF
ryljZtdklOU+YQ+kbfImXaNfRGc+I5LqdX8BvgqKxaofptK8ksQtX4rab6fiul8MUMIOL16bmsyv
sEqQA2M2W0D206o8aQ9mHBdXjtMPP7OojS+d8ls3ze4hqt1qM3cDfUH+1VszsPs7V5vJ8BJWtBtV
aXtwLIha64ViFAM2CB154SAvHUdmqD5xXF5TxT5I7S0tZHg5xUOltRZFZicuD6qYk2c3UWrLoae+
LIg38ich+qfZtN17meemZ2MzfdE04DQDfhQETUZ0IF8nfQG4HftZa9+EQjsO5fSbRjwUFWk0zrab
mvgLgN3cz1utv8w1knCKvC1w54qk9GI2DFBnKxCpG6MjXnPj9CMBQ7ZZ+2HvYMFahEeLi6OoIZgq
jTZnh9xnV2EbtEQfaLqXxy0uS0oEd3ZhgDoGmsvnaThPGcTQnSwNkhPyL6LNIs/pgG+a8a0DTXxj
NG14XcQo5ZdiNL1OA9sYDJN+bGwCAIFNNj/YlUYew3A3rTorEKr5Yv90k7vSLLZQ+N5c8GoHs0mv
bLuab4mA7zD0jq9SDVzMNIJrdrNfhDt/WbSx2YZlVe1ELsdbVLFEGseR86SV5kFFguaV1j7msY2C
r3DSxx7xxGFgIP8o7BqnqEHMkQvs9qhVVnaRJwBRexjv27QxYJil47Gap+WbrfqRg97ssPud83sF
M8yz595YkyB6byKK6BG4aHcdpGwX9wbtskCohBI+2cObaYpA+4QrHGbqABOZenwfV7gPiW7BVt2X
w+HPMfD/gRvl/ysoxf9CanHo/T8jtTY/mrj97/+RveNS/Ps//JffhJYpR1gU/HTPCWL+h9+ESZfS
E34PbFt//sn/hmpJ0FlwLBAYEe4OOoITb1v2XfTf/ouh/1esBI6F3wTFPs1o4z/jN/nTIfr30dpG
9eLyFwtDBnVtgQ7n/dGaBI0gQfGXHpwuPrTxijZa0wmtRVxL0g2ZFMFuTzD6i0cHF+tGjobwaqt/
LkV9rpb5d1mYkqxEDUSVEROCOjnmy5ZR3mHu5JQG/gXSw8aamuABXg3k69DMthToZg9WZfdFucOy
MwN8qPlA7JhJ2tDPVn4PSqoe0qR5PhfhjUvRcoc71vVV1sZ7hDXOBs5ItkvSsb1t3ey1NvJfEuXG
1bCMtld2Y77PjVB4oP4vqtIcLnBAJHu2b+Vb5nJKm+qQTM/UcSjKz1+jHPVqvsTtnRO5M9Om3frJ
UrnwcVdklc5KFhG47pNGVRK2nE8/2Ad3HjioXQPO2vvH2Lv7n+/sE9wHugVatlRkdIYFmDR10jNI
cttGVYBIf5jAY48FdbcwdnwoCz6AfPMyqeOfn19xfR//GDvrFdFmI9MgppnWy1/hzWUnyGxHQDWJ
+i2BP3Fh1e68+/wiH1TFuIplQJKj4wYEc23M/KOU2RWzqSUSb4pWBpdtrYw9FkndgyHB/jbEf9jy
WqMaSCq5YCAYeSsXUNGTq7leDkUc70rZI8JPEnubWC1BeZXm99N8To3/weCVyDShxghL0Y46+ZlT
qCsSvRCQG6O8aUp22xEEVs8cAj8w+FkDsKmLbG4vDZf82M+fkfzoTaBZkTSCDUrKzsm7nzi1EtmZ
ouuIhglZAeR2gGXaIzhhfRsv0z176mjrUCIl5c+2jZ98V81TH8TT5VJQhJpbNONpGY0/qND7Xdr5
U9CORNVV482QE8wFwoZg1obaB1qCu5EoHZ9DVrVvG6v5zmOxqWKIaUcq80vYRp6YCaCxhznc6bI0
H1UyWC9VQYrC5/f9Qf+bHg5zoI6lzzVw4L0fG/2yLH0ZY8FqAfpPcfESxfk3OxX5Rk+z16qfYOOD
RNjCG7lHrlVvRdeQB6tdwcUoPRzclD/k6Pi2vog7StnmmR9ovK9cIvVa+0wu7gXEovS63JPp1YJq
XetJWx0khFo+D/3WINkKtUX5ENgpdZBp1PZ0RHzcvsPFUBZfBneFfkT9uKfbJz0x1Y+6wca4b6YY
d1GeeNPSik0FyuaWxjp/hOlMv+J6OjMb2x8MaDrFDh83lh8DXcP7Z5tbet2ablAeasM9Yh3DjzCE
b0Hpop8X1Cyb9RdLwTYo7A2wFyi5u9CG2dEvaitaIySebkCRWzlq8GVSKDaiFF5YBrVNq9zXdXPn
txl8FYm6/5vM7KtYjJ03ksTp1RRIj7J1ixugRU9a0az5tPljtKiIej9Cn+dOiuwhjhtsfSQtyvsp
T03YCYCSq7j4KkZlb21RgzJcWkRVLv1aJSCvlJM+euj056s8W8KHRgMZXyecB9tlRErMjph2eDWB
4E1ZBrpaep1O1qhqzGaHnP82CNPourQR5GRG/Rust+vDxfyRzRA/SEmud8X8NIObC2E/pxQroHOQ
YIXOja8NLj2rQHUMB+ICLUlCgtU4y10l0XUqdMo+lfbugbYE660ltc3nH8uH79NV6I6Qu4JDOx2K
eUUpGrD9AXjHTT9cFZbSPOZ2krOz8grtx6VRDi8ci9ozF/7oK101tsj56PhSwT8ZSchjJ8CcRXWg
DvdqJ/UOTvobjoLU50GsKc/S2Q5RjPBf1lDEy/BgVdq4b6BcksiGDrzqDW8c0vkraHkk1xmbks+f
zQeaDiy3zG3shpCk/bXIuKle2oukv2kXZLpX7KSv6poIBCusowubmMP7lhRYWiuADch+280NOxEr
boh8dtSFIYt+x5IS4rpf7pO2fA7hCOw6o3aPBlkRY5N8I6Gs//75r7b+1iQA9gJSZhi0Lh3++v4T
raLRnkkhxVJLOWcLVZjipgQ80xDludM4gV8VpaO9IZQVX0fVLPCR4uWaRJ2UMEpUz5hBpL2zDHoZ
I3ifrdWL+5iQsqkKjzSuy8cFgGZDKad1R2+qYelYCyXePOhA6NFi3AZxsFf5pHtJQQpVFGoP+Idu
XSiXJhQhL8+Det+L5M6Zxx8kX2//TH4ysWpOsi6uDEksA3aGDsI7dYPQBUVP7dPcD27cNR4xp0fY
lGD+EvO6FuCMmKsoDCpKDEvyDXDaM8XXW6WG/OnzJ2uuncuTrQ0bG7IhsfaiVTwdsnlazbC3YJg5
MvBquVwHyfykT2l4Y7Hx8INML9EsmPRsDBTfhCl6hFEwAVBOmegIecSv7+AnCN+MUo0gI4fkadEQ
EcnEXxjUU7qq+AaVeSCRawbhs16FwyXAxxA9L44zTg5wm7TwqrFG42qOFUrfsHz+85yLijLMaDRf
dDWrnyiOPDfElNRiO2R1NyDUEE6yD0DP09mp2u3nz8b4YNThSOHkwlTC+na60xGVO7SIvcpDrNr7
WpSXeoWPrB0ptY6m+ZXPS7st2QyaIfWUIZroPg4i3how0v1J61pfTwL9Wsb9bVFXuzoIoYhFNxDx
qAU3jKwmk9VWX8PvirJOPZvCC4tKdZtMov/5+b18NDWhfxHGH36xQBb1/gtCmDc4Y+UwNWn6Kwyn
7kFEi35hCshC6ag9NZD739qI5h/RVA2Qo+Y73xEI7Qx31KbrUigXSZj5I/PtMaaW57sdTZ8zM6j8
2yPBRCwFL52zH8v9yQxqzkL2MsIWa2iEw05Rs2YNG/BHtICyOvvivnAUNJlQPahYPpasYJulIoiz
dWJv6iccdYnmfumq+Es3hjZm0bS4Qxip7awBajB8MNLu0l5s10PsppY527uQAG4p5oe65L/W6oWA
I+2hFCBI1WCGxzMv4vQO8epDKGR5Wm1Of+82KkuAwXFkdhBhe+wY+6SWXjqh/aTV9q8pzffU3V6S
zLzRrLOq6HXl++fHvl6bnQ6LsLTR5Z6eYwbUCi1Fa2JqhThG7D4SUTMEmB8tIroN0dB7qh5TUVwk
zOabnEitppDnlqD1HZ7+CtyuHKdATNCHPFmfK6iEsWbzWc1rYK5RrDQjRBHxMk++vZZM+Rqva8Rg
2zqNsx08ZXZ9pFriiPON7g/2SIaXncB0YdOpOcZF5e4WRTxYWXFLgXGzAObasLv6UclJ97NUPyMm
M05nTR4kpx/ci+ww4D+ebhk5FsxSTU150JJQbLtAui8jEz011Gy+GCdJPEhrlpssrqi/thTVuqZc
fuRziDaQgNVNVZkvbRgl22YBgWWlPANK5ziNaRGQaUFKHJlOHlkUww1Jb6irKNqd+dT+mt3We6AG
aDPSzfWLO3kNvdKDFrluQVOFuGiXVMpXTS33lT5sxzxmbVzKi3oa1W7EzLoL9QmMFJZK0kiKL2Fl
sevsS09L3cEj4puqP1ZS4o8zoGm0FDfEprxVAfN7QAYBwg39NRloZS3p5Ivi3LHwtLhDMcBAWWOz
Q0Bpzqs5VVwLTaRQnotD0QLtDpbuCtOndUsFlxnVKeJdEgABo/hjDx3AptwgHztQWE+zGCadW5/5
yP/QS06GuGtSo/iDmXDQAr+fbalwkcis18XBqYG1j3VIapgNpLjn8Ux69tPETEsiAujEHoKcVSwZ
4OGUyGFzeaRHunXL7kuZ4zBuo+w4WlfjsuyMJb/DGhvRd1wzE/OZ9gUa0E3jJCyN6f7zeerPLvn0
FvA8rafNlZgiTrZcjdGCGKmn7EDSoLHVlo5kPCMSGxeNH5Bwh/T0PCLIKuwu5qD+PRC4q/EKNmQx
mD5A83tOHPJrrDe4zBz13E8k81lGX4Cry8cLQq7XKGIZX5ZIihGl9JdK6+lva8NuAiMhHe2uZg5g
PYx8co+9OBUIy6vkTEEBs8NfsxG6Hg6ujB+4Fo46GTol0YskpkTpoQKECY5SPesp+gUyRIy9MXXZ
I9z7MfSKOjG+tFo4+G2Im0TN5iuOsPmQAZC5kXFNg37MIB9i9SaxziZySCZeCnXp62x0yy7U4uZr
kULNGmCEH9wsfEsW5X7TRZ4+2nlo3ilapF6sOLZMKkxQOU3tPsd5ewB/MO/Rnek+kpztooU3CraZ
R5Nw8HSV3efNVN5oTdReLUZ72U1tcZUGgzhEg95sF8RxFwZ2l7uwqH6QTcU4Yk3kPFRZKTDKxvlm
983WkpV7aCFwkQc761tB975PEG2HwauRGUyhLVWEeqwX3+pHzMckyOwKSRotlYp42/dV4JfQ7shQ
Sw600BWGaCd4Lh3LuVYufDdVtcdoMrJdZsR0EjrkBH1JWasXZr2PO4tObBJj8tOLrzIRhb+0TQ3J
RhBoZbpbNUZPae2Mh7EjTbieb3rkAjuUeANn3mz0jYZcV7z4YwnXDxikTC+L3nSvmPyx90fhJI2N
m+jbSrHzsiFd0cNKJnazOWF9libldzOevplJ8jZG8YOjD/POsBOr9FurlkBwy7eqkS9aofc+qXXS
q2dlPrUDVlhBiQnvEC3scpbFd/SppVeERAoT/dVjgURXEoDf9BJI9puOrusO9Ei0sUjAhPka5tum
M/c03ydv6ZFVke71tUHpdN9O4rGcy7umS4+csHfpLB0PT7QFTSD9AeHW2tvDsuwdbIlboHXJMarx
Bhux7fgDOUEUqfrhOPZl4o0tISdGnfzOO1M92H0ifI1O3c4cQDDOwh52pWEN1w3Uu33qavbF0Dg3
WeE+EZ3xVY+E7i2csVFgEPPG9jC+El3kbmYZ6n/y/zb2xO8LGo0MHGl3ZBWZ94RGr5t0zpdB0DxQ
BN8ZKZ+wBpN9MyBEkEbv7rNwncUsu91Ar/kNNKQAwJ4Nh3GirBgsikQCt/tqlk54zICxUEjmMxih
QFzxUokIJ0/xWlnsoaYermEVyueW7CfAnIps6XF9VCERmF5GpfJ7NsxyF69oT/pMNVM/6gf8P8Z1
Heak3CIpuQtHababyC56ctBLm0kbTmgHBx7ZhOF+jxkU3Ftq3vQrVVQhXN+Z81R70BDDe4D9Likz
S3EA30cgbFPw70VucTASa9Xok1DWhGZ/bDn1AHup+u2oRcs9QAEenRaley2b/catvtsdgoZQ/M5j
RmbTkzOROhnd8/pbr6N65Ccn+4So4G+ZHV4sdAsiu7ynZMyslA73S7dcm+bwZQLWcD3jivHqOrgM
wkxDPdSQN5yG8+Ni1qs6jKpTaAREWEhmLUp3yhcOLxKJeu1HWvya5e7gG3VTYTF3aCu4T53lAIQc
BvrXYRlvwD24qyhpIcODXnRd1damRQz4u2qJC0jdtP1a5ZV7TRoiexd4OiPW9Qnhu54I6WcwKH2n
COJDOVSLj1rpOu70SyxhlwFiuzGHcBpY7qPizYOWyd4KYK8XESVMLwv77IgWrtzViItvZj2nl28P
8Y3dDXcELJLFiHbnyqx1+4Bhob2DpSzfUiM7NpZW8LQkocgjBxjFAcgbYQhvloRxZJTKRTxZR8nv
BOKvb1VZ8GqLVv4geLH50lY5/OdMMw5maS23bd5zQKndxb4MHf4tWCDRc89y7fE1y59prFxyTuqc
6GSjbN6UmadPep1Ml2rJTN9KEyQ2WsT00xAp38I/2RlxeENb+TtioQKrr+wfyByFoG7Z2RNtX4WE
j0DAoXW+agv55QzIcjclCIiifqKHlRWrKbo07YdhUNp16KASqPWsuKYfF920VaaTt1dOPuEmxzkO
l4eRfABa24F6Tql++GKc6y+plUXHHvbNWzDbw6+K8IhjJtPmBm6VCGnTZ9j1NDNDMgTVY2cl0iKi
F3u+kqBeO8c+BoUD4tImvAy3uaG8lJg8gtmdqM+JJAnNq1yf5+//g7szWa4bybbsrzzLOcLQN2b1
anAB3J59J2oCoygKfQ84HPj6WlC8rJQoPbHSrGpSgwiLTEXwXgIOh59z9l570ieYoK7RwuUwmKbQ
UNvVNcF90pyPJfYWv/fa6uuUFTOywHYJybrKaJ2J6ULPclKWlr6/SCv0S0SBRptuqYwvOSd1WKXO
J5KZ4jX3PbusCOANa3MeTnoPLWPqnTCxeIXDfyweUJfZGy3lMReWmdzNWk9Q5OJcVcLE2xYNh6KY
M7/osmyb1npEHgu58hzKIiZt1jHSoxZcZXyna5V9M0e0eNNIolBqVRY2yoMLdv8dEQ/tyctiQklJ
RzMW33UWcVD6bnliTXn+aE/cFvAje42Myke9tQBoDmNJYAiaJGsR5/WwDJDK3aYWb7qYbNbQKNro
wYkdMq3WkwobZtMhENfhm8/JtJ8bVhQlVH4lFOMaeC1J77YJ3lk3iGeucmMfe0gsZyHNXTtOzYmU
CtPXyBPcIGx3eTeOxaYr9eEQ6SaezMIyQI9Dxr5Ypqj5oBg0f3f8MrAR4qqny8WZ+eeT8pCkrVZG
LsNXat+zGL1Np2iwcwbhomopzX2tl7BmvZo48wk+RIiupNxbdgZguFoWsrdYXlGumk940ag94uSW
gG3rwClz+IToZNpmroMEJ5nS+amOBpPgobl7HZrF+hZlo31vKzlKfJsI2FsdNYxkrY71p95biFDK
7IXIMKO9nrPI3jc5AvBNQ0THFrXiZTkkYeLFyt7UbBmw+7+ltUUGXI7E5s9n8fcCdIv6jOE4qVD4
pHDivT+ijk23tMtQ7nWdYCODU3ww1XkdNnIuPvioFQr5rjjnszxarMwgTZtxyM/3YxnhAjmlLPeO
0qPenrvkYLbtyzDlOCytZN4WRTzdeoW9XYWaJ08gt49bsP2d5M2Kdn0f5wM8oAW/sbHcwZ6Yg5wY
O18hP/CDGuVvF/HPRQqFCV1LqDGcNO33HTq7Q8VpCKLhOO8RXzUMzcEhwT70BBq2KjU+WUaGk8Ep
AHjbHE0dewoNjca8WrqoFQGLB7baIuLrq53RlCwxgl0S37C6HtgEpMBrLYYvZS15ejUIwzvkc6dc
1G7z1lo8KnkTTfxhqlzFvHfPoOK8QIzq/C3qoOsIS4ZDPKq7nu0w3xBpbz3xSqBIMORM65cMH8j2
TRy9YCqwj6NZpiysNeeZtuFJHZ+btHaPhcoEl6BuKExrtkyWmMzV2Z3Yk7Jzp2WnpYjKvab2n2iG
nwgkd5G7qu6FMPv2fuGUNfMwpRxKMvKsUDSDx7eqIfCMYrxsilUN6i4EHblaRLCptVTX8ZweI2Z5
bB8OtCVt1q4ds8h209Qca7rniGujCXEC7c7Zyb+kZdG+lqhq0QdpALi117qSp9gmpYzMpcsKC6am
ETppoMffE1a4Qx+MTk7O6OT6uj83s3qlNnZ8wXb7tUkn48Z0B4SGTi+RPCRyRy6OjhTBiV4NW0t3
BvKyi7RpxAWKYqSsVteyZRBRXdCYPnVltNwpVi9Oy7COv5V61dcZzEMNmQW8zuJAGy3CzhX5gseA
/b33DgBuO8hiBdsP9bTsDA1hg/EWG0pK4vhD6xBTWLgqzW4HbH09xsZWR/9+A7MYEXsSa/u8B3cF
I5Eo9BqFLgxkD7GcY+zmZVQ2hhOTQWvMadhl2luWFuXb0tjNySR9/Mx7G3Nqky4BKnfLT1jq6Nup
tp3ahbIOTKzLC2MjrYki2GA08Oe95XvP7/0j5DFW4S8Vo9b7VkWiLlWSxGm5jzUzv3Uny/wULbXK
sdi0yAZLzTw/oTwP20qWOzuOv2QGagPBCbpkT9jneJauk0W/JP1dC2KmNGToQq1quuFoiByoeTQs
u94eq6OR558Zfq7jUiIYZNdB6o69lX9T7JqulZfeKJoNzBgXMUHcbbDJbXThWija2hHDMfQtOMiN
c+Oos8YppXDBKjC3jDKxXFbFkO06AlIutHpiLQGkWfQWvT/N+X0bjXmYGd0HiM9fiD7rxgxId52k
uTia1HeGXCYWNvNexM+NRvnS1FNzSy+luYwUL5AthtNNIrPGJ93jUxN1F2vn4M937xfOxfdvgASe
uB2mh6hTft6uqyHuhaPQR60XPdD66qkeRbdJ63ub7KZkST4pxr09aIGVfmNo8sGn/+ZdgSHT+v7C
4Dt8nzX+KFgpR3BJlV7saQfmm1xrZNBywXzadWLfK+Z26W1i28qqD0uRf8Tq/EUvw+/Ox7sOjRsb
g+t7LYji5lTUHh8v5zYNE6BdfSlTX2t0+OTNfbW8lgM7BLKlrZkGqax8mgh+ZKNH/i6HcpD3Mq1/
Gw1z1wwY9z64N795bUNepk+soSlAGLcefX64PKhAVLXh4L3v5KkdB9ohdsYQJQ/MUaygF7TwifXq
tLwcNcLL7+1sIY/cdL6MY726ML4g2dz++Tu9hzd8v2QwGyzCKnGZve+TojKbZOlWLBej+BRH0aMo
adl5GcYpFtiDpAz/YH/5ZfD0/iPfPSM1+SCII/pi787KvTmLZgvj722R8VfCq1WEAdV1Kot7IkQi
OhGmGXSudiNz9Y408ctMz4brZlqj0Z0hOxCQ0n4w5Ptl4rR+PyglpEeTK+tq71VXXdu2jnDcYj91
jdikUWfezcN4m7Cu6qF1DkBbpk0ui+uJOTNBsdnN4lbls0muHE+8rdzkE0z1Xif1mPzjHNvbEqHG
UuOduuCGJrDb9ZfeyTakOFuHrsv627HCj9ZqJLog5a8wJkwE0kY5cQV2ShZdZn8kTPhNM5dfkg1+
3eXB936fr/+wFMWYJkWlVeW+K5OzgZ+BAFybplvR0H+wrjOmmBTBZhIg1m+DuuYoJ+kj+XW60r0K
T9+livXmuXlxmxP/cawM87bqjYquPx4Ys9BQeBCLQeKGYy6+StnNnGCIQ+SB2TZpRwBHBDJvjKYb
D7luBd1oLo/9WF4mQ/3RY/freGlVVjIEYNSloy1999hRL6ioPzMmnS0qbjZmulX1aD5ZrTJcrRJP
QQTfF8NBcyGtyjmCQGAUO3rWTkM8ZQmnYTqrZvf//pPHlB07JXWOpr5vMxMfE2up5jR7YXqP+Ik/
DbMtH6K2oaGhJ41v5tL+6NFbf9N3r3bNZgYB5l3Fcft+A0qojbLCVpt9YmUM01q92rRWs+yoXpQt
GBd5/i46SAYwxzLv83CKvHhvROYa5fDxjfndfsjIk5G6w5Ww35cxQpW48gwbiZhmh9DaF1/E8quV
oSAUzaje4lzB49Xnj7iGiDlJGI5PWfvcYQxdXAwbNQGkm7TAcPTv3xoHdR13BaktSPqf9+moN2CA
TxYzZ5smC4LGUMmXaOvVaEmHaUZ0S9/po3vz6xjYQPJsY6Zh59GQ2fz8odTwpM9WdPvJXIyQ5Rne
0XTjG20Zuh0LlVM2CABa9Te608Y2Zha+x59/7fUT3q8OJh6eSdEN4OX96pBySTp1dGvISLQnlrka
QkK8McxxBgb1SF92TCu/0vQPPvc37yCdkyYqThuOD5Pwn39ziQQpp0xv9rVCppMZCcIomdoBgV38
qLRXWpL2wUf+7qCmQ3NbJ9+rk/u9rCCOgLzXHYJrjqTsuhO1ftZn9MLU2ke6s2V6NWAExlbRdtQT
WD0+uN+//aVRjPItVg2n+66ExwJbuARQNXt1trZjOz+nLDvML+mzsPMbFCHVB7Xxb+4uVtyV7cY5
Hfz8u/Wl8B6oDXNq9jnmrF00qsm+H1zUue2kHqi3XsclG88fqyl/85AbGuA1FjcIf2zsP99dvTNL
L4qZfFL0L75WesUBWbLJEy67D46f60J5t4B5hjhQekjDPK7qzx9F2J7GDK1gkopX0G9dyKQLtuDY
sqgJJqZaf35ezN/cQ4Pu8CqgMOmfvV9ExkSBK1pApHiIcYePnXbQZGXfG8R135pznl1GwvF2JB5f
ucoACgkVpmm3CmFs+edWIKqbL0vNXrYJoqJ9paa7bnCnG7utx7CoG/XsjVQ8YnHFfWNaYB1q1/Ot
QS7bdHGxuFrS3to2biMUgge21zYURvUqkwTPfLacyJR+kV1p6hSna3JxT+WvMQLbqg3GwYZoXN8e
Sj1Qa9wNtZDkjk31a2/V4CS9srpjthx9MAfXfrMaLBYDUzCVDs0vFQLQUFWZZI7YRTVijrzZVW/H
QcYDbq4XZG31a3K4nJb6uWncgz58JaMI3YRapnhf461DD+fv3f7/gY3n/7NQme90iZXEshptqAHc
lRb333t+LubyrerR7Cb/EaQi7dO6+tH+89uf9r+NQEAt6emaFKTG6vf5wQhk87kWJZu5hon8GDxj
/cVDhRGIxuPf8bX/tAGZf7GD2aRoIJZCGoYQ4d+IndH+BtT9a9uwPYwjVD42XBp2J3qz7woSM5tI
fSxssXeGuQ1gx8wbJtMmssWlP6lRPQeq2paBoTUuTyyK5dHNrGCMYwVraaIxhBtxupAHh+al9W6J
5D3GgsOtXVVpgBqfjL8iyY7o+IkLlUOwlBy3KyBhvoVAmAlF1/kE4C3M2sR+zN1TzlTa7TVmu06Z
7gZvuivtdPDzRi5+H7WnSMWMN+QNMBb0t2DOk9O09rpjq7vrC5pjKxwmiAccorK5jSNg+7gW6fox
Zuw5ZU3VNG4HvL99JQG28nbaLZNCpyXmGMxMcNOZxTMaIfyapno9rAqm2gzbRF6arjggD4h3dQM3
3czQXsYMJzR3OvTIQDYe7Y0ND28YKcphEeWeeULIiSdM6U7Hauc3jjggvTmnXXtOWufGWzJmNOCP
KVHI3ILu7pOzAMvEq85Znn/TsvTMPetOagGOwGtS4q7R+zGRfe5HcuAWYZ9s9DGN52UBSuqC3pCJ
q5B0ylEher2w1ujxKdRRQBy4iwd3GvQt8Gh+WLZc6XOKukS7yNwcioVVMSPuSC/LkRX5YCQukmK5
7z0yNTviCBI73qYGCZnJSimIFZvMAkUMbPwkgKYrwwAlz9HNSuJc7SIKq3z5bNvM9b3yKp75t23h
nTFWPi+muGrjae8u+Zsi5quxyZqgVEfc7XTRirbf0Y7vYCCDOx90jdFrhtYxyrWgHfMGcN1yGZsM
y5vC+DRmAKmi3N0xx7lspsnbGC2kebWeyTRUi1PaqC8RCeOQXHaDK+9GG2e+6QSItvCIZhOh5ehu
6q9S1SLEWzFWYXe8kUxIN8vgEjKH43ejCvs27dVLJdUH8EOmsp3G8ipfuRAW6aL+3GABQFIQ+yqG
YJ8w8xAk4qNZdJ/alia1Urvztu/rgJhASSJBdWjG6hY4xbatAD8kfgXQR1+mm3YFUViTr1aJXxab
2aVdo8OkD9u6+7zk0TPKIRgdK8aCweQzaQ33WWXcaB0wA8CH9Uq66Oi6+WWtnI24u5F9hPUIEgZZ
DXvFxo6iDUu7U0g73CgIQpG9TJ/tEVADOH1WWTxc03iYNzUwbL0gJWEYtssY0/aspiQcmoHAXqU+
M525d+JrJorWVjRcyQr84SYqMP2bk7tj1E+IO0xV4MSKOOS2i8JPlfpRZdZNAHz6TWr9GTEI0vVC
/8zs8iZZ0PdRkNyOmdQQm0JVUSvvgSQIsPON5Iu4LxPbeBglYrsMAxc4vdGUZOJTx8cJdqVflS0O
gbEJ5UqSq+fksmj4f9LRPM5r7m83DZdzXaTQiqLRnx3njgRee1+6yUWhFfTrmvJQqeO1qJSa3aM5
Ehx8lXmouKfEvW4cK9nkaMv8WppxSA+u3KR6ATMvR03gFsVeqeSlmuLpNwzMyYTYMjlTQCdk8dkW
ACHfIIVqmxmZChktAM4KhlVocKFeDTwyXpuYoWNOR87rt4kqpkO7LG96XJxEEu2KxAG/ElkXmQEs
MoZwSXCm7myqTDyIdL6aZdqjuJ6I1tRpXVSq8tRO8szOcYdfsgzbGC0ilVSd79yc80R/u5SHwa3v
pqaHbDS/jV79hD71OEECDWrNeFk0G5q+UEOeIMrkAaVmMeK9723mKvKc6uSeMlfeGEZ8bUQpp6qY
QVEkBL9KKUKri16sqT1HsXuqp/pLV4kvCSGz85C7oS55XpgxMRGJWsBR2OPdyUMejnKZ50FsNXU6
SUyYrbTObV5v07miLplcunKWryZ3tdo3zMGrs6HTbsFXzXDLYdJmRLccQJHkV8nzWNLQ0SJYnKQ6
3Jpmd6N6tR5gzcAw7jVnkahfurQ6tUNxNc4Me6t6ffgWKB5ATi6XOv5CePtjpCWPYtZzv1DxP6UD
T6xVLAcxj7u4Hunr07AqaA74hVe+FiajWgbRodeLg2h6Ute1/N5M7CdTFldtFV+rtnkRQ4FnDL0+
+l44VMZVU4trESsX89jAYKp5HyqwNTZo5whaLUDTTfDMVp1EKJx22qhKSvRpPH/F/XSZrVO6YeSr
O3Ol+KnISyaiKPIMOlURyqCwN91D2U1jONrqGLiwp/zONB4mLz56UfPIhGII2y5+sSJL+O4Unw1v
Oo54n2jWu8BHBudJj+oLPSlJoRgeGgkeojJqRjlmegmQhY3WNZeAiQIexKeYjl0u3SuNwGEk9C9V
WX3Ka1X34b2h3MncV6PQj47WHFGnb3JFIVUzCYXrQWthteW86xCunSqrPEti12uOH0bFHDLmna+V
xdaQesD9wM41XKmtey60EkSFuyuzHHjL1N5Mo7u12aIHc7xlQuFyPuCqPzjLqPqyZHjCdEUI4TOq
IGsPTRC4khd2rovZ6dDwSvu+neVFHUcbxzEZsVs7oYGEWaz+UuWZ9pLhYlmGjVHq52RG+wBbyi3y
28nzHqKxuNcQ46jGBJgALgJ2mn20FrkIa8pI4RjQXXS5eNRxY+r2wS1vcVx7DarnIegpQUuoWWX1
Gsv+to1KltvERFnv79qhf4oSkojfHDs+JktubvPEus9J7UBagkWHl/0XU9C2sJXmltoCmRd2Ejkg
viwQIwl2pAlulNXmVxikt5akyTws5ygfaPO61yKKAya9W7sxryMXHhri653JuNcXJvjWPlMgIpUt
soOpPHYIFPwuHh8NynYD9vymT8XeE8N1ZE87Bk2HqMnCUVOuofksPnFHZBMN00HuhnbX5vlTjwgU
BLXDoLU6ZQIVGyAnmVef6IvXPuG9vpJld0bZXXEx/Tqqz4yDUVbyTmy7kwbwd7PaSqom/ay12Zcy
8b5CViw2RWkJzkgFWnm75Vc4lfodx2s/6rTXdPDC3OKtUpjGl6own7XJ/eYuytaLkWk2Redu+E29
Y2Qve1h65abP9cuq4WEY43HTw1Y4N9Ojqj1FbdDl95X6kCrHxgCK0Z9rB0FXZurrPHQYQMtFvd/h
Y7trNLvlMYHM3zhd4HjBrNMYlqD9CMkeID11Xvckp77f9CUJEX0kbsuRt6mRAEZx3V2E3dOi4GV2
hMzILOtjLp4VXByNghJOheYUeZi8scdcagYbU+NiCjF55WNsAbTUu9t5ciFlyIwFi96A/waNKWHt
5m1T6zLIrdjjhc3a1638VogFoZIqY9CJKIEi03rw4AQrmLb8USbRE5LfZyT4bChJe1A8VdlIU1ob
JP/k28EJDSsjDhB/tf7kRCajA4cZtH6q4+nRW8qzaVPgr4ekaLioc+tz5LRblmuoMJAschPsOXYc
FOgu0pe+CrKs31TdJQQoHHT8I6TM9XjmiM63XHochmg3jiZe7EL2voyU+9hcCIgq3Fs6yZAkuY4W
bB49ntCBDsk1BBRkPF22J3LrmwULEESVM1CKGIJxIfLm4TiXfLlSeSz1InvgXsV7yHhz2MQsm860
N14fkX3GaFzCwtnV5dWyoEad9q31mqJi7QySuxmx5h7Cj7bew5enczqEJQ+UWp7pADMZwFqSd2Ev
Mr/MAJ5UvqiWIEPMHC3uVVQ0AT9vXAxfZgBv8EQZtoIT1tnYHTwwEVTN+Lzm4dZxqC1fWOAuohvZ
+O38OPHyjGTiJyssqT/1dRQg6mDYzu6+c+dH1/u8WEFt7fh71PH5NcvUPlnuqRKfa6GHbgWzifsp
jyWb+tTcacars4ot+mQ7qvd6e+dVym4Qz3WVIx85jDM54XCTnM9GDeDIOHM6rMwg7nYRHLscexGf
OqR3ootCneKxmzCLa/uaV35pjUe3adqgbSZkcOIZDBXR43k5hhJLuu/a2mVvZJf6APGslmyFi9Zt
IbyRLmKAgTL3zmxcFhLmFJPvfif0k4OgbflCcLifjWAB7Gt+7KGhbjFVEURpe1OKYjvNYrUigodP
T85o7CKvvF00lhS1wQYv3ZapEcfQ5eyS7bGNC6u+AVXHtG0CxJwM0UEzKtSuLS9vzmskObuKvY15
i+0y1VJvah3xu5D2mz7H1mmo8/g+dtNgqQfvBOgozNMtcE9uFnHZKnbbaUwPQyKdQMfEv3F6qD9U
F3c40UZsDESBVV3WwvZsU19drkm9PpqyDCpp+XKsgqnzjoiJefW1W06wgaHbj9kiLhGn7Ose/Pic
X4ObC7q0uZ29zo9xsixte2u7S8g5gWRlNgiTylYNyExtdVRmNj1YEd0MGVJgp3gpe80f2yHsrTcu
R6kzxaq9DUOLnZN21OJbu0dIFKFAXqhXktAZlJ0zInNOs6DqMcWWVahmcmfhiSVfcFtlk1/ylprS
W4FadAQzhwMbL82T48L8OZW2EXRWHUp4ZKbl+UYWhyOQwKTyDlIOWyUHb1AQPUJpkbWoJg85B0Nj
PKx7Yr6rmoyj/kY3vNNSliG1fmgm57S8741LVyoXvHPCnqA5b9cJXt4HzyK5/Hpw79DiugVVIyLM
XH3KXU76+vUUyYAFR9p3kMiBOB/1OFEXJ/FF512j50R6DgtSfrMX8zC0zAvV4lAyXOvsLGCMubK2
TkOfQGujLyo+N5IyIVY36vyW6fYlwz7IPBdyQvEUtN4WsytDYUBIjOFy27ldDZBTmQHiHF+k/mki
E62lZlPCono0OMxNUxkUS7HLsvJY9ua9ktnnJgMVTtRZMhlftU6nn5hkewc9oJ5YOK5D2rRbs/ML
7OiFKbY8cW2cbY2x8Ymr8/p+nyAbGiGWLY57IJtBmTjeX0rSz4xFRSreoLxOyRvF8LtEQCOtbV06
1iZimDsARCOIJ4yl3LVdf6UJA8nLV7cGDqg5Z6ccto2nA/7SQo7inHkk3Z9vdmsHRTIQ4bdXa5yY
j9Y4hnb2nOph41zDiUFxfaWPn1zwLc0xiy7aftqSRxhEMmPifENQJKb/hsTC2s+aQzqdIyS87hfG
y34MOlBU1Hfz+KgDEI1KGs2SLxr5BBXQ4sV6n91kKCCcUd+h6jwkKiEFYtwLm5vI5cR1Gjgi8hst
vy1JvanNB7Dm+Dn2xfobWDzO9l097DP9YFNQJuyjXJnyqYhLtPpXbWRvJcWGTVajEmTThS3KU2XO
kB28HSAdf9Y73xwItozToF3csOTEEW/n5XLOVtXprs9vKeA4O8UInSJeIVtZ99Qu1LzpGeTlZiw/
C0TgLdX7twkR9egg82w3iNE7LbRmeUhTJYyyh9wILE8Je+wjEaV+zW7teY/JxAlf/yrMS03eD8Wj
Ms9Bujx2nreZ5rNiPCmkJsrsVceQpbqbqoeL7Vxk4qlLaHtJMo95XXJy3PSFt5HKytrYGcu968HV
haVael9k/WZh4F/iiyY/qIoWJo66lx0pilgDaTrC6niKMJ6kDgeP7qWJgfkWYTLf87bdmN25BmuF
C3DjGjuLN11xYYBgoCfox84L+A9YRWYAXGWT9p+wzgZ6qdBPMDkMaCevtXdOS8MNwrvQboqe6MjN
jBm/Ui4kv0lt44zU09DtMb/PL5bWn8yZQVeKZT//VMBSaWdCGk3ly1jeS9yoxNKF6rpRHtVObuGH
AMw/dZyrl/TJjV6xFZGmI8N2WA0S9EJmScPxbKSAyAixA2quT/kpa2zQrEjqYO53bnRMEojPSxqY
yMB202KqgeYRzqE7koMQRoBQ6at7vTcPhXkmoPx2EogJPEz7JNkScS+jsxGNt57S3lQpH5Gtfx7n
kC57swyzCHN2MaDQMwHmNZNKsOMMMdDTqzOm5Rt91A6RB8LVK/YR51Hez8tDosjQmEcIacBIgL+f
ZKLQjlRsk2e+eEV6dzXB5tCBi/MuNy84oUeBWRc1qwHLWpO0AE3M7tbRCMcrU2RQNq+wDR0FsGxV
zZFZ5mctXvpw7sADCjf9hq16Xe5YEoqebmLr4e5M4p2hVFckRB/qKtlVKwpzKZo71czQpCwgB0rk
br7Wi9elc65mBYpwHe0g7X4t6UaPeXm98ALFHrualtmbHOK5LUELBynhKXftJnRFPfAIqiw0QyXk
zbs061zDBlMILu9qfR456s1F85p03My+Sq4BWIZeM3ySHYTNzo3Jhlvkqa5RsDvtI16+NJic/oEi
VwlVRuh+3NFsmclo9W2aWNuWwDs64kN1rLi+ITSGRzvJtlNXXZZzczan/DhryiE37StDT9jasvom
qe03xcY81TiN/WUp3IWmbwSHMZmKICJRKFCU7Gizmja1gQOuizVlG8XjSJmSZv4YJcBqp7excio/
LoBujBD2/Ui3O6T/2RmZnOlbk3hSF30HLIuutmPRW+nVN75jti1i6e5x6DG0k93BMAg8g7U9wZte
dtqQ8JAl9PCFGW2J0IWVKLiWdGA5ac/0LqMyeRA5UGhRfZkr1lBV15e4tXI8PQPtpRGP1pBGUP6V
4rHwmk+jWnxehvlyLiwF1gJiVdvrXsy2uDPNfKHh1kv61FCKhhXySh9b30Qr+LXqifVspbrLa1Lw
ZNVTJOCPmkOaIu02aoiIXMmxi2Pe6UudP3sTRST1frd1ZgfDnN1fD33f4lVTsCQM6HFbo/8kLdrb
QqO+dvBUwwRGBarECWQCbGJsKJw1tIoTM+Cpu2lUv45eeg09Bu8dUST4esyrGn00jyV9J6KnC59a
JfJns2lomdjRGW3kLndbqqLutV+5uHbcb2OJhW1ED+a3HgCOegA0gEo6dJIpCaJIfoOae61hpkQt
ja8uYgtKdcXc9I5CxUh3axet4N08SucTBuV8D9d3Qg8u3lYN0IKy9jR6zaM18RKc9OTm+0zs/840
cf0pr3Uzd2mcDP3//B//9VODl+Hlp/8B9TMd5pvxrZtv3/AAD/8ccK3/5v/pH/7H2/efQrLT23/+
4+UrrZCABOEufR1+HNtBgEBFb+Nn/+8nf37yMgx13L2Uv/8v/2vKp/9FDgI+Xd0BYscoD/XR9NYP
//kPT/3LWjGAoPKZ1ZgIDf/xH//E/Zl/GTD9HESRDPMcpvb/wv2pfzkoozRkeDCk1p/4b8351ine
v6Z8K49Kc1w6VibiAJ3M1HcqEw22KInBeb/XyJ87IsYddo3XQoXPp+6Y28Z1l07iOdHcEv8ksJVI
aarM16bpI+3ddwH1u28CuMZCEGGCEHHMd9IPUS5Drhhety9T8SYTqV5rZtVcVdWS3us5M5cyrnZ6
RWuqoCGXjowQN3UznnMxWR+oUL7/1j9/FxBzeKANrjRpaO/dHUb9T5BdZicRqATTPrVJvuZoJid1
sLzXdKIiBJ0w14wwiGs6tXTgkOC/MMTS6SjV5klZkATNk1yzgeb57oeVdv33V/mR7aet+pB33xAh
9SrdY3bs8E8/izo4KQBnXoZ+3y9AvzYexSzdFaff6alhHLFEUmVLgynfiqx1i5Qsyk4TO8daksca
Huwz6DvzLScVwv3o4v0KfUDZAvjOBpfjGYh3f/5qjbK0DWnZSGoGaPV0bKsNU5n6tpDN8GBZRX3X
LXP0OdaN6GvjpM2Lm7KHZ+g5HnIVFYeKa/wDTcpvVD7AM1Eorjpjl2y0n7+SkIu7OArSNXVU3LOm
jsWViglmqyYV+3CpldQaHiAjLR0/vBzvnzCEsyiMNMR6MBGJsnh3p6piBRQMKIxUwgkmWktflcQx
A0clZBEAlxZojKKZhQ92kGIE3Y9IjcOGUvbvLZi9M36rf7NkfqNC11ETELiHAB6l47vbMoku8TJ9
JDc6XW7mmg5OoArLOgndK0MxrObHCS/zpvPm6hDN0f7PK/Y3twBJI4CE9SqA02Cz+1HljUs700UX
d/uOcN1LEg9widqQR7xMwZXMtNQyKmWbpcOHQdLrT/7xUeEGGOxvDnIKFXHE+5ufK1pnai2NNy/W
mhdDmlsG5txw8JzkLcwxOP+mwDxIILs/0igR+PbFNWBc6yRVTMx/vg6rduOXr4PoCykWgVBEXr67
EFYvBwVLWY1sukwulbw2TtC0gNijCKvOCpSRTSVoLw6ecdTY22gNKRENiYEWBWCU6nUaXG+HUzwC
QmCCTTdpNOiN0J/qzFk4HXZxxDBVKW8qp2ygflVIyZMxGkKiPZEgTIssQjovaou3ndSaDd5xKc+t
JdIdg/uajGXGOX/+pX+jbyKnhYxL3lgqIqd3z5/aj5Y62NTySbwKKQjwTnc9ge9XRurJ2z9/1m/E
VFj/0M9qOvplgmLefZiROFkihEI8Vdt6LqkEen2ox45oFs+VxKpkZS3jq9mt8pbieXFu0kmV13R0
e0p/j57QjPaBWRv+Xt3vPbO4kCgN0s2fv+Z3uezPyxJNBn04FLyovkBi/vxAGGotkbqDMV0qtQmY
8APydjPlf3F3Xjt2I1kW/SI2yKB/vd7f9O6FyFQq6W0w6L5+FqvRgKTSlNDzOC8CulFIXpLBMOfs
vfaHKQaM3cYY0OSzgdCGg2+QDFNYwM6jcSszF2JM6331UXdjm351TlGibgfLyXdOhb0q9/JALFrK
vfd0D9AGKClXdHSKrfIxToWZ4f5hdp0f6M934lqG6xDbhiDPc39di8agKdt4QKkayGw6gx8j5mKq
rc9/fmDse366jofNck7IhWeK8MlFuD6Psh/U+fqQiMDFdLWb9NRa1AN5762ZIesIfC2DoB/N/waq
2U/h1D8EBkajRTzAZ4Rw6A2XtE/8bT7igMfexbj3qTothTnS7ICcYVz0LivWk6+GmyQptWWu/OwJ
tW23KvE6tLa2AYKwDaPmSyLIWToBRXoIGnqRLTOuayYAfkhogcmFSpYCY0H/tjw001NBEr2sgIWT
h02y0FIHkFukyW0dV0ecCPQKsEMIP/nQNPGihy+qrfDgiZ74h972F5MIv7lR9ERmDaBLa+kTx9mY
ZBHEOhcV67atNxDH9pPXfJc0E/UcM7xM9oUdrW23e/UgEXQ0+XAhIdegYcfvTgP8nX1E57M0vum9
RLgA9wBPZbEqbBip0rLflFGCzpwAXOjBClspnWYEUdmQLspIXqAQhDvo8xDlo3sVTwV60ormaUz5
xfZfmMVWSYr0JLBIrvRf9eQVRz7neu+ztvMDKLHjaNOFSaxXDSUBtWP/KdH0BzWNRxlr5damZ1hT
JZW6/dI5n8xxnKxc+6pLfe/PMRdl5SzF3P+uxMGp9O+e+pqEeVCoOb2Rfj6lgqyxEejbexgla6eQ
R+YaJnvTe6oMusM+m6Wpb6BzlASvl+nBqI27TLW7UcGqU2a/0SILKz8GMR1Heph2PJexu+ZO/jWY
tCmdIN3nAIeSUXtDKrPt0AJuXcpY2Lkeq1TClaU9l9D3otpubRVNV9NJ1kRpvE4JYotRWItSz5j4
G23TxeEKovwhCrSPINC2VnWRzbEPcygTPlXFgn4aJQB475Fpn1Rzb2FBsrUaXCDJReWw1Cb91XIs
5v+8eJ6MSCwKoQ5uSyFHTCtHNduJ+l4KZor4mYqew0z1zgm7miy0AyH1sNJu7/A9nruKkmUlV21G
88oR+ZHDqr4O8576O9MgTc/HZKrvY8UDmQySCgBQE/HwvZfmCiLw7SQp6ojwTlj1XUyVf4y7J1/C
z/Llh5nxCvj6ULd4ch+UBjWk8jMw3xsr3g2Be89kudW6zqJT7R3VqE6R6nahE+zLdNY/yKw5dkm0
cbAJ+nr/AGZjO5T2Q2ZTWO4QqrGfXMBEWNuRtycjIpaiW+fkb0TFtOfbPBSoHtq+fSuQtU88nIpo
nCwlGc2L/QXkzJ6qlcYHW2NV5R2VkZkvJdFN2RJ7HnUBw0TugUgMkECyLuhOWnF2x7008BwTb1Uj
3slDcy2dqgXkUeK59zowZg5kHerjaes495kb55QRccY31Uen99mTR+VRCRP6Fs0HmaKulyWP8Wzw
VS7NIhx2CWFvq65ztwhlFgRCnHHD5ks9xhCFCHFZ0kyXNLSn+572qx3VmwaJwWTvVF0TElGkJagg
RDloMeMquk2s6auOnnUtO2DGvSU1aQO14yVhZgh8Cvdj+Y1yZ/psuCAOhRnhx57oVjBgg2rrlccK
T+o1AYlxk+aSMrOZ28Faz6R8SKPR3HttUr3bdiiuSRjxM0eJeW8JfKLlm+7b8sOOskQjr86JV/Zo
RBuPv7LyzCm80U1SiQyr7RauQsE3WaW/Jmx9FwhDAlsHN7EMtDK7x/+tfYbsMslrqOKH2hPybux8
QE5p8aUbFFaAsmIO0fTXKnw0M4e0M8zTgsOamt71odH2dkJyYJuW7iUTGlX8sase7Kn5JFwvPsN5
0ndS6nj7LWFaj3x0ZB2ZGe1NvBBxPe/OPLjYvfmWGZMHziPJrmFUZwAZR2JXenI2HupyjMFa1cLm
O4+dnadM2rwOpiZbUF+G28OkBkV2bE942+ybEOg0uEhc1EUms2PVWwWEVNhT1bJqK3vTVtLmnjCg
rRLqNTDj3I6eeRZROnZU0L37MJFwBFHPXA4I+GQ52B/jxM9YgAMcEWZZ8R7ekKbWMefHrQpM6Ble
AyrWyCz6aWOQgUlHU/rK4Tj/huQchaTumCeScypA6Z1ajMQ/nZ0C7wK9sJQurddH77kV3IOzffLz
DEpMYU2+tcFlUhL4oRnDVfZkgSVD5sMax+hND8+XPmwb/FWbSCe2ahgJoRZzydEr9fJGqwt5wofa
PMP5QmbcBPHBa4Nyr5mg/Yvc8s6zEp+KgBa7r0ltyf0kybxKCXVBsNi9UBKlwJxrEXFM9mfSdPYm
aInaUE6TzolC99ZQvqPJgIcgKu2+7dLmgcQTk8P0XAkV5WBS8M27Sw54K12EuhmtpTG3optafHh5
iDDRZPc4dlZ6kKQB7MPaSR4NjWinifbNSQ+iNVKWhynokpWK+/ZA0wrrs6NRnS2SOVbGmEgfQ7S7
jgnjiZZlSozHInF8clQalYybwEDvC8sXRwOkEQCxYdvRBWv1AWqgD6khpNKnE9fm+TTGa5YMo9W8
j6GOUzDtFmIncIPLdAjsZVWAx68mL1+lgA5OaqKz67pRd44i02zpVIBbC6kN7afJmIGQte4dKYog
54ottTA623vr+iR/tAoP9EullES9mBmoxxKUaJD2s/vGJ6ylTNiVYOZ8boax2hKyYgCkjIqvILTD
R013yo/IjGfUrRNz1PZVSAXWSq7DFFQnHAxsR9K8pVIhHJddhFPzv92eKaLPmXXivrq4vqF/VE08
7ApoZYd+0vQ7ScuBvYom1l3WF/sRNfjB6kgQ9hvbHZY9nMY701ADrIYo3qODr1HpNs3FJx9xXAoj
Lveu2zHXmAa6qSUHCm1too2jMz3Y6hK2sj5DJ/RuEieI3g27GvJNyK4p0kr51jB813Ok6Tufif/s
lpXcM8tIelNpiyo1r2tvFVSxc0EDZl0p+VscfkLprEdTcy8TqEVoYWMcPLuDlx1LT+QKqXYgcBZq
ur0rQtu409pM3LdpmuxDcr2+k1WB8ZeccLw8BF8eXScgAVHL2/SkAGsfa1KrUBvWtn7NKy881yan
vsTUpjNBkna30SAAX/tR9SerM4J9nwT5F37Y4tkcdP0oFR0HIciYYRulqvtMlEjvW4CooHwQQrUU
iFeioznCbKHLQ45cmBaZfgztfhbTps149VjID7QNAUMXJvw4W4rbNmVCjCNZ3CbQD9WqHAfzpZNg
EJBFO3eROTTp0qKuOIu0++jUDpF/pzpV7sNCXFRXuXLDZxhfapvsS8/Ghbyx3cmfECjk3bgD6aMx
CufNUto58bMbz8Gw9HHaHSB6EpMqr9wTzeamy46gUGs3WD4AGizNxiZKYrdZNtBMEAjN5cRnn0LU
ppBeQagbDjDZ7Ecj/EIOPyxy/FRLPQhn8TV2YTYOnssMRvV3OfB7bjIMH0+ZZwVvuqtm6HKRv2m0
egYCjXT+eze0o0tcCvXuF8VNYcty4wV6e7THSuxa1bw3Zh6+jIBf6aKjfW2sYsu5CMZdKouDhgz2
3GVDx7Kc9cdKC9yHJhb1WnRt8EbXWoM4No3tI8fW+ccp3zrHUcB2xVYaymNfI203StwccnllcGTy
MPZ6BhL0EelR18zp4vUUHxons9nmUCLrnaE4VInbbc20NC5GVodrL+utL4AWyEP6fHQHYq5ynAJD
3hP5mU+cwC9VSN5YVcX2MvZC74bObQ1WqOqMRRsEKDUgIPpHNMmcPNI8Qz9cE0kIMgiCvx19mhGz
fQFd74rhuHOWStXFFt4yfcNCCH8dGF6C7G+qXCwOzeQuIqMHmC31Hef+7tjlIXAa1Bk02qtx9h5A
hEG+uQyJON0KafpshM2Rnk5nJ+2inoTaIb8PkAUaYb3u6fq/D71Wn2qO1tOiTifWuarzn9J8pjyj
5PWuaOqoHyZA0Aph7mVci+fA8cBel/zDeZjKQ2WI4D4Uqf3eeIUGHqcNyCDrgUE81wTa3BpdSF4W
5JNlF/mY4EYtwMsVsXeUUE0KokysvDGvLgcokB2tcaDNk6+hQw3rqc20ZTgF3lkWTnFBSyfZhfYf
Jjtz+spFUp7TsXY5ncF7HmcCpWtQaPPoz59JwtHJzWSdrKqQqogYo4rmMiDuZT246hvefrx7Qd5+
UFs+O1JjHQ+KUN6YZVxwMIq7YwWnELlBMIxfDS0Sjmmj09iANWq2dEOIlGrWa1p75UXWoRPEzZyH
ETT6LJNFl5x5ikpwo43vQnT+v1Gl/1Wr6f+ZJc2loAWXWfdwVXq2aXgWxaL/vTF1916ElWp+60f7
7Z/6d6fK8//lzW40nRhAiqUUWf7TqfK8f9Gm0qGPsfyRU+5TAfpPp8r5l4NJzfEtujYU12cE9H8c
afa/aE3gcPWpc+Fytez/plP1S5Hpd0/gx+KPKEdNGAFMxsBhcx96i3bM/lCa/e0l5uYaOF+HUvXc
2PihvmSOTts53TDuOEkASxG3Uep8/+FF/KYI/4sX99938cMl5p/wwyXcIu+bYWC9CvXgVMb+Jz3a
ZedGqPycaPXP1/ql6PrXteZ3RRI7iV5YDX++luG1LNimhYG1Sh85ih5NOTNC+z8U9u25cfBD+e/f
1zHgnlDEZPJ157LdD/dEjImBAK4fdmalWnTY6dGO8ndXASjvwLnqnQHvpuTwnjZ3jhoeogT1YGBt
w9A6EkD9rjJx9kq2PKWKbkfib0I3/g4EZtZHAafVjdMAh1V6HabAJr5BinKnJEqcom5juvKSRVE7
FzOgpY9Z89KmM1aaiRcjcd8wwL3ETDEDGkBsK0m56mOEDYmzpyZLxc90FlPpQlz2zZpYLiNZFr5x
3xQVSusheNMc4JH/9Vvxadp6MDfopvytiOkTJVp4oz3sxgFVXi2NhZDeaUww/P3zhX6ulv71nfsc
sghxmz2kfH8/vxbfnKqxrb2Bfk90b4dgKf3A5/AiXkQEoNfx/zDcfjO06a449LnmPAJiYn6+Xm9z
C5MWDLuW/oJZ1JygIHZm2Srj0P7Pt/abD9Wn1MyY1i3D/2s2/HHEMRIAPqsKqvRMfa26Xen6f7jE
bz4eLPMmbXEctfTMfrkbmFhxTx8TE0dvbgYouSlOp67M/8DV/rXTPH88iKro59Nn5lzj/VrTjvyg
1nJ92FWKMqgs62s1VFtkMCnaJCDmQHO+bD9acToinWVW7ngDwpqq+i71fNYZH50+2zglspl/fsa/
9uP/9st+UQaUDUBtnj/jx/cPshmaBS2o+8GuwaK2pO7ZkCZxHO5DozzYAw7UzKLmWDbnf/4dv3vX
rCKsP39pJNxfJmXRiSY3w3zcTU61bWzjntyHP0W1/W7oznR/V0cAwbj65SUAydUN/DDjDpZ4pt+i
HIsKb0O42R++/d/dCwAuOPcgNqDw/3Id5Rk0IiI+SVJsNRSz2ss/P6vfDVqLvheCBYda76+ctagv
pqatoa1DOYX7Ha21ILiMvfsHXMFvH9cPl2Gf8OPnF1jF5EU9S3FmffOdAYAk8T2Il7zQWv/hhn6z
tvhIHP7SYPg073/5DA2t7KQBw39HdtG5Kmw11xovnZ7PM/rOEwo8rmhPypH7vh5uYy365HNj+2yR
T4L9bDcYzdEbzXcz0u8aPH0YZ5DYpoRwray6+e6BI40EdS3KAV9SNxACyu7ke/2L8sKbWJhv9dRh
UCofa4MuDRmd5iJTKK5MVJhTGt6S2RovWrbNa+SjZ7SZHzWKXw4CH1HuI5PT9pyGE87AaoFSawOD
D/tdVKxMLKD//Kx+91Zs+Gn2jG3S2a39/FYyXaVNUvJWXD3/bhftvqVevayGgXjx6g8fpfFLE5vJ
AUIRvT6+SZhgTPk/X8ymYx1HSTDtQMNiroIfuazsufth7HCpYX2InydQPICWjfcWtKXVG8WfxgaX
+HnbwU9AZ+Iih7McWo+//IQRECjUcx1Mkn6kwbWGnbjNHPcPM/Tfv6mfLvMXF+2H3Y39f7zM31dr
V6BTIKXTQBTmiV/eXoiek6zwmLeHgreSt1q7tzHIZXIzVE//PFB+d0ewXdgV4ngQfxsosVEZpVnb
086J1bcC15EfYxJDhPZfz3YujASPuYg94cyz+PkFGXXUUe8app2vKorFBqWSP3H6/j6hcgl/PrTM
dCj++fkSfdJaTETTBNqm+UxrHRqs+gM9Z/4Tvw4zx2ADYLlMQ+avw8wN+2ZEazHuRCDOcW9/hp3F
0RdXVp+XLxaQY6p2xjIos+oPH/RvPzIHqY7BysSDtH65uzaau/7QDnd9ZgGR9Y11YiDl9TMLynUL
NIdg+HWmGQcviz5ra2wWuuV9/fNg+c0TZkfHFshBDjlLd35+wniI/AzJlr7Ta3GNuvRQF1b1h60G
CLF5Ff/pKf+FomMwmvNDJmHt58sI1caVZnlq5xUkyZnlqrbxXH2XzclmoixVvxuKDZZazTw5lF2y
eu0bd4HOuaGBIv6sj+9x/j2xFqLZ9sWtdlOIZwFXM/yoi3VOKn3wYFClyElUFMM1QwJEuwR3GJKZ
PbbAg4mXx3/34/E+U8XRLIj57jIVr2O8g8tSBntXC7ZITVaO4MhhElSWZFurxeCSG+YliprPeuZV
Bs/6V0THosJFhVlrOfmcdMhDw48I0tZaI5Dajjiyes3d5HifhipYqn7bQD+J1PcaQWOX+3Lvp3nF
glpQaJXuLijoZe1Qbw+TQshb0V/5IIMAI1W1c7V4ScUWEfbI7p78UhsPKAj+mVWiH6soXOUaP9Iu
iDmpuo0vEmhJlOxRsJfUcYe6uHFFu/Rq+7YX+anu36F8Lz1uWoot0/umiN79kK74muSXl6AVd1GB
tQHxxEgYMowUb0fK5t7Ag6uis1N+xtleBi/Uy+uFTQnVh44uNH2vQhJK0C8QgUy4JpnxDsaoMuiQ
csKm7x3W9yABA5Gv8478Tgk0JNcBDlvpVsemhukNpwL8yWVi3VQ9VDzX3ESle9+ykWKILk0Yxmwf
HlMwGw6pRqOLQ9UeDEQeroshESqI3j3bEUfuFOMRVKiD659p+S6JO1s31TVK/bkyf6mruz78ktAk
OEfKtVOOh1FG8w+Iti0NHCIWqkWVVqDP4oc0Nk9+REsvWhNnwUGkX7floavQ1cnXIVQIzrpHas17
O3vw8Wa7uXdyh2lbkmzQEglfBA+uYS3TcFoWDcDn6pTA5bLIfsjIBw4ZsCWdDjjNero02vLqWP7O
761NROG4U8MWoSUVteqB+fEj8LHFiJWw7WtL+yGusfPLrly38TYd46vpxsSiUtrA/HZxyomCdXRK
yBeMqc2tUOYvLBIHBwKu6jBdQiAJg5YBTls6TbCciFXhnssqXNneA2IRLmvbr2F5Ww/fayUWvXMG
P1Fh/yw1Erqgz5PvYqlzAf8/XCmcfR1rWYdv36w/RnWr8rtc23nhLrYXVXg0S0Aw5hp5amO/h/EZ
x3T9nlM+JFixqw41T6xGN2+9jwMZgib5dh4c+WNMfoz8ju0caUu6MHla44NDK99yNkb+Lr0HcmPi
GEGEFr1yDoaiWIHzvimKd0NDOyKulgoWFYJ6IAOo7XF1rtKgujT43gZRbvy5FSHeiSfBSRgsw8Kg
32IsXftEb3XtxuMBycXOB0eaDO7GdKdbG1MO2hBd7TR3XxgnCwrDNmhWTdYALsIjMkhnG4dwEtRQ
TZfWAEfkaIJarx/R3qvfzVw/d2Hg79wKv0Qkw3xRYwPubSKV2ihbtXlZXN2iWothfFC24Bsys6Nb
y9Wkd+TyhhwUqzBP19aAb7V2jXRTsmQcYttz15OK6zfVu4e2Yxvc9vh3NHAuHbUUwiW96UBN8C7J
knBDTQl3SILHLOTUJ339qDIsMiFnpzV/M0SXFnySTIsbnrIJJre+3sWxO3vCBVoZoR6ko72ie1t6
1k0Ty+NkFG8JfrHII4mAHiuBqvQySSKHvZz2+9QYJToJVCT6gMaRgOzWrYv7KWlOIapwQLgN9nT6
nyeRxrjLs6tTiCXaOVBpee6utUKnkVPsTAvFQ9YiDHJiES3TxD+3abTRneApNG9dIW9Vkl4SDY8h
CU29RrPd77aBO76qEQvgRCwQXrBYW415RKqyMSx6hrUedt6KIsEzZPP3wdDgRBntpm6JUxmkdSdA
1aDrECCUXoYemzX9zQHNmI2Schp1tBkttSsayn2YjLjLi5sgT9/s1rgNXDidlg3lXcbJuQnUngAM
apsxFGZFUHs90D0pTOfVD+1zVo03zmC+6t231o5vkrp+SoV77BuUqy7aF4HQgxmv+2YnDSaxxnhM
KJAuOml/9vUrcqw3+iEMwwCwhZiQvdi3aaUfh8564NV9RVX+SHnwU9bK5tVrx1KbIP335xz0plY2
18qxCXuSdx4WvswgzyfCZi7taiGKiWlLLF3VQfgDWKSbFU/BqFeZP9yETv5ijPgJWs6JOd/A6Gcn
L+32eLd3lqv2fUFHzoXe1df2K8q3iIW4ONhq+swDfJWKnzf6DyO746WTmw+1GxyITtog4bwtE2eJ
1PMrSjCpeZr4qObw60LcjB5QAGMIQNtoK8NgTA1+YaKx0LSlixKDtvK81EZOsE6giOltVR4wW92V
oahxdZK/XYitPWpHCFzR2kSJQDAfJKE06537NC188P0utoAZXA6pCxoUSelXp/Qz2CDeNsLvswLU
8hBI8ZgqhVeoLU95Xr4WEZNFCaVZM8p8SQs3X2ZVfh8O6UeZ6qfAR46lJB58v66+YczooDNIcoQs
2SzSdKzWrluGW1IU74JRu8EEmGEiAlM5hXJhSPMQaWSjEZ+wwE6HYqto9RWCto2nR0vS22C883/W
6ha8Sc5MaK6o2ePAd6DRDGLhWIxE0cDKaJS3byYkS67BquFbCBMaBX4qUIrqS0+ZKmxIRuuGx6gV
TwLXKz7JAgic91SSELHyjP6ugUK7MIcenWamrWK2VQvJ8j7mzUGX6V6D8smS42y0IHzMDBy+nQ/H
hRpbP+EBtctD2/SkEYBflKgKFIWZKsluRKDdSD274WS/12JAvNZ0IxsDQZLGmT/OXrxEP8QWd+eA
g0oSXrVm7LS+uK/qAfYAAY1CYA5rahBhBR+n6+K+jDK89zqNvkDjSYnOyI+63x9VUpK9UCNYSMN6
B+Ng3k0U68R2L4PmHcKouy2y6XsYyXFlJRAjqoH9qxW+5CX4OeLMmBAlYH+AeQtNEsJWycxe9LaS
69R1IEEbyXOUdWs3wdKt+5diCl6g8Ce4yjoHYIo4p2F2Dex6zrujpkEx/UGZbOuG1l6SxfVObs1V
OJiL+1a/zc38UrnQiOuogeGcJBelTBQAPuCxgg2EW5p3kym5GnO0nazb2t25RXZmP46JMIXIYNM0
lVl6hS90b5c2FtVa4UBGQMQLge2CKPbOm6joJxVAB78/txWr0CzQSeznzk2fEgsdrNUMd13aFZu8
meqDnU7dAqZIA68FaY0IwrtGa1e2ErsxldYqcqy1n9c7tIMfhbC/yzRplyjJanqE4z6LWF5UWPqH
XLFWz0cEUFJBeAACk8KeiIyjVXYNhX0Sj033zBCJt3bnWuQuj2wODE1baM10IsbV38dO9xBY6TVW
PWGKYt1P3jmpi25jI3bVWn1TTulhCiAUFozYGVWyylq8y5BGTsUkIC2A7wqivdO6MDYcelCsiXFF
SBZSnCa3XpXdbmiZXylKL9OGJcnJ1yWUJA08SZOn+4w0TSw6C5Ug1WMfOrKNi2iWL3p6DzWnFEtl
a63Kvrsuw9REG4V5M/bjQ8xW3ausA0MHbEJ38DvSnjo/WU5e+dja0yYfRtSjyXiMKDVljblSdbAl
EmPVCJBQ0zCBW9LOcT6+Gz6LQjEShDKhcRTT2eDVQo3YNmQjtdpw40n7KcS2U07Jra59y8JNNXEi
QCK1nyw+/byqTjIG7mMR95dwBImokZGGsVFtv0HOtE1k+1lo8lX49rIT3b7ApNmKYN0B65PGWRly
42n6smFvKqHU537/OrnZVjpyjZthpVfBejJQYOfbCs56XX+rR8TQKYivPr1LCRsmMwaoh3FfVeam
S9QKwtOtQsHUWyhDaw7FBJfq2vuk8oNhvDrE41ZOv0q9j9rdqNI6mNPLRIpHfdXD76gm9lWN6rH3
eAv6g+eR2dnCx532eV6vs8bBfq1d09Q/D7aOZFpeKgOzxaNvm2sW2jVc8pNXGXck0+5UF3/Pxb4o
nwKiCiIXVmFbsx76fNpVtnalu7Tceo0JdzUmxqacE/BaUDAC8FLNwyPKfjVaPmtIvZ+QPBFAjyRv
8G7MCrdECIcmYkshAwXwhaSTXlUfYdEcnbY6BToGemwf0mwBvIV7u0fX5QfqorPvdYmjtubcPLF1
g/wMFCxkD4VAOLQpzGhju9RsB22ATyfNwmEeZNkh9IpbKzHP0pk1nmqT2M2Kmt/JicPbnsg2H9Se
4nSGsvIzjdRdVYvdlIhPJfqVTDLvMAl3PWA24vdTncXSbbXVeoSwqFcoeCv/IhogtoV6jvHSEmez
MO3qCNPzY5iobhTk4RGKgnqfIFhj+iqK/LNiI04CDXkx0bW2y3vFuM3CS8aJETVDA/YidB4LfT5k
APBbFIXzXKV0RhSI/lnCvPWmmNH66ANRRB+xHOsdosm3sppAHiiye/R7/MwKSWj85NTmFhD1lq7k
1h3LJyTpsO8jfRVWrIqO2uhjsstdmAHoSmv3Qqo6aZFwAjgU1/5w8BA8qim8H4jCRHh7aDXzkalh
ZQzuXjTjWfQFuq3+hqYpPealV4grcV70nLObyR+WgaUfUJRsIZ9tQEEh88b2kS2Bx5wyfO1LW0Qr
X9UXfEsY54jWmiAvKc3fgGDQFlDCVwbImJAAsMGIEP/z8gPrCx3YvTOSK7TQiu7BL+M3O0+wZsMW
NNKjpVe3QT/uYra8RqrmvT+Yizi906f+VMpmYwIpaBLxIbX+pmtz5jinvqRVetEkrmNkN5vJRSE5
lgAwLOcjtpvHmJAmDZW4D/1CSbWrkK+6U/tk9OO+DTRS6u3DNBrbbA68TOesTeMQ6oT2kVS9rctr
IfQTGZyrgclfE+Vra5ZHfVTXuuzXSZxcCK1CvGNu8TE9WqpFI+5DYpgXYbVKoVIxEL5aa7wmMaSc
CLhAYIUzPc3Ftx8bS04pqw5Gz0T3KrAouGoeMYvTho9gPcKEKWp1JD5n1ZvWylLQLXq/OZT1xPZ0
3JsdlfzetLdAL+uF1MbnXrY3oRh2dGZWiQGosva3jj7eKG3mjzABhMhq6uEu5oTDNoCPO7Y0QSvc
4cfWxzzKbz0tYkz0KeiK6opjvAZm2p/GKeCPBze9Ha5dnUeqy7VqEBhNfvmdTN510d3ifl9YVUBC
pjibffBBisGrVWFgqpL24mUju7pR3JGDimu1L95rDXaUEYwPmG6tdS5jYDDucCxq/cbSKY7A/LAK
Y9+DPULag2S0P+oN+R091MVmcE6RR/hTmCLOLnmt1bDvCBFlXkI01kYrRzaoIjOUu923SMfmAAaU
1Sw7ZDGWjhBIVVw2aClBurW6t/QJuvQHdEE1N6g3CMFkummZm4qmv4NNcNciCSsyvgAgFu+dr7uL
QHQrDXmeyz6t1sdXa3DeEQNTzWouPUtLFDcHyHovYTvgkO9uCgvPAFDvFi6Wk/BNEHkqaitciUxu
CwJPSXPbWIhNG864FjsUTqnsx/uzPYZ3ES8viNuDlWobb0CpHqffqkZ+dpJdpAcTa0I8R3mjPxCi
sZ8K+apHLt8igLSOKuBo9IQtjXfuYF1cJY/kKBPlLlJyj4vi4Mn8VWs+LWYOq9WhOybmahqjdUXe
qIuOqoG1OEQ6vSj3lq3TgBrZ2U6e2HXDRk4HaLG8CPZFcaGfKBRBOdJXg9Su5SR3ceCcHOo7UCDm
8B/AjdEqpdPA8ZuHGbCHAEhKPqNFa8sQl2jwH/TeX0axcUzEV91XN1mU31itd8Qs/xA7+nua8tw5
f4U6cZBMckLL77SmeZO+BAAVNFgrKfRnid3taT3QTTOmSy96Fh59FVnhps/og1WHVAsWkChhoWj6
m+hZmOsUa4N7FdjeqPRNh3ASpzyI9yZAidavtwoIpK31F7ClS5JQl4FhHskl3c9+kshk+9vlYkNW
CTSwds4p8tn7W2Ro6XZ+ViIlKXSEvxxr7KM5LwKRmGGwfae9hm3yNEOR9spOh5Nyq2pDtB2JrQ4Z
OzWy+13fRU+m6H121i0KdryiRml/w9Sg8d2SARLkwLR6v2Q66z71sX4bCu2l0KijMAhRkT/qrbvM
x/YmiqxvHF4hyU5PTESPfcBJH3j9msr3iG8PoKEnx03a2Xx1lQZK5X+YO4/txrEsi/5KrxoXcsGb
QdWAJGhEI0oi5SZYsvDmwQOz/rf+sN6IiMwMl5GZndWrKqomkVJQJAS89+695+wjaeq40m37HiD4
c+8kGFR16Wi0sEwYtrKmSb68EXH73KX+qmr4cDBA56gfaV9a5bkZ5LXpaRvKU/CkggZaN26HbDyq
8tBtiLbDFVbJ2MgqDl8S8nxfqeYmV9a2/F0/kOSGpeq9kaJ2UecR09X2gIf41MvjQR6sB9EFx4iu
KG+zIgWPft3AyE+KMXxjbhxnmUYAXJkSi4btTA7reyULLwE6PmdQUqHxLjMaA0VU3Vqpdm+V+WZo
iIrFKlUaBtwWYi4Tb+PB7QxluiqVUq+zRFlS8tOHLcRSkqTrOuL2RaF4sqMCQ12597PxMPFpRGVc
Rrm+x25BvldyK0bnbNSIFtWBVq7VWy9AbC8hrXIezPk00YGlYRk37bHX7OcOHl1MsW4OdNAwbaTp
ZFD2DXyVlvIgxnhrebBdW9T9lZafNcs+Ax4aAWpyNYker1Y+sEtOchky6VY7ISI/jl7i+rlx9KKa
dkhB5KhSbCpsMnwyY0MQ1T34TUJGAMdlw0Uod6SgVkTZ9pl4D4XxSJr2AtW2mxT5rgrEDemoFLTG
RjQN1Xrt1pFUzkM1O2D+u7Wt8CW18iXMktvBYAROYYzQvDolan+ubOtWt2jLO1rAIjfV2hkLdkeI
JzJbivBiZqhtuLD1APOAZD4rVgT90SphUnXxjQ1KPMei79i2O0DFQT+8o1tynXjxXsV/wJSqX+RC
7LuKNOtCkpMPw5CO7MbU67eKgOUQESE4KynLFnEh3CwSl3bOiM0AeAJvmueShq5c+WfHN4/YWKR9
UnnmtqBS1Azgn4YNang0OQGCFXdD2dmpkXmdqiRhNUo4y6UOIbu0Em1wNBTxaFXFje7FF9QtGwui
V44QDA5Lmt/GurY0jWDpG/pxNP1zK3XPlibDGcuqEUGzvux6ghaYQbOU1H150QZZtYpL5djG1imT
5Jfer67FwCBOkQwYU0G502lrhu240evyBB1hkea8Cv37eTn4GFLN+Nj4ytkvMLlJWQ0ipq8BvdOC
ZUficJYVZbuKdQY9fZrtUKXgNaWdCtTmQukQqI9Kv/LGEeejbaVLW4u2okD1HpS523FVF3kER8fq
As4Dre+vnB6EXAEhh1IrUWZOhhNRVE+CTCdXKSlTqf097Ar644inCJJx2b2WrQpJN1Dvrbhbe5ru
k/+GySS1/HMVp6DIqA+r9hbVMgjFEoxXZ20LES11awK7Dhbh5ER2dlVqovYWpxLg76yFeUUI4JbG
4dEsGAvkfnYaKwWTh6A/jgmJeJ9aPnMuHQgSpgIb5HxD5XVj+c45d7R911cHn6VhVjVZsRcCo66Z
+YfGEi86Vg5+jQg7NHIxs+oxyjmhCfldLZsrNSOONke8BJAZk64tRs7L/Vs5wuuWbNiveARPUand
y1Z/FYXqrddJC1OEd0xEAYbbdQj+uTslVvxYWjylkIXmIGXvZJ+oEEj+c85zElZBXFhRkO6U3r8x
m+Q2aErb7ZWKszHHGZ1NLi0GNwL2Vo3ShZ9Cv4ecG/Xt1ajhpgB4WCwyBfa6VuQPmo+gC7anGwpt
LYg58oyegjkQc79Vp1lIQZZ34FJdXQTNeOXICo9kuLU5E83TPrkYVOW5JZvalWT7jlEj3sH4NnQE
6wppUZQcncc8qbOvB3a2jZyDb3XaBEp4dKQXzuVKDET1TJFcK2W4Zyrd2YpVGkjOlQ2mPxmtQ5zG
e4s0ltYP3uuyMWfApl15CioznDxdhKS1jFWAe1g9WoN0SJpyDwDobHX2ysf9HPgy0Hb13syMTSS3
zEWdgSFLhgkqtBlR2SAAHX+jQ1TTimJDwMldUEUweskqi/pNlIrLIIjvimGysrYXRh55a0XrVmmu
7mwzW4VFeRy84EJ07bPsWPeDTpkddSspkPYERm9F7NybY37PkXfH0ffOHsqtrkmLWveuQxl6Jkss
zPtTG1PleYTFKvItbGSOdcUG38ysQU005/Pfd4XsJthrOFTRO2osDK9xcGnYeA4E61Cd5y4w6lUZ
06oICZ1RvBVEAvioqrgodHE55vaVEfuPEV4M7qLmjK/k2Oc3TvVUaNqdJcVHcq0fAOjPAmDmsJlw
Kxulm3hoEYT1bMgcIlyjemm5VbQ8XTVaAq84eJC1eKOH1jaSwDD7KaRkEyY2D5XokpuqNG6xNCxb
oSIMDcVJy5SrDqtFJfrX1EinyWC2hWd3Mea0bYPxvR2VtcGTOtUseHiwUumAwmGggntLTP9O6QrX
JAZ8ro3dHIPlrefV15zrfAj8lYuGwKMnj+16qLaOw4xzRK07ryQFbGZwhA3jcO0uOlK8Zl0brXmA
EVi0l2oxopZrlqLU5p3jHcdGfgzS/I5nuqU+GN8G29JgYPj73o5e+imnN55AlhUncCeMXrG7ruVS
ewftfol1cabFxVZkYBIKyRpmSJwwFUbAGBHE8DXCmIVyYgiCQmxdKWzYJStSbACj7ZyLolIeOdAy
XirLU1s1G6PxDp1nQe83nIMZ9899lK0j24FZzO2CW9/w4CMahEQzpkGatyslsCPZAVV2QM44nfs8
uTT07jHItZu01s5AiUsCfTiOOTaB2XJAwy0Tt62dXok8vpFSwGdJ82iZBq7n8jhq9YbgzIMdiq1U
Kvdj7LzSWpA5/KUT1KC+0YwrRnqXaZIcdKdbRUawVZt4V2igjaVwWfl4VRPuVKy97mAbT8NAFPGY
4oRm8vM0SOIuKBlXJPkWPtplaRv3A6cXOgoQSgMb7R1NGQjcM0UgIVIS08ST7O27GAgfPdM7+gUA
m/Nnu9LesipY4ZDaDFZ1xRjgwRfJObGSBwQ8CxzKbhvjSjHluaV5LiiU+UA6gklPbJahS8FQC5mN
g+2xsJVNVdPuE/ImCrtrsi5vtcCB4ZYdGmjCqWUlLg/ZlaiBHmiI8NpAfc6hungECzdOuRzVgW5H
/YLc0JX9eFX4EwpVVPtUVPdGNzzKWQcmTrkJpusvOILFlgLFKSHxTGmru160ywHAbZnQXi6ZUDg9
KvEk9q5tIYESkLJT2cdnjO3OhpxXQj2sZF6H8CWjp6ikZGuYrHZ1sM1rDSpQT7ZarWSvJL+6Qw12
VFV3fl2umfxuG3044fimg5KgocfZKEC+02HSr+IQkK8tu3bukaLFdNdRN06trzUxkRYZHVg5a36D
FSp20665dfLoeghlVpzgpk2KcBmZ5qpUpBtP4czR0hVmDX/PVYPcK4nCwyFg0/Ifc0SxWiNDeG3E
rdDJYcFFjR6HS0BVsIu9IWMZKV669FQG8RVuQX3myf2CCCNrV1YqVywGXl2bIl6Ecr1pGS9FjbE1
qBaSTq1nPqWABhy7YJgn2f3r2F2YzhUF/7IhPj5PFo1KMRUPCB/KdZtjqLcTkI/eWi8N4n3CZd1r
IPHyR9WfrNHmcykSxy1AXLmjDLg0tZamlsw10iUcvKOGxLv3GF00/qtkXKuafwuTaN6GN3yU+2Da
W8HUrHomK23rbRtPfrIy6ZyOyl5OII+Z5cke02MuoxOWDsIONmizGCmMaHyacVa3T6EFwCCpH8mF
YGxiQOFjdOLknHlFFOzkPCZMpD/xnszJFL4qOnldTyyk/LkfjHPBQj2rA1Qj5TZO36deW9H410Kj
9ilZvjXSz8J8RkLuRY6XeXSk56AM9n1WrwSdiyjVsnlHhxDPPCNW8RhU9SPeT5J+pkgkUxJvpUeB
ajC6MOL8VleV907Es5oFfIb1bR3z+5EH6JnBJJeih5xgs7Zi46QFVIYO0/k4TFZK1Lm6yPgVAeAY
4H337d2QhWvAF8dcRU6BKGMBT24GEgNWRbav8UMb9BRxQK51fXyTicBIpSHc0dA5KUYCkHtwwT7P
M2CfIC3laz0leoOjfrBQ6Yx4NQe3lC2hd+RDGMegFSyaOrKyVzF/zPxO20Xy+Bj0ynbIe9oKbGTB
WNLDCu8rh/z2esZmYxvjISeHQu57aVZ0NTIAvZhDmiNiyWFaQrrSuMARfYkSACiVEWwcYcHIzWEi
RDoFfeoP70Za3GaKdqMbTTeroYnOmHOf4xaObKbGR0sL4Y2XR0yv8DPNXYdqZgb1/dgV/WsTx+t2
0LjCyqucNUupACGpjXu41v2syaubIGvuo2Y8jPp4bxprv5FbUmLtXWeFdNKD5yKgYSopj03ob5HZ
bKKO/caZWt4yHKssqhbd2OyMMruFuDpD/RnNwyTYGSLfAMW9MEJO8pXYyFWzCmK8qE5w9hjCJrSR
Capf5HoRzoSkvNkl2jfN7Tr0cWrMGVOB6z3qzDoqODGV7c8LIC0omgH1tuI2bAbug2LEbjlUkzMV
ErHKvF9jAMY71mIo3q25bpWObjg7dGEPvhsFAnZK181SVX9SQ2Ky7GLw5kQBkBBsOZedzyDb0Idt
GmtwRdNN1ZFMP+rrsa/O6RB4M6tB2iJVa79r1x1KDhWUbUJ21axCfH+BOZ+ObcCVrdrwqMhZudCY
PUi6fG60CPnHcEvJNjdlfU1AyQKCqrgAUnVrNRIHA4uN0ybhxvfGt1rSWbzHlYXAOLeqo1fULQqM
kQEaw3+jb+ZeP7oxEcZzM+8ZViFgwSY980eBYFHwM1r/NEjVlUzxlST2Hqf+RFNQZmVap1C+03ti
LolHGnomi6krqzVKqqLe67nVznovPUALWXcDa0DLtLNu+2dDiHtNRbLQx6+pSgenKx/sSYPfq8Y5
i032QZMXgat2KOuwW8InQeAS1FdSplzqk2KOXqdZtYRJoYx37TFZ6kPOzm7ULhO9125kqygZo6hW
8+wHGdRD5Z3J9x1xs6vSicGuS3Q1mGwakY1YTFmaVUEsC8zgcUQ0YHS+q/qIagKfQJNi4BRfDO0y
8OMntBhMC81umIdjzjFduxxGk3tyRMVh+ek6oWrYJNbwDu7pZYLmgJEejaPcv/aAB2yU/01Mpcy8
37s0jBeF5Dj5XoZ3oHMHKU+lFPDIoOhiaDVUC1998Bqgdu0dTupZKb0hq1uETDOqiz6ktQ96C435
3JCzud7uPAYRnrYa8tYNInlRI7oclhYJMvbgmgNtTMttWUAKVAkjLesrna2ZmTMHItRK6OZCbxF3
LJyatidyy2qfff85jp9GevUhLY1e7eclRYwayq6j34zFtdWuBVFPkV/SUFg26pna0g8fYKEwb0b+
3blpeNfgLoCwftkVq6yTUYwGmwjWjFG0B1K26Oqe8pGV9KGyTXQBRM+45JQt1GGd0iUYGvrTO58m
DDIWWqPPVtcdRPdqhyfCpHQUf1kDCdDbjNyxdf04WsM8ipL5GGmHhvOP7lzhd2apELc1QHQJcpIu
IODX0daInwec5H73FkfKk9e9egi8x2Bddtli9C8GOLiDpCz7iHv20asPHlLmwMQIj1vDccrnGOqC
XEnGjPJiPvY7W9I2kieu2C0eKokUKMAlhCGjpdVJwTUkYiyQSEJnIsTFHNC3MetSDzQWcDiYV7ra
b5zcXENWQMciyGxBjyiNFCzwvI0qvOUZm7cRXPAAsLpO5M8HDkZe7iI9WmspNwBH+6FoGICyU6GR
rBIbgrB9nfbhMmtvipZexai66RiTa2grs06Ojj6i3EEJVqWU0+RJZo3pXHogyaxAu6g4tNGjgXDt
zUq/vTHY4AaEfUg2XNn2kCalG4z1M1sllwlOdx9obMJMf6gZN3jhl4DcznY8sqSYxaEwbTaDsjXR
J6gPsNie8xAilRjChazooKR4WypVftKnKF6BfZeAFtg5Sd+QWrqlnUa8HcdpFbTF3/M8HJGvQtIw
/PQpDsuVmennv3MGzKBJKDiUbEyDdnxRK6H7ZxXlJhnyuIGZ01B4f20dkR05LdowGNY5wuhhTZ7B
j1//Wx/Ml7aD6eufGTbCRgXS7+AJyB4sfV4/R6QP/I7P6juieFvF4qihyjdtkFRf/ggtgIDmA1tc
88vzOeFJHz/Cn7Kw78OXMq/y9/oDDvnlZzzyRyDyL3/9j6IlY/D4kSk9qoKnIPwOK5l/96sDXcXk
hZ9clrHHTT7zj6zkyYEOPhI3hKLo6mRO/9WBbvxEMQFO05r+p5mTbbvKmzr4x99U7ScbS5YsYxbF
um78uUxUw55cCF+6FHC44wPBC2HA3NW/+r0DMM2NQoZsK6twS0yeyypifyrrexOaS5ymlKGEV82x
a+zwTIFWCNJ3P4kfcAJXZKrAoxhzxY2TeECtFpp0eItuNWhjsNECsu0rb0diVwpqrKHvJIOmbdNb
EQwvJNyQQlSzNJUIK4u8bPAnDO80c9YxYmQMknNSBNlc0DHrrQkB3jq3kPsM/z6QrAocY3Zp9g+9
Vb/ToTkhN7W62i0lidQu9VBrYqs0zVGUUXjRQkuaq34EE7aqoA1G2kCiYS37myzW035mVvXkHlA5
sRHMVydXeVoOgLToIMxj2jevMAjHpSqScAnJ1rqINbsxFiLEIQTTvcyuvKFDfeB446vsKcprKSfB
jS5aiE0+4a23DOyaRYuewx1Vki7oOqns0rF8bNWRbGRiB9hj9CZd2UXeH6LIom1nqv4RSVCwaMY2
dOUx9Ff8qpRFWapXzPl2TpzsYq3Cw3IwdXhkHWfwRK6D+WCkxkx1QlK+5JxsnRjREojDpVz2t1pM
tcvZYKdXzlUuQ2QyzI1HJlDvn0FQPXsNKVxRcAREFg4nPfI2dmjO6b+xuUNHvgxDiuy6WI3gdqOy
u5SRPQNTuVM4eOMr2OnKHTmDJ1RIfum4mcLqrSjXjf8m8sD1nFsPDB6y8XLhw5exs/SSwBIoYtuA
VJRRf7X01m0Zo3IaXjBPu0Dtt2zoiYVMoKJRX1ld6S384Cbzmb9NWwpYajm4zzppU5PvN7OG9NiY
HF/K8Vz6HO87BvlVU5DgW96mhlVfkFuwsifrgXKpAI2PYct6ff2uV9oVNYveX1Udpn7DmBhuTwy1
ZqHVLwtJWaXMkksJTIxlY19oIFcSpWnb0nyMZQiaCghJDYnnxjZYm8c4by+DHmORFtez3u/3ccXR
fkQXX0dKuPaH+KD19qG3K7otqXhJnEZj6taptMOrjVRbL8r0cCUhYblvhq2+Kup7LJFpItlTco21
SngrAmWJ06CO07DAdEEXzeS0u7drZZ05JYNm7cYppP2gKevIIPEn7TCUt2CawtRbkkGB+i9pH4lV
WLBDcuJhdkR33Lr0JYeEpAhSYJ3YKZI7m9sDQJtbVjoxTcSPYlA1KuCIqCdU8I+6yUjAjp7FtJmP
YCRXUs2Nx/AG0GtUTcm9HN9UM2V9CQLMJ/aI1drTgxWUBd5FY2jXRZe0K1mFySj5bc6kjYB1SRvq
90xnSAPVKt8ysg8vCS8l7nesCkZ6gb0OhiJ/Tyqgy7OeFvEzsi4PAk+Rc8iHh+ZGeqq4fufUSI7k
cG8KOYZmKlDpjAznG6y1UPESZ5NNhUU+lRhd2ueHoFDKm07zOPJAIj/QliQsJ2YAIKd+5xapVC5z
Mm4xNakcMItO8hdlgEeaHsZ4RpNvX5fYCY5cnnphktnwkEBJWuGG4ByU4/Lft7TT3WTgfEZfl9Gf
VrYudhl6ISmsNMeOE9dBZjpR5sZFknjhgjgYsW/k6q0xUA1ojSkvDU+ql+AMadmjLp05fN626rpN
ZnfqgRk2GAYq25yDo83M0s+j8lHGQ+FGDYQzubEc19Qk4lbUBw37OSqHDuWYSaJuHicmrqTIOZHt
bDwhwmz2ppyaV6WPtHVMaYqP6IHnwmBQkepDuzEztOxRhJ5eDxXtEvnfTtWYo2hkALmWJ6Unzfe8
jQOkcW8ZEStYJTdEiMkETLDaIdIuwtCe54qWLuu8MN79CcaX6qTmmhFpqVo5ddmljOBA7UBKoLUQ
Je4kW0eh3Aw1yihyMyZbmrhWPGOgj9BYO0mluIYxdmaGMbrQPKQF7k0SaWSxq2NrxUamuFLjM2yh
hRyWdNFgKs47ofjzKZ7Fay5qodjb1CbxM6iZFUrAzqlt1Vye6/xUrnnmPDopsv/c195aFNg0+px0
PuWezLW+TVy9kHM2LtplWpoXN5GPfqZj9Mzo0DPWxdiVVB2V7tKKMtkXau1aWGBL9daQ97FnaCeV
2gFAzbwsGaonvsPAT7PqVZgM2pzIXbB5g3/OR9QfMvcLE95q3TYkToXdMDOgkq9R7lszw0YvGTvD
WVLUOykZ+KgagwNTjoOV6OmrO0bzVsesIwZtpJydYc0CEM36QVk0fU40sJKvzcDi7B+izSo6+nWV
aJN9UUn6RSOPyVrr1YfaOTCQLSCvy/S4tOKRtmS6L1rrusPspuMYwL/CyE+lfyQsi+DSwFbuYHfX
LfhefXxJTDT5MyhfSGug84lwGatBqS7w/zC80ntkkNQkyBOwg1mRB42uE1EWL4XnUTwZngM9BQaJ
sQtGoLsQhaDD9LmdXYQEg3A+qTP+qxcjy6pVJb7AREfsqSwztpcKgxQZ5NwxHeZlbeocJVqRgNRj
oCl4kt1KqOJF8SawvYF2fcqUq4mOD+Swwg6mhNnayOUpSTYf2xtHAMcfosJZaiAlLxsHojIwyALx
QqMhr+lQyahN5+H9ijLktOZ4E4R2ZrkwFSkeQdCGBoKfMXiMc7s82qIdXCWsrSNRPBYiskm4W9CX
L3oCUsyiOUAu1V7tImlw0k3CcJHaB3Xoxxenb8zLDtLgria/ZV05rUVNOyb1vJUUtoWxr7u5lLLL
GR4tMMCXjEAr5XLI2WS1bl6oFlywkmGVvGgKxFjkwV9yljUuQ+FvSanr57GhH4Kuo8lZWDRklX6a
43fLXkeJNPCX3hL1OmxinQFHiBiUxD8vTZOrKBKJ23CPPdqJeRWY5cEc0XlC05LmuRoSYNbSYaNF
aqE9bP80Sgg6ieGYLMuAKwz8u18WPH6CMgPXm1jbXnxNI/00+ulF5vweqv+buoofY2qUhCCYVAPb
+Jc/hlGr2ZW9Kta5Or6GpXYBn+f2s6Lj+PGw/nlwxmQ6//IIb2sfyk7HVDFWf+2zB4mvJlB9xLry
5FWkIFETYjzasvN7pubf+0FflaFdno9S5vUCE1L4wLz0wOxglrd/mlPDJfv883x1yWop4pRV8GMQ
LsizOrM2ZSU/6Ulj/Y5J+3u/G+gWVFHcCFRaU230WVkN061MsAII/MhduR38Wtm1Vf+JOvOvqXw/
jwn65ylP+f/XxfEX3/L/UUJ/+iTfTRyiGP+YxjF99QgMrz7l38QS/aFv+vEL/cEIIxMml0br57MH
5Jc39iFE6UevkzyRtdS8kpGk6j9ZChSpCbX08c/f/iuBPvjpy47yk2ma3IU6WqbpD3cgXYDPrtNv
XYkff8hvE56+fZ0vPsBL3mR1STKUH+bZ510GlVv1i77Ehxf69gp89QKfXQHaCJauyZg6vnsF5J9Y
rAB8YgL98Ifok3/LFfjNNCtLBzP1Q37gb1ySr17xs0ti/ASngd+2QpbLhz9f3BQTiOM/6xLQbvnw
NHzdo/rTH1z9SdfoQ2nq958G7gUoLirQjo+X5d/1NHz1m3v7EHq2ef3H334j2ez/ch3YDjhiff86
KLAkVQ0e0adH5j/1OvwLVkfZgttmOdxZny+L8k+KynwfKs2HVVGmV/hHn4g/sHb+sosgxk9eP2wy
4Rv+9bdpAZyi8X73G35efb99gU+r6nSzsHR+8X1Tat7HV/54Q01//+cXt9qHhf+zL/68EXz4MZ/+
+afP9+1P/uJn/fyhfv6P6/AN+PEL+aIf7uVP7/LwlLJH/W4U329n/v2yM/zo9RfBU/z0+Z7y6Sni
7vn1s34TJ/iHXvr66Yd98b/4xrdBk2Tfe+ccR//qO78ZkuCt/vl1Pqwtvx45/uqLz54AQ/zPfyff
e3metL/68n8ekfsXfxH7IUXhFmZ+8F0sL3AnqBpMPUyLWQbZEQYL5o8/5Peeol/OXd8+Wz+fp773
z75cN6bveEnensp//i8AAAD//w==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_xlchart.v5.22</cx:f>
        <cx:nf>_xlchart.v5.21</cx:nf>
      </cx:strDim>
      <cx:numDim type="colorVal">
        <cx:f>_xlchart.v5.24</cx:f>
        <cx:nf>_xlchart.v5.23</cx:nf>
      </cx:numDim>
    </cx:data>
  </cx:chartData>
  <cx:chart>
    <cx:title pos="t" align="ctr" overlay="0">
      <cx:tx>
        <cx:txData>
          <cx:v>Service Level By division</cx:v>
        </cx:txData>
      </cx:tx>
      <cx:txPr>
        <a:bodyPr spcFirstLastPara="1" vertOverflow="ellipsis" horzOverflow="overflow" wrap="square" lIns="0" tIns="0" rIns="0" bIns="0" anchor="ctr" anchorCtr="1"/>
        <a:lstStyle/>
        <a:p>
          <a:pPr algn="ctr" rtl="0">
            <a:defRPr sz="1100"/>
          </a:pPr>
          <a:r>
            <a:rPr lang="en-US" sz="1100" b="0" i="0" u="none" strike="noStrike" baseline="0">
              <a:solidFill>
                <a:sysClr val="windowText" lastClr="000000">
                  <a:lumMod val="65000"/>
                  <a:lumOff val="35000"/>
                </a:sysClr>
              </a:solidFill>
              <a:latin typeface="Aptos Narrow" panose="02110004020202020204"/>
            </a:rPr>
            <a:t>Service Level By division</a:t>
          </a:r>
        </a:p>
      </cx:txPr>
    </cx:title>
    <cx:plotArea>
      <cx:plotAreaRegion>
        <cx:series layoutId="regionMap" uniqueId="{D9C37301-2C2C-4545-BB89-A5DE67B10B0C}">
          <cx:dataLabels>
            <cx:visibility seriesName="0" categoryName="1" value="1"/>
            <cx:separator>, </cx:separator>
          </cx:dataLabels>
          <cx:dataId val="0"/>
          <cx:layoutPr>
            <cx:geography cultureLanguage="en-US" cultureRegion="US" attribution="Powered by Bing">
              <cx:geoCache provider="{E9337A44-BEBE-4D9F-B70C-5C5E7DAFC167}">
                <cx:binary>1HrZct04su2vVNTzhQszwI7u8wByTxqt0cMLQ7JlghM4ABzfzr/dD7upcrnD3qWWT0X0PRHtB1sW
N3cCOaxcuYC/f5r/9ql6euh/mevK+b99mv/xqw2h/dtvv/lP9ql+8G/q/FPf+OZLePOpqX9rvnzJ
Pz399rl/mHKX/UYx4b99sg99eJp//a+/w7dlT81Z8+kh5I27Gp765frJD1Xwrzx78dEvn5rBhefX
M/imf/xqHlxWPXx+8vbXX55cyMNyu7RP//j1h4/9+stvx1/2J8O/VLC2MHyGdyl7oxVnOBIs+vrn
11+qxmV/PI7wGyokVTrSX5/qb6YvHmp4/X+2pN8X9PD5c//k/S9//Pvjuz9s4cdHuW/ir36Im+cV
m+T3Lf72o5//6+9Hv4BNH/3mu1Ace+hnj2DRde6S3Ic+/xTI8wL73D9U35zxNQ4/fOivxoG+4UxI
ySj5V3FgDALB/nisvpn+FgdYz//971cX9K+i8O3NH5b/xxZ//8r/tODENg/hIYMs/uakf098FGFK
8pfjQ95oTZng6o8yOopPbB9CaLL+oX5tSS9H6Pt3j2L0/aP/tChdA5q1Q/+aP/4ilIk3mjGMMVEv
lZCOvpn6WjJ/2P8lycfcA75+e/pSrrwcmD9/w1F4/vyBf0OQfsS976Ec9i8iSvk3jIANfwflOnpD
MGVUcA4+enbTtx3/Z/vjCOX//+J+Yh/Kh29+eylT/mLK8jdYSaVVJH6IFbRdQokQEfkjVvSbza+x
+ukyXk7YP147ytI/fvtvSM3/1VDcLJV9Ct/88m+JhSKCYvwvEV5KSTTj6mv5HCH8z5fzcky+vXcU
lG+//l+PylEMv2NG/6SRyUN42PzOP//HT3/fO9Dio1dfo7FfGe7h8zNH/Y5MPX/DH699oz7HrPjb
O08PPvzj14i+kYpJiYHFMooZgVqanp6faP0GU625VBwrSqWQv/7imj5YMCnfSBpRoMVEc0YlgWj7
Zvj9EX4jFI8irQUUKNb0n5z/bVMtwDr+6ac//v+LG+q3Te6C/8evYKH9+qnnRSouoVPB1wNvIBIW
8ry29tPDNYwV8GHyf+qMLtKiKN+vRcO3fl6KXWaZiuXqql3GSr79zjUv2INl/2APcpdhwQVAjiZM
R0f2HCOlH53L9kuq55gTn97y0daHZR2L80VbfEarKjWvGwUs+5NRgiWB4tE64gTC+f0mqdfTMDY8
24dOoDNflTYhTjKD4Mef7A9a3LEpDk1OUMYx8GUJ48r3ptzYL2srab5fhro4i1aOEosjblJcltue
CG7yoPzu95+sxtPd6zs9Mq9hkxpTAb1VExJBRH80L0q+TpXQ/b4Mw2Cmqmbb0KzoLbUeLaZr+tXo
YPlFkevu0THtd6/bJ0euhgVQRgThiiugqpDXPy6gnEaRDpJ0+3R4DnI507vBo/xjOeZ1Ypd8nUza
W37a0i7Jqm7YdbUTIc5mKvN4DJ7cKDnMO02G6f20sCr7Oox95SQv5N9Rvv++PgoDc8SpgFEHH60v
bwQMphXu9p22g6lqNyZezHKvq3HehMyhtz9xCJCa7xPi2aAWWBOhoGAxF0cJj/qgwxgGv0crmDWc
DJQY2JnUG5w2/No2XXFd9GVSYptuak1DaspBLWdzU5Zh8/pq6FH5aQGTNvsdcAgjhB+XXz2opkdD
Wu5H6vlq2j6LGjMq6k86StRsWG+Ls7GNmvf50H6WgCk7P8l146uFF2ZItb1ma4o/8ob2uWFzn/Wx
Yzm/z8LQHvrFzq3JWkXGeA5EN2bSUHAN4MtZ7Tp0qK2eqphmFd2mY5OeK1Ljj69vkT1H8DtE+32L
EeUEovxch8cV2IZAAAvzei/aSROzus6zBNSW+a7qZRk3qp3vm6grsFkGEl3gqi23XVVnZ/3A/a5M
RTg0deofRyLQ2zXM1U0lBvxxjha5X8aiuilK0n7QjUgPyg/FZ0aqEDdroA/DiqLMzC5MOO7oyO65
97g33q3+fKrHcdNlUXXz+nafC/pPu1UwtxPJCFb6CG/QOKWlRrbar8PKjRx4GftFoPh1K8dVA2lD
MBQLJUxGHJrGj1WtRamGGda1V2WfvUcWMicN/jD2q3jSJZ7/Gl4/h5BgockzkDEi6XNNfdeU1Ow7
u/ZgjtVNdl42+QksbI4jNo8/gYMX6gEaw3OHhZSRij7D2XeW6pm6jHlf7acxy86ryM13hcTVzYo6
fzKwvLqpic2vX/fmMUg/b49ILjnAEEAQPfImA6kLV8HV+8BD9hiKSeuNKjuoxEI0hBllJbtforn9
UIYKiqgX6GcBPYbp5yUIWIQCxSCS0Cl+3DeapCpGXLb7vlEoyQVuIG8Gly8xFXV6/vp+XzQG3JVH
ADoYHzclWstSUqvb/ZJnwpQImm6qKncaZby7fd3US/GUWj6zIqDSkXwul+/i6XTe+a6mLXT6Pj0n
1JPzwc/TCaKdPuGsdKeWjXL/utGX4qkooRKmKGj5/Mhop8tqFZNs93mHxx3jaX5tu4V18ayq9LxY
F4hhPtG5MktvgzdVBl3n9SW8tG+Q5oQSWgmi+BEMrF6n46hFu+cWy31GpTxMIcWbJvdXdYaIMBWt
ftbbXoprJAUFpI0kVuqotWmmGO48JFFW8OgiRSN0NkW72ia5TIufEKtnJx4BHQhfVGFoo1IBW/0x
si0wRV1Outl30LMu8rq/G/1Pu/ULRmD+YiDgaMggTY/YQR2xXqy1hfTJ5rQwpEVRYVDmy78OcBRD
/VHCn4e9Y89Vfh1Ri6Z2P8uO35e59960LZ7jsWSu/UluPMf+yHMUMAW4JchSQM2ONtU3UznOc+j3
wFTorrZRTpMIQ2dfpa5PLerQ23RoxjyekATp4Z/q/tuvRr6fLl7yJ6jKkXjerCLPCtj35YgKwKEw
u35flRIl/cgfUTHNm9eNvNCcoFFo6BiRpDQ6zoyRFXCYUmb9vkWquuE5GAj5pHYNDDPGViF8et0e
ecGhDKY4QoFJQVekR8XWCFzkXVQ3e9x16xrzUYmwsaqB0uahGet4ReX6lqjMJRYVaZakjc7PFto7
Z0ab6+LQAHaduzT3j4Psh0cArJEbO6VsO+USnaU8tB9eX/QLtcpguVRFNMJSiWcA+Q4Y14l3JXXI
7Wfm+FYxl54vk5d7J1J09rqpF+CQcR49n9pEDCbVY/fYpavWpW32aZis29ayKM5qturNyDt/NQSy
HCgLIYvF0IizSdfZX+83cJJBI5iRoZR1dDTuDXhVE1LB7WueDaYOsEOytNHlkDfRxet7fSkVJBSx
BuRX6k+TJczH8pmr1HsOlPFkdsyfeLkCNdZ4ZfcZ9apIdLP6E9T9tO28gPlMgkInFInUn3t4hHCn
ZqzqfYcEwO8KpGHNZn+ShSnf+rKbcpNH2c/IywvVBj0u4hIqGvr58QC1cjvbpUrrPQqO37tyQW/1
One3mjXFvpD1zzrbs9ZyDF8MJlkWcUjfCOjgj5mbCUnqapXNvmCslvt5GdPOFDmyX6AJqDtoiBEy
QxRNd2ur07eRmyJvbN6Mo8lE0X1pOalupoLCFNC7Re1QG5hOlsk+Cp4D9y9FmFgMdWtN0F3ENsx2
477pqL8FZGnfvZ4wL9Qhx4BW4pmgwLntUXEwiX3gDjd72iI0mraSLFFdit6FgoyXf9nWMyGAzKQQ
K5g9f/ScorrVCy2B3EqUJYFM63btkd9Fz1rEXzcVMSgBohWYPFZYFtwFt9Cl2v+ueHis5hinGiU8
tcX+dVPPytdRQnAY7UBmAKYjGVC9H7dV5xma8JxCU5kzmKiDZBPoBbLdkb7CH12gq0h4L5r1MlQL
kK5h0fIztmV149HkyriCPHu76HE9C6qt7/g6k3EDIclj26Dm8fXV0mcS9GP35dB7gWljiqHZy6Mg
dHzxYrEgiNSTy07bibUPlarQWetn682U59njgG1/G0SXTaYkKYqbnq5XmbLdZbHyLLYEh6u+CWVc
K5hFmmoYEyuDP5H5qK8m7eYdzqch6VNZn04yH35CVsifJ2oYMIHZAqLCOf2f8JS0KwJWr91e0K40
1dBEbVxwnxpRYRjsAX4ukLOgYAQ7xTgjj0tVrIfX/UjAaT94EkQLaChUYiFwRAWE/ohMaNcsbZ6R
Zq9Cr6u46LvMXk6O9yTui3aTF2i4VIBOZg3TvSpKJYzoc5yI2eZfaNncz31TdDHIceFmmFEOxVCE
JCubea+XvogFtvKUh+pydH2C1rw1PhM7NInHyeYmteMpiDdJ78frzmYPbrF3Uj2nF5sPWR3t8qhw
pkOlMjJ1LmblKXZVvJYqxtGQ5FG7Hzu74dZdtqQ/y2Sx8+1yh+c6HqOPdMYJqvzelcXVMo2nk4rW
Q7NWyWqnD33bJWO0Xi4gYhSJdPKgC6VMiQeQUpbD2nf3GrWmnWTcCn3maR5nUX8IOY5ZQTchdNsi
qw6jr5+GFG1w3e+4Lw5O2I1Q4wcWfKxzaMcgXtiqAf2mjEOBNkjj3FQl2q9TdzqLeo8nn214nxof
jS7BRWCx5+LjQBrQA9boluM0Kd1bliFTAp9Zq7k0jfUXeSDZ3q3obBH2mvdRblzlPriiMvNQAP6m
j0x1V8vCY9C734OkkbQUb5U4K0P6Oa8RODG77ZbxYDm9aNW6Jd1lltHTUfcf5gUEFjmANFVNpp/K
HSqizVLnMUF6k2bpZliX0x7NZbKOnZmCOGldu8u766k99Vi8H+VnvvLRUCUutcu3/fKZN8gbDdJ0
LFt6Ilv8pIcvK2Ung18MAGoSbLaremFWLQ6qEBvp/GkezZlZmL5vCalNBBLvOvXntGoUsL/yhHTk
uhrCXlV5txmb7JZ2cgtZbJDlhmFnDe5SZzBb46wcwa/LeFkN8i6DdK5UcTf0Pg51m8i0PNTruvWS
fApZtRVo1AmZ0wvVO7N6edeW/jO1/WwK1cUVyvhOCWuYLDZz7T8gTE00z9j0C/4o6uaCLSPQ0xTt
eHvh+9MpA5EWRXHUOoMKdADZJ7ZMnK2e7VYHbdbJ0yzIczZHxjXTHEtSnHR9RQ2DgW+M7lTAcVrw
Gz0jYVDlziO41ZSU5RzimhVG5fmGsf4DL5tPcBZxPrb21LU+CVVkjaT1aa7yc9HwPs7qaTOTOjcA
k3fF2t3gqb4ikf+0km63wqwRh/Sph+Jqe7IhAWr7U07KUy7KpB2L+wK/d1EZl1AmeTHvlny8j7zb
o8g/MmgbJuddXHf2i9f+kDbEMNR8tqM8o2mf1D04Yc4TPPYbNI48rqw+HZbhzA7jPpPpoSn7Poaz
g/50LOy2YuGcS3oXOZXMjbitxMjM6ARsFhAk6uA76K6oKrAxXjvoiqYeMhPa6dBgndCpNo7rAwZN
Fg/2egUHtl15WgGODDqPjC66KRnHsf3AFhvqXdVYVsd+BtkRpsV26LZ92p5XVnygThpVFRvHZ7O4
9jrnZbcYWeikWypTZ2zjZRsm45vKpBq4B5xTmCgqTRmkvKlUXsfd0lzUffs44qm6177bwEix7XD0
oNx4xvvhuvPNFaiZUgUU1yOf9kXIWlie2jk2m9KFM7esdZwFgCA0ZJeuhMHDlPxzjchttA4XwsKC
22y/iv3QdSNkVNkkq88MzIkmb+0VLj+Tpoh1O773Edr7Yb5aQti2tXpfAKymkTDp0nxqViAATbam
CVFrH1NmxTuxKnJYKE/bnW5O276vLqtZuG3UBRWXte+8YbVIN7jy/jYb+84C4GT0ssiAwceLV90a
9yvIt7tuCs2jsFWBkiaVeRJUNEHp88wMa6FO0qhUd4SH0agBtrfyJtqgbt6nlPjN3JE0xClqqpu8
ytBn3aYMWEpRjU/Kr9dr6b5g0tDEL2rd2JmYfCmjIW5lRkFVHdYHPPfoIArMTSgbdVFRtG6aZWxv
xdp/jlKoENZGeA/asq8Nh4OoOyjRShpWWXmgkR/PO43WYVeRVR9SgNnLzHbVnqKlrczkUnTbNUv+
fqEdFabBudxbMaMvgvp2o6MAYIjLfAlnIq+i27xj6aWrfAXUhbtmQ3Wv27gNrdiG1ot1g9aCJ8XQ
5rVJ1RjOmwoEBhCi0/Eh6liJt+MobDy300ffzOJxWcG4CaJePvQzzw++6NCwAdWu3A0ps5XRvRQb
N/niGia4KoA+P34AGl1/InOYD3Dcws6qumrvo2wczCKGcC5dlGampGULMZrsQ83TG6+g4OuqnqC4
1ohvKdeNNAUi86WfamWKuYp6sy7rMBoe+YglVV41W4uxj+clLxO6Uh7rBjdvUef8WQ4ixrtclkuC
+zQ/0SFtDog5vHU11+dLVDsOgBj0B8lRf1j9M/YgCf10Gt+rVpZG1sieFEx8LvpRbNMws30tGQyH
Qt/wuXlQIdR7B0PBTRjL/lYUiu39CoLBQJuZmaavx4t6wLw0GWZ244mEdtZ39BHGZ39lWdmZZeTl
CZzq0EPWyeKOIII2K6gOZzi1G1kXt2s6FsmQT+EEju56F0s0VYkr6GokWadNE2m5yX262rgp5w6c
JKPcbvuhWLYp6aQpdaEzk1k42TRZGIdhE/DcdtDtKpjm9YJDGuvIVzHMMzsSkH6cu7yEsZvrrXR2
jcs5FXHrLInbVddJuVbZ2bB2OFHKjufWMhbMmldjksmIHNaVLMosHdanjFMUu5wPhoxCfxynAni7
00Pi2mHwMeQ4OdRAApEB8EX3erHnYU3Xd/28tLt5zslT3ln3Jc1EdoewbB7X7ipFisLIByR6R6Ih
26YtLy7nNW3PlMstBsAIuYpB9G1iITv4v5ryREw1gEs+tRcqIvix7fN572w2n0zAka89rzKgQ4hu
xmpyh6Wd1xM+SmWiXsBENLUEuGMY6ZMcahwDX00Tj+ewFY6+85jBgSlyHZxL93NYI5CK8HJaKj5Z
s2QtuKtp2gE4Safu0gkN73gJkkPmpBg3YhGu3oKCOO7nQJdPWs3Ox+sMg2054a7aqHaU0AMK6Dxd
trDLRWheG1Hz+cql0fpuyCnZCzfTZFbD2L7NmUNAbbsZPZJiyXcVpnZT5GN931rohjMuXdz1kGsJ
H9c5cSztyxhPE/Px6Mqwsy4vNimQ7D2HufZERKm/RcKK3nRCMAFJTNu3wjGL4sWOZDBlnfJthkMJ
3dyvyhkxdWO+hdE4OpvrqN7iYQUWnbXsVrQRUCWIc3mA4NFu2wztuMvKuv4sQa+9GTljj959macS
TptXXj3BMRXbqFydltNZAIBMooKLK88AfGeVqtiuqImrCqubjtTRaQiDNiqTroRVjADmlnXpgxx9
dBnawp1MzdidhJaj1CiBh/dyqudzUgcZi9Geij6r9vVc4NgRVm5ZD416idQUk67vdlC2w1YhOmzW
lcNeBR2SuRrRltSSH7olPHcQGCc/TnChpIw7OKm5yf0Qle8rVABZVjTsCZ/qDSR+W5suLE8CtcM5
mit+WKql/SBgKtnB4XZxRVvR77xW7U1FxbSpFbKfF+7W+3Yqqk3XuV2gtLoaFL/3vQX2iaYpWadn
fmjpvAB6NSmw4KEsYKcpnDB84BXn54MW2UnNBhmvWTm1ZqaLPYiF4cm0cJxXxGhl4bTlfX7rakdK
03tUnj2zhctukX1zMgQh6AZeEAnN5hGCYKvsauVFHrN+kJsaNdDZ4KZhAUsS+S2dFN6mGZtv+wbp
XWr1uNEC7hMo2l4gPpLIqDaDQ0+XB32zqkYuCZxvpchUstW3Vs31VRPStotbimy+mwIBocIr9mRx
n215xTxO3NLlV5IIm1S17YhpbZMB04jagxBAUcD71RnHaL/AyfMjA+nxMNdjAYc5XIw7mU5Rn9ix
r87GZfWfbdpZG6+tyNak4l0Lx+ETKHVJpnK6mYEHxXVWuS8VGshFK624GyMnqAlkzM7GKmcVUCFa
AZg245D4QbZy0zg5XI1ZS/erbpoDrbPVzE1OT5dIK5PBLZ6LdmHPqT2sp30N20S+AaVsbiWBCYn0
JuXswYMkFGsg5vGCfArdluEymWQFs0sn6msMRHbDhW3hak7bracAWE+WRW6zAls59S7r9k0xuodx
ziDhVZa0DRoPIUSR4bobzzLgnDBzsuoSKFe2Ac1+ifXcFEnL2WMxTv073AuYTdaBvM+9RvuQqnvS
kjXWZUcNHKThYCxW7JDPEbDYpi5j56JiL9fGbrJxCknqBNrn0xIlhDh2lgJFoNPU1AAIkQTiSRcz
Cuj7CA7x4wVg/wZuVNS7Iuvt+RqKMoPHo9t2amSXZWnZNSun9QK1C0gXUxRAlFbRdd+m/qaHqxkh
Luk8mqbGcJsGL/oAud+8s6xHSZj69H4uQNJGU1P0cd6oZls/u8ircgGtpBgSlct+r/op27DyPXQ/
QHFHM3LLSbmCArTA4AoHpiAikMzl55mXBwJOPsF+fdCW9ob5oLfUl3hPXDPG6dRV1qAe99dAcL5I
VDcfx9XBHGL7d0M69x9UHz2CrDDGiwIMJIC/UylyGGnIxxSL5i0DXNi4rF6vVRnu0ZSm24Ki/MoO
a5WbtsiWXdbVs6mpW2MyyCkZeriQMlDQWPso1OdY+mjDZeg2aVf3pzrKxNY2VbTN0imufdEfOAx5
56BH7RZosKVJ2UK2dbdm73qNssNSgwTA6ttqsTA3+NCewFy5xDNP3VnE6uG5BkLSpfxxyMtnbjfL
TUThLyCbG1e3+YfcSXkCEy5PSC/TfaHXJulWqzeo8Gg79xPICrKOAAxmv6G1eyaa/flSDL1xfbiP
8AiDChPDCY5wuxhMUh0TkhelITKPQHdI0yTnSN4VS70606KusEaRlkO5kSj2ZRZt3IDkeVEFG5O1
GXdjjdBuzVkLDaBW54We68u5EO2n1jm5U26+GZpUbEmx4q0d8vrdMGXjbpr5vKHNdNtFM4Xz/lbc
V3lenvdZNm18OZXnGYqiBOf7nLvlpMItPtBqwhf9EMadbZphT7pMm1DrPOlQ609WGPI+TTnD2yAL
H2edAnI26PmO8yWKwf9trFpuT+C+z7Bxln3MYVhNZlatmypMkOEk7UEdbvZ9XaxxIXLoiqQCCSKg
3F1EU2g3ZS+GDZ06fqkbpg7EVp+Iz8N9SDu+B0QfT9I+wMlpQcoNH0T2OC2iMLJzFq7EsPIetJrh
oUeyuYpymb+nIza8E2431Jqdhin1CVwa7A0V0XiCRuKife5AVm743G6WlnmIXbWWpraj+8IjlSds
aT0Ays4OcNKe4z2mvb2IpO1inkHTxQgUL2SH7qRfgE3bMR23ijQ4gZBVsW1RDxQ8EBNNesfApyAR
EQ239UYgSj7EKC/FRhS9KUpNgXzOS4KWqt/WU1nEzEft9VxW2b7NAQunuuw3LVyUiiMF2CNhhkmK
qm7OZTnPmxJrmJmjvHRbErpui+Cu2Rb1GUsNB2Kfm6kox/Ol6vK3So7yFOT6frtItkKeypNeLdol
EZuaS5ILcumAAe4RsLqDLochXgJLt77LsusKZiYDBqYkaN0buMHVW6Nnva+QhwsJuAWtw3fY6HQ9
q5r8ES9YXlQdH6/qtbgYHRD8Ea2feReKWNXluc5dZOhE6ZfGjjYeOrdcrUpUWwpq6XuWL+i0apqV
mmUeRG6wHO7SkbqzrrFLYoW7COP4Ea5FtIZ7/M6V5XiJhqZKBkuRoa0MscfZtK+Ir2CWDeVVOzbQ
t+EegMGBPPCqZaDrpXw4ISPNYTDv0h2muYVqn8uN5Wl0PxFabKoi/1SKaT3rPBxdxU2xqljlcBDH
x7DsxGrrzyNwq22AC24HQtvi7VQ0TUIpYK7CQFYMyAUhxF3d8Y98LLGZ6gptUkLrO+R9eqq91Nsy
lUucLUTCQW86GDpnyyXcHnzU/4+5M1uS28a69ROxg+AI3JwLMueqrFFVkuoGoREkSBAASZAgn/6s
LLmtwW67/Z84EX/YYVuWlMxkgsDea31rS5hl49aaVEVf5R8ba3SJvokcWJUkb1yKlrdTmdkQaOeQ
W5SMizprcxwfcn3JHb4tYsa1EEktnjRj16RxEKXzWe/nwY83LV27J9WNHQ4UzTeTiZvTDCwKgs4S
QpGPsjfZxPeLnocjS6psr9nUfxidGLdh7290a30ZdFjcqWPmPhMq/RS29jlK5u566nJT1ovvy5X6
+sQUz3YyH/JNk9XRvPPZ4K57rofHpRnn0in0j+XcekiXxtfNVcyXphSi+rqGgEycCsSWtFlYrsuk
TiGHxQYtzPjdGFfRLlR+3UglD5p009ZQWBpRELNCuAEqm3TNAeGR9atHRXod8Jxs55WfgzoeH+Os
gdK2QrxRMQ03A8n155gLXcY2GFAd4MljFU1VkYMRuZMgxQB3Ynd8m9d+3qeJObmmsjejmCEbt/6F
Nf2Xqpb5Lu9hKMxpv+zClYV7Ns/q5CedJUVrsukLjA/SlYHQ05NkS/W2pbL/nNqvss/Ra6Y6PEQc
bgGkN1Xm0areC23rTRRn7tRPc3JqrJ/u1mjBETJn3biNOBsOXBIKuXMU2T5UJCn9pZc3ldCQ8jL+
IGZsXlys7aEeO/mI09WXken4RopGlNw0Xhdxnuhdq0c8SU2wLg3k4wEFo27MC1ezh7Y2cihRTbUd
XV3htpLlFOfsY59E5NTPjO+b1sI2APR5u3SeqaKS4TUimuJ61q0swa5ptutr24To0Ptq3lXoMEiB
MjrAOZoa7Ytk6Ztpm1kNzihNlqQtiehDgTdkzbwZogV6WwsKadjoeS16tCBvIBl3Ow3T8pg3zV2V
5vEWmTWxq1YYOsnSwNVpVrsL9docgY+GODioeV6VXnyBYtaLEg1eE5dRK5ZdNvaNL1LiyAKxuiJb
V9cP0KxgDjeQmMyCcjDPG4My2mebOFtJKWDJ7HCZ+YbTge+JrN2N521YRtWabFuVlwRQbpnZ5py7
+sPUra5Ikno8wHuqd4QFW7tmtiA8hDxhmbuaY8YP7Zzc9bPuodL0KD+ryDyFU6JLG/qoWLmrg62e
uX8Ln7wuVYpOWoeZ/TqD9fmgcTzey2BaoLlLUWpIoHuSifiMYG70rsvyBtsCKu24UCqSX4wQZJ/z
5IUZo7Yz66LCIUNwJGHTHvOAXAmdvu0G2h1zNZhNbd2TJtDF2ySeDkwNwya1ybpVjI7vp8xldL/w
edyaJMH+O3RJup9znj5CNm02bezsPjatO3vwySfD62VXRUn1Aq1fNMXcV1CWh8nA5eDDNmcDXDZa
1zfBZOkenda0yVDxnRxW6RUqA33QJmeHIRFB2Y9ZclJqDVHDjvETJAVIzFRHV32VDed08vkdYwLe
/cywCjVFHe4gae+yAY8s2qloJ1o/3q+8zu78EjfFWkHRSUXvLrVYejX4KUHR1sTuQwM3Txcj8wkt
PO7hYzjGdVCEi8g+1wDb6gL1S3/XRR4HRg+TaUTdcOJODGcc1jDvKM+v7JgZuFYkyA8uatSxCxCD
K3ILfcemA3+35pU+ynwKj1QL8kygMe2atZkYKonKYWudVrTIoJJeeg7YXNZm3JGQ+W2dj0ojhzAn
he5y+Takcf9I+sTeCNej5m7lvIrSYyfTBVuDPiuYaOCVCNnVCKAueO0+m5TYLFT4cwYgYhPDd/s0
VjLAw1O1+2a5GFJcr/PtGgT9veZNdNXyzryRRDSoJroFvSCchK2tsumqyeZQlkKOrtnkK4N/sjaE
fJ7rtr+WYlYfQ5VpVlaZl3fTUkGRD1dTZ9dq7FAEUKvl9UBHAI+NdbTa5L6O3ib1ZL8OrunHciFT
dxVJioPZy5wGRdBF/K6ba4ejFx33degAip/7vAuiksxpdrA2zD8vNcIUK/bFr2LRgl6hDssOJE5w
rvqAVLx0jExhmTZ9d2WyLoVSNAT2TSCq5Jm1avwUdsZALeRCUuxhwGVmbFUvbginzaomvF0ng/pa
OKC/DSK2zy1r7NcEQcYXfMl5AUuV9ds5CpLCVdKYDWAVQUuWja0rhjgAsgXOnO4GtHTQ75vowKs4
ejRtP9wsVRgrnIz10hUi0sm5GhSwhTkcB9RLCUTyTeUuCREm/FO3UrDzVitENpLX9xXzKS0HI0O5
Q4Fp3w+LT1lRNxP+aUbseHPn8UkQSb2NgTqdU1f1kEdYxQ+Lz/2T5lEb7me1sJPs19UWUeYaexZd
HsYF2Nh6eJRwjg+Ch0LscwVipp6manicpGnILlEy2SkJf38z6bh9hFcpmmNLeVWXIwzYeBPCDavL
VXVxsXCWQNmI8NRzJ+N+MwxwW3EgVODn1ULiglGurvJ5aB8tlePeOOXT7Zg73JBhGXBLCfBcgfLf
kGSHVSrJDuwEKgs1gOJpYF25wgioGyXP1/YRkoZ4BxkeHTQLTLJzZA5f9JAPJ+jncseUbJ9DL6em
YGni4Yfqcc+7Zfw0zG68IYtfTlkqXX3FQP7cQJDFyzcDoLH1Aq/QkWGdoqPnZ6+xMEtEtcBkM2fe
Zx0qEyalOOeIaey4neSB8gxET5cv4iMJhLxOFzkMxYR4yLTtMwhPpazQIG0biJZTaYAhaHiMi37M
FXz9sh6aRW3G2mE1Cp4CWRko/rOPeX3tII0/QxGo67KvTY/Noh38B81S+0bO3fhJTjzKIdHFwYcg
AqGf6ti+gaoZoLlbdLapaRPnBcIu81Mfxv1byyBYNKSjz+gZsps8Fn6F1c/Ous9QH9h2yHDIdwEM
xQH7FQga1OM8uoCjrRFuJysJunpIozL0AerKERvpDZ6DUZUe4mxTStcCZ4/JIoZNZDjMAxfTWOxd
PofvTNvUtGxH0JpQsLCy+kkmzxQKfVdwG+OLsDKFKdGHLb7MRpqrqUZSI176gT+A98O5CzFY3dYI
OmzsRKsza1l7x8aOtzvCoasWgcdDv+L7hgCqFr8FzLZUJ8CK6XNsFRYBrND3bTRmn7O4kteVERFk
yGXG9hCOAODHIMlV0aIzh62+1HKBxxDi4Wn1BdWVZk3cJm1T9qaqAiz5nGEFBsbiS+gcnKPdkDiQ
f5NM47XoIgoUcGJEHaBRzU8BreUhBOt2G8MweBQ1OI52xsLFscDPVZ61j0ua2zcNo9VwqtMh/4xm
Z1YbPY14NjA4A7uSiNcAeYVAozIbgXbuUUcLudMJj3S5Qkd81y5rhDpLm2g4YqxD9YCjyGYb2jdc
HrPFyUNPcwESBc+HKmdYHC9Vi6XdwL26AYcy7pdUNzttWuy6zSLewZ3C7cxJtHS380AXFB2VWLch
HCO5e2WYHGDIryYUOtpqPmG7z0yMJWzl5fkeDRqdG3pJ/HTL0OwuXGOKJrvroi1pZuz3uAhelC3z
2zZmkIVnFvWPY7zMsKK4HHfysjN3OAB2bPX+Oky5KFmnzUNXdx7OERn9FkU9TqAmw09DcQ73keyW
cxbSHvcAEZC7Iec6fWnavq3RQlYZRFTo6heFCl8SxrOMe91VaIZ6pTJaLpHM2ttq9NPejlYfw8Do
I9NBeBrXCt8FDjmTlfiCIXLn/RDvUo9/bqq1wd4+hzW/bdMMe2S9xtjnUq6xiYQ2iJ/RUob7VgLs
SUVQPfRY37fWN/w8I6m4Hat0OgSCwCzzqKlLpVfcpCWq1XiVT3pYNnnXQWntAsqD06LCdim0xoKL
pjROymmR0z6K4Lluusai2A6hku4r2DUgcNxKCxk32Ek6DF2RcExbJF1GZ994Q/Asdn3GbiczTRvc
h+zALQvKJla93cy97uGIDOlJw0+AY09BmEbEpG8SrO59MwRKoC7T6YcWBwqqZLLagxHzWSpAU9ew
QnFkjRnyJl2CAASKB3lgXsYHJ30KQinFUpng0JaGwvkA2IXzIqyW+SkJxwx1Y49DKqUxWNt4aR9R
aAWyQNmDxTtKBo+yMjSqyjlvcWCiOoyu0Ma728VOYzGbClBENQxIdElP7qBR3TqSoGDpQlJkICbK
IPBIwxgfnJybhxOkCXyatIr5UEIaDw6+tSgBVT5hj5+w/d87NEcTJGo/hFeS4bu7WTlBgCaYobFt
vSd1cAZ5oFv0LAZOu7Rr+o0+/i0B/Rtf/y3N+0mbpa8F4iGvSebff/h/3miFv19HzXz/n5cZQN9/
dP738KC//FX7L/qSZx5+/UWXd/P7a+Hqv727Swz6px/8IZD9HyLX32YR/Yef/CmP/VMi/d85+0ts
mVzSbkC7ETf4PY3wh1j2vwPs32PcP/y235PZCYKgUZImNEZE4pLcmV+T2Zh/wAgB5U8wHQFh5Usu
+t/J7PRfl2QhdgukaCiSzN+D2ZdhCgAkQ4S5EZUDr/xPktnxK5/7IzoaZiEK7CxB+Bu8I81/IZ8H
61YlF7ke/LpYIAhKPr16wnUq6yOZcrkHD9rsqvnSUdGFv1Wc5IfvBnEGD3HjDFiuby6xxefZynGm
U+kyUW0aJWlZcagN1sd6NwW1KIJm9BsSxvcMfF9T5HOuDwuJ4CMF/MCz9dMqV6j03lB3C24BMgay
DffNwtZi7dHqv7rLw5CdsJHFpfZJs8UDwTavVnPqV3YTLDMrM+862N7wm/k6p0hiQ4uxRUZDgahf
YK8HbaYtdwF/H8KQLASFkFAg1TlvG9mgkLo40WEoo72v2NOrG+3xmw8dU3gBMfhHkQ3PUZ4uRS8T
um9xRD3kbQ+JOZS8gl5qzr/51PKNJpALvnvVWZD0t11NzM4kYj5y6CpbgsrwNkIMb5NmEKJf3eu1
iYDagmtKjtJq9CxdV12/2tgeAYQjTmhDymGCVZsi7fb4o58dyfTaheFXPaf+Nzt7JCBRPKJ6Zc6q
sUab5+FMIi67C4EKHl8t7lrV7xid7E6wWe7WvP/w6ncn+MCo8AiO2E4k0E1cXQgBbY1QWH8abuPW
Zqm++d0Fz8P2FGqBWtKs7VHVcL2ywAE1gR54RZW5qevLcRGjq0TMZd8FEPE6NHw7pDCjD6oO+Xau
gv7GNEH8gaLYuGP9CIVzJGPh0UDe9lVDymXJ8JLr/PbVLm9qedfTme+a2sqX77a57nDQV319vFjn
sHGqLRFLt3u1zqHi3Sf58tIT/G/ZWY1LUL35bqErI8brLLG0/G6h94iegOyd+hxtM3x07rC+s4g0
txFpzR57+cG2IzmKUfMCwUiziaA5vAjfOgjlQ1j32zGeGCiEZb6H873NKlkXgJLUtRjFp2UI3o9D
mn64OO8ccvwI/O4BxkVcfnff4162+6qqwaVdLPjOedTCTE5H9A68/G7GK6QUYfyDXPUMz+M3W553
/CQb7uG56qYwbiCbeOhR1EB5uvvmywd9b0qSSvIAwF9uM+Pd5geXvprm5tbUyXiMVp/htbXf8GVx
n2ua1Ufgj8vz2sfDDr6pnIo0mmrgzj9b9lka1PsMKtWhNZ5usDDaa+kdf4n6HPKHyVAXi6h3qBth
8CPnyrerICsS/ml+XUntbYG5F0NpFj7uFNTaM1ok0mxo47vPQaKFKmDNjqcAXsJB12P1NVURhxfU
xVsfr8nG2iWHqBGjGQ5FdEFRBN2h6RmuXNoa8Eewroo11P3RVCviLjbf1TmtjkPk+hPsyUvzEa2n
mlt50kEWnwRkkE0/Z+qBoGecWP/YN022l8t8A/m/ufexkvvMsb7k4yR2fZwpoNZotRjrIDvW9hBn
9fucJEEBxSz6yMxFmmtcfC9ZDoBNgv4WPtUF5O9nhMiDEu3VQyam5bCoDjUUrP0qlme497e2M5fY
wZEgq7LhYwv+miU5NtXGP9tuNRsIL7LsjLa7MQjzU9zbZB8rIou6p+LEsnY8Jiz+lBq3qJ0KDNmY
QaqrcHX0DqWlPWft5G5oZRH6YysdihRpoA0KNA8HJw62XdQZxFD1fKtt0F5lOaJZqNdqfewr4h8N
Unr7ZQiD7eT6/maql+3s1uJ3VgndlnxLVb/u01aIW5Gu0cM3cun1wP5H9c1/V7z8x1/1v7F6QW2Q
IrH/V8XLVeXaDmHLH4qX33/Xt9oF07QYipYkBVKTxwirIi7xrXbBVJk0Dy9VyCVB/71uSf51mXpB
WIqpK/Gl3PleuJB/ZWmEjjOlCMNTjO74J4XLL/kcXCKD14OWMrmUTln8S+IFIqPNW5J2MPVE9NBi
jA3yBk3aBwVbgDXvxYpuzIxTtmx/uEW/VcM/pk3/7MIYb8FQLqGko6/DL37IOIIDrWkwu+4QknqF
ntiuMfx6hGbczezS9WinITtDaZz/JvB4qcN+qNNePzBFLiVjeZigVPv1A7OVLT2FwM3AjO2npuGn
dI5TRC11elV1OvibTNHr8J+frniZAIWrXYbp5PBoksud+OGTQi9NRg/Gfj+RIPuCYBZc5CX00zmM
VF0VA5mms++79EMFo4uX8cIVtq2sr/cR5MQPcIvnT20LPK8gi+yvAVl0jyYWyam29fLQJw3gm06Q
/mIl9+w6sNAMNxLb1i6u50AVQ0A1wq4uSD6wtgLnztOQQz5YQLqMytENldp8mZWb9mF4ebF05AJU
8IROFJKvrG8669MDAKkVKb11rUwRrS27ZqRGZEPRxYRFA0jjAGpW8YK2dWU3GG0jxgL2rn+YQgRu
hlrN7zLrhs8UdOVD40P2LPMsRRx9wU2Yw6SFRgm6WkCijad9RxY0794AkfM1oIEYiqfdYs4SSMcp
pvm9zlt3Bze767ZijN0pWkP1NQ/VslWwQT9jOkz6AYB9lW8mQaYz4RoIukqmfaAytYVzmo8QXnl8
JEKpGSI6o2g6Mcjhrg7TfjqZ3phmqxZIDbDkFe6jaZK5WOANbSEvtdW2oSNmrQQr3QWKcEgILg7u
R7SPb9oVPSYoBAnQlwU8+eAHxO+3Vg5snwfdAm5z0lcsVZko4QCw66jyuLdRE7bPIFkRZk/51D5b
S/SV0l5fhcsoX1Ih5Aplhpj3NgPLAfNvxt2gHIcUpUZMB2JcC7uAYam4ETe8jGcItGUcrfpIYqfu
Z0uq9wOO0nqHzEx3oqmHhoQFcjvwHAxABqqHFxbc9lGuF+RsBs4UP0TODJ+DGKV+Xfs2KnNbkxso
VMs2UzJt7uYwjU8d3MZ05/O1BqKLk72kaoqAtUjksciA/mtTIcx3Q6yaZWkgYjSbUMQTUMuRtd1e
c3QuBRqM8Un2MxBbuNzDnrfwr5AeUaGEPZlDrhGWQN2HFCHZXpAqOa3G1tBDVxN+nBgHJhKvoTlN
S4Y7mrjLLQY8uEQI71BHy1CFQKyY6PHVVEHF822AATq3bhrVuyZd6EODzNOez12OuKcAuUCYUiUN
W3dPFDTdK9eaet8gFqpKo4j6msKI2buE4u4BeseZTNFabLKVQ05BLm1v6gYre6pG8z6qnNnRGl8q
aKn6RkGYv8Bk4/jkA4MnrrOTuq+rGcu979ylcyJ19YG5uD/FilU3uZ/1VcRns5tp0x9AJI8lyXso
K85E8gWp5fGJLBO5EUSwW171bbpJq8p/mmKvj3kmgAbyPPw4oj6uNmpKg2wTDXF6lTepOaFAHD5N
WH0grzSWiuD+IdOYz1Fym+JBBxsG8HYFsXkkbdvxAtN2ar/XoprTguoABJ22nj/S0ed9OWlFb2ST
IqwGMVDP43ofGm8RZlmS6A03nXrpApC8BUGc4SmO0+ATYhvqelQz8ODAJTdWENxS5NsSyF4jFk7f
92+rOU6GImK1uEfSUn9ssrDfykku2ynj6ym2DiyIE+G+NmiUKjW8Wy9HclnZCCLX7Hx2Cpc82mLm
hd5O0j5h5kp1PbogfePMvD7Hq4Nhh5vCHoYhXw6kzeFm9+D5Mjxo/ESrZO8QkEIZbM11M5AvqZft
A6s5IMZgWfbTavO7WoL9RsU1IFebL882F+ltt2btFi749Hm2fXxu6/4ALiP/aIcBFCbPwc9GQsBZ
MmEFmdbw2xjzuPZxxuRRIOl54PDZNmjioxLSu4AlYeVVGqNpWjqV4rQmGGnkTEFXDIQD4p3fyZS8
s1P8purH/j28/uo6nfQjx7Cjk5bpF3A5wYbYsCv6dh03OT44oPPJ1ACRiFL7YGoXWqx5G++nIBp3
+QJNcTNiWdCi65ZbHoxfucXMFl8pumnBV+yYt+apWRFyc2y8T8M53shxcWgXxQeuKrWvK5OceAUp
tIjduGDogK82HDYFCMxYvIfTkCJWFyEglyS3nq8hL1YRo9fLQ6uQigomcGXQHryl9cmkIFS2lRyD
CcCMGZ9yGxG5s+BNd1oi15jAxIwKDETpz2PTmDsaAedmE3XPI0vSQ1aTBF9h3+5zhoFieEdxcw6a
2IIZT5Y9bWX42Y1eABTUXU1PadhfDKUovVqGhCMtSVpld8gkCeAVDUKEQNV4U7rV5J9ghLDNsIDY
K2KEInbTyP0FVEvVRvoa7W5Ipup2GabPzYzUa73KDhCvh1VuR/DhoQREumT2Zh2SsBwQ19omrbr3
OTlTkCsFjcDpxcj8FIgGSDygidwHlAoEROqrDHgmpFt1mywLOZMmErupyv0VQw6tmPMk8EVbnaFD
/AX4ECSIQdUw2uAehX6DBhPtRUCzqqjrEAspgAX8nxmIrEmbuBjanH/+rxiIFIE7HFcwNijgpxhO
YiGX+PECROQqH95ghTfldyDCI3P2nC7mawtb9B2awupoXTvDgmz7B8pNXTYVEpYtaO+PsKTYdWcW
BaNekc0YTk9AuC3QSoe8SA3Bd2QWWBb4pvU0Sj9c0qU1JLB2tOdGSABsyBzXIJSnd5XFMcc0Q48/
poh3XoAJWqNhg9SPqOTv1ITO57mA3w+fmM2t2/6CTYiqxemZJsmVlflzDST23a/oxOq8vAUVTDaE
8uRK1b5GOBM6Ir7ycqDO75xuSPHKUMRVXB09i5uHyVUC23roYOgPa7wXUZJv1wpFh8hE8hgh1bbR
Q2TugRrPQSE1mRfkYhFs5jEAGtVlHzHdCrgcYPS7rqnnc5qpeUORJIZ7Ljzi1TSvvpEV0gzAK9zq
YW+iCHiBqk+PCBuQop8qwM914/+AVwSpZ2CGkR9Dedizw58xFhFyb29XrQkym//mLGKtUcow44/G
851DxXHNc+AvRRpYLJo/Ahf90k8f4hwpgbKdWoRmQ+JAQ8Px21Bgup/CZMn+AFwMGLny7KsRfON/
BVxM0xCDZsswRQtXiVA9xpmnsASRW1nCFoXs2oQpaBTLblGWRm+nAUU8BirSCdlcFDcjZtpVAUjm
WTQvCWtxakq4NtcYiEJu2Ciit5Gm/gGuBmZsBmHQnfLAyxc9MbxWp9htYPmIqDRGWj3XLajNDWUQ
zASc43M0XUYiGUTUkG/WTr7YaKUPxMzpk0TMkyJYPCZZAT1Ufxtg9P9BBvh/MUP+9yoFf2lz/DSJ
+dUc+SYU4Df9ZnIQ/AkKmD4Z5gQDKDBwDnMTfhMK2L8iaAiXWZ0xZtjgZP9RLLhMaIW/gelUaYqx
3t/FgghTvjGIBR0oZWhC0Wb/28z5ybHCsN3/rmdPYLFESUIo3sSvA/jqqdUR2Pv+QFF6RU0DQ7Lu
T4Y2H6BG7TFS4Z8NKrn06gmOsgx3BMBBdlFNfuycgWEAqBWolLIUbJObO/a+hl2xR6jA/81sINzx
n5r0CJ8oizGZJ4LJRBP6iyxgQxgt9Zraw6oAX0i4Hgi8pv9sMiM+Dy6CWTwhxlCl6R/un1kFutZe
2UMU8c3YRy8Z8Ej4Nzc45Oq/GQTypx8oT5MQg9HyEGvg53vXIxookkljlIkT/S06bUQw2lAe/1rF
+fOrQIXCisBUEfaLtgHeJNZBMNgDs9UuV6iSu0pPf/NRLvf+Z8kG0+ngVlzUIpRXELx+WgZtrkAg
15jKAtGzR0lkv6A+be7CyDd/swr+/ErYsy+DUzDp95dVMEbI1NN5snCtzfWMQiK/uGZDYt/+89uG
qXi/X+cXs3BBB7Zo6+yhrtZzRSEeqLzf//U1LgbrH28byog4xRyWCOO1fr5tskMcX11s/cAjDhy/
bf2OD/tRn0l+A2Flm4I3rPoH/GuqWpjwO8fE9q/fw5+8hQRSZZwgBxJeHq2f34Lmve5WZPcPlBEU
ZC5Akg/R4v/JRbAsEHmOYbr9sjyiXCFDitbjAHJ/uZJr54ogd9k/m890eXbxwEZ4eimcqDj95W76
fgkwLBlfWcKAHvD5HomTU5v1f7PW//SO/XCZy8//IBb6aCI5lDOsDCE/eW6PU5PX/5Mb9sM1flnl
ssfonq7HR8m82PjOAUZbAIr/9bfyR5315/v1yxK3KtW8BUR0cAQzQ9K+G2ADGXaCupVc/Dqy+evr
XQZJ/bJJJFEGVZzlIAFenf6fbhxl7dJHAT4UcvUq3QbxeRreWnW7rN1t4//mZPqzTwfdACPzLtf6
RgP88DVlmGO2kMFajC5Nmtuqh8fvaQORydovjvbh31zuT/Yl7LD4K8K4LobZrD+vijBg8+p4aA8y
ncyeN5aU0yW+nmM8pPqbL468bgw/30pG8Mi8brohBlH+8kBZRE0CjHTpEB+thduMOoED62eonzA9
1byP9Qz6vRrDfC5Il5N7N6dInq7ubZ/HahuwXj/H1VKpUtOWTIDhF/WMqZXolBJMMUgA/BEHpKyP
nwyyecfVj/boOKf7fOgWUth5naF0sA6jmjEUZlcpZ56lSxIoJLk7E3T4RV2N77nXSH5R6RGX9bV7
XrL6y+zCdDvTurqNkmx4qNKGvsVsCYcRO+tHSGsjKt8le4gyIhCX4cDCWjM9Qf1VmJKQYUqWPUyY
dJK1e2Kq9xLY7sAO7ZJjGNQEnxJ/5hOunbdqi1lg9E3EM1a22WxEkWb2vUW0CEEjruyTqIIU+OOC
0ADUf2TyGvNoZ16fbQIpFdO8F7vzEdurMUQiRacPXWop7F1ohetY3wn1UI/XfceS65VnjQOZuoIP
wVsbMJBiZSY7YkJK/h79ypdIO5BM/UjwogqIJuQryT6HK/IZKusOombvkyXne400X4yxebG9QkBt
OIZj87FRcYPgHMAHtYu5yVuIvyAxoLhV4P0StCYHgLHLJp6CrvRB99zMFTTdGln2nm2SGvNHMgrX
GVJbrsYNSbLlhBF+89vQYlBVeHnMGxlCv7SXQH8+my2ga7Y1s1uu6QhYpEXWuqi4yF+WOswKZIN3
CL+1nyLH9Q5itN5QoyNXxHo0EfTsli4b6LuQlLG77C1v1o9DMiIdCNYsXvd9StFXDUS4FzoQ5FTy
WmpaSow86K8xi7baSWXcrhLzskX6eHqii+6OcTeMpETsNZyKFo71vUmIfhEL+NeSrzVQtwgy3wPS
VfqtXHvypMMKOW6KidQvDSdBe/KzC17Avae0yFKEM0f8EQZxCS03uwczyzf/l7oz2bEb2brzu3hO
I8ggg+TAk0OeLvtOmZImhDIlse97zv5384P5o2zfW3mUzoPfgAe+FygUUFXiIRmMZu+1vrVUijJf
bkXThdKq6jhCYf0pu0UelNPT23f178M4otrqEvggpropKEfmeNaw3ZuUGS/quRmx8Ivksk67+VuU
DGj8inl+sK0URNKIqg/Rr0NX52i7mD03C5zSzgdNMVIpihzoXoXWJtaZyeJkHqQDCRjRoEW6ni2o
zJ3s0KGbiLjMI2qZeUtbe9mPKxw1r4ptLlCZfD7F6+uf9o+J6a+rGe+nQULXrA6fBPBYvbjF2xJ1
L2WUrp+SEX3PxfOAmLCQ+je8gmeufLK6/HXlk9U/DHHNZOvJJ8LF9zsJ+u4oMcx/H0srHH0bAgqU
J/yVG0G5LkJeI2g8zVRd1kY9Zp1a26Z6CMkLJ8JmZd2gisWv3A1leWZx//iNuJww2Cyz8T+ZvBvk
zU6YA9iN2yjcmDKQftBb10VmVwAyJnXmcuvKc/pK9D/hBMB8IdqfrExjrTmI1s0ayeVy4EXo0bJD
EuT+Mvu7uCgPsjy3Fn50gxwGdCDC0nQQ3b0fBHWf27KCXH1oDHVrAp/wWsM40Fa1fTN3zmxg9VOc
4jrA/3m1E35l1dMaGUPJAcfGZDVDaaWist6na+FDCKHk7ObOeZrqMyv+nyX9rwcrOSWa3CmywpMH
K2yttrpV01N0iw65yR5oXuE2PMYJUlu9TYpLREYjgARJ/zQJqaaHtLZMT4Xp89qAvFr6cTS3cZAP
F1n8qEuoV/TCRtHcFzkMJqeu5L4cbnWQJ3VYPZT5shHBVVNa04tqKZUFfWMemtqJtA14rmhrsGoc
AGp0VyPOz2ETUVncOskMcCA1aR2Di9MwX1IqXYuUcCGwL6A8BFMIP0HE4VxtIl0rdsNQA4A0rDcr
7aqbYdBbJNXBmee3aj7/HpjsBUFMQzoVpwMzMFgvoNyu4NHdil9Lpp1d2tdMGc2gPfC+0q7f5e4h
jxDCFWf38Sc7tnXC4P8IXxXudyD3J3tsdPUuJbqkP5h1jA8JzwZqNt3cipFu1JnJ6YNbXZNkUJEg
VREM9PdfRGUEsYtoHdbMMEBJwn+0XLswhbdRM37NxVh4dl/YPAFMTbDUJzqbqM0VMCI/UVF7+Pzn
fDAjvPs1J1+MEDVyyMzEhmk9lxgVw37xsvnFDWLPasDgRWDfsurM0vDh42YJUpRWOKqdblmRzeIK
drgoxDVxGUtskxadLr/W+XT/8/dnAII3bApu2PlPlrwZ0Hiz1jwOEpDuzyVit5TX07xPIktgVyPE
pHRMTxjgSKm8GGeufnI+/DOuOIYafw71aPpOxtXoYDIFYtAdROJQ4F3srQBmd+Zprq/oZO5RNBZJ
9aBIwRJyMqA0bCmRC49iNca9uCmKSiujYyd0BYQh2g8qgiWR95efP9iPlne+VYvKCx8OVc6TRZbu
Nlgwso4OmRNdJXl6layVkaYGq2Ha0PwG7RqJzcatajzw3D1tjHOHn/XO/rpzjnUEYPBLlHPyE3Qx
GEYoXZazPkGDO/S7ORT2nZOwpRuy8CHqne7c3uKDXY2iPkKuGMRUdGAnr5SDURN2DnoBs0eZEi5D
exlQFj0EaHm9XBkjZg4bUA5zsN9kWnRECYyhI0YTfOYFfDSRSKjd0PnJWGEyeT+R1C72rSRmfxVE
cFacVv62lpEt3WqE1u50ke3NrrM2hgmylMwX/NKCY4NIk+3nP+Sj8UdJFxE41RYW+ZO1j9kYOX/O
3D2kEFOg3S5ZdJma5kvZCNOvev2yGrqnz6/5wbaC0uy/rumeBC/ksRMIcr8gAAlMOdCJY1rCsRQ3
i3b8/Eof3h35ZhS3KfAjd3r/lDU2hEtEb/pgReJ5Cbor1waHzSZipiiHBmQLseOM6O2jYa1IPKFQ
S2mTL+z9JYdxngMlKaTXOvEY+KRoLztx/hUtcIagu7QOjjUG3z6/zz+Ft9OPyWYjZBClBW7/9Huu
ItHptOd5jZoES0Or/atyyv4tMobu6EDb5SjZTi94No2tHOreXyDq+BFWpC3pNvamMYY3e1rKy7Rw
myeZziOO4+JcAMFHM6ptrPEz9GJAS57M52E3IdKohuaQDDAMQJl+g0NwZjeyfjh/PQmD6iT/gyd/
Wr9BjSHb0cqaQ9OI7Vxa7jGuSYBapH4uP+TPieuvS1HzXauhFMROv51cLc0ku7Y5jHgWiqgVuO6S
1p9NU9uD3yk2tJUTX0ZV5oHQKQAbvml249x3WpcAerXLC2vBPbUxjfG7sdBEDOISySAaO5Aeafg1
dLB4B6UQZ+qrH3x/NnpQxU93XcbqyRAl/MFFmLk0Bzhbx74oXpVYvH6E/DstZxaac5daR8Q/inez
i+AEzSaHuaSmBD7cYsFjNQk7XMTMeZ9/BR8ML+7LFsQNoSUS5snwgjvXcz4y+NpV2W3yOc6+iyyz
7j6/yoe3pEsSYywDG9Tpii05KyQJW/uDWIZiEw/RnU2BrABcGaTzOcb8B6N5XZ3/dbF1gvvH8yN9
BoGYycViUd4o4E4PLuinTDfbi8/v6oOZ8t2FTtYBKitjW0nGRF6323WWLAprq/S28ZNoEZsa2hxb
oHMjcf1TT74gSsjsp1HiOoIj2Pvb61GXWTTkmkPfzC9BCRHUFv2+nwNkSI5qsYQsT+u85TqxOLPx
+miwrGJoxSaW8GV58hHELYbqCGPuwTaa4rZQYf9EtfL/YrPMXuPfVzkZ/2p0MdByh4ckkMqbhgCS
cqzflWF/Ztn56HYww61HEp3sk9MzbG91XS6Lsj04KYYLmpUvQy7P5Md8dI11s4rFkGMHf/P+bbll
7aB7afiY8+pQR2A2xYQ/4j8/EOmQkgHF7kjgj39/kYyC9KwUQyKrM+UxPNIN0Ty7Qjx3TSV3JQet
rZZl2pl7+2j8k/fMRoGuPx3+k5GYmZU59ugeDy3HjcrQH8Mk3k9Ixbqi3obNsMcO5n9+px89zvVl
KWFylsKz8P5OnaUWoAx6pmEbzmRhQ+sgdOrM4zx3kfWf/2MCSSc5IvZlyc1pYuySen6LiHc8c5E/
HbnT7/hPL4i6pAv69+RWsNesWjm9wbdMMmnDieMy1/XuJmx1+yXre+exMWmy6SlJGpuWfLLHPhrd
5777ztYENLYTPCYuWAOvb3JQ/LMIHtA9QGSHNePT9vhp8vMvzKKF+5BEt1Z3nQVwwM1hXOtuFGVs
Ch/RRjcDdb3MnXYViTT80pWPWQKuNZUO9b/YeWhK82c/WN1Oon3yGjuHXFbo39DwDtuwLYdtyWHa
R4GZeO5gXbNBz68zOfRby+6CO2IwW2z/Zb8L0GkBOwdi57GXQ370+cD4K0hr/byQE1hE8lJ1008b
oFlujmQQat0B82Loa2EfvXCT4Q8g5+ZNC1m+9Ywi04ESd2EJiX0iK8d1Er9WdbCdi7rfVsUIm89Y
tV3DqueIQ/t6Cl3Lz0IoEJ//3A/WKH4tsb7URLB5nBamozZRU4SZ5JAJHT44LaIQLyRY/3NTti0M
Ruu/xxmbOYoAhqOYtKkHWJS+3o/mglw9V1vbZaHRg6LLY5DlRhuZUGpndeyWJcc0icq4DcG+p5Z7
MTWO8TshfsmHEBtes9TCRLK6cA99RmzaJmh2knyRa6tJiGGAJHSrUuI+JrO4HFvJachxJJCr8KG3
o5sKASjMv27XR/2twPNfm/f1VAOUdBDe91rlT85yW2WT78zZszn8mPv6atCIDbGW/G1A5sgV9fxY
dnAXYfDODRkHzdDdpE1lXg4rbE0vrXjbjVmGej4rxVaJ6CHSZLxNJnK7rM4tHou+L/Z5GFKNjXPc
x+T2VPm+lqlx3VZTu6ln3bwc6excExFEjFPTmF6SNa+F3bbNxhV56QU4hBm5LeguqisYGF3nEMh8
2DcEP782Q5Z/66IcsKelAlAJM3hA/BUkP0ROtoeO7z6Mw7BJ9P7oxvrPWYzatCPj60XmwnzsNfw3
sMVdbzGSuywU+coBgW5UgYHvFqr2YiiSSz03yh89GmsHoWwlvi9kK8AFrapDIDL9qlvGYdwmMHte
wz5u9k6jh3dJZsz7ai6IpFryel42srHDYVNnmAH5YsPkNabJeWUQFgwuMywP5rwwJAloeJwAh14W
kD57j3IOanNi6G6Acyc9PE/Ie83iTj+yvBU/yj4d7ubYTihIlK68Qe453uVRUtwmZQ/mMIV1AgJa
GJ1NoaITW1ERFoArsZKPBZ0b2B3KeeQMYnt8Au5+kvpyGaslfs7jxqVcO08ttKFisB6sIjAfjGmq
bsuCJSCDgQ6wsU+9CV9zvcmxcW7xpnbgsPgPWRipn0YU4HbEoaZXmZxi9O8FW101gmeQKQCzVK4U
poDypL8wIzOACuzquUsvcR5fhzoBlVjb+ziBTZS0ufncz5n7iMY4AJg1E23uyvCq0NLipm4A5Gnt
slwrZkS/0Zzoax8GMQ8k/C5W3F1vDW8I0pNn1cbG3hLrAUjhKyO5ATAIIvqJGIvhyx+6etn1l1Wc
qG2aGdNRG9P4EGm9tifNNv0mh4RUIMNhCh9kmHjzguMeYcivkLSqG7Ov+wcOSjAxu95Aum5nyCgs
pt3Q0J/HPvgxk4TBg3HBzhqFfcjdcr4I8C3v9dKJvqTkpVzm9Mi3ElThsdIymP6UMLcBMmtfNkt0
EEOHPXe0kbMMAGEHnrO+jPemjHY6XHmk2EMDLGleRqTPAAm2wBrVizOW0fe2oumpFs0bas3eOcDV
n0eTrZGmjQCiYlVs7UkTa04RDI4VIZ4mwPOsqNkrylz4d8EmR4F+m5AWeRtVUt1GOrkxY9u7N2Ek
mIJcN76vSGHYaH3lYCd2+2s0vwpxckBP3jWJZjDyXNstDukK+iJ5M6JpITRZKYEpLX5CWuZuZ/tQ
6xVoUCMEPZCGe1Xp9Q2feeWXYnkdpqafN+QKl8RapOEx54+/04wieG6xXKREU+BzAr9tPct5IlVD
QIZ7toMQgSsMSmFvYO1bPySEGYXDUI8ghRfo5RuyIH+2aTtfasQ9b/inBc8GLSOUUzaUb43p5heZ
YWpgbUINchVmPL9dYB0b8gal/3J0xaxomBf2nSgN5vWwpbS3GTqnReYUmXI7I9feg31Y5q3uFI3n
0vr9xdjq8MaXcADdBcM+Yn+/FlnyK0x1uKeNUcSb0nKYmlsRvdUqW3ZIK6JrfER4mRZhFYiF28Ar
UnoynI6M70Umf+Vk9F7Gmsp2RIpmD3UXEcrh9kVOhEWU5djhZbcb+cJ8IFcSNmGZ1qi4waEdWovY
CYIBot2y4AcgycM5wu5aLpNJaZdJYQ9+Pmf9TtmROqTN2G7h7pf7oskcr2vD4qKsYc1kohk3NQbE
e0GW5LOmmUZJmYHqZetk00Eb2uZhzDVzy966eAQEbnilFs0w5FrjAsTxvA1NlAmQcNS+i2ZQhIsi
dWAaK690Z7hbixp2eYqSBHJat7rxWnhYuFXwS0V3C3yiw2ohLYLuNZwpwNcRZmiVAYcPbyHz3tcs
gPjgol0AtwjT11bvH9qovFjpMFHpvMriddLcCa3AcZB2sPrwtkYjvtQ5SgXRvipdXJGI3EBPExew
OwjNIiFLJ0Ro9LBsklfi5sc2BWsOsW63ZEBwlRX4s7R8kVjjPtDGA4XT40wQE++FNlsVPJOL4lVV
c7kwp7MZZPLA4B2o8naZR6CtkS09jRh0HdnNFsROcghhDjK3a89TMd45bX/f9dF9hUqiU/POhFy0
GfSp2XVUIQD9wEnVEXYloBPR/LNhDfrfiML9vCdVAvlFuM0CY/Y6UT86Aw0EZVUWaej2N/wThqcS
ko+EG13NdvJAxwayuDM3PnPTuk5Wd0sYSQ9+4GbU4/w5ysfrusTFAEETPhVCeFf/rQ9XbLZ/jba2
0AN3nxLybAzNlV6+oP2Z5p8cHL9Mps48HSxbchE3boEDdOQqvUIX0gB7QKvxsABNIvEauqIgKzYf
tV0UpDdRxE+B0rbSwQk4yZZmuLHaxvCL0Ziwp853S2Hu1bTshyB9GcPlvum1X2ycJsyEidyYgj6Z
Fv9Aq4R4wlWs11b9Ni5K98HKXSA13payCb4yihWqDJn6K3JvJbsSjBIZEn8ubabQ2E1B98DW7WhU
0bFwa8wR8hAAzrWL1NfS4HXM8juV5k/NIAk1a/pdlui3YWtj98v7VPlRVBJarNbds07rQ2xQDheF
ryljZtdklOU+YQ+kbfImXaNfRGc+I5LqdX8BvgqKxaofptK8ksQtX4rab6fiul8MUMIOL16bmsyv
sEqQA2M2W0D206o8aQ9mHBdXjtMPP7OojS+d8ls3ze4hqt1qM3cDfUH+1VszsPs7V5vJ8BJWtBtV
aXtwLIha64ViFAM2CB154SAvHUdmqD5xXF5TxT5I7S0tZHg5xUOltRZFZicuD6qYk2c3UWrLoae+
LIg38ich+qfZtN17meemZ2MzfdE04DQDfhQETUZ0IF8nfQG4HftZa9+EQjsO5fSbRjwUFWk0zrab
mvgLgN3cz1utv8w1knCKvC1w54qk9GI2DFBnKxCpG6MjXnPj9CMBQ7ZZ+2HvYMFahEeLi6OoIZgq
jTZnh9xnV2EbtEQfaLqXxy0uS0oEd3ZhgDoGmsvnaThPGcTQnSwNkhPyL6LNIs/pgG+a8a0DTXxj
NG14XcQo5ZdiNL1OA9sYDJN+bGwCAIFNNj/YlUYew3A3rTorEKr5Yv90k7vSLLZQ+N5c8GoHs0mv
bLuab4mA7zD0jq9SDVzMNIJrdrNfhDt/WbSx2YZlVe1ELsdbVLFEGseR86SV5kFFguaV1j7msY2C
r3DSxx7xxGFgIP8o7BqnqEHMkQvs9qhVVnaRJwBRexjv27QxYJil47Gap+WbrfqRg97ssPud83sF
M8yz595YkyB6byKK6BG4aHcdpGwX9wbtskCohBI+2cObaYpA+4QrHGbqABOZenwfV7gPiW7BVt2X
w+HPMfD/gRvl/ysoxf9CanHo/T8jtTY/mrj97/+RveNS/Ps//JffhJYpR1gU/HTPCWL+h9+ESZfS
E34PbFt//sn/hmpJ0FlwLBAYEe4OOoITb1v2XfTf/ouh/1esBI6F3wTFPs1o4z/jN/nTIfr30dpG
9eLyFwtDBnVtgQ7n/dGaBI0gQfGXHpwuPrTxijZa0wmtRVxL0g2ZFMFuTzD6i0cHF+tGjobwaqt/
LkV9rpb5d1mYkqxEDUSVEROCOjnmy5ZR3mHu5JQG/gXSw8aamuABXg3k69DMthToZg9WZfdFucOy
MwN8qPlA7JhJ2tDPVn4PSqoe0qR5PhfhjUvRcoc71vVV1sZ7hDXOBs5ItkvSsb1t3ey1NvJfEuXG
1bCMtld2Y77PjVB4oP4vqtIcLnBAJHu2b+Vb5nJKm+qQTM/UcSjKz1+jHPVqvsTtnRO5M9Om3frJ
UrnwcVdklc5KFhG47pNGVRK2nE8/2Ad3HjioXQPO2vvH2Lv7n+/sE9wHugVatlRkdIYFmDR10jNI
cttGVYBIf5jAY48FdbcwdnwoCz6AfPMyqeOfn19xfR//GDvrFdFmI9MgppnWy1/hzWUnyGxHQDWJ
+i2BP3Fh1e68+/wiH1TFuIplQJKj4wYEc23M/KOU2RWzqSUSb4pWBpdtrYw9FkndgyHB/jbEf9jy
WqMaSCq5YCAYeSsXUNGTq7leDkUc70rZI8JPEnubWC1BeZXm99N8To3/weCVyDShxghL0Y46+ZlT
qCsSvRCQG6O8aUp22xEEVs8cAj8w+FkDsKmLbG4vDZf82M+fkfzoTaBZkTSCDUrKzsm7nzi1EtmZ
ouuIhglZAeR2gGXaIzhhfRsv0z176mjrUCIl5c+2jZ98V81TH8TT5VJQhJpbNONpGY0/qND7Xdr5
U9CORNVV482QE8wFwoZg1obaB1qCu5EoHZ9DVrVvG6v5zmOxqWKIaUcq80vYRp6YCaCxhznc6bI0
H1UyWC9VQYrC5/f9Qf+bHg5zoI6lzzVw4L0fG/2yLH0ZY8FqAfpPcfESxfk3OxX5Rk+z16qfYOOD
RNjCG7lHrlVvRdeQB6tdwcUoPRzclD/k6Pi2vog7StnmmR9ovK9cIvVa+0wu7gXEovS63JPp1YJq
XetJWx0khFo+D/3WINkKtUX5ENgpdZBp1PZ0RHzcvsPFUBZfBneFfkT9uKfbJz0x1Y+6wca4b6YY
d1GeeNPSik0FyuaWxjp/hOlMv+J6OjMb2x8MaDrFDh83lh8DXcP7Z5tbet2ablAeasM9Yh3DjzCE
b0Hpop8X1Cyb9RdLwTYo7A2wFyi5u9CG2dEvaitaIySebkCRWzlq8GVSKDaiFF5YBrVNq9zXdXPn
txl8FYm6/5vM7KtYjJ03ksTp1RRIj7J1ixugRU9a0az5tPljtKiIej9Cn+dOiuwhjhtsfSQtyvsp
T03YCYCSq7j4KkZlb21RgzJcWkRVLv1aJSCvlJM+euj056s8W8KHRgMZXyecB9tlRErMjph2eDWB
4E1ZBrpaep1O1qhqzGaHnP82CNPourQR5GRG/Rust+vDxfyRzRA/SEmud8X8NIObC2E/pxQroHOQ
YIXOja8NLj2rQHUMB+ICLUlCgtU4y10l0XUqdMo+lfbugbYE660ltc3nH8uH79NV6I6Qu4JDOx2K
eUUpGrD9AXjHTT9cFZbSPOZ2krOz8grtx6VRDi8ci9ozF/7oK101tsj56PhSwT8ZSchjJ8CcRXWg
DvdqJ/UOTvobjoLU50GsKc/S2Q5RjPBf1lDEy/BgVdq4b6BcksiGDrzqDW8c0vkraHkk1xmbks+f
zQeaDiy3zG3shpCk/bXIuKle2oukv2kXZLpX7KSv6poIBCusowubmMP7lhRYWiuADch+280NOxEr
boh8dtSFIYt+x5IS4rpf7pO2fA7hCOw6o3aPBlkRY5N8I6Gs//75r7b+1iQA9gJSZhi0Lh3++v4T
raLRnkkhxVJLOWcLVZjipgQ80xDludM4gV8VpaO9IZQVX0fVLPCR4uWaRJ2UMEpUz5hBpL2zDHoZ
I3ifrdWL+5iQsqkKjzSuy8cFgGZDKad1R2+qYelYCyXePOhA6NFi3AZxsFf5pHtJQQpVFGoP+Idu
XSiXJhQhL8+Det+L5M6Zxx8kX2//TH4ysWpOsi6uDEksA3aGDsI7dYPQBUVP7dPcD27cNR4xp0fY
lGD+EvO6FuCMmKsoDCpKDEvyDXDaM8XXW6WG/OnzJ2uuncuTrQ0bG7IhsfaiVTwdsnlazbC3YJg5
MvBquVwHyfykT2l4Y7Hx8INML9EsmPRsDBTfhCl6hFEwAVBOmegIecSv7+AnCN+MUo0gI4fkadEQ
EcnEXxjUU7qq+AaVeSCRawbhs16FwyXAxxA9L44zTg5wm7TwqrFG42qOFUrfsHz+85yLijLMaDRf
dDWrnyiOPDfElNRiO2R1NyDUEE6yD0DP09mp2u3nz8b4YNThSOHkwlTC+na60xGVO7SIvcpDrNr7
WpSXeoWPrB0ptY6m+ZXPS7st2QyaIfWUIZroPg4i3how0v1J61pfTwL9Wsb9bVFXuzoIoYhFNxDx
qAU3jKwmk9VWX8PvirJOPZvCC4tKdZtMov/5+b18NDWhfxHGH36xQBb1/gtCmDc4Y+UwNWn6Kwyn
7kFEi35hCshC6ag9NZD739qI5h/RVA2Qo+Y73xEI7Qx31KbrUigXSZj5I/PtMaaW57sdTZ8zM6j8
2yPBRCwFL52zH8v9yQxqzkL2MsIWa2iEw05Rs2YNG/BHtICyOvvivnAUNJlQPahYPpasYJulIoiz
dWJv6iccdYnmfumq+Es3hjZm0bS4Qxip7awBajB8MNLu0l5s10PsppY527uQAG4p5oe65L/W6oWA
I+2hFCBI1WCGxzMv4vQO8epDKGR5Wm1Of+82KkuAwXFkdhBhe+wY+6SWXjqh/aTV9q8pzffU3V6S
zLzRrLOq6HXl++fHvl6bnQ6LsLTR5Z6eYwbUCi1Fa2JqhThG7D4SUTMEmB8tIroN0dB7qh5TUVwk
zOabnEitppDnlqD1HZ7+CtyuHKdATNCHPFmfK6iEsWbzWc1rYK5RrDQjRBHxMk++vZZM+Rqva8Rg
2zqNsx08ZXZ9pFriiPON7g/2SIaXncB0YdOpOcZF5e4WRTxYWXFLgXGzAObasLv6UclJ97NUPyMm
M05nTR4kpx/ci+ww4D+ebhk5FsxSTU150JJQbLtAui8jEz011Gy+GCdJPEhrlpssrqi/thTVuqZc
fuRziDaQgNVNVZkvbRgl22YBgWWlPANK5ziNaRGQaUFKHJlOHlkUww1Jb6irKNqd+dT+mt3We6AG
aDPSzfWLO3kNvdKDFrluQVOFuGiXVMpXTS33lT5sxzxmbVzKi3oa1W7EzLoL9QmMFJZK0kiKL2Fl
sevsS09L3cEj4puqP1ZS4o8zoGm0FDfEprxVAfN7QAYBwg39NRloZS3p5Ivi3LHwtLhDMcBAWWOz
Q0Bpzqs5VVwLTaRQnotD0QLtDpbuCtOndUsFlxnVKeJdEgABo/hjDx3AptwgHztQWE+zGCadW5/5
yP/QS06GuGtSo/iDmXDQAr+fbalwkcis18XBqYG1j3VIapgNpLjn8Ux69tPETEsiAujEHoKcVSwZ
4OGUyGFzeaRHunXL7kuZ4zBuo+w4WlfjsuyMJb/DGhvRd1wzE/OZ9gUa0E3jJCyN6f7zeerPLvn0
FvA8rafNlZgiTrZcjdGCGKmn7EDSoLHVlo5kPCMSGxeNH5Bwh/T0PCLIKuwu5qD+PRC4q/EKNmQx
mD5A83tOHPJrrDe4zBz13E8k81lGX4Cry8cLQq7XKGIZX5ZIihGl9JdK6+lva8NuAiMhHe2uZg5g
PYx8co+9OBUIy6vkTEEBs8NfsxG6Hg6ujB+4Fo46GTol0YskpkTpoQKECY5SPesp+gUyRIy9MXXZ
I9z7MfSKOjG+tFo4+G2Im0TN5iuOsPmQAZC5kXFNg37MIB9i9SaxziZySCZeCnXp62x0yy7U4uZr
kULNGmCEH9wsfEsW5X7TRZ4+2nlo3ilapF6sOLZMKkxQOU3tPsd5ewB/MO/Rnek+kpztooU3CraZ
R5Nw8HSV3efNVN5oTdReLUZ72U1tcZUGgzhEg95sF8RxFwZ2l7uwqH6QTcU4Yk3kPFRZKTDKxvlm
983WkpV7aCFwkQc761tB975PEG2HwauRGUyhLVWEeqwX3+pHzMckyOwKSRotlYp42/dV4JfQ7shQ
Sw600BWGaCd4Lh3LuVYufDdVtcdoMrJdZsR0EjrkBH1JWasXZr2PO4tObBJj8tOLrzIRhb+0TQ3J
RhBoZbpbNUZPae2Mh7EjTbieb3rkAjuUeANn3mz0jYZcV7z4YwnXDxikTC+L3nSvmPyx90fhJI2N
m+jbSrHzsiFd0cNKJnazOWF9libldzOevplJ8jZG8YOjD/POsBOr9FurlkBwy7eqkS9aofc+qXXS
q2dlPrUDVlhBiQnvEC3scpbFd/SppVeERAoT/dVjgURXEoDf9BJI9puOrusO9Ei0sUjAhPka5tum
M/c03ydv6ZFVke71tUHpdN9O4rGcy7umS4+csHfpLB0PT7QFTSD9AeHW2tvDsuwdbIlboHXJMarx
Bhux7fgDOUEUqfrhOPZl4o0tISdGnfzOO1M92H0ifI1O3c4cQDDOwh52pWEN1w3Uu33qavbF0Dg3
WeE+EZ3xVY+E7i2csVFgEPPG9jC+El3kbmYZ6n/y/zb2xO8LGo0MHGl3ZBWZ94RGr5t0zpdB0DxQ
BN8ZKZ+wBpN9MyBEkEbv7rNwncUsu91Ar/kNNKQAwJ4Nh3GirBgsikQCt/tqlk54zICxUEjmMxih
QFzxUokIJ0/xWlnsoaYermEVyueW7CfAnIps6XF9VCERmF5GpfJ7NsxyF69oT/pMNVM/6gf8P8Z1
Heak3CIpuQtHababyC56ctBLm0kbTmgHBx7ZhOF+jxkU3Ftq3vQrVVQhXN+Z81R70BDDe4D9Likz
S3EA30cgbFPw70VucTASa9Xok1DWhGZ/bDn1AHup+u2oRcs9QAEenRaley2b/catvtsdgoZQ/M5j
RmbTkzOROhnd8/pbr6N65Ccn+4So4G+ZHV4sdAsiu7ynZMyslA73S7dcm+bwZQLWcD3jivHqOrgM
wkxDPdSQN5yG8+Ni1qs6jKpTaAREWEhmLUp3yhcOLxKJeu1HWvya5e7gG3VTYTF3aCu4T53lAIQc
BvrXYRlvwD24qyhpIcODXnRd1damRQz4u2qJC0jdtP1a5ZV7TRoiexd4OiPW9Qnhu54I6WcwKH2n
COJDOVSLj1rpOu70SyxhlwFiuzGHcBpY7qPizYOWyd4KYK8XESVMLwv77IgWrtzViItvZj2nl28P
8Y3dDXcELJLFiHbnyqx1+4Bhob2DpSzfUiM7NpZW8LQkocgjBxjFAcgbYQhvloRxZJTKRTxZR8nv
BOKvb1VZ8GqLVv4geLH50lY5/OdMMw5maS23bd5zQKndxb4MHf4tWCDRc89y7fE1y59prFxyTuqc
6GSjbN6UmadPep1Ml2rJTN9KEyQ2WsT00xAp38I/2RlxeENb+TtioQKrr+wfyByFoG7Z2RNtX4WE
j0DAoXW+agv55QzIcjclCIiifqKHlRWrKbo07YdhUNp16KASqPWsuKYfF920VaaTt1dOPuEmxzkO
l4eRfABa24F6Tql++GKc6y+plUXHHvbNWzDbw6+K8IhjJtPmBm6VCGnTZ9j1NDNDMgTVY2cl0iKi
F3u+kqBeO8c+BoUD4tImvAy3uaG8lJg8gtmdqM+JJAnNq1yf5+//g7szWa4bybbsrzzLOcLQN2b1
anAB3J59J2oCoygKfQ84HPj6WlC8rJQoPbHSrGpSgwiLTEXwXgIOh59z9l570ieYoK7RwuUwmKbQ
UNvVNcF90pyPJfYWv/fa6uuUFTOywHYJybrKaJ2J6ULPclKWlr6/SCv0S0SBRptuqYwvOSd1WKXO
J5KZ4jX3PbusCOANa3MeTnoPLWPqnTCxeIXDfyweUJfZGy3lMReWmdzNWk9Q5OJcVcLE2xYNh6KY
M7/osmyb1npEHgu58hzKIiZt1jHSoxZcZXyna5V9M0e0eNNIolBqVRY2yoMLdv8dEQ/tyctiQklJ
RzMW33UWcVD6bnliTXn+aE/cFvAje42Myke9tQBoDmNJYAiaJGsR5/WwDJDK3aYWb7qYbNbQKNro
wYkdMq3WkwobZtMhENfhm8/JtJ8bVhQlVH4lFOMaeC1J77YJ3lk3iGeucmMfe0gsZyHNXTtOzYmU
CtPXyBPcIGx3eTeOxaYr9eEQ6SaezMIyQI9Dxr5Ypqj5oBg0f3f8MrAR4qqny8WZ+eeT8pCkrVZG
LsNXat+zGL1Np2iwcwbhomopzX2tl7BmvZo48wk+RIiupNxbdgZguFoWsrdYXlGumk940ag94uSW
gG3rwClz+IToZNpmroMEJ5nS+amOBpPgobl7HZrF+hZlo31vKzlKfJsI2FsdNYxkrY71p95biFDK
7IXIMKO9nrPI3jc5AvBNQ0THFrXiZTkkYeLFyt7UbBmw+7+ltUUGXI7E5s9n8fcCdIv6jOE4qVD4
pHDivT+ijk23tMtQ7nWdYCODU3ww1XkdNnIuPvioFQr5rjjnszxarMwgTZtxyM/3YxnhAjmlLPeO
0qPenrvkYLbtyzDlOCytZN4WRTzdeoW9XYWaJ08gt49bsP2d5M2Kdn0f5wM8oAW/sbHcwZ6Yg5wY
O18hP/CDGuVvF/HPRQqFCV1LqDGcNO33HTq7Q8VpCKLhOO8RXzUMzcEhwT70BBq2KjU+WUaGk8Ep
AHjbHE0dewoNjca8WrqoFQGLB7baIuLrq53RlCwxgl0S37C6HtgEpMBrLYYvZS15ejUIwzvkc6dc
1G7z1lo8KnkTTfxhqlzFvHfPoOK8QIzq/C3qoOsIS4ZDPKq7nu0w3xBpbz3xSqBIMORM65cMH8j2
TRy9YCqwj6NZpiysNeeZtuFJHZ+btHaPhcoEl6BuKExrtkyWmMzV2Z3Yk7Jzp2WnpYjKvab2n2iG
nwgkd5G7qu6FMPv2fuGUNfMwpRxKMvKsUDSDx7eqIfCMYrxsilUN6i4EHblaRLCptVTX8ZweI2Z5
bB8OtCVt1q4ds8h209Qca7rniGujCXEC7c7Zyb+kZdG+lqhq0QdpALi117qSp9gmpYzMpcsKC6am
ETppoMffE1a4Qx+MTk7O6OT6uj83s3qlNnZ8wXb7tUkn48Z0B4SGTi+RPCRyRy6OjhTBiV4NW0t3
BvKyi7RpxAWKYqSsVteyZRBRXdCYPnVltNwpVi9Oy7COv5V61dcZzEMNmQW8zuJAGy3CzhX5gseA
/b33DgBuO8hiBdsP9bTsDA1hg/EWG0pK4vhD6xBTWLgqzW4HbH09xsZWR/9+A7MYEXsSa/u8B3cF
I5Eo9BqFLgxkD7GcY+zmZVQ2hhOTQWvMadhl2luWFuXb0tjNySR9/Mx7G3Nqky4BKnfLT1jq6Nup
tp3ahbIOTKzLC2MjrYki2GA08Oe95XvP7/0j5DFW4S8Vo9b7VkWiLlWSxGm5jzUzv3Uny/wULbXK
sdi0yAZLzTw/oTwP20qWOzuOv2QGagPBCbpkT9jneJauk0W/JP1dC2KmNGToQq1quuFoiByoeTQs
u94eq6OR558Zfq7jUiIYZNdB6o69lX9T7JqulZfeKJoNzBgXMUHcbbDJbXThWija2hHDMfQtOMiN
c+Oos8YppXDBKjC3jDKxXFbFkO06AlIutHpiLQGkWfQWvT/N+X0bjXmYGd0HiM9fiD7rxgxId52k
uTia1HeGXCYWNvNexM+NRvnS1FNzSy+luYwUL5AthtNNIrPGJ93jUxN1F2vn4M937xfOxfdvgASe
uB2mh6hTft6uqyHuhaPQR60XPdD66qkeRbdJ63ub7KZkST4pxr09aIGVfmNo8sGn/+ZdgSHT+v7C
4Dt8nzX+KFgpR3BJlV7saQfmm1xrZNBywXzadWLfK+Z26W1i28qqD0uRf8Tq/EUvw+/Ox7sOjRsb
g+t7LYji5lTUHh8v5zYNE6BdfSlTX2t0+OTNfbW8lgM7BLKlrZkGqax8mgh+ZKNH/i6HcpD3Mq1/
Gw1z1wwY9z64N795bUNepk+soSlAGLcefX64PKhAVLXh4L3v5KkdB9ohdsYQJQ/MUaygF7TwifXq
tLwcNcLL7+1sIY/cdL6MY726ML4g2dz++Tu9hzd8v2QwGyzCKnGZve+TojKbZOlWLBej+BRH0aMo
adl5GcYpFtiDpAz/YH/5ZfD0/iPfPSM1+SCII/pi787KvTmLZgvj722R8VfCq1WEAdV1Kot7IkQi
OhGmGXSudiNz9Y408ctMz4brZlqj0Z0hOxCQ0n4w5Ptl4rR+PyglpEeTK+tq71VXXdu2jnDcYj91
jdikUWfezcN4m7Cu6qF1DkBbpk0ui+uJOTNBsdnN4lbls0muHE+8rdzkE0z1Xif1mPzjHNvbEqHG
UuOduuCGJrDb9ZfeyTakOFuHrsv627HCj9ZqJLog5a8wJkwE0kY5cQV2ShZdZn8kTPhNM5dfkg1+
3eXB936fr/+wFMWYJkWlVeW+K5OzgZ+BAFybplvR0H+wrjOmmBTBZhIg1m+DuuYoJ+kj+XW60r0K
T9+livXmuXlxmxP/cawM87bqjYquPx4Ys9BQeBCLQeKGYy6+StnNnGCIQ+SB2TZpRwBHBDJvjKYb
D7luBd1oLo/9WF4mQ/3RY/freGlVVjIEYNSloy1999hRL6ioPzMmnS0qbjZmulX1aD5ZrTJcrRJP
QQTfF8NBcyGtyjmCQGAUO3rWTkM8ZQmnYTqrZvf//pPHlB07JXWOpr5vMxMfE2up5jR7YXqP+Ik/
DbMtH6K2oaGhJ41v5tL+6NFbf9N3r3bNZgYB5l3Fcft+A0qojbLCVpt9YmUM01q92rRWs+yoXpQt
GBd5/i46SAYwxzLv83CKvHhvROYa5fDxjfndfsjIk5G6w5Ww35cxQpW48gwbiZhmh9DaF1/E8quV
oSAUzaje4lzB49Xnj7iGiDlJGI5PWfvcYQxdXAwbNQGkm7TAcPTv3xoHdR13BaktSPqf9+moN2CA
TxYzZ5smC4LGUMmXaOvVaEmHaUZ0S9/po3vz6xjYQPJsY6Zh59GQ2fz8odTwpM9WdPvJXIyQ5Rne
0XTjG20Zuh0LlVM2CABa9Te608Y2Zha+x59/7fUT3q8OJh6eSdEN4OX96pBySTp1dGvISLQnlrka
QkK8McxxBgb1SF92TCu/0vQPPvc37yCdkyYqThuOD5Pwn39ziQQpp0xv9rVCppMZCcIomdoBgV38
qLRXWpL2wUf+7qCmQ3NbJ9+rk/u9rCCOgLzXHYJrjqTsuhO1ftZn9MLU2ke6s2V6NWAExlbRdtQT
WD0+uN+//aVRjPItVg2n+66ExwJbuARQNXt1trZjOz+nLDvML+mzsPMbFCHVB7Xxb+4uVtyV7cY5
Hfz8u/Wl8B6oDXNq9jnmrF00qsm+H1zUue2kHqi3XsclG88fqyl/85AbGuA1FjcIf2zsP99dvTNL
L4qZfFL0L75WesUBWbLJEy67D46f60J5t4B5hjhQekjDPK7qzx9F2J7GDK1gkopX0G9dyKQLtuDY
sqgJJqZaf35ezN/cQ4Pu8CqgMOmfvV9ExkSBK1pApHiIcYePnXbQZGXfG8R135pznl1GwvF2JB5f
ucoACgkVpmm3CmFs+edWIKqbL0vNXrYJoqJ9paa7bnCnG7utx7CoG/XsjVQ8YnHFfWNaYB1q1/Ot
QS7bdHGxuFrS3to2biMUgge21zYURvUqkwTPfLacyJR+kV1p6hSna3JxT+WvMQLbqg3GwYZoXN8e
Sj1Qa9wNtZDkjk31a2/V4CS9srpjthx9MAfXfrMaLBYDUzCVDs0vFQLQUFWZZI7YRTVijrzZVW/H
QcYDbq4XZG31a3K4nJb6uWncgz58JaMI3YRapnhf461DD+fv3f7/gY3n/7NQme90iZXEshptqAHc
lRb333t+LubyrerR7Cb/EaQi7dO6+tH+89uf9r+NQEAt6emaFKTG6vf5wQhk87kWJZu5hon8GDxj
/cVDhRGIxuPf8bX/tAGZf7GD2aRoIJZCGoYQ4d+IndH+BtT9a9uwPYwjVD42XBp2J3qz7woSM5tI
fSxssXeGuQ1gx8wbJtMmssWlP6lRPQeq2paBoTUuTyyK5dHNrGCMYwVraaIxhBtxupAHh+al9W6J
5D3GgsOtXVVpgBqfjL8iyY7o+IkLlUOwlBy3KyBhvoVAmAlF1/kE4C3M2sR+zN1TzlTa7TVmu06Z
7gZvuivtdPDzRi5+H7WnSMWMN+QNMBb0t2DOk9O09rpjq7vrC5pjKxwmiAccorK5jSNg+7gW6fox
Zuw5ZU3VNG4HvL99JQG28nbaLZNCpyXmGMxMcNOZxTMaIfyapno9rAqm2gzbRF6arjggD4h3dQM3
3czQXsYMJzR3OvTIQDYe7Y0ND28YKcphEeWeeULIiSdM6U7Hauc3jjggvTmnXXtOWufGWzJmNOCP
KVHI3ILu7pOzAMvEq85Znn/TsvTMPetOagGOwGtS4q7R+zGRfe5HcuAWYZ9s9DGN52UBSuqC3pCJ
q5B0ylEher2w1ujxKdRRQBy4iwd3GvQt8Gh+WLZc6XOKukS7yNwcioVVMSPuSC/LkRX5YCQukmK5
7z0yNTviCBI73qYGCZnJSimIFZvMAkUMbPwkgKYrwwAlz9HNSuJc7SIKq3z5bNvM9b3yKp75t23h
nTFWPi+muGrjae8u+Zsi5quxyZqgVEfc7XTRirbf0Y7vYCCDOx90jdFrhtYxyrWgHfMGcN1yGZsM
y5vC+DRmAKmi3N0xx7lspsnbGC2kebWeyTRUi1PaqC8RCeOQXHaDK+9GG2e+6QSItvCIZhOh5ehu
6q9S1SLEWzFWYXe8kUxIN8vgEjKH43ejCvs27dVLJdUH8EOmsp3G8ipfuRAW6aL+3GABQFIQ+yqG
YJ8w8xAk4qNZdJ/alia1Urvztu/rgJhASSJBdWjG6hY4xbatAD8kfgXQR1+mm3YFUViTr1aJXxab
2aVdo8OkD9u6+7zk0TPKIRgdK8aCweQzaQ33WWXcaB0wA8CH9Uq66Oi6+WWtnI24u5F9hPUIEgZZ
DXvFxo6iDUu7U0g73CgIQpG9TJ/tEVADOH1WWTxc03iYNzUwbL0gJWEYtssY0/aspiQcmoHAXqU+
M525d+JrJorWVjRcyQr84SYqMP2bk7tj1E+IO0xV4MSKOOS2i8JPlfpRZdZNAHz6TWr9GTEI0vVC
/8zs8iZZ0PdRkNyOmdQQm0JVUSvvgSQIsPON5Iu4LxPbeBglYrsMAxc4vdGUZOJTx8cJdqVflS0O
gbEJ5UqSq+fksmj4f9LRPM5r7m83DZdzXaTQiqLRnx3njgRee1+6yUWhFfTrmvJQqeO1qJSa3aM5
Ehx8lXmouKfEvW4cK9nkaMv8WppxSA+u3KR6ATMvR03gFsVeqeSlmuLpNwzMyYTYMjlTQCdk8dkW
ACHfIIVqmxmZChktAM4KhlVocKFeDTwyXpuYoWNOR87rt4kqpkO7LG96XJxEEu2KxAG/ElkXmQEs
MoZwSXCm7myqTDyIdL6aZdqjuJ6I1tRpXVSq8tRO8szOcYdfsgzbGC0ilVSd79yc80R/u5SHwa3v
pqaHbDS/jV79hD71OEECDWrNeFk0G5q+UEOeIMrkAaVmMeK9723mKvKc6uSeMlfeGEZ8bUQpp6qY
QVEkBL9KKUKri16sqT1HsXuqp/pLV4kvCSGz85C7oS55XpgxMRGJWsBR2OPdyUMejnKZ50FsNXU6
SUyYrbTObV5v07miLplcunKWryZ3tdo3zMGrs6HTbsFXzXDLYdJmRLccQJHkV8nzWNLQ0SJYnKQ6
3Jpmd6N6tR5gzcAw7jVnkahfurQ6tUNxNc4Me6t6ffgWKB5ATi6XOv5CePtjpCWPYtZzv1DxP6UD
T6xVLAcxj7u4Hunr07AqaA74hVe+FiajWgbRodeLg2h6Ute1/N5M7CdTFldtFV+rtnkRQ4FnDL0+
+l44VMZVU4trESsX89jAYKp5HyqwNTZo5whaLUDTTfDMVp1EKJx22qhKSvRpPH/F/XSZrVO6YeSr
O3Ol+KnISyaiKPIMOlURyqCwN91D2U1jONrqGLiwp/zONB4mLz56UfPIhGII2y5+sSJL+O4Unw1v
Oo54n2jWu8BHBudJj+oLPSlJoRgeGgkeojJqRjlmegmQhY3WNZeAiQIexKeYjl0u3SuNwGEk9C9V
WX3Ka1X34b2h3MncV6PQj47WHFGnb3JFIVUzCYXrQWthteW86xCunSqrPEti12uOH0bFHDLmna+V
xdaQesD9wM41XKmtey60EkSFuyuzHHjL1N5Mo7u12aIHc7xlQuFyPuCqPzjLqPqyZHjCdEUI4TOq
IGsPTRC4khd2rovZ6dDwSvu+neVFHUcbxzEZsVs7oYGEWaz+UuWZ9pLhYlmGjVHq52RG+wBbyi3y
28nzHqKxuNcQ46jGBJgALgJ2mn20FrkIa8pI4RjQXXS5eNRxY+r2wS1vcVx7DarnIegpQUuoWWX1
Gsv+to1KltvERFnv79qhf4oSkojfHDs+JktubvPEus9J7UBagkWHl/0XU9C2sJXmltoCmRd2Ejkg
viwQIwl2pAlulNXmVxikt5akyTws5ygfaPO61yKKAya9W7sxryMXHhri653JuNcXJvjWPlMgIpUt
soOpPHYIFPwuHh8NynYD9vymT8XeE8N1ZE87Bk2HqMnCUVOuofksPnFHZBMN00HuhnbX5vlTjwgU
BLXDoLU6ZQIVGyAnmVef6IvXPuG9vpJld0bZXXEx/Tqqz4yDUVbyTmy7kwbwd7PaSqom/ay12Zcy
8b5CViw2RWkJzkgFWnm75Vc4lfodx2s/6rTXdPDC3OKtUpjGl6own7XJ/eYuytaLkWk2Redu+E29
Y2Qve1h65abP9cuq4WEY43HTw1Y4N9Ojqj1FbdDl95X6kCrHxgCK0Z9rB0FXZurrPHQYQMtFvd/h
Y7trNLvlMYHM3zhd4HjBrNMYlqD9CMkeID11Xvckp77f9CUJEX0kbsuRt6mRAEZx3V2E3dOi4GV2
hMzILOtjLp4VXByNghJOheYUeZi8scdcagYbU+NiCjF55WNsAbTUu9t5ciFlyIwFi96A/waNKWHt
5m1T6zLIrdjjhc3a1638VogFoZIqY9CJKIEi03rw4AQrmLb8USbRE5LfZyT4bChJe1A8VdlIU1ob
JP/k28EJDSsjDhB/tf7kRCajA4cZtH6q4+nRW8qzaVPgr4ekaLioc+tz5LRblmuoMJAschPsOXYc
FOgu0pe+CrKs31TdJQQoHHT8I6TM9XjmiM63XHochmg3jiZe7EL2voyU+9hcCIgq3Fs6yZAkuY4W
bB49ntCBDsk1BBRkPF22J3LrmwULEESVM1CKGIJxIfLm4TiXfLlSeSz1InvgXsV7yHhz2MQsm860
N14fkX3GaFzCwtnV5dWyoEad9q31mqJi7QySuxmx5h7Cj7bew5enczqEJQ+UWp7pADMZwFqSd2Ev
Mr/MAJ5UvqiWIEPMHC3uVVQ0AT9vXAxfZgBv8EQZtoIT1tnYHTwwEVTN+Lzm4dZxqC1fWOAuohvZ
+O38OPHyjGTiJyssqT/1dRQg6mDYzu6+c+dH1/u8WEFt7fh71PH5NcvUPlnuqRKfa6GHbgWzifsp
jyWb+tTcacars4ot+mQ7qvd6e+dVym4Qz3WVIx85jDM54XCTnM9GDeDIOHM6rMwg7nYRHLscexGf
OqR3ootCneKxmzCLa/uaV35pjUe3adqgbSZkcOIZDBXR43k5hhJLuu/a2mVvZJf6APGslmyFi9Zt
IbyRLmKAgTL3zmxcFhLmFJPvfif0k4OgbflCcLifjWAB7Gt+7KGhbjFVEURpe1OKYjvNYrUigodP
T85o7CKvvF00lhS1wQYv3ZapEcfQ5eyS7bGNC6u+AVXHtG0CxJwM0UEzKtSuLS9vzmskObuKvY15
i+0y1VJvah3xu5D2mz7H1mmo8/g+dtNgqQfvBOgozNMtcE9uFnHZKnbbaUwPQyKdQMfEv3F6qD9U
F3c40UZsDESBVV3WwvZsU19drkm9PpqyDCpp+XKsgqnzjoiJefW1W06wgaHbj9kiLhGn7Ose/Pic
X4ObC7q0uZ29zo9xsixte2u7S8g5gWRlNgiTylYNyExtdVRmNj1YEd0MGVJgp3gpe80f2yHsrTcu
R6kzxaq9DUOLnZN21OJbu0dIFKFAXqhXktAZlJ0zInNOs6DqMcWWVahmcmfhiSVfcFtlk1/ylprS
W4FadAQzhwMbL82T48L8OZW2EXRWHUp4ZKbl+UYWhyOQwKTyDlIOWyUHb1AQPUJpkbWoJg85B0Nj
PKx7Yr6rmoyj/kY3vNNSliG1fmgm57S8741LVyoXvHPCnqA5b9cJXt4HzyK5/Hpw79DiugVVIyLM
XH3KXU76+vUUyYAFR9p3kMiBOB/1OFEXJ/FF512j50R6DgtSfrMX8zC0zAvV4lAyXOvsLGCMubK2
TkOfQGujLyo+N5IyIVY36vyW6fYlwz7IPBdyQvEUtN4WsytDYUBIjOFy27ldDZBTmQHiHF+k/mki
E62lZlPCono0OMxNUxkUS7HLsvJY9ua9ktnnJgMVTtRZMhlftU6nn5hkewc9oJ5YOK5D2rRbs/ML
7OiFKbY8cW2cbY2x8Ymr8/p+nyAbGiGWLY57IJtBmTjeX0rSz4xFRSreoLxOyRvF8LtEQCOtbV06
1iZimDsARCOIJ4yl3LVdf6UJA8nLV7cGDqg5Z6ccto2nA/7SQo7inHkk3Z9vdmsHRTIQ4bdXa5yY
j9Y4hnb2nOph41zDiUFxfaWPn1zwLc0xiy7aftqSRxhEMmPifENQJKb/hsTC2s+aQzqdIyS87hfG
y34MOlBU1Hfz+KgDEI1KGs2SLxr5BBXQ4sV6n91kKCCcUd+h6jwkKiEFYtwLm5vI5cR1Gjgi8hst
vy1JvanNB7Dm+Dn2xfobWDzO9l097DP9YFNQJuyjXJnyqYhLtPpXbWRvJcWGTVajEmTThS3KU2XO
kB28HSAdf9Y73xwItozToF3csOTEEW/n5XLOVtXprs9vKeA4O8UInSJeIVtZ99Qu1LzpGeTlZiw/
C0TgLdX7twkR9egg82w3iNE7LbRmeUhTJYyyh9wILE8Je+wjEaV+zW7teY/JxAlf/yrMS03eD8Wj
Ms9Bujx2nreZ5rNiPCmkJsrsVceQpbqbqoeL7Vxk4qlLaHtJMo95XXJy3PSFt5HKytrYGcu968HV
haVael9k/WZh4F/iiyY/qIoWJo66lx0pilgDaTrC6niKMJ6kDgeP7qWJgfkWYTLf87bdmN25BmuF
C3DjGjuLN11xYYBgoCfox84L+A9YRWYAXGWT9p+wzgZ6qdBPMDkMaCevtXdOS8MNwrvQboqe6MjN
jBm/Ui4kv0lt44zU09DtMb/PL5bWn8yZQVeKZT//VMBSaWdCGk3ly1jeS9yoxNKF6rpRHtVObuGH
AMw/dZyrl/TJjV6xFZGmI8N2WA0S9EJmScPxbKSAyAixA2quT/kpa2zQrEjqYO53bnRMEojPSxqY
yMB202KqgeYRzqE7koMQRoBQ6at7vTcPhXkmoPx2EogJPEz7JNkScS+jsxGNt57S3lQpH5Gtfx7n
kC57swyzCHN2MaDQMwHmNZNKsOMMMdDTqzOm5Rt91A6RB8LVK/YR51Hez8tDosjQmEcIacBIgL+f
ZKLQjlRsk2e+eEV6dzXB5tCBi/MuNy84oUeBWRc1qwHLWpO0AE3M7tbRCMcrU2RQNq+wDR0FsGxV
zZFZ5mctXvpw7sADCjf9hq16Xe5YEoqebmLr4e5M4p2hVFckRB/qKtlVKwpzKZo71czQpCwgB0rk
br7Wi9elc65mBYpwHe0g7X4t6UaPeXm98ALFHrualtmbHOK5LUELBynhKXftJnRFPfAIqiw0QyXk
zbs061zDBlMILu9qfR456s1F85p03My+Sq4BWIZeM3ySHYTNzo3Jhlvkqa5RsDvtI16+NJic/oEi
VwlVRuh+3NFsmclo9W2aWNuWwDs64kN1rLi+ITSGRzvJtlNXXZZzczan/DhryiE37StDT9jasvom
qe03xcY81TiN/WUp3IWmbwSHMZmKICJRKFCU7Gizmja1gQOuizVlG8XjSJmSZv4YJcBqp7excio/
LoBujBD2/Ui3O6T/2RmZnOlbk3hSF30HLIuutmPRW+nVN75jti1i6e5x6DG0k93BMAg8g7U9wZte
dtqQ8JAl9PCFGW2J0IWVKLiWdGA5ac/0LqMyeRA5UGhRfZkr1lBV15e4tXI8PQPtpRGP1pBGUP6V
4rHwmk+jWnxehvlyLiwF1gJiVdvrXsy2uDPNfKHh1kv61FCKhhXySh9b30Qr+LXqifVspbrLa1Lw
ZNVTJOCPmkOaIu02aoiIXMmxi2Pe6UudP3sTRST1frd1ZgfDnN1fD33f4lVTsCQM6HFbo/8kLdrb
QqO+dvBUwwRGBarECWQCbGJsKJw1tIoTM+Cpu2lUv45eeg09Bu8dUST4esyrGn00jyV9J6KnC59a
JfJns2lomdjRGW3kLndbqqLutV+5uHbcb2OJhW1ED+a3HgCOegA0gEo6dJIpCaJIfoOae61hpkQt
ja8uYgtKdcXc9I5CxUh3axet4N08SucTBuV8D9d3Qg8u3lYN0IKy9jR6zaM18RKc9OTm+0zs/840
cf0pr3Uzd2mcDP3//B//9VODl+Hlp/8B9TMd5pvxrZtv3/AAD/8ccK3/5v/pH/7H2/efQrLT23/+
4+UrrZCABOEufR1+HNtBgEBFb+Nn/+8nf37yMgx13L2Uv/8v/2vKp/9FDgI+Xd0BYscoD/XR9NYP
//kPT/3LWjGAoPKZ1ZgIDf/xH//E/Zl/GTD9HESRDPMcpvb/wv2pfzkoozRkeDCk1p/4b8351ine
v6Z8K49Kc1w6VibiAJ3M1HcqEw22KInBeb/XyJ87IsYddo3XQoXPp+6Y28Z1l07iOdHcEv8ksJVI
aarM16bpI+3ddwH1u28CuMZCEGGCEHHMd9IPUS5Drhhety9T8SYTqV5rZtVcVdWS3us5M5cyrnZ6
RWuqoCGXjowQN3UznnMxWR+oUL7/1j9/FxBzeKANrjRpaO/dHUb9T5BdZicRqATTPrVJvuZoJid1
sLzXdKIiBJ0w14wwiGs6tXTgkOC/MMTS6SjV5klZkATNk1yzgeb57oeVdv33V/mR7aet+pB33xAh
9SrdY3bs8E8/izo4KQBnXoZ+3y9AvzYexSzdFaff6alhHLFEUmVLgynfiqx1i5Qsyk4TO8daksca
Huwz6DvzLScVwv3o4v0KfUDZAvjOBpfjGYh3f/5qjbK0DWnZSGoGaPV0bKsNU5n6tpDN8GBZRX3X
LXP0OdaN6GvjpM2Lm7KHZ+g5HnIVFYeKa/wDTcpvVD7AM1Eorjpjl2y0n7+SkIu7OArSNXVU3LOm
jsWViglmqyYV+3CpldQaHiAjLR0/vBzvnzCEsyiMNMR6MBGJsnh3p6piBRQMKIxUwgkmWktflcQx
A0clZBEAlxZojKKZhQ92kGIE3Y9IjcOGUvbvLZi9M36rf7NkfqNC11ETELiHAB6l47vbMoku8TJ9
JDc6XW7mmg5OoArLOgndK0MxrObHCS/zpvPm6hDN0f7PK/Y3twBJI4CE9SqA02Cz+1HljUs700UX
d/uOcN1LEg9widqQR7xMwZXMtNQyKmWbpcOHQdLrT/7xUeEGGOxvDnIKFXHE+5ufK1pnai2NNy/W
mhdDmlsG5txw8JzkLcwxOP+mwDxIILs/0igR+PbFNWBc6yRVTMx/vg6rduOXr4PoCykWgVBEXr67
EFYvBwVLWY1sukwulbw2TtC0gNijCKvOCpSRTSVoLw6ecdTY22gNKRENiYEWBWCU6nUaXG+HUzwC
QmCCTTdpNOiN0J/qzFk4HXZxxDBVKW8qp2ygflVIyZMxGkKiPZEgTIssQjovaou3ndSaDd5xKc+t
JdIdg/uajGXGOX/+pX+jbyKnhYxL3lgqIqd3z5/aj5Y62NTySbwKKQjwTnc9ge9XRurJ2z9/1m/E
VFj/0M9qOvplgmLefZiROFkihEI8Vdt6LqkEen2ox45oFs+VxKpkZS3jq9mt8pbieXFu0kmV13R0
e0p/j57QjPaBWRv+Xt3vPbO4kCgN0s2fv+Z3uezPyxJNBn04FLyovkBi/vxAGGotkbqDMV0qtQmY
8APydjPlf3F3Xjt2I1kW/SI2yKB/vd7f9O6FyFQq6W0w6L5+FqvRgKTSlNDzOC8CulFIXpLBMOfs
vfaHKQaM3cYY0OSzgdCGg2+QDFNYwM6jcSszF2JM6331UXdjm351TlGibgfLyXdOhb0q9/JALFrK
vfd0D9AGKClXdHSKrfIxToWZ4f5hdp0f6M934lqG6xDbhiDPc39di8agKdt4QKkayGw6gx8j5mKq
rc9/fmDse366jofNck7IhWeK8MlFuD6Psh/U+fqQiMDFdLWb9NRa1AN5762ZIesIfC2DoB/N/waq
2U/h1D8EBkajRTzAZ4Rw6A2XtE/8bT7igMfexbj3qTothTnS7ICcYVz0LivWk6+GmyQptWWu/OwJ
tW23KvE6tLa2AYKwDaPmSyLIWToBRXoIGnqRLTOuayYAfkhogcmFSpYCY0H/tjw001NBEr2sgIWT
h02y0FIHkFukyW0dV0ecCPQKsEMIP/nQNPGihy+qrfDgiZ74h972F5MIv7lR9ERmDaBLa+kTx9mY
ZBHEOhcV67atNxDH9pPXfJc0E/UcM7xM9oUdrW23e/UgEXQ0+XAhIdegYcfvTgP8nX1E57M0vum9
RLgA9wBPZbEqbBip0rLflFGCzpwAXOjBClspnWYEUdmQLspIXqAQhDvo8xDlo3sVTwV60ormaUz5
xfZfmMVWSYr0JLBIrvRf9eQVRz7neu+ztvMDKLHjaNOFSaxXDSUBtWP/KdH0BzWNRxlr5damZ1hT
JZW6/dI5n8xxnKxc+6pLfe/PMRdl5SzF3P+uxMGp9O+e+pqEeVCoOb2Rfj6lgqyxEejbexgla6eQ
R+YaJnvTe6oMusM+m6Wpb6BzlASvl+nBqI27TLW7UcGqU2a/0SILKz8GMR1Heph2PJexu+ZO/jWY
tCmdIN3nAIeSUXtDKrPt0AJuXcpY2Lkeq1TClaU9l9D3otpubRVNV9NJ1kRpvE4JYotRWItSz5j4
G23TxeEKovwhCrSPINC2VnWRzbEPcygTPlXFgn4aJQB475Fpn1Rzb2FBsrUaXCDJReWw1Cb91XIs
5v+8eJ6MSCwKoQ5uSyFHTCtHNduJ+l4KZor4mYqew0z1zgm7miy0AyH1sNJu7/A9nruKkmUlV21G
88oR+ZHDqr4O8576O9MgTc/HZKrvY8UDmQySCgBQE/HwvZfmCiLw7SQp6ojwTlj1XUyVf4y7J1/C
z/Llh5nxCvj6ULd4ch+UBjWk8jMw3xsr3g2Be89kudW6zqJT7R3VqE6R6nahE+zLdNY/yKw5dkm0
cbAJ+nr/AGZjO5T2Q2ZTWO4QqrGfXMBEWNuRtycjIpaiW+fkb0TFtOfbPBSoHtq+fSuQtU88nIpo
nCwlGc2L/QXkzJ6qlcYHW2NV5R2VkZkvJdFN2RJ7HnUBw0TugUgMkECyLuhOWnF2x7008BwTb1Uj
3slDcy2dqgXkUeK59zowZg5kHerjaes495kb55QRccY31Uen99mTR+VRCRP6Fs0HmaKulyWP8Wzw
VS7NIhx2CWFvq65ztwhlFgRCnHHD5ks9xhCFCHFZ0kyXNLSn+572qx3VmwaJwWTvVF0TElGkJagg
RDloMeMquk2s6auOnnUtO2DGvSU1aQO14yVhZgh8Cvdj+Y1yZ/psuCAOhRnhx57oVjBgg2rrlccK
T+o1AYlxk+aSMrOZ28Faz6R8SKPR3HttUr3bdiiuSRjxM0eJeW8JfKLlm+7b8sOOskQjr86JV/Zo
RBuPv7LyzCm80U1SiQyr7RauQsE3WaW/Jmx9FwhDAlsHN7EMtDK7x/+tfYbsMslrqOKH2hPybux8
QE5p8aUbFFaAsmIO0fTXKnw0M4e0M8zTgsOamt71odH2dkJyYJuW7iUTGlX8sase7Kn5JFwvPsN5
0ndS6nj7LWFaj3x0ZB2ZGe1NvBBxPe/OPLjYvfmWGZMHziPJrmFUZwAZR2JXenI2HupyjMFa1cLm
O4+dnadM2rwOpiZbUF+G28OkBkV2bE942+ybEOg0uEhc1EUms2PVWwWEVNhT1bJqK3vTVtLmnjCg
rRLqNTDj3I6eeRZROnZU0L37MJFwBFHPXA4I+GQ52B/jxM9YgAMcEWZZ8R7ekKbWMefHrQpM6Ble
AyrWyCz6aWOQgUlHU/rK4Tj/huQchaTumCeScypA6Z1ajMQ/nZ0C7wK9sJQurddH77kV3IOzffLz
DEpMYU2+tcFlUhL4oRnDVfZkgSVD5sMax+hND8+XPmwb/FWbSCe2ahgJoRZzydEr9fJGqwt5wofa
PMP5QmbcBPHBa4Nyr5mg/Yvc8s6zEp+KgBa7r0ltyf0kybxKCXVBsNi9UBKlwJxrEXFM9mfSdPYm
aInaUE6TzolC99ZQvqPJgIcgKu2+7dLmgcQTk8P0XAkV5WBS8M27Sw54K12EuhmtpTG3optafHh5
iDDRZPc4dlZ6kKQB7MPaSR4NjWinifbNSQ+iNVKWhynokpWK+/ZA0wrrs6NRnS2SOVbGmEgfQ7S7
jgnjiZZlSozHInF8clQalYybwEDvC8sXRwOkEQCxYdvRBWv1AWqgD6khpNKnE9fm+TTGa5YMo9W8
j6GOUzDtFmIncIPLdAjsZVWAx68mL1+lgA5OaqKz67pRd44i02zpVIBbC6kN7afJmIGQte4dKYog
54ottTA623vr+iR/tAoP9EullES9mBmoxxKUaJD2s/vGJ6ylTNiVYOZ8boax2hKyYgCkjIqvILTD
R013yo/IjGfUrRNz1PZVSAXWSq7DFFQnHAxsR9K8pVIhHJddhFPzv92eKaLPmXXivrq4vqF/VE08
7ApoZYd+0vQ7ScuBvYom1l3WF/sRNfjB6kgQ9hvbHZY9nMY701ADrIYo3qODr1HpNs3FJx9xXAoj
Lveu2zHXmAa6qSUHCm1too2jMz3Y6hK2sj5DJ/RuEieI3g27GvJNyK4p0kr51jB813Ok6Tufif/s
lpXcM8tIelNpiyo1r2tvFVSxc0EDZl0p+VscfkLprEdTcy8TqEVoYWMcPLuDlx1LT+QKqXYgcBZq
ur0rQtu409pM3LdpmuxDcr2+k1WB8ZeccLw8BF8eXScgAVHL2/SkAGsfa1KrUBvWtn7NKy881yan
vsTUpjNBkna30SAAX/tR9SerM4J9nwT5F37Y4tkcdP0oFR0HIciYYRulqvtMlEjvW4CooHwQQrUU
iFeioznCbKHLQ45cmBaZfgztfhbTps149VjID7QNAUMXJvw4W4rbNmVCjCNZ3CbQD9WqHAfzpZNg
EJBFO3eROTTp0qKuOIu0++jUDpF/pzpV7sNCXFRXuXLDZxhfapvsS8/Ghbyx3cmfECjk3bgD6aMx
CufNUto58bMbz8Gw9HHaHSB6EpMqr9wTzeamy46gUGs3WD4AGizNxiZKYrdZNtBMEAjN5cRnn0LU
ppBeQagbDjDZ7Ecj/EIOPyxy/FRLPQhn8TV2YTYOnssMRvV3OfB7bjIMH0+ZZwVvuqtm6HKRv2m0
egYCjXT+eze0o0tcCvXuF8VNYcty4wV6e7THSuxa1bw3Zh6+jIBf6aKjfW2sYsu5CMZdKouDhgz2
3GVDx7Kc9cdKC9yHJhb1WnRt8EbXWoM4No3tI8fW+ccp3zrHUcB2xVYaymNfI203StwccnllcGTy
MPZ6BhL0EelR18zp4vUUHxons9nmUCLrnaE4VInbbc20NC5GVodrL+utL4AWyEP6fHQHYq5ynAJD
3hP5mU+cwC9VSN5YVcX2MvZC74bObQ1WqOqMRRsEKDUgIPpHNMmcPNI8Qz9cE0kIMgiCvx19mhGz
fQFd74rhuHOWStXFFt4yfcNCCH8dGF6C7G+qXCwOzeQuIqMHmC31Hef+7tjlIXAa1Bk02qtx9h5A
hEG+uQyJON0KafpshM2Rnk5nJ+2inoTaIb8PkAUaYb3u6fq/D71Wn2qO1tOiTifWuarzn9J8pjyj
5PWuaOqoHyZA0Aph7mVci+fA8cBel/zDeZjKQ2WI4D4Uqf3eeIUGHqcNyCDrgUE81wTa3BpdSF4W
5JNlF/mY4EYtwMsVsXeUUE0KokysvDGvLgcokB2tcaDNk6+hQw3rqc20ZTgF3lkWTnFBSyfZhfYf
Jjtz+spFUp7TsXY5ncF7HmcCpWtQaPPoz59JwtHJzWSdrKqQqogYo4rmMiDuZT246hvefrx7Qd5+
UFs+O1JjHQ+KUN6YZVxwMIq7YwWnELlBMIxfDS0Sjmmj09iANWq2dEOIlGrWa1p75UXWoRPEzZyH
ETT6LJNFl5x5ikpwo43vQnT+v1Gl/1Wr6f+ZJc2loAWXWfdwVXq2aXgWxaL/vTF1916ElWp+60f7
7Z/6d6fK8//lzW40nRhAiqUUWf7TqfK8f9Gm0qGPsfyRU+5TAfpPp8r5l4NJzfEtujYU12cE9H8c
afa/aE3gcPWpc+Fytez/plP1S5Hpd0/gx+KPKEdNGAFMxsBhcx96i3bM/lCa/e0l5uYaOF+HUvXc
2PihvmSOTts53TDuOEkASxG3Uep8/+FF/KYI/4sX99938cMl5p/wwyXcIu+bYWC9CvXgVMb+Jz3a
ZedGqPycaPXP1/ql6PrXteZ3RRI7iV5YDX++luG1LNimhYG1Sh85ih5NOTNC+z8U9u25cfBD+e/f
1zHgnlDEZPJ157LdD/dEjImBAK4fdmalWnTY6dGO8ndXASjvwLnqnQHvpuTwnjZ3jhoeogT1YGBt
w9A6EkD9rjJx9kq2PKWKbkfib0I3/g4EZtZHAafVjdMAh1V6HabAJr5BinKnJEqcom5juvKSRVE7
FzOgpY9Z89KmM1aaiRcjcd8wwL3ETDEDGkBsK0m56mOEDYmzpyZLxc90FlPpQlz2zZpYLiNZFr5x
3xQVSusheNMc4JH/9Vvxadp6MDfopvytiOkTJVp4oz3sxgFVXi2NhZDeaUww/P3zhX6ulv71nfsc
sghxmz2kfH8/vxbfnKqxrb2Bfk90b4dgKf3A5/AiXkQEoNfx/zDcfjO06a449LnmPAJiYn6+Xm9z
C5MWDLuW/oJZ1JygIHZm2Srj0P7Pt/abD9Wn1MyY1i3D/2s2/HHEMRIAPqsKqvRMfa26Xen6f7jE
bz4eLPMmbXEctfTMfrkbmFhxTx8TE0dvbgYouSlOp67M/8DV/rXTPH88iKro59Nn5lzj/VrTjvyg
1nJ92FWKMqgs62s1VFtkMCnaJCDmQHO+bD9acToinWVW7ngDwpqq+i71fNYZH50+2zglspl/fsa/
9uP/9st+UQaUDUBtnj/jx/cPshmaBS2o+8GuwaK2pO7ZkCZxHO5DozzYAw7UzKLmWDbnf/4dv3vX
rCKsP39pJNxfJmXRiSY3w3zcTU61bWzjntyHP0W1/W7oznR/V0cAwbj65SUAydUN/DDjDpZ4pt+i
HIsKb0O42R++/d/dCwAuOPcgNqDw/3Id5Rk0IiI+SVJsNRSz2ss/P6vfDVqLvheCBYda76+ctagv
pqatoa1DOYX7Ha21ILiMvfsHXMFvH9cPl2Gf8OPnF1jF5EU9S3FmffOdAYAk8T2Il7zQWv/hhn6z
tvhIHP7SYPg073/5DA2t7KQBw39HdtG5Kmw11xovnZ7PM/rOEwo8rmhPypH7vh5uYy365HNj+2yR
T4L9bDcYzdEbzXcz0u8aPH0YZ5DYpoRwray6+e6BI40EdS3KAV9SNxACyu7ke/2L8sKbWJhv9dRh
UCofa4MuDRmd5iJTKK5MVJhTGt6S2RovWrbNa+SjZ7SZHzWKXw4CH1HuI5PT9pyGE87AaoFSawOD
D/tdVKxMLKD//Kx+91Zs+Gn2jG3S2a39/FYyXaVNUvJWXD3/bhftvqVevayGgXjx6g8fpfFLE5vJ
AUIRvT6+SZhgTPk/X8ymYx1HSTDtQMNiroIfuazsufth7HCpYX2InydQPICWjfcWtKXVG8WfxgaX
+HnbwU9AZ+Iih7McWo+//IQRECjUcx1Mkn6kwbWGnbjNHPcPM/Tfv6mfLvMXF+2H3Y39f7zM31dr
V6BTIKXTQBTmiV/eXoiek6zwmLeHgreSt1q7tzHIZXIzVE//PFB+d0ewXdgV4ngQfxsosVEZpVnb
086J1bcC15EfYxJDhPZfz3YujASPuYg94cyz+PkFGXXUUe8app2vKorFBqWSP3H6/j6hcgl/PrTM
dCj++fkSfdJaTETTBNqm+UxrHRqs+gM9Z/4Tvw4zx2ADYLlMQ+avw8wN+2ZEazHuRCDOcW9/hp3F
0RdXVp+XLxaQY6p2xjIos+oPH/RvPzIHqY7BysSDtH65uzaau/7QDnd9ZgGR9Y11YiDl9TMLynUL
NIdg+HWmGQcviz5ra2wWuuV9/fNg+c0TZkfHFshBDjlLd35+wniI/AzJlr7Ta3GNuvRQF1b1h60G
CLF5Ff/pKf+FomMwmvNDJmHt58sI1caVZnlq5xUkyZnlqrbxXH2XzclmoixVvxuKDZZazTw5lF2y
eu0bd4HOuaGBIv6sj+9x/j2xFqLZ9sWtdlOIZwFXM/yoi3VOKn3wYFClyElUFMM1QwJEuwR3GJKZ
PbbAg4mXx3/34/E+U8XRLIj57jIVr2O8g8tSBntXC7ZITVaO4MhhElSWZFurxeCSG+YliprPeuZV
Bs/6V0THosJFhVlrOfmcdMhDw48I0tZaI5Dajjiyes3d5HifhipYqn7bQD+J1PcaQWOX+3Lvp3nF
glpQaJXuLijoZe1Qbw+TQshb0V/5IIMAI1W1c7V4ScUWEfbI7p78UhsPKAj+mVWiH6soXOUaP9Iu
iDmpuo0vEmhJlOxRsJfUcYe6uHFFu/Rq+7YX+anu36F8Lz1uWoot0/umiN79kK74muSXl6AVd1GB
tQHxxEgYMowUb0fK5t7Ag6uis1N+xtleBi/Uy+uFTQnVh44uNH2vQhJK0C8QgUy4JpnxDsaoMuiQ
csKm7x3W9yABA5Gv8478Tgk0JNcBDlvpVsemhukNpwL8yWVi3VQ9VDzX3ESle9+ykWKILk0Yxmwf
HlMwGw6pRqOLQ9UeDEQeroshESqI3j3bEUfuFOMRVKiD659p+S6JO1s31TVK/bkyf6mruz78ktAk
OEfKtVOOh1FG8w+Iti0NHCIWqkWVVqDP4oc0Nk9+REsvWhNnwUGkX7floavQ1cnXIVQIzrpHas17
O3vw8Wa7uXdyh2lbkmzQEglfBA+uYS3TcFoWDcDn6pTA5bLIfsjIBw4ZsCWdDjjNero02vLqWP7O
761NROG4U8MWoSUVteqB+fEj8LHFiJWw7WtL+yGusfPLrly38TYd46vpxsSiUtrA/HZxyomCdXRK
yBeMqc2tUOYvLBIHBwKu6jBdQiAJg5YBTls6TbCciFXhnssqXNneA2IRLmvbr2F5Ww/fayUWvXMG
P1Fh/yw1Erqgz5PvYqlzAf8/XCmcfR1rWYdv36w/RnWr8rtc23nhLrYXVXg0S0Aw5hp5amO/h/EZ
x3T9nlM+JFixqw41T6xGN2+9jwMZgib5dh4c+WNMfoz8ju0caUu6MHla44NDK99yNkb+Lr0HcmPi
GEGEFr1yDoaiWIHzvimKd0NDOyKulgoWFYJ6IAOo7XF1rtKgujT43gZRbvy5FSHeiSfBSRgsw8Kg
32IsXftEb3XtxuMBycXOB0eaDO7GdKdbG1MO2hBd7TR3XxgnCwrDNmhWTdYALsIjMkhnG4dwEtRQ
TZfWAEfkaIJarx/R3qvfzVw/d2Hg79wKv0Qkw3xRYwPubSKV2ihbtXlZXN2iWothfFC24Bsys6Nb
y9Wkd+TyhhwUqzBP19aAb7V2jXRTsmQcYttz15OK6zfVu4e2Yxvc9vh3NHAuHbUUwiW96UBN8C7J
knBDTQl3SILHLOTUJ339qDIsMiFnpzV/M0SXFnySTIsbnrIJJre+3sWxO3vCBVoZoR6ko72ie1t6
1k0Ty+NkFG8JfrHII4mAHiuBqvQySSKHvZz2+9QYJToJVCT6gMaRgOzWrYv7KWlOIapwQLgN9nT6
nyeRxrjLs6tTiCXaOVBpee6utUKnkVPsTAvFQ9YiDHJiES3TxD+3abTRneApNG9dIW9Vkl4SDY8h
CU29RrPd77aBO76qEQvgRCwQXrBYW415RKqyMSx6hrUedt6KIsEzZPP3wdDgRBntpm6JUxmkdSdA
1aDrECCUXoYemzX9zQHNmI2Schp1tBkttSsayn2YjLjLi5sgT9/s1rgNXDidlg3lXcbJuQnUngAM
apsxFGZFUHs90D0pTOfVD+1zVo03zmC+6t231o5vkrp+SoV77BuUqy7aF4HQgxmv+2YnDSaxxnhM
KJAuOml/9vUrcqw3+iEMwwCwhZiQvdi3aaUfh8564NV9RVX+SHnwU9bK5tVrx1KbIP335xz0plY2
18qxCXuSdx4WvswgzyfCZi7taiGKiWlLLF3VQfgDWKSbFU/BqFeZP9yETv5ijPgJWs6JOd/A6Gcn
L+32eLd3lqv2fUFHzoXe1df2K8q3iIW4ONhq+swDfJWKnzf6DyO746WTmw+1GxyITtog4bwtE2eJ
1PMrSjCpeZr4qObw60LcjB5QAGMIQNtoK8NgTA1+YaKx0LSlixKDtvK81EZOsE6giOltVR4wW92V
oahxdZK/XYitPWpHCFzR2kSJQDAfJKE06537NC188P0utoAZXA6pCxoUSelXp/Qz2CDeNsLvswLU
8hBI8ZgqhVeoLU95Xr4WEZNFCaVZM8p8SQs3X2ZVfh8O6UeZ6qfAR46lJB58v66+YczooDNIcoQs
2SzSdKzWrluGW1IU74JRu8EEmGEiAlM5hXJhSPMQaWSjEZ+wwE6HYqto9RWCto2nR0vS22C883/W
6ha8Sc5MaK6o2ePAd6DRDGLhWIxE0cDKaJS3byYkS67BquFbCBMaBX4qUIrqS0+ZKmxIRuuGx6gV
TwLXKz7JAgic91SSELHyjP6ugUK7MIcenWamrWK2VQvJ8j7mzUGX6V6D8smS42y0IHzMDBy+nQ/H
hRpbP+EBtctD2/SkEYBflKgKFIWZKsluRKDdSD274WS/12JAvNZ0IxsDQZLGmT/OXrxEP8QWd+eA
g0oSXrVm7LS+uK/qAfYAAY1CYA5rahBhBR+n6+K+jDK89zqNvkDjSYnOyI+63x9VUpK9UCNYSMN6
B+Ng3k0U68R2L4PmHcKouy2y6XsYyXFlJRAjqoH9qxW+5CX4OeLMmBAlYH+AeQtNEsJWycxe9LaS
69R1IEEbyXOUdWs3wdKt+5diCl6g8Ce4yjoHYIo4p2F2Dex6zrujpkEx/UGZbOuG1l6SxfVObs1V
OJiL+1a/zc38UrnQiOuogeGcJBelTBQAPuCxgg2EW5p3kym5GnO0nazb2t25RXZmP46JMIXIYNM0
lVl6hS90b5c2FtVa4UBGQMQLge2CKPbOm6joJxVAB78/txWr0CzQSeznzk2fEgsdrNUMd13aFZu8
meqDnU7dAqZIA68FaY0IwrtGa1e2ErsxldYqcqy1n9c7tIMfhbC/yzRplyjJanqE4z6LWF5UWPqH
XLFWz0cEUFJBeAACk8KeiIyjVXYNhX0Sj033zBCJt3bnWuQuj2wODE1baM10IsbV38dO9xBY6TVW
PWGKYt1P3jmpi25jI3bVWn1TTulhCiAUFozYGVWyylq8y5BGTsUkIC2A7wqivdO6MDYcelCsiXFF
SBZSnCa3XpXdbmiZXylKL9OGJcnJ1yWUJA08SZOn+4w0TSw6C5Ug1WMfOrKNi2iWL3p6DzWnFEtl
a63Kvrsuw9REG4V5M/bjQ8xW3ausA0MHbEJ38DvSnjo/WU5e+dja0yYfRtSjyXiMKDVljblSdbAl
EmPVCJBQ0zCBW9LOcT6+Gz6LQjEShDKhcRTT2eDVQo3YNmQjtdpw40n7KcS2U07Jra59y8JNNXEi
QCK1nyw+/byqTjIG7mMR95dwBImokZGGsVFtv0HOtE1k+1lo8lX49rIT3b7ApNmKYN0B65PGWRly
42n6smFvKqHU537/OrnZVjpyjZthpVfBejJQYOfbCs56XX+rR8TQKYivPr1LCRsmMwaoh3FfVeam
S9QKwtOtQsHUWyhDaw7FBJfq2vuk8oNhvDrE41ZOv0q9j9rdqNI6mNPLRIpHfdXD76gm9lWN6rH3
eAv6g+eR2dnCx532eV6vs8bBfq1d09Q/D7aOZFpeKgOzxaNvm2sW2jVc8pNXGXck0+5UF3/Pxb4o
nwKiCiIXVmFbsx76fNpVtnalu7Tceo0JdzUmxqacE/BaUDAC8FLNwyPKfjVaPmtIvZ+QPBFAjyRv
8G7MCrdECIcmYkshAwXwhaSTXlUfYdEcnbY6BToGemwf0mwBvIV7u0fX5QfqorPvdYmjtubcPLF1
g/wMFCxkD4VAOLQpzGhju9RsB22ATyfNwmEeZNkh9IpbKzHP0pk1nmqT2M2Kmt/JicPbnsg2H9Se
4nSGsvIzjdRdVYvdlIhPJfqVTDLvMAl3PWA24vdTncXSbbXVeoSwqFcoeCv/IhogtoV6jvHSEmez
MO3qCNPzY5iobhTk4RGKgnqfIFhj+iqK/LNiI04CDXkx0bW2y3vFuM3CS8aJETVDA/YidB4LfT5k
APBbFIXzXKV0RhSI/lnCvPWmmNH66ANRRB+xHOsdosm3sppAHiiye/R7/MwKSWj85NTmFhD1lq7k
1h3LJyTpsO8jfRVWrIqO2uhjsstdmAHoSmv3Qqo6aZFwAjgU1/5w8BA8qim8H4jCRHh7aDXzkalh
ZQzuXjTjWfQFuq3+hqYpPealV4grcV70nLObyR+WgaUfUJRsIZ9tQEEh88b2kS2Bx5wyfO1LW0Qr
X9UXfEsY54jWmiAvKc3fgGDQFlDCVwbImJAAsMGIEP/z8gPrCx3YvTOSK7TQiu7BL+M3O0+wZsMW
NNKjpVe3QT/uYra8RqrmvT+Yizi906f+VMpmYwIpaBLxIbX+pmtz5jinvqRVetEkrmNkN5vJRSE5
lgAwLOcjtpvHmJAmDZW4D/1CSbWrkK+6U/tk9OO+DTRS6u3DNBrbbA68TOesTeMQ6oT2kVS9rctr
IfQTGZyrgclfE+Vra5ZHfVTXuuzXSZxcCK1CvGNu8TE9WqpFI+5DYpgXYbVKoVIxEL5aa7wmMaSc
CLhAYIUzPc3Ftx8bS04pqw5Gz0T3KrAouGoeMYvTho9gPcKEKWp1JD5n1ZvWylLQLXq/OZT1xPZ0
3JsdlfzetLdAL+uF1MbnXrY3oRh2dGZWiQGosva3jj7eKG3mjzABhMhq6uEu5oTDNoCPO7Y0QSvc
4cfWxzzKbz0tYkz0KeiK6opjvAZm2p/GKeCPBze9Ha5dnUeqy7VqEBhNfvmdTN510d3ifl9YVUBC
pjibffBBisGrVWFgqpL24mUju7pR3JGDimu1L95rDXaUEYwPmG6tdS5jYDDucCxq/cbSKY7A/LAK
Y9+DPULag2S0P+oN+R091MVmcE6RR/hTmCLOLnmt1bDvCBFlXkI01kYrRzaoIjOUu923SMfmAAaU
1Sw7ZDGWjhBIVVw2aClBurW6t/QJuvQHdEE1N6g3CMFkummZm4qmv4NNcNciCSsyvgAgFu+dr7uL
QHQrDXmeyz6t1sdXa3DeEQNTzWouPUtLFDcHyHovYTvgkO9uCgvPAFDvFi6Wk/BNEHkqaitciUxu
CwJPSXPbWIhNG864FjsUTqnsx/uzPYZ3ES8viNuDlWobb0CpHqffqkZ+dpJdpAcTa0I8R3mjPxCi
sZ8K+apHLt8igLSOKuBo9IQtjXfuYF1cJY/kKBPlLlJyj4vi4Mn8VWs+LWYOq9WhOybmahqjdUXe
qIuOqoG1OEQ6vSj3lq3TgBrZ2U6e2HXDRk4HaLG8CPZFcaGfKBRBOdJXg9Su5SR3ceCcHOo7UCDm
8B/AjdEqpdPA8ZuHGbCHAEhKPqNFa8sQl2jwH/TeX0axcUzEV91XN1mU31itd8Qs/xA7+nua8tw5
f4U6cZBMckLL77SmeZO+BAAVNFgrKfRnid3taT3QTTOmSy96Fh59FVnhps/og1WHVAsWkChhoWj6
m+hZmOsUa4N7FdjeqPRNh3ASpzyI9yZAidavtwoIpK31F7ClS5JQl4FhHskl3c9+kshk+9vlYkNW
CTSwds4p8tn7W2Ro6XZ+ViIlKXSEvxxr7KM5LwKRmGGwfae9hm3yNEOR9spOh5Nyq2pDtB2JrQ4Z
OzWy+13fRU+m6H121i0KdryiRml/w9Sg8d2SARLkwLR6v2Q66z71sX4bCu2l0KijMAhRkT/qrbvM
x/YmiqxvHF4hyU5PTESPfcBJH3j9msr3iG8PoKEnx03a2Xx1lQZK5X+YO4/txrEsi/5KrxoXcsGb
QdWAJGhEI0oi5SZYsvDmwQOz/rf+sN6IiMwMl5GZndWrKqomkVJQJAS89+695+wjaeq40m37HiD4
c+8kGFR16Wi0sEwYtrKmSb68EXH73KX+qmr4cDBA56gfaV9a5bkZ5LXpaRvKU/CkggZaN26HbDyq
8tBtiLbDFVbJ2MgqDl8S8nxfqeYmV9a2/F0/kOSGpeq9kaJ2UecR09X2gIf41MvjQR6sB9EFx4iu
KG+zIgWPft3AyE+KMXxjbhxnmUYAXJkSi4btTA7reyULLwE6PmdQUqHxLjMaA0VU3Vqpdm+V+WZo
iIrFKlUaBtwWYi4Tb+PB7QxluiqVUq+zRFlS8tOHLcRSkqTrOuL2RaF4sqMCQ12597PxMPFpRGVc
Rrm+x25BvldyK0bnbNSIFtWBVq7VWy9AbC8hrXIezPk00YGlYRk37bHX7OcOHl1MsW4OdNAwbaTp
ZFD2DXyVlvIgxnhrebBdW9T9lZafNcs+Ax4aAWpyNYker1Y+sEtOchky6VY7ISI/jl7i+rlx9KKa
dkhB5KhSbCpsMnwyY0MQ1T34TUJGAMdlw0Uod6SgVkTZ9pl4D4XxSJr2AtW2mxT5rgrEDemoFLTG
RjQN1Xrt1pFUzkM1O2D+u7Wt8CW18iXMktvBYAROYYzQvDolan+ubOtWt2jLO1rAIjfV2hkLdkeI
JzJbivBiZqhtuLD1APOAZD4rVgT90SphUnXxjQ1KPMei79i2O0DFQT+8o1tynXjxXsV/wJSqX+RC
7LuKNOtCkpMPw5CO7MbU67eKgOUQESE4KynLFnEh3CwSl3bOiM0AeAJvmueShq5c+WfHN4/YWKR9
UnnmtqBS1Azgn4YNang0OQGCFXdD2dmpkXmdqiRhNUo4y6UOIbu0Em1wNBTxaFXFje7FF9QtGwui
V44QDA5Lmt/GurY0jWDpG/pxNP1zK3XPlibDGcuqEUGzvux6ghaYQbOU1H150QZZtYpL5djG1imT
5Jfer67FwCBOkQwYU0G502lrhu240evyBB1hkea8Cv37eTn4GFLN+Nj4ytkvMLlJWQ0ipq8BvdOC
ZUficJYVZbuKdQY9fZrtUKXgNaWdCtTmQukQqI9Kv/LGEeejbaVLW4u2okD1HpS523FVF3kER8fq
As4Dre+vnB6EXAEhh1IrUWZOhhNRVE+CTCdXKSlTqf097Ar644inCJJx2b2WrQpJN1Dvrbhbe5ru
k/+GySS1/HMVp6DIqA+r9hbVMgjFEoxXZ20LES11awK7Dhbh5ER2dlVqovYWpxLg76yFeUUI4JbG
4dEsGAvkfnYaKwWTh6A/jgmJeJ9aPnMuHQgSpgIb5HxD5XVj+c45d7R911cHn6VhVjVZsRcCo66Z
+YfGEi86Vg5+jQg7NHIxs+oxyjmhCfldLZsrNSOONke8BJAZk64tRs7L/Vs5wuuWbNiveARPUand
y1Z/FYXqrddJC1OEd0xEAYbbdQj+uTslVvxYWjylkIXmIGXvZJ+oEEj+c85zElZBXFhRkO6U3r8x
m+Q2aErb7ZWKszHHGZ1NLi0GNwL2Vo3ShZ9Cv4ecG/Xt1ajhpgB4WCwyBfa6VuQPmo+gC7anGwpt
LYg58oyegjkQc79Vp1lIQZZ34FJdXQTNeOXICo9kuLU5E83TPrkYVOW5JZvalWT7jlEj3sH4NnQE
6wppUZQcncc8qbOvB3a2jZyDb3XaBEp4dKQXzuVKDET1TJFcK2W4Zyrd2YpVGkjOlQ2mPxmtQ5zG
e4s0ltYP3uuyMWfApl15CioznDxdhKS1jFWAe1g9WoN0SJpyDwDobHX2ysf9HPgy0Hb13syMTSS3
zEWdgSFLhgkqtBlR2SAAHX+jQ1TTimJDwMldUEUweskqi/pNlIrLIIjvimGysrYXRh55a0XrVmmu
7mwzW4VFeRy84EJ07bPsWPeDTpkddSspkPYERm9F7NybY37PkXfH0ffOHsqtrkmLWveuQxl6Jkss
zPtTG1PleYTFKvItbGSOdcUG38ysQU005/Pfd4XsJthrOFTRO2osDK9xcGnYeA4E61Cd5y4w6lUZ
06oICZ1RvBVEAvioqrgodHE55vaVEfuPEV4M7qLmjK/k2Oc3TvVUaNqdJcVHcq0fAOjPAmDmsJlw
Kxulm3hoEYT1bMgcIlyjemm5VbQ8XTVaAq84eJC1eKOH1jaSwDD7KaRkEyY2D5XokpuqNG6xNCxb
oSIMDcVJy5SrDqtFJfrX1EinyWC2hWd3Mea0bYPxvR2VtcGTOtUseHiwUumAwmGggntLTP9O6QrX
JAZ8ro3dHIPlrefV15zrfAj8lYuGwKMnj+16qLaOw4xzRK07ryQFbGZwhA3jcO0uOlK8Zl0brXmA
EVi0l2oxopZrlqLU5p3jHcdGfgzS/I5nuqU+GN8G29JgYPj73o5e+imnN55AlhUncCeMXrG7ruVS
ewftfol1cabFxVZkYBIKyRpmSJwwFUbAGBHE8DXCmIVyYgiCQmxdKWzYJStSbACj7ZyLolIeOdAy
XirLU1s1G6PxDp1nQe83nIMZ9899lK0j24FZzO2CW9/w4CMahEQzpkGatyslsCPZAVV2QM44nfs8
uTT07jHItZu01s5AiUsCfTiOOTaB2XJAwy0Tt62dXok8vpFSwGdJ82iZBq7n8jhq9YbgzIMdiq1U
Kvdj7LzSWpA5/KUT1KC+0YwrRnqXaZIcdKdbRUawVZt4V2igjaVwWfl4VRPuVKy97mAbT8NAFPGY
4oRm8vM0SOIuKBlXJPkWPtplaRv3A6cXOgoQSgMb7R1NGQjcM0UgIVIS08ST7O27GAgfPdM7+gUA
m/Nnu9LesipY4ZDaDFZ1xRjgwRfJObGSBwQ8CxzKbhvjSjHluaV5LiiU+UA6gklPbJahS8FQC5mN
g+2xsJVNVdPuE/ImCrtrsi5vtcCB4ZYdGmjCqWUlLg/ZlaiBHmiI8NpAfc6hungECzdOuRzVgW5H
/YLc0JX9eFX4EwpVVPtUVPdGNzzKWQcmTrkJpusvOILFlgLFKSHxTGmru160ywHAbZnQXi6ZUDg9
KvEk9q5tIYESkLJT2cdnjO3OhpxXQj2sZF6H8CWjp6ikZGuYrHZ1sM1rDSpQT7ZarWSvJL+6Qw12
VFV3fl2umfxuG3044fimg5KgocfZKEC+02HSr+IQkK8tu3bukaLFdNdRN06trzUxkRYZHVg5a36D
FSp20665dfLoeghlVpzgpk2KcBmZ5qpUpBtP4czR0hVmDX/PVYPcK4nCwyFg0/Ifc0SxWiNDeG3E
rdDJYcFFjR6HS0BVsIu9IWMZKV669FQG8RVuQX3myf2CCCNrV1YqVywGXl2bIl6Ecr1pGS9FjbE1
qBaSTq1nPqWABhy7YJgn2f3r2F2YzhUF/7IhPj5PFo1KMRUPCB/KdZtjqLcTkI/eWi8N4n3CZd1r
IPHyR9WfrNHmcykSxy1AXLmjDLg0tZamlsw10iUcvKOGxLv3GF00/qtkXKuafwuTaN6GN3yU+2Da
W8HUrHomK23rbRtPfrIy6ZyOyl5OII+Z5cke02MuoxOWDsIONmizGCmMaHyacVa3T6EFwCCpH8mF
YGxiQOFjdOLknHlFFOzkPCZMpD/xnszJFL4qOnldTyyk/LkfjHPBQj2rA1Qj5TZO36deW9H410Kj
9ilZvjXSz8J8RkLuRY6XeXSk56AM9n1WrwSdiyjVsnlHhxDPPCNW8RhU9SPeT5J+pkgkUxJvpUeB
ajC6MOL8VleV907Es5oFfIb1bR3z+5EH6JnBJJeih5xgs7Zi46QFVIYO0/k4TFZK1Lm6yPgVAeAY
4H337d2QhWvAF8dcRU6BKGMBT24GEgNWRbav8UMb9BRxQK51fXyTicBIpSHc0dA5KUYCkHtwwT7P
M2CfIC3laz0leoOjfrBQ6Yx4NQe3lC2hd+RDGMegFSyaOrKyVzF/zPxO20Xy+Bj0ynbIe9oKbGTB
WNLDCu8rh/z2esZmYxvjISeHQu57aVZ0NTIAvZhDmiNiyWFaQrrSuMARfYkSACiVEWwcYcHIzWEi
RDoFfeoP70Za3GaKdqMbTTeroYnOmHOf4xaObKbGR0sL4Y2XR0yv8DPNXYdqZgb1/dgV/WsTx+t2
0LjCyqucNUupACGpjXu41v2syaubIGvuo2Y8jPp4bxprv5FbUmLtXWeFdNKD5yKgYSopj03ob5HZ
bKKO/caZWt4yHKssqhbd2OyMMruFuDpD/RnNwyTYGSLfAMW9MEJO8pXYyFWzCmK8qE5w9hjCJrSR
Capf5HoRzoSkvNkl2jfN7Tr0cWrMGVOB6z3qzDoqODGV7c8LIC0omgH1tuI2bAbug2LEbjlUkzMV
ErHKvF9jAMY71mIo3q25bpWObjg7dGEPvhsFAnZK181SVX9SQ2Ky7GLw5kQBkBBsOZedzyDb0Idt
GmtwRdNN1ZFMP+rrsa/O6RB4M6tB2iJVa79r1x1KDhWUbUJ21axCfH+BOZ+ObcCVrdrwqMhZudCY
PUi6fG60CPnHcEvJNjdlfU1AyQKCqrgAUnVrNRIHA4uN0ybhxvfGt1rSWbzHlYXAOLeqo1fULQqM
kQEaw3+jb+ZeP7oxEcZzM+8ZViFgwSY980eBYFHwM1r/NEjVlUzxlST2Hqf+RFNQZmVap1C+03ti
LolHGnomi6krqzVKqqLe67nVznovPUALWXcDa0DLtLNu+2dDiHtNRbLQx6+pSgenKx/sSYPfq8Y5
i032QZMXgat2KOuwW8InQeAS1FdSplzqk2KOXqdZtYRJoYx37TFZ6kPOzm7ULhO9125kqygZo6hW
8+wHGdRD5Z3J9x1xs6vSicGuS3Q1mGwakY1YTFmaVUEsC8zgcUQ0YHS+q/qIagKfQJNi4BRfDO0y
8OMntBhMC81umIdjzjFduxxGk3tyRMVh+ek6oWrYJNbwDu7pZYLmgJEejaPcv/aAB2yU/01Mpcy8
37s0jBeF5Dj5XoZ3oHMHKU+lFPDIoOhiaDVUC1998Bqgdu0dTupZKb0hq1uETDOqiz6ktQ96C435
3JCzud7uPAYRnrYa8tYNInlRI7oclhYJMvbgmgNtTMttWUAKVAkjLesrna2ZmTMHItRK6OZCbxF3
LJyatidyy2qfff85jp9GevUhLY1e7eclRYwayq6j34zFtdWuBVFPkV/SUFg26pna0g8fYKEwb0b+
3blpeNfgLoCwftkVq6yTUYwGmwjWjFG0B1K26Oqe8pGV9KGyTXQBRM+45JQt1GGd0iUYGvrTO58m
DDIWWqPPVtcdRPdqhyfCpHQUf1kDCdDbjNyxdf04WsM8ipL5GGmHhvOP7lzhd2apELc1QHQJcpIu
IODX0daInwec5H73FkfKk9e9egi8x2Bddtli9C8GOLiDpCz7iHv20asPHlLmwMQIj1vDccrnGOqC
XEnGjPJiPvY7W9I2kieu2C0eKokUKMAlhCGjpdVJwTUkYiyQSEJnIsTFHNC3MetSDzQWcDiYV7ra
b5zcXENWQMciyGxBjyiNFCzwvI0qvOUZm7cRXPAAsLpO5M8HDkZe7iI9WmspNwBH+6FoGICyU6GR
rBIbgrB9nfbhMmtvipZexai66RiTa2grs06Ojj6i3EEJVqWU0+RJZo3pXHogyaxAu6g4tNGjgXDt
zUq/vTHY4AaEfUg2XNn2kCalG4z1M1sllwlOdx9obMJMf6gZN3jhl4DcznY8sqSYxaEwbTaDsjXR
J6gPsNie8xAilRjChazooKR4WypVftKnKF6BfZeAFtg5Sd+QWrqlnUa8HcdpFbTF3/M8HJGvQtIw
/PQpDsuVmennv3MGzKBJKDiUbEyDdnxRK6H7ZxXlJhnyuIGZ01B4f20dkR05LdowGNY5wuhhTZ7B
j1//Wx/Ml7aD6eufGTbCRgXS7+AJyB4sfV4/R6QP/I7P6juieFvF4qihyjdtkFRf/ggtgIDmA1tc
88vzOeFJHz/Cn7Kw78OXMq/y9/oDDvnlZzzyRyDyL3/9j6IlY/D4kSk9qoKnIPwOK5l/96sDXcXk
hZ9clrHHTT7zj6zkyYEOPhI3hKLo6mRO/9WBbvxEMQFO05r+p5mTbbvKmzr4x99U7ScbS5YsYxbF
um78uUxUw55cCF+6FHC44wPBC2HA3NW/+r0DMM2NQoZsK6twS0yeyypifyrrexOaS5ymlKGEV82x
a+zwTIFWCNJ3P4kfcAJXZKrAoxhzxY2TeECtFpp0eItuNWhjsNECsu0rb0diVwpqrKHvJIOmbdNb
EQwvJNyQQlSzNJUIK4u8bPAnDO80c9YxYmQMknNSBNlc0DHrrQkB3jq3kPsM/z6QrAocY3Zp9g+9
Vb/ToTkhN7W62i0lidQu9VBrYqs0zVGUUXjRQkuaq34EE7aqoA1G2kCiYS37myzW035mVvXkHlA5
sRHMVydXeVoOgLToIMxj2jevMAjHpSqScAnJ1rqINbsxFiLEIQTTvcyuvKFDfeB446vsKcprKSfB
jS5aiE0+4a23DOyaRYuewx1Vki7oOqns0rF8bNWRbGRiB9hj9CZd2UXeH6LIom1nqv4RSVCwaMY2
dOUx9Ff8qpRFWapXzPl2TpzsYq3Cw3IwdXhkHWfwRK6D+WCkxkx1QlK+5JxsnRjREojDpVz2t1pM
tcvZYKdXzlUuQ2QyzI1HJlDvn0FQPXsNKVxRcAREFg4nPfI2dmjO6b+xuUNHvgxDiuy6WI3gdqOy
u5SRPQNTuVM4eOMr2OnKHTmDJ1RIfum4mcLqrSjXjf8m8sD1nFsPDB6y8XLhw5exs/SSwBIoYtuA
VJRRf7X01m0Zo3IaXjBPu0Dtt2zoiYVMoKJRX1ld6S384Cbzmb9NWwpYajm4zzppU5PvN7OG9NiY
HF/K8Vz6HO87BvlVU5DgW96mhlVfkFuwsifrgXKpAI2PYct6ff2uV9oVNYveX1Udpn7DmBhuTwy1
ZqHVLwtJWaXMkksJTIxlY19oIFcSpWnb0nyMZQiaCghJDYnnxjZYm8c4by+DHmORFtez3u/3ccXR
fkQXX0dKuPaH+KD19qG3K7otqXhJnEZj6taptMOrjVRbL8r0cCUhYblvhq2+Kup7LJFpItlTco21
SngrAmWJ06CO07DAdEEXzeS0u7drZZ05JYNm7cYppP2gKevIIPEn7TCUt2CawtRbkkGB+i9pH4lV
WLBDcuJhdkR33Lr0JYeEpAhSYJ3YKZI7m9sDQJtbVjoxTcSPYlA1KuCIqCdU8I+6yUjAjp7FtJmP
YCRXUs2Nx/AG0GtUTcm9HN9UM2V9CQLMJ/aI1drTgxWUBd5FY2jXRZe0K1mFySj5bc6kjYB1SRvq
90xnSAPVKt8ysg8vCS8l7nesCkZ6gb0OhiJ/Tyqgy7OeFvEzsi4PAk+Rc8iHh+ZGeqq4fufUSI7k
cG8KOYZmKlDpjAznG6y1UPESZ5NNhUU+lRhd2ueHoFDKm07zOPJAIj/QliQsJ2YAIKd+5xapVC5z
Mm4xNakcMItO8hdlgEeaHsZ4RpNvX5fYCY5cnnphktnwkEBJWuGG4ByU4/Lft7TT3WTgfEZfl9Gf
VrYudhl6ISmsNMeOE9dBZjpR5sZFknjhgjgYsW/k6q0xUA1ojSkvDU+ql+AMadmjLp05fN626rpN
ZnfqgRk2GAYq25yDo83M0s+j8lHGQ+FGDYQzubEc19Qk4lbUBw37OSqHDuWYSaJuHicmrqTIOZHt
bDwhwmz2ppyaV6WPtHVMaYqP6IHnwmBQkepDuzEztOxRhJ5eDxXtEvnfTtWYo2hkALmWJ6Unzfe8
jQOkcW8ZEStYJTdEiMkETLDaIdIuwtCe54qWLuu8MN79CcaX6qTmmhFpqVo5ddmljOBA7UBKoLUQ
Je4kW0eh3Aw1yihyMyZbmrhWPGOgj9BYO0mluIYxdmaGMbrQPKQF7k0SaWSxq2NrxUamuFLjM2yh
hRyWdNFgKs47ofjzKZ7Fay5qodjb1CbxM6iZFUrAzqlt1Vye6/xUrnnmPDopsv/c195aFNg0+px0
PuWezLW+TVy9kHM2LtplWpoXN5GPfqZj9Mzo0DPWxdiVVB2V7tKKMtkXau1aWGBL9daQ97FnaCeV
2gFAzbwsGaonvsPAT7PqVZgM2pzIXbB5g3/OR9QfMvcLE95q3TYkToXdMDOgkq9R7lszw0YvGTvD
WVLUOykZ+KgagwNTjoOV6OmrO0bzVsesIwZtpJydYc0CEM36QVk0fU40sJKvzcDi7B+izSo6+nWV
aJN9UUn6RSOPyVrr1YfaOTCQLSCvy/S4tOKRtmS6L1rrusPspuMYwL/CyE+lfyQsi+DSwFbuYHfX
LfhefXxJTDT5MyhfSGug84lwGatBqS7w/zC80ntkkNQkyBOwg1mRB42uE1EWL4XnUTwZngM9BQaJ
sQtGoLsQhaDD9LmdXYQEg3A+qTP+qxcjy6pVJb7AREfsqSwztpcKgxQZ5NwxHeZlbeocJVqRgNRj
oCl4kt1KqOJF8SawvYF2fcqUq4mOD+Swwg6mhNnayOUpSTYf2xtHAMcfosJZaiAlLxsHojIwyALx
QqMhr+lQyahN5+H9ijLktOZ4E4R2ZrkwFSkeQdCGBoKfMXiMc7s82qIdXCWsrSNRPBYiskm4W9CX
L3oCUsyiOUAu1V7tImlw0k3CcJHaB3Xoxxenb8zLDtLgria/ZV05rUVNOyb1vJUUtoWxr7u5lLLL
GR4tMMCXjEAr5XLI2WS1bl6oFlywkmGVvGgKxFjkwV9yljUuQ+FvSanr57GhH4Kuo8lZWDRklX6a
43fLXkeJNPCX3hL1OmxinQFHiBiUxD8vTZOrKBKJ23CPPdqJeRWY5cEc0XlC05LmuRoSYNbSYaNF
aqE9bP80Sgg6ieGYLMuAKwz8u18WPH6CMgPXm1jbXnxNI/00+ulF5vweqv+buoofY2qUhCCYVAPb
+Jc/hlGr2ZW9Kta5Or6GpXYBn+f2s6Lj+PGw/nlwxmQ6//IIb2sfyk7HVDFWf+2zB4mvJlB9xLry
5FWkIFETYjzasvN7pubf+0FflaFdno9S5vUCE1L4wLz0wOxglrd/mlPDJfv883x1yWop4pRV8GMQ
LsizOrM2ZSU/6Ulj/Y5J+3u/G+gWVFHcCFRaU230WVkN061MsAII/MhduR38Wtm1Vf+JOvOvqXw/
jwn65ylP+f/XxfEX3/L/UUJ/+iTfTRyiGP+YxjF99QgMrz7l38QS/aFv+vEL/cEIIxMml0br57MH
5Jc39iFE6UevkzyRtdS8kpGk6j9ZChSpCbX08c/f/iuBPvjpy47yk2ma3IU6WqbpD3cgXYDPrtNv
XYkff8hvE56+fZ0vPsBL3mR1STKUH+bZ510GlVv1i77Ehxf69gp89QKfXQHaCJauyZg6vnsF5J9Y
rAB8YgL98Ifok3/LFfjNNCtLBzP1Q37gb1ySr17xs0ti/ASngd+2QpbLhz9f3BQTiOM/6xLQbvnw
NHzdo/rTH1z9SdfoQ2nq958G7gUoLirQjo+X5d/1NHz1m3v7EHq2ef3H334j2ez/ch3YDjhiff86
KLAkVQ0e0adH5j/1OvwLVkfZgttmOdxZny+L8k+KynwfKs2HVVGmV/hHn4g/sHb+sosgxk9eP2wy
4Rv+9bdpAZyi8X73G35efb99gU+r6nSzsHR+8X1Tat7HV/54Q01//+cXt9qHhf+zL/68EXz4MZ/+
+afP9+1P/uJn/fyhfv6P6/AN+PEL+aIf7uVP7/LwlLJH/W4U329n/v2yM/zo9RfBU/z0+Z7y6Sni
7vn1s34TJ/iHXvr66Yd98b/4xrdBk2Tfe+ccR//qO78ZkuCt/vl1Pqwtvx45/uqLz54AQ/zPfyff
e3metL/68n8ekfsXfxH7IUXhFmZ+8F0sL3AnqBpMPUyLWQbZEQYL5o8/5Peeol/OXd8+Wz+fp773
z75cN6bveEnensp//i8AAAD//w==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svg"/><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9.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12.svg"/><Relationship Id="rId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image" Target="../media/image10.svg"/><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4.svg"/><Relationship Id="rId5" Type="http://schemas.openxmlformats.org/officeDocument/2006/relationships/image" Target="../media/image3.png"/><Relationship Id="rId10" Type="http://schemas.microsoft.com/office/2014/relationships/chartEx" Target="../charts/chartEx3.xml"/><Relationship Id="rId4" Type="http://schemas.openxmlformats.org/officeDocument/2006/relationships/image" Target="../media/image2.svg"/><Relationship Id="rId9"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13.svg"/><Relationship Id="rId11" Type="http://schemas.openxmlformats.org/officeDocument/2006/relationships/chart" Target="../charts/chart6.xml"/><Relationship Id="rId5" Type="http://schemas.openxmlformats.org/officeDocument/2006/relationships/image" Target="../media/image7.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687917</xdr:colOff>
      <xdr:row>1</xdr:row>
      <xdr:rowOff>304800</xdr:rowOff>
    </xdr:from>
    <xdr:to>
      <xdr:col>11</xdr:col>
      <xdr:colOff>101599</xdr:colOff>
      <xdr:row>6</xdr:row>
      <xdr:rowOff>146053</xdr:rowOff>
    </xdr:to>
    <xdr:grpSp>
      <xdr:nvGrpSpPr>
        <xdr:cNvPr id="33" name="Group 32">
          <a:extLst>
            <a:ext uri="{FF2B5EF4-FFF2-40B4-BE49-F238E27FC236}">
              <a16:creationId xmlns:a16="http://schemas.microsoft.com/office/drawing/2014/main" id="{AAC6D3FE-5C71-58A5-2905-D03D6179A45D}"/>
            </a:ext>
          </a:extLst>
        </xdr:cNvPr>
        <xdr:cNvGrpSpPr/>
      </xdr:nvGrpSpPr>
      <xdr:grpSpPr>
        <a:xfrm>
          <a:off x="4669896" y="490008"/>
          <a:ext cx="2370401" cy="1071566"/>
          <a:chOff x="3044825" y="463550"/>
          <a:chExt cx="2168525" cy="1082675"/>
        </a:xfrm>
      </xdr:grpSpPr>
      <xdr:sp macro="" textlink="">
        <xdr:nvSpPr>
          <xdr:cNvPr id="2" name="Rectangle: Top Corners Rounded 1">
            <a:extLst>
              <a:ext uri="{FF2B5EF4-FFF2-40B4-BE49-F238E27FC236}">
                <a16:creationId xmlns:a16="http://schemas.microsoft.com/office/drawing/2014/main" id="{7AE7BA07-E269-F158-6AAE-FF212A508FC8}"/>
              </a:ext>
            </a:extLst>
          </xdr:cNvPr>
          <xdr:cNvSpPr/>
        </xdr:nvSpPr>
        <xdr:spPr>
          <a:xfrm rot="16200000">
            <a:off x="3492408" y="15967"/>
            <a:ext cx="1055602" cy="1950768"/>
          </a:xfrm>
          <a:prstGeom prst="round2SameRect">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 name="Rectangle: Top Corners Rounded 2">
            <a:extLst>
              <a:ext uri="{FF2B5EF4-FFF2-40B4-BE49-F238E27FC236}">
                <a16:creationId xmlns:a16="http://schemas.microsoft.com/office/drawing/2014/main" id="{EB2DD9A6-4CE3-4250-8BAA-4A6BF40178B1}"/>
              </a:ext>
            </a:extLst>
          </xdr:cNvPr>
          <xdr:cNvSpPr/>
        </xdr:nvSpPr>
        <xdr:spPr>
          <a:xfrm rot="5400000">
            <a:off x="3744034" y="61037"/>
            <a:ext cx="1060450" cy="1878181"/>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xnSp macro="">
        <xdr:nvCxnSpPr>
          <xdr:cNvPr id="5" name="Straight Connector 4">
            <a:extLst>
              <a:ext uri="{FF2B5EF4-FFF2-40B4-BE49-F238E27FC236}">
                <a16:creationId xmlns:a16="http://schemas.microsoft.com/office/drawing/2014/main" id="{AB9EB144-5B76-2B5D-57DE-6A22087855E7}"/>
              </a:ext>
            </a:extLst>
          </xdr:cNvPr>
          <xdr:cNvCxnSpPr/>
        </xdr:nvCxnSpPr>
        <xdr:spPr>
          <a:xfrm>
            <a:off x="3803960" y="541367"/>
            <a:ext cx="0" cy="876962"/>
          </a:xfrm>
          <a:prstGeom prst="line">
            <a:avLst/>
          </a:prstGeom>
        </xdr:spPr>
        <xdr:style>
          <a:lnRef idx="1">
            <a:schemeClr val="accent5"/>
          </a:lnRef>
          <a:fillRef idx="0">
            <a:schemeClr val="accent5"/>
          </a:fillRef>
          <a:effectRef idx="0">
            <a:schemeClr val="accent5"/>
          </a:effectRef>
          <a:fontRef idx="minor">
            <a:schemeClr val="tx1"/>
          </a:fontRef>
        </xdr:style>
      </xdr:cxnSp>
    </xdr:grpSp>
    <xdr:clientData/>
  </xdr:twoCellAnchor>
  <xdr:twoCellAnchor>
    <xdr:from>
      <xdr:col>18</xdr:col>
      <xdr:colOff>355910</xdr:colOff>
      <xdr:row>1</xdr:row>
      <xdr:rowOff>357217</xdr:rowOff>
    </xdr:from>
    <xdr:to>
      <xdr:col>18</xdr:col>
      <xdr:colOff>355910</xdr:colOff>
      <xdr:row>6</xdr:row>
      <xdr:rowOff>8629</xdr:rowOff>
    </xdr:to>
    <xdr:cxnSp macro="">
      <xdr:nvCxnSpPr>
        <xdr:cNvPr id="24" name="Straight Connector 23">
          <a:extLst>
            <a:ext uri="{FF2B5EF4-FFF2-40B4-BE49-F238E27FC236}">
              <a16:creationId xmlns:a16="http://schemas.microsoft.com/office/drawing/2014/main" id="{590E274B-6DEC-6050-3008-F177EF81515B}"/>
            </a:ext>
          </a:extLst>
        </xdr:cNvPr>
        <xdr:cNvCxnSpPr/>
      </xdr:nvCxnSpPr>
      <xdr:spPr>
        <a:xfrm>
          <a:off x="10903260" y="541367"/>
          <a:ext cx="0" cy="876962"/>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11</xdr:col>
      <xdr:colOff>377825</xdr:colOff>
      <xdr:row>1</xdr:row>
      <xdr:rowOff>304800</xdr:rowOff>
    </xdr:from>
    <xdr:to>
      <xdr:col>15</xdr:col>
      <xdr:colOff>107949</xdr:colOff>
      <xdr:row>6</xdr:row>
      <xdr:rowOff>146053</xdr:rowOff>
    </xdr:to>
    <xdr:grpSp>
      <xdr:nvGrpSpPr>
        <xdr:cNvPr id="38" name="Group 37">
          <a:extLst>
            <a:ext uri="{FF2B5EF4-FFF2-40B4-BE49-F238E27FC236}">
              <a16:creationId xmlns:a16="http://schemas.microsoft.com/office/drawing/2014/main" id="{B85BA551-0B8D-4F8E-B0BD-D4AE4213DABD}"/>
            </a:ext>
          </a:extLst>
        </xdr:cNvPr>
        <xdr:cNvGrpSpPr/>
      </xdr:nvGrpSpPr>
      <xdr:grpSpPr>
        <a:xfrm>
          <a:off x="7316523" y="490008"/>
          <a:ext cx="2164291" cy="1071566"/>
          <a:chOff x="3044825" y="463550"/>
          <a:chExt cx="2168525" cy="1082675"/>
        </a:xfrm>
      </xdr:grpSpPr>
      <xdr:sp macro="" textlink="">
        <xdr:nvSpPr>
          <xdr:cNvPr id="39" name="Rectangle: Top Corners Rounded 38">
            <a:extLst>
              <a:ext uri="{FF2B5EF4-FFF2-40B4-BE49-F238E27FC236}">
                <a16:creationId xmlns:a16="http://schemas.microsoft.com/office/drawing/2014/main" id="{5D9CF6F1-AA6E-6BB3-B14C-6838E0901CF1}"/>
              </a:ext>
            </a:extLst>
          </xdr:cNvPr>
          <xdr:cNvSpPr/>
        </xdr:nvSpPr>
        <xdr:spPr>
          <a:xfrm rot="16200000">
            <a:off x="3492408" y="15967"/>
            <a:ext cx="1055602" cy="1950768"/>
          </a:xfrm>
          <a:prstGeom prst="round2SameRect">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0" name="Rectangle: Top Corners Rounded 39">
            <a:extLst>
              <a:ext uri="{FF2B5EF4-FFF2-40B4-BE49-F238E27FC236}">
                <a16:creationId xmlns:a16="http://schemas.microsoft.com/office/drawing/2014/main" id="{293235CE-FEB3-739B-E092-EC9AF55260A8}"/>
              </a:ext>
            </a:extLst>
          </xdr:cNvPr>
          <xdr:cNvSpPr/>
        </xdr:nvSpPr>
        <xdr:spPr>
          <a:xfrm rot="5400000">
            <a:off x="3744034" y="61037"/>
            <a:ext cx="1060450" cy="1878181"/>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xnSp macro="">
        <xdr:nvCxnSpPr>
          <xdr:cNvPr id="41" name="Straight Connector 40">
            <a:extLst>
              <a:ext uri="{FF2B5EF4-FFF2-40B4-BE49-F238E27FC236}">
                <a16:creationId xmlns:a16="http://schemas.microsoft.com/office/drawing/2014/main" id="{FFF0473D-28BC-FA79-4EAE-E83759B83891}"/>
              </a:ext>
            </a:extLst>
          </xdr:cNvPr>
          <xdr:cNvCxnSpPr/>
        </xdr:nvCxnSpPr>
        <xdr:spPr>
          <a:xfrm>
            <a:off x="3803960" y="541367"/>
            <a:ext cx="0" cy="876962"/>
          </a:xfrm>
          <a:prstGeom prst="line">
            <a:avLst/>
          </a:prstGeom>
        </xdr:spPr>
        <xdr:style>
          <a:lnRef idx="1">
            <a:schemeClr val="accent5"/>
          </a:lnRef>
          <a:fillRef idx="0">
            <a:schemeClr val="accent5"/>
          </a:fillRef>
          <a:effectRef idx="0">
            <a:schemeClr val="accent5"/>
          </a:effectRef>
          <a:fontRef idx="minor">
            <a:schemeClr val="tx1"/>
          </a:fontRef>
        </xdr:style>
      </xdr:cxnSp>
    </xdr:grpSp>
    <xdr:clientData/>
  </xdr:twoCellAnchor>
  <xdr:twoCellAnchor>
    <xdr:from>
      <xdr:col>15</xdr:col>
      <xdr:colOff>365125</xdr:colOff>
      <xdr:row>1</xdr:row>
      <xdr:rowOff>311150</xdr:rowOff>
    </xdr:from>
    <xdr:to>
      <xdr:col>19</xdr:col>
      <xdr:colOff>95249</xdr:colOff>
      <xdr:row>6</xdr:row>
      <xdr:rowOff>152403</xdr:rowOff>
    </xdr:to>
    <xdr:grpSp>
      <xdr:nvGrpSpPr>
        <xdr:cNvPr id="42" name="Group 41">
          <a:extLst>
            <a:ext uri="{FF2B5EF4-FFF2-40B4-BE49-F238E27FC236}">
              <a16:creationId xmlns:a16="http://schemas.microsoft.com/office/drawing/2014/main" id="{DE521E09-7DF4-4639-8DC7-A2A5C51194C8}"/>
            </a:ext>
          </a:extLst>
        </xdr:cNvPr>
        <xdr:cNvGrpSpPr/>
      </xdr:nvGrpSpPr>
      <xdr:grpSpPr>
        <a:xfrm>
          <a:off x="9737990" y="496358"/>
          <a:ext cx="2164290" cy="1071566"/>
          <a:chOff x="3044825" y="463550"/>
          <a:chExt cx="2168525" cy="1082675"/>
        </a:xfrm>
      </xdr:grpSpPr>
      <xdr:sp macro="" textlink="">
        <xdr:nvSpPr>
          <xdr:cNvPr id="43" name="Rectangle: Top Corners Rounded 42">
            <a:extLst>
              <a:ext uri="{FF2B5EF4-FFF2-40B4-BE49-F238E27FC236}">
                <a16:creationId xmlns:a16="http://schemas.microsoft.com/office/drawing/2014/main" id="{D550D030-34C8-A744-A6BE-BCFF881FEF4A}"/>
              </a:ext>
            </a:extLst>
          </xdr:cNvPr>
          <xdr:cNvSpPr/>
        </xdr:nvSpPr>
        <xdr:spPr>
          <a:xfrm rot="16200000">
            <a:off x="3492408" y="15967"/>
            <a:ext cx="1055602" cy="1950768"/>
          </a:xfrm>
          <a:prstGeom prst="round2SameRect">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4" name="Rectangle: Top Corners Rounded 43">
            <a:extLst>
              <a:ext uri="{FF2B5EF4-FFF2-40B4-BE49-F238E27FC236}">
                <a16:creationId xmlns:a16="http://schemas.microsoft.com/office/drawing/2014/main" id="{C7329B72-25A5-CF06-86C1-B1DA55382EF9}"/>
              </a:ext>
            </a:extLst>
          </xdr:cNvPr>
          <xdr:cNvSpPr/>
        </xdr:nvSpPr>
        <xdr:spPr>
          <a:xfrm rot="5400000">
            <a:off x="3744034" y="61037"/>
            <a:ext cx="1060450" cy="1878181"/>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xnSp macro="">
        <xdr:nvCxnSpPr>
          <xdr:cNvPr id="45" name="Straight Connector 44">
            <a:extLst>
              <a:ext uri="{FF2B5EF4-FFF2-40B4-BE49-F238E27FC236}">
                <a16:creationId xmlns:a16="http://schemas.microsoft.com/office/drawing/2014/main" id="{470FE419-5EB0-90A1-0C1D-E19BAF705056}"/>
              </a:ext>
            </a:extLst>
          </xdr:cNvPr>
          <xdr:cNvCxnSpPr/>
        </xdr:nvCxnSpPr>
        <xdr:spPr>
          <a:xfrm>
            <a:off x="3803960" y="541367"/>
            <a:ext cx="0" cy="876962"/>
          </a:xfrm>
          <a:prstGeom prst="line">
            <a:avLst/>
          </a:prstGeom>
        </xdr:spPr>
        <xdr:style>
          <a:lnRef idx="1">
            <a:schemeClr val="accent5"/>
          </a:lnRef>
          <a:fillRef idx="0">
            <a:schemeClr val="accent5"/>
          </a:fillRef>
          <a:effectRef idx="0">
            <a:schemeClr val="accent5"/>
          </a:effectRef>
          <a:fontRef idx="minor">
            <a:schemeClr val="tx1"/>
          </a:fontRef>
        </xdr:style>
      </xdr:cxnSp>
    </xdr:grpSp>
    <xdr:clientData/>
  </xdr:twoCellAnchor>
  <xdr:twoCellAnchor>
    <xdr:from>
      <xdr:col>19</xdr:col>
      <xdr:colOff>257175</xdr:colOff>
      <xdr:row>1</xdr:row>
      <xdr:rowOff>279400</xdr:rowOff>
    </xdr:from>
    <xdr:to>
      <xdr:col>22</xdr:col>
      <xdr:colOff>596899</xdr:colOff>
      <xdr:row>6</xdr:row>
      <xdr:rowOff>120653</xdr:rowOff>
    </xdr:to>
    <xdr:grpSp>
      <xdr:nvGrpSpPr>
        <xdr:cNvPr id="46" name="Group 45">
          <a:extLst>
            <a:ext uri="{FF2B5EF4-FFF2-40B4-BE49-F238E27FC236}">
              <a16:creationId xmlns:a16="http://schemas.microsoft.com/office/drawing/2014/main" id="{93B4C2F2-FAD4-44E5-8C6C-7130D258AE23}"/>
            </a:ext>
          </a:extLst>
        </xdr:cNvPr>
        <xdr:cNvGrpSpPr/>
      </xdr:nvGrpSpPr>
      <xdr:grpSpPr>
        <a:xfrm>
          <a:off x="12064206" y="464608"/>
          <a:ext cx="2165349" cy="1071566"/>
          <a:chOff x="3044825" y="463550"/>
          <a:chExt cx="2168525" cy="1082675"/>
        </a:xfrm>
      </xdr:grpSpPr>
      <xdr:sp macro="" textlink="">
        <xdr:nvSpPr>
          <xdr:cNvPr id="47" name="Rectangle: Top Corners Rounded 46">
            <a:extLst>
              <a:ext uri="{FF2B5EF4-FFF2-40B4-BE49-F238E27FC236}">
                <a16:creationId xmlns:a16="http://schemas.microsoft.com/office/drawing/2014/main" id="{B7D70C7D-A61A-A156-EB17-9A2D13BE4A8C}"/>
              </a:ext>
            </a:extLst>
          </xdr:cNvPr>
          <xdr:cNvSpPr/>
        </xdr:nvSpPr>
        <xdr:spPr>
          <a:xfrm rot="16200000">
            <a:off x="3492408" y="15967"/>
            <a:ext cx="1055602" cy="1950768"/>
          </a:xfrm>
          <a:prstGeom prst="round2SameRect">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8" name="Rectangle: Top Corners Rounded 47">
            <a:extLst>
              <a:ext uri="{FF2B5EF4-FFF2-40B4-BE49-F238E27FC236}">
                <a16:creationId xmlns:a16="http://schemas.microsoft.com/office/drawing/2014/main" id="{2FED57A4-0B8D-6700-B310-48F6650D6CFE}"/>
              </a:ext>
            </a:extLst>
          </xdr:cNvPr>
          <xdr:cNvSpPr/>
        </xdr:nvSpPr>
        <xdr:spPr>
          <a:xfrm rot="5400000">
            <a:off x="3744034" y="61037"/>
            <a:ext cx="1060450" cy="1878181"/>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xnSp macro="">
        <xdr:nvCxnSpPr>
          <xdr:cNvPr id="49" name="Straight Connector 48">
            <a:extLst>
              <a:ext uri="{FF2B5EF4-FFF2-40B4-BE49-F238E27FC236}">
                <a16:creationId xmlns:a16="http://schemas.microsoft.com/office/drawing/2014/main" id="{D60274BC-18DF-762A-EB0F-62574EFBBFA9}"/>
              </a:ext>
            </a:extLst>
          </xdr:cNvPr>
          <xdr:cNvCxnSpPr/>
        </xdr:nvCxnSpPr>
        <xdr:spPr>
          <a:xfrm>
            <a:off x="3803960" y="541367"/>
            <a:ext cx="0" cy="876962"/>
          </a:xfrm>
          <a:prstGeom prst="line">
            <a:avLst/>
          </a:prstGeom>
        </xdr:spPr>
        <xdr:style>
          <a:lnRef idx="1">
            <a:schemeClr val="accent5"/>
          </a:lnRef>
          <a:fillRef idx="0">
            <a:schemeClr val="accent5"/>
          </a:fillRef>
          <a:effectRef idx="0">
            <a:schemeClr val="accent5"/>
          </a:effectRef>
          <a:fontRef idx="minor">
            <a:schemeClr val="tx1"/>
          </a:fontRef>
        </xdr:style>
      </xdr:cxnSp>
    </xdr:grpSp>
    <xdr:clientData/>
  </xdr:twoCellAnchor>
  <xdr:twoCellAnchor editAs="oneCell">
    <xdr:from>
      <xdr:col>19</xdr:col>
      <xdr:colOff>469900</xdr:colOff>
      <xdr:row>2</xdr:row>
      <xdr:rowOff>180975</xdr:rowOff>
    </xdr:from>
    <xdr:to>
      <xdr:col>20</xdr:col>
      <xdr:colOff>317499</xdr:colOff>
      <xdr:row>5</xdr:row>
      <xdr:rowOff>34925</xdr:rowOff>
    </xdr:to>
    <xdr:pic>
      <xdr:nvPicPr>
        <xdr:cNvPr id="51" name="Graphic 50" descr="Money outline">
          <a:extLst>
            <a:ext uri="{FF2B5EF4-FFF2-40B4-BE49-F238E27FC236}">
              <a16:creationId xmlns:a16="http://schemas.microsoft.com/office/drawing/2014/main" id="{07493C17-2C4F-49B5-9318-A1C70456848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26850" y="803275"/>
          <a:ext cx="457200" cy="457200"/>
        </a:xfrm>
        <a:prstGeom prst="rect">
          <a:avLst/>
        </a:prstGeom>
      </xdr:spPr>
    </xdr:pic>
    <xdr:clientData/>
  </xdr:twoCellAnchor>
  <xdr:twoCellAnchor editAs="oneCell">
    <xdr:from>
      <xdr:col>15</xdr:col>
      <xdr:colOff>503200</xdr:colOff>
      <xdr:row>2</xdr:row>
      <xdr:rowOff>180975</xdr:rowOff>
    </xdr:from>
    <xdr:to>
      <xdr:col>16</xdr:col>
      <xdr:colOff>350801</xdr:colOff>
      <xdr:row>5</xdr:row>
      <xdr:rowOff>34925</xdr:rowOff>
    </xdr:to>
    <xdr:pic>
      <xdr:nvPicPr>
        <xdr:cNvPr id="53" name="Graphic 52" descr="Ribbon outline">
          <a:extLst>
            <a:ext uri="{FF2B5EF4-FFF2-40B4-BE49-F238E27FC236}">
              <a16:creationId xmlns:a16="http://schemas.microsoft.com/office/drawing/2014/main" id="{0FFC1AE4-FC6A-5C46-89D4-1B3232B7873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21750" y="803275"/>
          <a:ext cx="457200" cy="457200"/>
        </a:xfrm>
        <a:prstGeom prst="rect">
          <a:avLst/>
        </a:prstGeom>
      </xdr:spPr>
    </xdr:pic>
    <xdr:clientData/>
  </xdr:twoCellAnchor>
  <xdr:twoCellAnchor editAs="oneCell">
    <xdr:from>
      <xdr:col>8</xdr:col>
      <xdr:colOff>38100</xdr:colOff>
      <xdr:row>2</xdr:row>
      <xdr:rowOff>180975</xdr:rowOff>
    </xdr:from>
    <xdr:to>
      <xdr:col>8</xdr:col>
      <xdr:colOff>495300</xdr:colOff>
      <xdr:row>5</xdr:row>
      <xdr:rowOff>34925</xdr:rowOff>
    </xdr:to>
    <xdr:pic>
      <xdr:nvPicPr>
        <xdr:cNvPr id="55" name="Graphic 54" descr="Receiver outline">
          <a:extLst>
            <a:ext uri="{FF2B5EF4-FFF2-40B4-BE49-F238E27FC236}">
              <a16:creationId xmlns:a16="http://schemas.microsoft.com/office/drawing/2014/main" id="{0759E261-A1B0-387C-BFA5-FDE4BA6B84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89450" y="803275"/>
          <a:ext cx="457200" cy="457200"/>
        </a:xfrm>
        <a:prstGeom prst="rect">
          <a:avLst/>
        </a:prstGeom>
      </xdr:spPr>
    </xdr:pic>
    <xdr:clientData/>
  </xdr:twoCellAnchor>
  <xdr:twoCellAnchor editAs="oneCell">
    <xdr:from>
      <xdr:col>11</xdr:col>
      <xdr:colOff>495300</xdr:colOff>
      <xdr:row>2</xdr:row>
      <xdr:rowOff>180975</xdr:rowOff>
    </xdr:from>
    <xdr:to>
      <xdr:col>12</xdr:col>
      <xdr:colOff>342900</xdr:colOff>
      <xdr:row>5</xdr:row>
      <xdr:rowOff>34925</xdr:rowOff>
    </xdr:to>
    <xdr:pic>
      <xdr:nvPicPr>
        <xdr:cNvPr id="57" name="Graphic 56" descr="Target Audience outline">
          <a:extLst>
            <a:ext uri="{FF2B5EF4-FFF2-40B4-BE49-F238E27FC236}">
              <a16:creationId xmlns:a16="http://schemas.microsoft.com/office/drawing/2014/main" id="{A3397EFB-E7F5-AE22-9DA3-E062A9019AC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5450" y="803275"/>
          <a:ext cx="457200" cy="457200"/>
        </a:xfrm>
        <a:prstGeom prst="rect">
          <a:avLst/>
        </a:prstGeom>
      </xdr:spPr>
    </xdr:pic>
    <xdr:clientData/>
  </xdr:twoCellAnchor>
  <xdr:twoCellAnchor editAs="oneCell">
    <xdr:from>
      <xdr:col>0</xdr:col>
      <xdr:colOff>50800</xdr:colOff>
      <xdr:row>6</xdr:row>
      <xdr:rowOff>177800</xdr:rowOff>
    </xdr:from>
    <xdr:to>
      <xdr:col>3</xdr:col>
      <xdr:colOff>203200</xdr:colOff>
      <xdr:row>34</xdr:row>
      <xdr:rowOff>177800</xdr:rowOff>
    </xdr:to>
    <mc:AlternateContent xmlns:mc="http://schemas.openxmlformats.org/markup-compatibility/2006" xmlns:a14="http://schemas.microsoft.com/office/drawing/2010/main">
      <mc:Choice Requires="a14">
        <xdr:graphicFrame macro="">
          <xdr:nvGraphicFramePr>
            <xdr:cNvPr id="58" name="Name 1">
              <a:extLst>
                <a:ext uri="{FF2B5EF4-FFF2-40B4-BE49-F238E27FC236}">
                  <a16:creationId xmlns:a16="http://schemas.microsoft.com/office/drawing/2014/main" id="{C25B7A74-BE56-4A46-A61D-F1E826D88571}"/>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50800" y="1593321"/>
              <a:ext cx="1554692" cy="5185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79375</xdr:colOff>
      <xdr:row>3</xdr:row>
      <xdr:rowOff>174625</xdr:rowOff>
    </xdr:from>
    <xdr:to>
      <xdr:col>14</xdr:col>
      <xdr:colOff>403225</xdr:colOff>
      <xdr:row>6</xdr:row>
      <xdr:rowOff>9525</xdr:rowOff>
    </xdr:to>
    <xdr:sp macro="" textlink="">
      <xdr:nvSpPr>
        <xdr:cNvPr id="61" name="TextBox 60">
          <a:extLst>
            <a:ext uri="{FF2B5EF4-FFF2-40B4-BE49-F238E27FC236}">
              <a16:creationId xmlns:a16="http://schemas.microsoft.com/office/drawing/2014/main" id="{41AB0D68-1EC6-4DD9-B1C1-7570B0D8206A}"/>
            </a:ext>
          </a:extLst>
        </xdr:cNvPr>
        <xdr:cNvSpPr txBox="1"/>
      </xdr:nvSpPr>
      <xdr:spPr>
        <a:xfrm>
          <a:off x="7578725" y="1031875"/>
          <a:ext cx="933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a:t>Reached</a:t>
          </a:r>
        </a:p>
      </xdr:txBody>
    </xdr:sp>
    <xdr:clientData/>
  </xdr:twoCellAnchor>
  <xdr:twoCellAnchor>
    <xdr:from>
      <xdr:col>13</xdr:col>
      <xdr:colOff>98425</xdr:colOff>
      <xdr:row>1</xdr:row>
      <xdr:rowOff>384175</xdr:rowOff>
    </xdr:from>
    <xdr:to>
      <xdr:col>14</xdr:col>
      <xdr:colOff>530225</xdr:colOff>
      <xdr:row>3</xdr:row>
      <xdr:rowOff>98425</xdr:rowOff>
    </xdr:to>
    <xdr:sp macro="" textlink="Calculation!B5">
      <xdr:nvSpPr>
        <xdr:cNvPr id="62" name="TextBox 61">
          <a:extLst>
            <a:ext uri="{FF2B5EF4-FFF2-40B4-BE49-F238E27FC236}">
              <a16:creationId xmlns:a16="http://schemas.microsoft.com/office/drawing/2014/main" id="{F5A6EF5F-CB13-4E13-BD0B-4B510A5392B6}"/>
            </a:ext>
          </a:extLst>
        </xdr:cNvPr>
        <xdr:cNvSpPr txBox="1"/>
      </xdr:nvSpPr>
      <xdr:spPr>
        <a:xfrm>
          <a:off x="7597775" y="568325"/>
          <a:ext cx="10414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7889B1-29F2-42FB-A338-1E7C68AC5CC5}" type="TxLink">
            <a:rPr lang="en-US" sz="2000" b="0" i="0" u="none" strike="noStrike" kern="1200">
              <a:solidFill>
                <a:srgbClr val="000000"/>
              </a:solidFill>
              <a:latin typeface="Aptos Narrow"/>
              <a:ea typeface="+mn-ea"/>
              <a:cs typeface="+mn-cs"/>
            </a:rPr>
            <a:pPr marL="0" indent="0" algn="ctr"/>
            <a:t> 3,619 </a:t>
          </a:fld>
          <a:endParaRPr lang="en-US" sz="2000" b="0" i="0" u="none" strike="noStrike" kern="1200">
            <a:solidFill>
              <a:srgbClr val="000000"/>
            </a:solidFill>
            <a:latin typeface="Aptos Narrow"/>
            <a:ea typeface="+mn-ea"/>
            <a:cs typeface="+mn-cs"/>
          </a:endParaRPr>
        </a:p>
      </xdr:txBody>
    </xdr:sp>
    <xdr:clientData/>
  </xdr:twoCellAnchor>
  <xdr:twoCellAnchor>
    <xdr:from>
      <xdr:col>17</xdr:col>
      <xdr:colOff>60325</xdr:colOff>
      <xdr:row>3</xdr:row>
      <xdr:rowOff>174625</xdr:rowOff>
    </xdr:from>
    <xdr:to>
      <xdr:col>18</xdr:col>
      <xdr:colOff>384175</xdr:colOff>
      <xdr:row>6</xdr:row>
      <xdr:rowOff>9525</xdr:rowOff>
    </xdr:to>
    <xdr:sp macro="" textlink="">
      <xdr:nvSpPr>
        <xdr:cNvPr id="63" name="TextBox 62">
          <a:extLst>
            <a:ext uri="{FF2B5EF4-FFF2-40B4-BE49-F238E27FC236}">
              <a16:creationId xmlns:a16="http://schemas.microsoft.com/office/drawing/2014/main" id="{47F3070F-6074-4B91-86C5-557CBA71BD37}"/>
            </a:ext>
          </a:extLst>
        </xdr:cNvPr>
        <xdr:cNvSpPr txBox="1"/>
      </xdr:nvSpPr>
      <xdr:spPr>
        <a:xfrm>
          <a:off x="9998075" y="1031875"/>
          <a:ext cx="933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a:t>Closed</a:t>
          </a:r>
        </a:p>
      </xdr:txBody>
    </xdr:sp>
    <xdr:clientData/>
  </xdr:twoCellAnchor>
  <xdr:twoCellAnchor>
    <xdr:from>
      <xdr:col>17</xdr:col>
      <xdr:colOff>79375</xdr:colOff>
      <xdr:row>1</xdr:row>
      <xdr:rowOff>384175</xdr:rowOff>
    </xdr:from>
    <xdr:to>
      <xdr:col>18</xdr:col>
      <xdr:colOff>511175</xdr:colOff>
      <xdr:row>3</xdr:row>
      <xdr:rowOff>98425</xdr:rowOff>
    </xdr:to>
    <xdr:sp macro="" textlink="Calculation!B6">
      <xdr:nvSpPr>
        <xdr:cNvPr id="64" name="TextBox 63">
          <a:extLst>
            <a:ext uri="{FF2B5EF4-FFF2-40B4-BE49-F238E27FC236}">
              <a16:creationId xmlns:a16="http://schemas.microsoft.com/office/drawing/2014/main" id="{64A9F40B-CB96-49E6-B2DC-074A4B04F4EF}"/>
            </a:ext>
          </a:extLst>
        </xdr:cNvPr>
        <xdr:cNvSpPr txBox="1"/>
      </xdr:nvSpPr>
      <xdr:spPr>
        <a:xfrm>
          <a:off x="10017125" y="568325"/>
          <a:ext cx="10414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85DE9D-532D-44F7-9D1C-D5B2543581C4}" type="TxLink">
            <a:rPr lang="en-US" sz="2000" b="0" i="0" u="none" strike="noStrike" kern="1200">
              <a:solidFill>
                <a:srgbClr val="000000"/>
              </a:solidFill>
              <a:latin typeface="Aptos Narrow"/>
              <a:ea typeface="+mn-ea"/>
              <a:cs typeface="+mn-cs"/>
            </a:rPr>
            <a:pPr marL="0" indent="0" algn="ctr"/>
            <a:t> 1,309 </a:t>
          </a:fld>
          <a:endParaRPr lang="en-US" sz="2000" b="0" i="0" u="none" strike="noStrike" kern="1200">
            <a:solidFill>
              <a:srgbClr val="000000"/>
            </a:solidFill>
            <a:latin typeface="Aptos Narrow"/>
            <a:ea typeface="+mn-ea"/>
            <a:cs typeface="+mn-cs"/>
          </a:endParaRPr>
        </a:p>
      </xdr:txBody>
    </xdr:sp>
    <xdr:clientData/>
  </xdr:twoCellAnchor>
  <xdr:twoCellAnchor>
    <xdr:from>
      <xdr:col>20</xdr:col>
      <xdr:colOff>568325</xdr:colOff>
      <xdr:row>3</xdr:row>
      <xdr:rowOff>174625</xdr:rowOff>
    </xdr:from>
    <xdr:to>
      <xdr:col>22</xdr:col>
      <xdr:colOff>282575</xdr:colOff>
      <xdr:row>6</xdr:row>
      <xdr:rowOff>9525</xdr:rowOff>
    </xdr:to>
    <xdr:sp macro="" textlink="">
      <xdr:nvSpPr>
        <xdr:cNvPr id="65" name="TextBox 64">
          <a:extLst>
            <a:ext uri="{FF2B5EF4-FFF2-40B4-BE49-F238E27FC236}">
              <a16:creationId xmlns:a16="http://schemas.microsoft.com/office/drawing/2014/main" id="{CAD274B0-5EF2-44A8-BEB2-57DC250972ED}"/>
            </a:ext>
          </a:extLst>
        </xdr:cNvPr>
        <xdr:cNvSpPr txBox="1"/>
      </xdr:nvSpPr>
      <xdr:spPr>
        <a:xfrm>
          <a:off x="12334875" y="1031875"/>
          <a:ext cx="933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a:t>Value</a:t>
          </a:r>
        </a:p>
      </xdr:txBody>
    </xdr:sp>
    <xdr:clientData/>
  </xdr:twoCellAnchor>
  <xdr:twoCellAnchor>
    <xdr:from>
      <xdr:col>20</xdr:col>
      <xdr:colOff>393700</xdr:colOff>
      <xdr:row>1</xdr:row>
      <xdr:rowOff>384175</xdr:rowOff>
    </xdr:from>
    <xdr:to>
      <xdr:col>22</xdr:col>
      <xdr:colOff>409575</xdr:colOff>
      <xdr:row>3</xdr:row>
      <xdr:rowOff>98425</xdr:rowOff>
    </xdr:to>
    <xdr:sp macro="" textlink="Calculation!B7">
      <xdr:nvSpPr>
        <xdr:cNvPr id="66" name="TextBox 65">
          <a:extLst>
            <a:ext uri="{FF2B5EF4-FFF2-40B4-BE49-F238E27FC236}">
              <a16:creationId xmlns:a16="http://schemas.microsoft.com/office/drawing/2014/main" id="{8EE64965-29E5-4152-8FED-70A59FA06DC7}"/>
            </a:ext>
          </a:extLst>
        </xdr:cNvPr>
        <xdr:cNvSpPr txBox="1"/>
      </xdr:nvSpPr>
      <xdr:spPr>
        <a:xfrm>
          <a:off x="12160250" y="568325"/>
          <a:ext cx="1235075"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62EC72-72C1-4AEE-A239-F5CD6D298036}" type="TxLink">
            <a:rPr lang="en-US" sz="2000" b="0" i="0" u="none" strike="noStrike" kern="1200">
              <a:solidFill>
                <a:srgbClr val="000000"/>
              </a:solidFill>
              <a:latin typeface="Aptos Narrow"/>
              <a:ea typeface="+mn-ea"/>
              <a:cs typeface="+mn-cs"/>
            </a:rPr>
            <a:pPr marL="0" indent="0" algn="ctr"/>
            <a:t> 706,195 </a:t>
          </a:fld>
          <a:endParaRPr lang="en-US" sz="2000" b="0" i="0" u="none" strike="noStrike" kern="1200">
            <a:solidFill>
              <a:srgbClr val="000000"/>
            </a:solidFill>
            <a:latin typeface="Aptos Narrow"/>
            <a:ea typeface="+mn-ea"/>
            <a:cs typeface="+mn-cs"/>
          </a:endParaRPr>
        </a:p>
      </xdr:txBody>
    </xdr:sp>
    <xdr:clientData/>
  </xdr:twoCellAnchor>
  <xdr:twoCellAnchor>
    <xdr:from>
      <xdr:col>3</xdr:col>
      <xdr:colOff>217164</xdr:colOff>
      <xdr:row>6</xdr:row>
      <xdr:rowOff>6350</xdr:rowOff>
    </xdr:from>
    <xdr:to>
      <xdr:col>7</xdr:col>
      <xdr:colOff>393700</xdr:colOff>
      <xdr:row>7</xdr:row>
      <xdr:rowOff>44450</xdr:rowOff>
    </xdr:to>
    <xdr:sp macro="" textlink="">
      <xdr:nvSpPr>
        <xdr:cNvPr id="67" name="Rectangle: Top Corners Rounded 66">
          <a:extLst>
            <a:ext uri="{FF2B5EF4-FFF2-40B4-BE49-F238E27FC236}">
              <a16:creationId xmlns:a16="http://schemas.microsoft.com/office/drawing/2014/main" id="{55571ACE-B86D-407C-87FB-E79395A2C4CF}"/>
            </a:ext>
          </a:extLst>
        </xdr:cNvPr>
        <xdr:cNvSpPr/>
      </xdr:nvSpPr>
      <xdr:spPr>
        <a:xfrm>
          <a:off x="1620514" y="1416050"/>
          <a:ext cx="2760986" cy="22225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chemeClr val="tx1"/>
              </a:solidFill>
            </a:rPr>
            <a:t>EMP. KPI</a:t>
          </a:r>
        </a:p>
      </xdr:txBody>
    </xdr:sp>
    <xdr:clientData/>
  </xdr:twoCellAnchor>
  <xdr:twoCellAnchor>
    <xdr:from>
      <xdr:col>14</xdr:col>
      <xdr:colOff>482865</xdr:colOff>
      <xdr:row>6</xdr:row>
      <xdr:rowOff>171979</xdr:rowOff>
    </xdr:from>
    <xdr:to>
      <xdr:col>23</xdr:col>
      <xdr:colOff>59532</xdr:colOff>
      <xdr:row>34</xdr:row>
      <xdr:rowOff>79374</xdr:rowOff>
    </xdr:to>
    <mc:AlternateContent xmlns:mc="http://schemas.openxmlformats.org/markup-compatibility/2006">
      <mc:Choice xmlns:cx4="http://schemas.microsoft.com/office/drawing/2016/5/10/chartex" Requires="cx4">
        <xdr:graphicFrame macro="">
          <xdr:nvGraphicFramePr>
            <xdr:cNvPr id="72" name="Chart 71">
              <a:extLst>
                <a:ext uri="{FF2B5EF4-FFF2-40B4-BE49-F238E27FC236}">
                  <a16:creationId xmlns:a16="http://schemas.microsoft.com/office/drawing/2014/main" id="{158B1D20-FFB2-4EF2-843D-06B22D9BEE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258565" y="1581679"/>
              <a:ext cx="5063067" cy="5063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39687</xdr:colOff>
      <xdr:row>6</xdr:row>
      <xdr:rowOff>185207</xdr:rowOff>
    </xdr:from>
    <xdr:to>
      <xdr:col>14</xdr:col>
      <xdr:colOff>377031</xdr:colOff>
      <xdr:row>34</xdr:row>
      <xdr:rowOff>85989</xdr:rowOff>
    </xdr:to>
    <xdr:graphicFrame macro="">
      <xdr:nvGraphicFramePr>
        <xdr:cNvPr id="74" name="Chart 73">
          <a:extLst>
            <a:ext uri="{FF2B5EF4-FFF2-40B4-BE49-F238E27FC236}">
              <a16:creationId xmlns:a16="http://schemas.microsoft.com/office/drawing/2014/main" id="{357AB762-F9CA-466C-9C23-886FB457F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864923</xdr:colOff>
      <xdr:row>4</xdr:row>
      <xdr:rowOff>1588</xdr:rowOff>
    </xdr:from>
    <xdr:to>
      <xdr:col>10</xdr:col>
      <xdr:colOff>302419</xdr:colOff>
      <xdr:row>6</xdr:row>
      <xdr:rowOff>21696</xdr:rowOff>
    </xdr:to>
    <xdr:sp macro="" textlink="">
      <xdr:nvSpPr>
        <xdr:cNvPr id="75" name="TextBox 74">
          <a:extLst>
            <a:ext uri="{FF2B5EF4-FFF2-40B4-BE49-F238E27FC236}">
              <a16:creationId xmlns:a16="http://schemas.microsoft.com/office/drawing/2014/main" id="{83629C0F-A77B-4DAA-937D-844853DFD520}"/>
            </a:ext>
          </a:extLst>
        </xdr:cNvPr>
        <xdr:cNvSpPr txBox="1"/>
      </xdr:nvSpPr>
      <xdr:spPr>
        <a:xfrm>
          <a:off x="5700183" y="1046692"/>
          <a:ext cx="932392"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a:t>Calls</a:t>
          </a:r>
        </a:p>
      </xdr:txBody>
    </xdr:sp>
    <xdr:clientData/>
  </xdr:twoCellAnchor>
  <xdr:twoCellAnchor>
    <xdr:from>
      <xdr:col>8</xdr:col>
      <xdr:colOff>883973</xdr:colOff>
      <xdr:row>1</xdr:row>
      <xdr:rowOff>396346</xdr:rowOff>
    </xdr:from>
    <xdr:to>
      <xdr:col>10</xdr:col>
      <xdr:colOff>429419</xdr:colOff>
      <xdr:row>3</xdr:row>
      <xdr:rowOff>110596</xdr:rowOff>
    </xdr:to>
    <xdr:sp macro="" textlink="Calculation!B4">
      <xdr:nvSpPr>
        <xdr:cNvPr id="76" name="TextBox 75">
          <a:extLst>
            <a:ext uri="{FF2B5EF4-FFF2-40B4-BE49-F238E27FC236}">
              <a16:creationId xmlns:a16="http://schemas.microsoft.com/office/drawing/2014/main" id="{3B61CD37-8A40-465B-BC05-6AB4FA638C47}"/>
            </a:ext>
          </a:extLst>
        </xdr:cNvPr>
        <xdr:cNvSpPr txBox="1"/>
      </xdr:nvSpPr>
      <xdr:spPr>
        <a:xfrm>
          <a:off x="5719233" y="581554"/>
          <a:ext cx="1040342" cy="38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4C0C6B-F9DC-4E8F-9D63-2B86FA49C546}" type="TxLink">
            <a:rPr lang="en-US" sz="2000" b="0" i="0" u="none" strike="noStrike" kern="1200">
              <a:solidFill>
                <a:srgbClr val="000000"/>
              </a:solidFill>
              <a:latin typeface="Aptos Narrow"/>
              <a:ea typeface="+mn-ea"/>
              <a:cs typeface="+mn-cs"/>
            </a:rPr>
            <a:pPr marL="0" indent="0" algn="ctr"/>
            <a:t> 18,300 </a:t>
          </a:fld>
          <a:endParaRPr lang="en-US" sz="2000" b="0" i="0" u="none" strike="noStrike" kern="1200">
            <a:solidFill>
              <a:srgbClr val="000000"/>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338667</xdr:colOff>
      <xdr:row>1</xdr:row>
      <xdr:rowOff>119948</xdr:rowOff>
    </xdr:from>
    <xdr:to>
      <xdr:col>13</xdr:col>
      <xdr:colOff>478370</xdr:colOff>
      <xdr:row>6</xdr:row>
      <xdr:rowOff>14112</xdr:rowOff>
    </xdr:to>
    <xdr:grpSp>
      <xdr:nvGrpSpPr>
        <xdr:cNvPr id="32" name="Group 31">
          <a:extLst>
            <a:ext uri="{FF2B5EF4-FFF2-40B4-BE49-F238E27FC236}">
              <a16:creationId xmlns:a16="http://schemas.microsoft.com/office/drawing/2014/main" id="{74C069E3-6984-45C9-A912-72BF7CDBB41E}"/>
            </a:ext>
          </a:extLst>
        </xdr:cNvPr>
        <xdr:cNvGrpSpPr/>
      </xdr:nvGrpSpPr>
      <xdr:grpSpPr>
        <a:xfrm>
          <a:off x="7088717" y="304098"/>
          <a:ext cx="1968503" cy="960964"/>
          <a:chOff x="4210050" y="310448"/>
          <a:chExt cx="1968503" cy="960964"/>
        </a:xfrm>
      </xdr:grpSpPr>
      <xdr:grpSp>
        <xdr:nvGrpSpPr>
          <xdr:cNvPr id="33" name="Group 32">
            <a:extLst>
              <a:ext uri="{FF2B5EF4-FFF2-40B4-BE49-F238E27FC236}">
                <a16:creationId xmlns:a16="http://schemas.microsoft.com/office/drawing/2014/main" id="{DC33A5F5-9FAD-32F8-A0B4-A02C4D77DF86}"/>
              </a:ext>
            </a:extLst>
          </xdr:cNvPr>
          <xdr:cNvGrpSpPr/>
        </xdr:nvGrpSpPr>
        <xdr:grpSpPr>
          <a:xfrm>
            <a:off x="4210050" y="310448"/>
            <a:ext cx="1968503" cy="960964"/>
            <a:chOff x="3448050" y="2698048"/>
            <a:chExt cx="1968503" cy="960964"/>
          </a:xfrm>
        </xdr:grpSpPr>
        <xdr:sp macro="" textlink="">
          <xdr:nvSpPr>
            <xdr:cNvPr id="35" name="Rectangle: Top Corners Rounded 34">
              <a:extLst>
                <a:ext uri="{FF2B5EF4-FFF2-40B4-BE49-F238E27FC236}">
                  <a16:creationId xmlns:a16="http://schemas.microsoft.com/office/drawing/2014/main" id="{F3CA5384-22F9-3CF7-1EF4-F1ED02BC7B4D}"/>
                </a:ext>
              </a:extLst>
            </xdr:cNvPr>
            <xdr:cNvSpPr/>
          </xdr:nvSpPr>
          <xdr:spPr>
            <a:xfrm rot="16200000">
              <a:off x="3308168" y="2844982"/>
              <a:ext cx="953912" cy="674147"/>
            </a:xfrm>
            <a:prstGeom prst="round2SameRect">
              <a:avLst>
                <a:gd name="adj1" fmla="val 16667"/>
                <a:gd name="adj2" fmla="val 0"/>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Top Corners Rounded 35">
              <a:extLst>
                <a:ext uri="{FF2B5EF4-FFF2-40B4-BE49-F238E27FC236}">
                  <a16:creationId xmlns:a16="http://schemas.microsoft.com/office/drawing/2014/main" id="{82627810-445A-B09F-4FDA-46F32934133F}"/>
                </a:ext>
              </a:extLst>
            </xdr:cNvPr>
            <xdr:cNvSpPr/>
          </xdr:nvSpPr>
          <xdr:spPr>
            <a:xfrm rot="5400000">
              <a:off x="4079651" y="2320700"/>
              <a:ext cx="959553" cy="1714250"/>
            </a:xfrm>
            <a:prstGeom prst="round2SameRect">
              <a:avLst>
                <a:gd name="adj1" fmla="val 166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34" name="Straight Connector 33">
            <a:extLst>
              <a:ext uri="{FF2B5EF4-FFF2-40B4-BE49-F238E27FC236}">
                <a16:creationId xmlns:a16="http://schemas.microsoft.com/office/drawing/2014/main" id="{2612479F-C5DB-5BA3-2985-AEE1C77AB3F0}"/>
              </a:ext>
            </a:extLst>
          </xdr:cNvPr>
          <xdr:cNvCxnSpPr/>
        </xdr:nvCxnSpPr>
        <xdr:spPr>
          <a:xfrm flipH="1">
            <a:off x="4902200" y="355600"/>
            <a:ext cx="0" cy="831850"/>
          </a:xfrm>
          <a:prstGeom prst="line">
            <a:avLst/>
          </a:prstGeom>
          <a:ln>
            <a:solidFill>
              <a:schemeClr val="bg1">
                <a:lumMod val="65000"/>
              </a:schemeClr>
            </a:solidFill>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14</xdr:col>
      <xdr:colOff>124884</xdr:colOff>
      <xdr:row>1</xdr:row>
      <xdr:rowOff>138998</xdr:rowOff>
    </xdr:from>
    <xdr:to>
      <xdr:col>17</xdr:col>
      <xdr:colOff>264587</xdr:colOff>
      <xdr:row>6</xdr:row>
      <xdr:rowOff>33162</xdr:rowOff>
    </xdr:to>
    <xdr:grpSp>
      <xdr:nvGrpSpPr>
        <xdr:cNvPr id="37" name="Group 36">
          <a:extLst>
            <a:ext uri="{FF2B5EF4-FFF2-40B4-BE49-F238E27FC236}">
              <a16:creationId xmlns:a16="http://schemas.microsoft.com/office/drawing/2014/main" id="{6A10557C-48C4-448A-823B-F46C808141EE}"/>
            </a:ext>
          </a:extLst>
        </xdr:cNvPr>
        <xdr:cNvGrpSpPr/>
      </xdr:nvGrpSpPr>
      <xdr:grpSpPr>
        <a:xfrm>
          <a:off x="9313334" y="323148"/>
          <a:ext cx="1968503" cy="960964"/>
          <a:chOff x="4210050" y="310448"/>
          <a:chExt cx="1968503" cy="960964"/>
        </a:xfrm>
      </xdr:grpSpPr>
      <xdr:grpSp>
        <xdr:nvGrpSpPr>
          <xdr:cNvPr id="38" name="Group 37">
            <a:extLst>
              <a:ext uri="{FF2B5EF4-FFF2-40B4-BE49-F238E27FC236}">
                <a16:creationId xmlns:a16="http://schemas.microsoft.com/office/drawing/2014/main" id="{0DFB5427-4C27-E04E-B2AB-2A75C3740694}"/>
              </a:ext>
            </a:extLst>
          </xdr:cNvPr>
          <xdr:cNvGrpSpPr/>
        </xdr:nvGrpSpPr>
        <xdr:grpSpPr>
          <a:xfrm>
            <a:off x="4210050" y="310448"/>
            <a:ext cx="1968503" cy="960964"/>
            <a:chOff x="3448050" y="2698048"/>
            <a:chExt cx="1968503" cy="960964"/>
          </a:xfrm>
        </xdr:grpSpPr>
        <xdr:sp macro="" textlink="">
          <xdr:nvSpPr>
            <xdr:cNvPr id="40" name="Rectangle: Top Corners Rounded 39">
              <a:extLst>
                <a:ext uri="{FF2B5EF4-FFF2-40B4-BE49-F238E27FC236}">
                  <a16:creationId xmlns:a16="http://schemas.microsoft.com/office/drawing/2014/main" id="{AAE2CC94-2AE2-F20A-30B9-38EFBFB6F3A4}"/>
                </a:ext>
              </a:extLst>
            </xdr:cNvPr>
            <xdr:cNvSpPr/>
          </xdr:nvSpPr>
          <xdr:spPr>
            <a:xfrm rot="16200000">
              <a:off x="3308168" y="2844982"/>
              <a:ext cx="953912" cy="674147"/>
            </a:xfrm>
            <a:prstGeom prst="round2SameRect">
              <a:avLst>
                <a:gd name="adj1" fmla="val 16667"/>
                <a:gd name="adj2" fmla="val 0"/>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Top Corners Rounded 40">
              <a:extLst>
                <a:ext uri="{FF2B5EF4-FFF2-40B4-BE49-F238E27FC236}">
                  <a16:creationId xmlns:a16="http://schemas.microsoft.com/office/drawing/2014/main" id="{4EFF58F4-87E7-D9B7-36CC-43B42E0C2A21}"/>
                </a:ext>
              </a:extLst>
            </xdr:cNvPr>
            <xdr:cNvSpPr/>
          </xdr:nvSpPr>
          <xdr:spPr>
            <a:xfrm rot="5400000">
              <a:off x="4079651" y="2320700"/>
              <a:ext cx="959553" cy="1714250"/>
            </a:xfrm>
            <a:prstGeom prst="round2SameRect">
              <a:avLst>
                <a:gd name="adj1" fmla="val 166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39" name="Straight Connector 38">
            <a:extLst>
              <a:ext uri="{FF2B5EF4-FFF2-40B4-BE49-F238E27FC236}">
                <a16:creationId xmlns:a16="http://schemas.microsoft.com/office/drawing/2014/main" id="{C2BEC8E5-AACC-9D8C-76C3-54B9667AE785}"/>
              </a:ext>
            </a:extLst>
          </xdr:cNvPr>
          <xdr:cNvCxnSpPr/>
        </xdr:nvCxnSpPr>
        <xdr:spPr>
          <a:xfrm flipH="1">
            <a:off x="4902200" y="355600"/>
            <a:ext cx="0" cy="831850"/>
          </a:xfrm>
          <a:prstGeom prst="line">
            <a:avLst/>
          </a:prstGeom>
          <a:ln>
            <a:solidFill>
              <a:schemeClr val="bg1">
                <a:lumMod val="65000"/>
              </a:schemeClr>
            </a:solidFill>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17</xdr:col>
      <xdr:colOff>520700</xdr:colOff>
      <xdr:row>1</xdr:row>
      <xdr:rowOff>126298</xdr:rowOff>
    </xdr:from>
    <xdr:to>
      <xdr:col>21</xdr:col>
      <xdr:colOff>50803</xdr:colOff>
      <xdr:row>6</xdr:row>
      <xdr:rowOff>20462</xdr:rowOff>
    </xdr:to>
    <xdr:grpSp>
      <xdr:nvGrpSpPr>
        <xdr:cNvPr id="42" name="Group 41">
          <a:extLst>
            <a:ext uri="{FF2B5EF4-FFF2-40B4-BE49-F238E27FC236}">
              <a16:creationId xmlns:a16="http://schemas.microsoft.com/office/drawing/2014/main" id="{E5B73CF1-D860-46C6-95C0-169053A79F60}"/>
            </a:ext>
          </a:extLst>
        </xdr:cNvPr>
        <xdr:cNvGrpSpPr/>
      </xdr:nvGrpSpPr>
      <xdr:grpSpPr>
        <a:xfrm>
          <a:off x="11537950" y="310448"/>
          <a:ext cx="1968503" cy="960964"/>
          <a:chOff x="4210050" y="310448"/>
          <a:chExt cx="1968503" cy="960964"/>
        </a:xfrm>
      </xdr:grpSpPr>
      <xdr:grpSp>
        <xdr:nvGrpSpPr>
          <xdr:cNvPr id="43" name="Group 42">
            <a:extLst>
              <a:ext uri="{FF2B5EF4-FFF2-40B4-BE49-F238E27FC236}">
                <a16:creationId xmlns:a16="http://schemas.microsoft.com/office/drawing/2014/main" id="{9B6558ED-405C-A54F-5B50-B563222191D2}"/>
              </a:ext>
            </a:extLst>
          </xdr:cNvPr>
          <xdr:cNvGrpSpPr/>
        </xdr:nvGrpSpPr>
        <xdr:grpSpPr>
          <a:xfrm>
            <a:off x="4210050" y="310448"/>
            <a:ext cx="1968503" cy="960964"/>
            <a:chOff x="3448050" y="2698048"/>
            <a:chExt cx="1968503" cy="960964"/>
          </a:xfrm>
        </xdr:grpSpPr>
        <xdr:sp macro="" textlink="">
          <xdr:nvSpPr>
            <xdr:cNvPr id="45" name="Rectangle: Top Corners Rounded 44">
              <a:extLst>
                <a:ext uri="{FF2B5EF4-FFF2-40B4-BE49-F238E27FC236}">
                  <a16:creationId xmlns:a16="http://schemas.microsoft.com/office/drawing/2014/main" id="{E046D5A6-AF3C-4894-377B-CDF076C5E72F}"/>
                </a:ext>
              </a:extLst>
            </xdr:cNvPr>
            <xdr:cNvSpPr/>
          </xdr:nvSpPr>
          <xdr:spPr>
            <a:xfrm rot="16200000">
              <a:off x="3308168" y="2844982"/>
              <a:ext cx="953912" cy="674147"/>
            </a:xfrm>
            <a:prstGeom prst="round2SameRect">
              <a:avLst>
                <a:gd name="adj1" fmla="val 16667"/>
                <a:gd name="adj2" fmla="val 0"/>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Top Corners Rounded 45">
              <a:extLst>
                <a:ext uri="{FF2B5EF4-FFF2-40B4-BE49-F238E27FC236}">
                  <a16:creationId xmlns:a16="http://schemas.microsoft.com/office/drawing/2014/main" id="{D362D5B9-4A5C-20DE-48D3-B3FA79BEBD33}"/>
                </a:ext>
              </a:extLst>
            </xdr:cNvPr>
            <xdr:cNvSpPr/>
          </xdr:nvSpPr>
          <xdr:spPr>
            <a:xfrm rot="5400000">
              <a:off x="4079651" y="2320700"/>
              <a:ext cx="959553" cy="1714250"/>
            </a:xfrm>
            <a:prstGeom prst="round2SameRect">
              <a:avLst>
                <a:gd name="adj1" fmla="val 166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44" name="Straight Connector 43">
            <a:extLst>
              <a:ext uri="{FF2B5EF4-FFF2-40B4-BE49-F238E27FC236}">
                <a16:creationId xmlns:a16="http://schemas.microsoft.com/office/drawing/2014/main" id="{3517E5B9-65F8-4004-0249-5667E12DB7B8}"/>
              </a:ext>
            </a:extLst>
          </xdr:cNvPr>
          <xdr:cNvCxnSpPr/>
        </xdr:nvCxnSpPr>
        <xdr:spPr>
          <a:xfrm flipH="1">
            <a:off x="4902200" y="355600"/>
            <a:ext cx="0" cy="831850"/>
          </a:xfrm>
          <a:prstGeom prst="line">
            <a:avLst/>
          </a:prstGeom>
          <a:ln>
            <a:solidFill>
              <a:schemeClr val="bg1">
                <a:lumMod val="65000"/>
              </a:schemeClr>
            </a:solidFill>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18</xdr:col>
      <xdr:colOff>44450</xdr:colOff>
      <xdr:row>2</xdr:row>
      <xdr:rowOff>50800</xdr:rowOff>
    </xdr:from>
    <xdr:to>
      <xdr:col>18</xdr:col>
      <xdr:colOff>539750</xdr:colOff>
      <xdr:row>4</xdr:row>
      <xdr:rowOff>177800</xdr:rowOff>
    </xdr:to>
    <xdr:pic>
      <xdr:nvPicPr>
        <xdr:cNvPr id="48" name="Graphic 47" descr="Money outline">
          <a:extLst>
            <a:ext uri="{FF2B5EF4-FFF2-40B4-BE49-F238E27FC236}">
              <a16:creationId xmlns:a16="http://schemas.microsoft.com/office/drawing/2014/main" id="{A024A985-DDC7-BD6C-2F5B-C7995EF0AA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017250" y="565150"/>
          <a:ext cx="495300" cy="495300"/>
        </a:xfrm>
        <a:prstGeom prst="rect">
          <a:avLst/>
        </a:prstGeom>
      </xdr:spPr>
    </xdr:pic>
    <xdr:clientData/>
  </xdr:twoCellAnchor>
  <xdr:twoCellAnchor editAs="oneCell">
    <xdr:from>
      <xdr:col>10</xdr:col>
      <xdr:colOff>376200</xdr:colOff>
      <xdr:row>2</xdr:row>
      <xdr:rowOff>16650</xdr:rowOff>
    </xdr:from>
    <xdr:to>
      <xdr:col>11</xdr:col>
      <xdr:colOff>327800</xdr:colOff>
      <xdr:row>5</xdr:row>
      <xdr:rowOff>25400</xdr:rowOff>
    </xdr:to>
    <xdr:pic>
      <xdr:nvPicPr>
        <xdr:cNvPr id="50" name="Graphic 49" descr="Target Audience with solid fill">
          <a:extLst>
            <a:ext uri="{FF2B5EF4-FFF2-40B4-BE49-F238E27FC236}">
              <a16:creationId xmlns:a16="http://schemas.microsoft.com/office/drawing/2014/main" id="{D09AFCC4-1786-0469-EF07-22A24E70AD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72200" y="531000"/>
          <a:ext cx="561200" cy="561200"/>
        </a:xfrm>
        <a:prstGeom prst="rect">
          <a:avLst/>
        </a:prstGeom>
      </xdr:spPr>
    </xdr:pic>
    <xdr:clientData/>
  </xdr:twoCellAnchor>
  <xdr:twoCellAnchor editAs="oneCell">
    <xdr:from>
      <xdr:col>14</xdr:col>
      <xdr:colOff>152400</xdr:colOff>
      <xdr:row>2</xdr:row>
      <xdr:rowOff>14250</xdr:rowOff>
    </xdr:from>
    <xdr:to>
      <xdr:col>15</xdr:col>
      <xdr:colOff>153950</xdr:colOff>
      <xdr:row>5</xdr:row>
      <xdr:rowOff>72950</xdr:rowOff>
    </xdr:to>
    <xdr:pic>
      <xdr:nvPicPr>
        <xdr:cNvPr id="52" name="Graphic 51" descr="Handshake with solid fill">
          <a:extLst>
            <a:ext uri="{FF2B5EF4-FFF2-40B4-BE49-F238E27FC236}">
              <a16:creationId xmlns:a16="http://schemas.microsoft.com/office/drawing/2014/main" id="{98FD1547-CE9C-5592-FD84-61DFD7C12EA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686800" y="528600"/>
          <a:ext cx="611150" cy="611150"/>
        </a:xfrm>
        <a:prstGeom prst="rect">
          <a:avLst/>
        </a:prstGeom>
      </xdr:spPr>
    </xdr:pic>
    <xdr:clientData/>
  </xdr:twoCellAnchor>
  <xdr:twoCellAnchor>
    <xdr:from>
      <xdr:col>11</xdr:col>
      <xdr:colOff>431800</xdr:colOff>
      <xdr:row>4</xdr:row>
      <xdr:rowOff>69850</xdr:rowOff>
    </xdr:from>
    <xdr:to>
      <xdr:col>13</xdr:col>
      <xdr:colOff>266700</xdr:colOff>
      <xdr:row>6</xdr:row>
      <xdr:rowOff>0</xdr:rowOff>
    </xdr:to>
    <xdr:sp macro="" textlink="">
      <xdr:nvSpPr>
        <xdr:cNvPr id="82" name="TextBox 81">
          <a:extLst>
            <a:ext uri="{FF2B5EF4-FFF2-40B4-BE49-F238E27FC236}">
              <a16:creationId xmlns:a16="http://schemas.microsoft.com/office/drawing/2014/main" id="{B020D707-BF33-49F7-BF24-AC6A3B774DAD}"/>
            </a:ext>
          </a:extLst>
        </xdr:cNvPr>
        <xdr:cNvSpPr txBox="1"/>
      </xdr:nvSpPr>
      <xdr:spPr>
        <a:xfrm>
          <a:off x="7137400" y="952500"/>
          <a:ext cx="10541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Black" panose="020F0502020204030204" pitchFamily="34" charset="0"/>
            </a:rPr>
            <a:t>Calls</a:t>
          </a:r>
          <a:r>
            <a:rPr lang="en-US" sz="1100" b="1" baseline="0">
              <a:latin typeface="Aptos Black" panose="020F0502020204030204" pitchFamily="34" charset="0"/>
            </a:rPr>
            <a:t> Reached</a:t>
          </a:r>
          <a:endParaRPr lang="en-US" sz="1100" b="1">
            <a:latin typeface="Aptos Black" panose="020F0502020204030204" pitchFamily="34" charset="0"/>
          </a:endParaRPr>
        </a:p>
      </xdr:txBody>
    </xdr:sp>
    <xdr:clientData/>
  </xdr:twoCellAnchor>
  <xdr:twoCellAnchor>
    <xdr:from>
      <xdr:col>15</xdr:col>
      <xdr:colOff>330200</xdr:colOff>
      <xdr:row>4</xdr:row>
      <xdr:rowOff>82550</xdr:rowOff>
    </xdr:from>
    <xdr:to>
      <xdr:col>17</xdr:col>
      <xdr:colOff>25400</xdr:colOff>
      <xdr:row>6</xdr:row>
      <xdr:rowOff>12700</xdr:rowOff>
    </xdr:to>
    <xdr:sp macro="" textlink="">
      <xdr:nvSpPr>
        <xdr:cNvPr id="83" name="TextBox 82">
          <a:extLst>
            <a:ext uri="{FF2B5EF4-FFF2-40B4-BE49-F238E27FC236}">
              <a16:creationId xmlns:a16="http://schemas.microsoft.com/office/drawing/2014/main" id="{596E0251-DC13-4CA9-8985-91146790EDA8}"/>
            </a:ext>
          </a:extLst>
        </xdr:cNvPr>
        <xdr:cNvSpPr txBox="1"/>
      </xdr:nvSpPr>
      <xdr:spPr>
        <a:xfrm>
          <a:off x="9474200" y="965200"/>
          <a:ext cx="9144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Black" panose="020F0502020204030204" pitchFamily="34" charset="0"/>
            </a:rPr>
            <a:t>Deal Closed</a:t>
          </a:r>
        </a:p>
      </xdr:txBody>
    </xdr:sp>
    <xdr:clientData/>
  </xdr:twoCellAnchor>
  <xdr:twoCellAnchor>
    <xdr:from>
      <xdr:col>19</xdr:col>
      <xdr:colOff>114300</xdr:colOff>
      <xdr:row>4</xdr:row>
      <xdr:rowOff>44450</xdr:rowOff>
    </xdr:from>
    <xdr:to>
      <xdr:col>20</xdr:col>
      <xdr:colOff>431800</xdr:colOff>
      <xdr:row>5</xdr:row>
      <xdr:rowOff>158750</xdr:rowOff>
    </xdr:to>
    <xdr:sp macro="" textlink="">
      <xdr:nvSpPr>
        <xdr:cNvPr id="84" name="TextBox 83">
          <a:extLst>
            <a:ext uri="{FF2B5EF4-FFF2-40B4-BE49-F238E27FC236}">
              <a16:creationId xmlns:a16="http://schemas.microsoft.com/office/drawing/2014/main" id="{B9436ABF-720C-4C24-9B6D-7C5D1AFF7311}"/>
            </a:ext>
          </a:extLst>
        </xdr:cNvPr>
        <xdr:cNvSpPr txBox="1"/>
      </xdr:nvSpPr>
      <xdr:spPr>
        <a:xfrm>
          <a:off x="11696700" y="927100"/>
          <a:ext cx="9271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Black" panose="020F0502020204030204" pitchFamily="34" charset="0"/>
            </a:rPr>
            <a:t>Deal Values</a:t>
          </a:r>
        </a:p>
      </xdr:txBody>
    </xdr:sp>
    <xdr:clientData/>
  </xdr:twoCellAnchor>
  <xdr:twoCellAnchor>
    <xdr:from>
      <xdr:col>7</xdr:col>
      <xdr:colOff>152400</xdr:colOff>
      <xdr:row>1</xdr:row>
      <xdr:rowOff>107248</xdr:rowOff>
    </xdr:from>
    <xdr:to>
      <xdr:col>10</xdr:col>
      <xdr:colOff>95250</xdr:colOff>
      <xdr:row>6</xdr:row>
      <xdr:rowOff>50800</xdr:rowOff>
    </xdr:to>
    <xdr:grpSp>
      <xdr:nvGrpSpPr>
        <xdr:cNvPr id="92" name="Group 91">
          <a:extLst>
            <a:ext uri="{FF2B5EF4-FFF2-40B4-BE49-F238E27FC236}">
              <a16:creationId xmlns:a16="http://schemas.microsoft.com/office/drawing/2014/main" id="{2AAACD6C-5F77-4E7F-163F-FFBC068500A0}"/>
            </a:ext>
          </a:extLst>
        </xdr:cNvPr>
        <xdr:cNvGrpSpPr/>
      </xdr:nvGrpSpPr>
      <xdr:grpSpPr>
        <a:xfrm>
          <a:off x="4794250" y="291398"/>
          <a:ext cx="2051050" cy="1010352"/>
          <a:chOff x="4832350" y="316798"/>
          <a:chExt cx="2051050" cy="1010352"/>
        </a:xfrm>
      </xdr:grpSpPr>
      <xdr:grpSp>
        <xdr:nvGrpSpPr>
          <xdr:cNvPr id="31" name="Group 30">
            <a:extLst>
              <a:ext uri="{FF2B5EF4-FFF2-40B4-BE49-F238E27FC236}">
                <a16:creationId xmlns:a16="http://schemas.microsoft.com/office/drawing/2014/main" id="{D9C1B839-1D92-7BCF-67EE-13C781370AED}"/>
              </a:ext>
            </a:extLst>
          </xdr:cNvPr>
          <xdr:cNvGrpSpPr/>
        </xdr:nvGrpSpPr>
        <xdr:grpSpPr>
          <a:xfrm>
            <a:off x="4832350" y="316798"/>
            <a:ext cx="2032003" cy="1010352"/>
            <a:chOff x="4210050" y="310448"/>
            <a:chExt cx="1968503" cy="960964"/>
          </a:xfrm>
        </xdr:grpSpPr>
        <xdr:grpSp>
          <xdr:nvGrpSpPr>
            <xdr:cNvPr id="18" name="Group 17">
              <a:extLst>
                <a:ext uri="{FF2B5EF4-FFF2-40B4-BE49-F238E27FC236}">
                  <a16:creationId xmlns:a16="http://schemas.microsoft.com/office/drawing/2014/main" id="{1696A578-24A6-7D44-D58F-7610AF90F67B}"/>
                </a:ext>
              </a:extLst>
            </xdr:cNvPr>
            <xdr:cNvGrpSpPr/>
          </xdr:nvGrpSpPr>
          <xdr:grpSpPr>
            <a:xfrm>
              <a:off x="4210050" y="310448"/>
              <a:ext cx="1968503" cy="960964"/>
              <a:chOff x="3448050" y="2698048"/>
              <a:chExt cx="1968503" cy="960964"/>
            </a:xfrm>
          </xdr:grpSpPr>
          <xdr:sp macro="" textlink="">
            <xdr:nvSpPr>
              <xdr:cNvPr id="10" name="Rectangle: Top Corners Rounded 9">
                <a:extLst>
                  <a:ext uri="{FF2B5EF4-FFF2-40B4-BE49-F238E27FC236}">
                    <a16:creationId xmlns:a16="http://schemas.microsoft.com/office/drawing/2014/main" id="{5AF61709-FA88-139D-F2ED-7588D334A113}"/>
                  </a:ext>
                </a:extLst>
              </xdr:cNvPr>
              <xdr:cNvSpPr/>
            </xdr:nvSpPr>
            <xdr:spPr>
              <a:xfrm rot="16200000">
                <a:off x="3308168" y="2844982"/>
                <a:ext cx="953912" cy="674147"/>
              </a:xfrm>
              <a:prstGeom prst="round2SameRect">
                <a:avLst>
                  <a:gd name="adj1" fmla="val 16667"/>
                  <a:gd name="adj2" fmla="val 0"/>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Top Corners Rounded 10">
                <a:extLst>
                  <a:ext uri="{FF2B5EF4-FFF2-40B4-BE49-F238E27FC236}">
                    <a16:creationId xmlns:a16="http://schemas.microsoft.com/office/drawing/2014/main" id="{76A061DF-37EA-CAC2-1248-C7B0E1946A61}"/>
                  </a:ext>
                </a:extLst>
              </xdr:cNvPr>
              <xdr:cNvSpPr/>
            </xdr:nvSpPr>
            <xdr:spPr>
              <a:xfrm rot="5400000">
                <a:off x="4079651" y="2320700"/>
                <a:ext cx="959553" cy="1714250"/>
              </a:xfrm>
              <a:prstGeom prst="round2SameRect">
                <a:avLst>
                  <a:gd name="adj1" fmla="val 166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29" name="Straight Connector 28">
              <a:extLst>
                <a:ext uri="{FF2B5EF4-FFF2-40B4-BE49-F238E27FC236}">
                  <a16:creationId xmlns:a16="http://schemas.microsoft.com/office/drawing/2014/main" id="{36747092-FB4A-44A6-0208-4291F3C687B8}"/>
                </a:ext>
              </a:extLst>
            </xdr:cNvPr>
            <xdr:cNvCxnSpPr/>
          </xdr:nvCxnSpPr>
          <xdr:spPr>
            <a:xfrm flipH="1">
              <a:off x="4902200" y="355600"/>
              <a:ext cx="0" cy="831850"/>
            </a:xfrm>
            <a:prstGeom prst="line">
              <a:avLst/>
            </a:prstGeom>
            <a:ln>
              <a:solidFill>
                <a:schemeClr val="bg1">
                  <a:lumMod val="65000"/>
                </a:schemeClr>
              </a:solidFill>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grpSp>
      <xdr:sp macro="" textlink="">
        <xdr:nvSpPr>
          <xdr:cNvPr id="81" name="TextBox 80">
            <a:extLst>
              <a:ext uri="{FF2B5EF4-FFF2-40B4-BE49-F238E27FC236}">
                <a16:creationId xmlns:a16="http://schemas.microsoft.com/office/drawing/2014/main" id="{FD9D027F-C3EA-5395-0FB8-EA0D029671E1}"/>
              </a:ext>
            </a:extLst>
          </xdr:cNvPr>
          <xdr:cNvSpPr txBox="1"/>
        </xdr:nvSpPr>
        <xdr:spPr>
          <a:xfrm>
            <a:off x="5664200" y="939800"/>
            <a:ext cx="9842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Black" panose="020F0502020204030204" pitchFamily="34" charset="0"/>
              </a:rPr>
              <a:t>Total Calls</a:t>
            </a:r>
          </a:p>
        </xdr:txBody>
      </xdr:sp>
      <xdr:sp macro="" textlink="Analysis!B4">
        <xdr:nvSpPr>
          <xdr:cNvPr id="88" name="TextBox 87">
            <a:extLst>
              <a:ext uri="{FF2B5EF4-FFF2-40B4-BE49-F238E27FC236}">
                <a16:creationId xmlns:a16="http://schemas.microsoft.com/office/drawing/2014/main" id="{5BB4CFD4-C7BD-23EE-7674-03E84ED97B1B}"/>
              </a:ext>
            </a:extLst>
          </xdr:cNvPr>
          <xdr:cNvSpPr txBox="1"/>
        </xdr:nvSpPr>
        <xdr:spPr>
          <a:xfrm>
            <a:off x="5613400" y="520700"/>
            <a:ext cx="12700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B117BFD-190C-4293-B49E-250142FB3E0B}" type="TxLink">
              <a:rPr lang="en-US" sz="1600" b="0" i="0" u="none" strike="noStrike">
                <a:solidFill>
                  <a:srgbClr val="000000"/>
                </a:solidFill>
                <a:latin typeface="Aptos Slab Black" panose="020F0502020204030204" pitchFamily="34" charset="0"/>
              </a:rPr>
              <a:t> 18,300 </a:t>
            </a:fld>
            <a:endParaRPr lang="en-US" sz="1600">
              <a:latin typeface="Aptos Slab Black" panose="020F0502020204030204" pitchFamily="34" charset="0"/>
            </a:endParaRPr>
          </a:p>
        </xdr:txBody>
      </xdr:sp>
    </xdr:grpSp>
    <xdr:clientData/>
  </xdr:twoCellAnchor>
  <xdr:twoCellAnchor>
    <xdr:from>
      <xdr:col>11</xdr:col>
      <xdr:colOff>368300</xdr:colOff>
      <xdr:row>2</xdr:row>
      <xdr:rowOff>31750</xdr:rowOff>
    </xdr:from>
    <xdr:to>
      <xdr:col>13</xdr:col>
      <xdr:colOff>285750</xdr:colOff>
      <xdr:row>4</xdr:row>
      <xdr:rowOff>82550</xdr:rowOff>
    </xdr:to>
    <xdr:sp macro="" textlink="Analysis!B5">
      <xdr:nvSpPr>
        <xdr:cNvPr id="89" name="TextBox 88">
          <a:extLst>
            <a:ext uri="{FF2B5EF4-FFF2-40B4-BE49-F238E27FC236}">
              <a16:creationId xmlns:a16="http://schemas.microsoft.com/office/drawing/2014/main" id="{89638B16-A4E9-4580-9957-B2A42E4218F1}"/>
            </a:ext>
          </a:extLst>
        </xdr:cNvPr>
        <xdr:cNvSpPr txBox="1"/>
      </xdr:nvSpPr>
      <xdr:spPr>
        <a:xfrm>
          <a:off x="7073900" y="546100"/>
          <a:ext cx="11366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E959CDD-5A38-4E21-8DA5-2B7741E9B724}" type="TxLink">
            <a:rPr lang="en-US" sz="1600" b="0" i="0" u="none" strike="noStrike">
              <a:solidFill>
                <a:srgbClr val="000000"/>
              </a:solidFill>
              <a:latin typeface="Aptos Slab Black" panose="020F0502020204030204" pitchFamily="34" charset="0"/>
            </a:rPr>
            <a:t> 3,619 </a:t>
          </a:fld>
          <a:endParaRPr lang="en-US" sz="1600">
            <a:latin typeface="Aptos Slab Black" panose="020F0502020204030204" pitchFamily="34" charset="0"/>
          </a:endParaRPr>
        </a:p>
      </xdr:txBody>
    </xdr:sp>
    <xdr:clientData/>
  </xdr:twoCellAnchor>
  <xdr:twoCellAnchor>
    <xdr:from>
      <xdr:col>15</xdr:col>
      <xdr:colOff>127000</xdr:colOff>
      <xdr:row>2</xdr:row>
      <xdr:rowOff>31750</xdr:rowOff>
    </xdr:from>
    <xdr:to>
      <xdr:col>17</xdr:col>
      <xdr:colOff>127000</xdr:colOff>
      <xdr:row>4</xdr:row>
      <xdr:rowOff>133350</xdr:rowOff>
    </xdr:to>
    <xdr:sp macro="" textlink="Analysis!B6">
      <xdr:nvSpPr>
        <xdr:cNvPr id="90" name="TextBox 89">
          <a:extLst>
            <a:ext uri="{FF2B5EF4-FFF2-40B4-BE49-F238E27FC236}">
              <a16:creationId xmlns:a16="http://schemas.microsoft.com/office/drawing/2014/main" id="{2AF7E278-7661-41C2-BABA-FA7C3A96509F}"/>
            </a:ext>
          </a:extLst>
        </xdr:cNvPr>
        <xdr:cNvSpPr txBox="1"/>
      </xdr:nvSpPr>
      <xdr:spPr>
        <a:xfrm>
          <a:off x="9271000" y="546100"/>
          <a:ext cx="12192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838876F-F656-4798-AFDB-926E21722ED2}" type="TxLink">
            <a:rPr lang="en-US" sz="1600" b="0" i="0" u="none" strike="noStrike">
              <a:solidFill>
                <a:srgbClr val="000000"/>
              </a:solidFill>
              <a:latin typeface="Aptos Slab Black" panose="020F0502020204030204" pitchFamily="34" charset="0"/>
            </a:rPr>
            <a:t> 1,309 </a:t>
          </a:fld>
          <a:endParaRPr lang="en-US" sz="1600">
            <a:latin typeface="Aptos Slab Black" panose="020F0502020204030204" pitchFamily="34" charset="0"/>
          </a:endParaRPr>
        </a:p>
      </xdr:txBody>
    </xdr:sp>
    <xdr:clientData/>
  </xdr:twoCellAnchor>
  <xdr:twoCellAnchor>
    <xdr:from>
      <xdr:col>18</xdr:col>
      <xdr:colOff>508000</xdr:colOff>
      <xdr:row>2</xdr:row>
      <xdr:rowOff>38100</xdr:rowOff>
    </xdr:from>
    <xdr:to>
      <xdr:col>21</xdr:col>
      <xdr:colOff>139700</xdr:colOff>
      <xdr:row>4</xdr:row>
      <xdr:rowOff>88900</xdr:rowOff>
    </xdr:to>
    <xdr:sp macro="" textlink="Analysis!B7">
      <xdr:nvSpPr>
        <xdr:cNvPr id="91" name="TextBox 90">
          <a:extLst>
            <a:ext uri="{FF2B5EF4-FFF2-40B4-BE49-F238E27FC236}">
              <a16:creationId xmlns:a16="http://schemas.microsoft.com/office/drawing/2014/main" id="{0783E3E7-9942-4213-BFF0-4527CFD4D63C}"/>
            </a:ext>
          </a:extLst>
        </xdr:cNvPr>
        <xdr:cNvSpPr txBox="1"/>
      </xdr:nvSpPr>
      <xdr:spPr>
        <a:xfrm>
          <a:off x="12598400" y="552450"/>
          <a:ext cx="14605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1F6AAA9-CE87-40BC-BEB7-BFADE1C98119}" type="TxLink">
            <a:rPr lang="en-US" sz="1600" b="0" i="0" u="none" strike="noStrike">
              <a:solidFill>
                <a:srgbClr val="000000"/>
              </a:solidFill>
              <a:latin typeface="Aptos Slab Black" panose="020F0502020204030204" pitchFamily="34" charset="0"/>
            </a:rPr>
            <a:t> $706,194.9 </a:t>
          </a:fld>
          <a:endParaRPr lang="en-US" sz="1600">
            <a:latin typeface="Aptos Slab Black" panose="020F0502020204030204" pitchFamily="34" charset="0"/>
          </a:endParaRPr>
        </a:p>
      </xdr:txBody>
    </xdr:sp>
    <xdr:clientData/>
  </xdr:twoCellAnchor>
  <xdr:twoCellAnchor editAs="oneCell">
    <xdr:from>
      <xdr:col>0</xdr:col>
      <xdr:colOff>0</xdr:colOff>
      <xdr:row>7</xdr:row>
      <xdr:rowOff>12700</xdr:rowOff>
    </xdr:from>
    <xdr:to>
      <xdr:col>2</xdr:col>
      <xdr:colOff>184150</xdr:colOff>
      <xdr:row>35</xdr:row>
      <xdr:rowOff>12700</xdr:rowOff>
    </xdr:to>
    <mc:AlternateContent xmlns:mc="http://schemas.openxmlformats.org/markup-compatibility/2006">
      <mc:Choice xmlns:a14="http://schemas.microsoft.com/office/drawing/2010/main" Requires="a14">
        <xdr:graphicFrame macro="">
          <xdr:nvGraphicFramePr>
            <xdr:cNvPr id="93" name="Name 3">
              <a:extLst>
                <a:ext uri="{FF2B5EF4-FFF2-40B4-BE49-F238E27FC236}">
                  <a16:creationId xmlns:a16="http://schemas.microsoft.com/office/drawing/2014/main" id="{FB0CFA29-998B-073D-B83E-CCAF24FE04A0}"/>
                </a:ext>
              </a:extLst>
            </xdr:cNvPr>
            <xdr:cNvGraphicFramePr/>
          </xdr:nvGraphicFramePr>
          <xdr:xfrm>
            <a:off x="0" y="0"/>
            <a:ext cx="0" cy="0"/>
          </xdr:xfrm>
          <a:graphic>
            <a:graphicData uri="http://schemas.microsoft.com/office/drawing/2010/slicer">
              <sle:slicer xmlns:sle="http://schemas.microsoft.com/office/drawing/2010/slicer" name="Name 3"/>
            </a:graphicData>
          </a:graphic>
        </xdr:graphicFrame>
      </mc:Choice>
      <mc:Fallback>
        <xdr:sp macro="" textlink="">
          <xdr:nvSpPr>
            <xdr:cNvPr id="0" name=""/>
            <xdr:cNvSpPr>
              <a:spLocks noTextEdit="1"/>
            </xdr:cNvSpPr>
          </xdr:nvSpPr>
          <xdr:spPr>
            <a:xfrm>
              <a:off x="0" y="1447800"/>
              <a:ext cx="1403350" cy="5137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127000</xdr:colOff>
      <xdr:row>7</xdr:row>
      <xdr:rowOff>50800</xdr:rowOff>
    </xdr:from>
    <xdr:to>
      <xdr:col>13</xdr:col>
      <xdr:colOff>228600</xdr:colOff>
      <xdr:row>33</xdr:row>
      <xdr:rowOff>114300</xdr:rowOff>
    </xdr:to>
    <xdr:graphicFrame macro="">
      <xdr:nvGraphicFramePr>
        <xdr:cNvPr id="94" name="Chart 93">
          <a:extLst>
            <a:ext uri="{FF2B5EF4-FFF2-40B4-BE49-F238E27FC236}">
              <a16:creationId xmlns:a16="http://schemas.microsoft.com/office/drawing/2014/main" id="{62EAF87A-C6F6-474A-A863-2C8C1BBA9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374650</xdr:colOff>
      <xdr:row>7</xdr:row>
      <xdr:rowOff>69850</xdr:rowOff>
    </xdr:from>
    <xdr:to>
      <xdr:col>21</xdr:col>
      <xdr:colOff>76200</xdr:colOff>
      <xdr:row>33</xdr:row>
      <xdr:rowOff>50800</xdr:rowOff>
    </xdr:to>
    <mc:AlternateContent xmlns:mc="http://schemas.openxmlformats.org/markup-compatibility/2006">
      <mc:Choice xmlns:cx4="http://schemas.microsoft.com/office/drawing/2016/5/10/chartex" Requires="cx4">
        <xdr:graphicFrame macro="">
          <xdr:nvGraphicFramePr>
            <xdr:cNvPr id="95" name="Chart 94">
              <a:extLst>
                <a:ext uri="{FF2B5EF4-FFF2-40B4-BE49-F238E27FC236}">
                  <a16:creationId xmlns:a16="http://schemas.microsoft.com/office/drawing/2014/main" id="{427E8C7F-77EF-4ED2-9090-2F69A42A70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42400" y="1504950"/>
              <a:ext cx="4578350" cy="4749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247650</xdr:colOff>
      <xdr:row>2</xdr:row>
      <xdr:rowOff>19050</xdr:rowOff>
    </xdr:from>
    <xdr:to>
      <xdr:col>7</xdr:col>
      <xdr:colOff>717550</xdr:colOff>
      <xdr:row>4</xdr:row>
      <xdr:rowOff>120650</xdr:rowOff>
    </xdr:to>
    <xdr:pic>
      <xdr:nvPicPr>
        <xdr:cNvPr id="54" name="Graphic 53" descr="Receiver outline">
          <a:extLst>
            <a:ext uri="{FF2B5EF4-FFF2-40B4-BE49-F238E27FC236}">
              <a16:creationId xmlns:a16="http://schemas.microsoft.com/office/drawing/2014/main" id="{0CBD98AA-04C8-CEBE-1508-13FDEAC236B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978400" y="533400"/>
          <a:ext cx="469900" cy="469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511175</xdr:colOff>
      <xdr:row>1</xdr:row>
      <xdr:rowOff>34925</xdr:rowOff>
    </xdr:from>
    <xdr:to>
      <xdr:col>22</xdr:col>
      <xdr:colOff>387350</xdr:colOff>
      <xdr:row>6</xdr:row>
      <xdr:rowOff>101600</xdr:rowOff>
    </xdr:to>
    <xdr:grpSp>
      <xdr:nvGrpSpPr>
        <xdr:cNvPr id="7" name="Group 6">
          <a:extLst>
            <a:ext uri="{FF2B5EF4-FFF2-40B4-BE49-F238E27FC236}">
              <a16:creationId xmlns:a16="http://schemas.microsoft.com/office/drawing/2014/main" id="{B67964B8-9850-CECE-6420-ABF820B1DC5D}"/>
            </a:ext>
          </a:extLst>
        </xdr:cNvPr>
        <xdr:cNvGrpSpPr/>
      </xdr:nvGrpSpPr>
      <xdr:grpSpPr>
        <a:xfrm>
          <a:off x="11038807" y="222083"/>
          <a:ext cx="2309227" cy="1176254"/>
          <a:chOff x="4422775" y="2200275"/>
          <a:chExt cx="2524125" cy="1254125"/>
        </a:xfrm>
      </xdr:grpSpPr>
      <xdr:sp macro="" textlink="">
        <xdr:nvSpPr>
          <xdr:cNvPr id="2" name="Rectangle: Top Corners Rounded 1">
            <a:extLst>
              <a:ext uri="{FF2B5EF4-FFF2-40B4-BE49-F238E27FC236}">
                <a16:creationId xmlns:a16="http://schemas.microsoft.com/office/drawing/2014/main" id="{2DB61D2E-C040-B54A-0F47-C46EB976B664}"/>
              </a:ext>
            </a:extLst>
          </xdr:cNvPr>
          <xdr:cNvSpPr/>
        </xdr:nvSpPr>
        <xdr:spPr>
          <a:xfrm rot="16200000">
            <a:off x="4241800" y="2381250"/>
            <a:ext cx="1250950" cy="889000"/>
          </a:xfrm>
          <a:prstGeom prst="round2SameRect">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Top Corners Rounded 2">
            <a:extLst>
              <a:ext uri="{FF2B5EF4-FFF2-40B4-BE49-F238E27FC236}">
                <a16:creationId xmlns:a16="http://schemas.microsoft.com/office/drawing/2014/main" id="{F6271D39-F310-05DE-8124-74F309C27387}"/>
              </a:ext>
            </a:extLst>
          </xdr:cNvPr>
          <xdr:cNvSpPr/>
        </xdr:nvSpPr>
        <xdr:spPr>
          <a:xfrm rot="5400000">
            <a:off x="5165725" y="1673225"/>
            <a:ext cx="1250950" cy="23114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5" name="Straight Connector 4">
            <a:extLst>
              <a:ext uri="{FF2B5EF4-FFF2-40B4-BE49-F238E27FC236}">
                <a16:creationId xmlns:a16="http://schemas.microsoft.com/office/drawing/2014/main" id="{CCE1B41D-DF8D-26FA-F26A-54A6CBF0BAF2}"/>
              </a:ext>
            </a:extLst>
          </xdr:cNvPr>
          <xdr:cNvCxnSpPr/>
        </xdr:nvCxnSpPr>
        <xdr:spPr>
          <a:xfrm>
            <a:off x="5410200" y="2374900"/>
            <a:ext cx="6350" cy="92710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14</xdr:col>
      <xdr:colOff>142875</xdr:colOff>
      <xdr:row>1</xdr:row>
      <xdr:rowOff>73025</xdr:rowOff>
    </xdr:from>
    <xdr:to>
      <xdr:col>18</xdr:col>
      <xdr:colOff>19051</xdr:colOff>
      <xdr:row>6</xdr:row>
      <xdr:rowOff>139699</xdr:rowOff>
    </xdr:to>
    <xdr:grpSp>
      <xdr:nvGrpSpPr>
        <xdr:cNvPr id="8" name="Group 7">
          <a:extLst>
            <a:ext uri="{FF2B5EF4-FFF2-40B4-BE49-F238E27FC236}">
              <a16:creationId xmlns:a16="http://schemas.microsoft.com/office/drawing/2014/main" id="{21291BC2-8A4F-433C-BC01-27BEEE23E1C4}"/>
            </a:ext>
          </a:extLst>
        </xdr:cNvPr>
        <xdr:cNvGrpSpPr/>
      </xdr:nvGrpSpPr>
      <xdr:grpSpPr>
        <a:xfrm>
          <a:off x="8237454" y="260183"/>
          <a:ext cx="2309229" cy="1176253"/>
          <a:chOff x="4422775" y="2200275"/>
          <a:chExt cx="2524126" cy="1254124"/>
        </a:xfrm>
      </xdr:grpSpPr>
      <xdr:sp macro="" textlink="">
        <xdr:nvSpPr>
          <xdr:cNvPr id="9" name="Rectangle: Top Corners Rounded 8">
            <a:extLst>
              <a:ext uri="{FF2B5EF4-FFF2-40B4-BE49-F238E27FC236}">
                <a16:creationId xmlns:a16="http://schemas.microsoft.com/office/drawing/2014/main" id="{85ADE638-9545-C3FB-2998-C68A45FBE3AF}"/>
              </a:ext>
            </a:extLst>
          </xdr:cNvPr>
          <xdr:cNvSpPr/>
        </xdr:nvSpPr>
        <xdr:spPr>
          <a:xfrm rot="16200000">
            <a:off x="4241800" y="2381250"/>
            <a:ext cx="1250950" cy="889000"/>
          </a:xfrm>
          <a:prstGeom prst="round2SameRect">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Top Corners Rounded 9">
            <a:extLst>
              <a:ext uri="{FF2B5EF4-FFF2-40B4-BE49-F238E27FC236}">
                <a16:creationId xmlns:a16="http://schemas.microsoft.com/office/drawing/2014/main" id="{26EB0408-6D21-2772-90F6-03209DFB2201}"/>
              </a:ext>
            </a:extLst>
          </xdr:cNvPr>
          <xdr:cNvSpPr/>
        </xdr:nvSpPr>
        <xdr:spPr>
          <a:xfrm rot="5400000">
            <a:off x="5165726" y="1673224"/>
            <a:ext cx="1250950" cy="23114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1" name="Straight Connector 10">
            <a:extLst>
              <a:ext uri="{FF2B5EF4-FFF2-40B4-BE49-F238E27FC236}">
                <a16:creationId xmlns:a16="http://schemas.microsoft.com/office/drawing/2014/main" id="{ED6F2D0C-5584-42A0-40FA-B5E7A0EEE331}"/>
              </a:ext>
            </a:extLst>
          </xdr:cNvPr>
          <xdr:cNvCxnSpPr/>
        </xdr:nvCxnSpPr>
        <xdr:spPr>
          <a:xfrm>
            <a:off x="5410200" y="2374900"/>
            <a:ext cx="6350" cy="92710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5</xdr:col>
      <xdr:colOff>15874</xdr:colOff>
      <xdr:row>1</xdr:row>
      <xdr:rowOff>47625</xdr:rowOff>
    </xdr:from>
    <xdr:to>
      <xdr:col>7</xdr:col>
      <xdr:colOff>557656</xdr:colOff>
      <xdr:row>6</xdr:row>
      <xdr:rowOff>114299</xdr:rowOff>
    </xdr:to>
    <xdr:grpSp>
      <xdr:nvGrpSpPr>
        <xdr:cNvPr id="12" name="Group 11">
          <a:extLst>
            <a:ext uri="{FF2B5EF4-FFF2-40B4-BE49-F238E27FC236}">
              <a16:creationId xmlns:a16="http://schemas.microsoft.com/office/drawing/2014/main" id="{F5679FFB-2D46-4CAB-BBFC-80A3771C151B}"/>
            </a:ext>
          </a:extLst>
        </xdr:cNvPr>
        <xdr:cNvGrpSpPr/>
      </xdr:nvGrpSpPr>
      <xdr:grpSpPr>
        <a:xfrm>
          <a:off x="2809874" y="234783"/>
          <a:ext cx="2333150" cy="1176253"/>
          <a:chOff x="4422775" y="2200275"/>
          <a:chExt cx="2524125" cy="1254124"/>
        </a:xfrm>
      </xdr:grpSpPr>
      <xdr:sp macro="" textlink="">
        <xdr:nvSpPr>
          <xdr:cNvPr id="13" name="Rectangle: Top Corners Rounded 12">
            <a:extLst>
              <a:ext uri="{FF2B5EF4-FFF2-40B4-BE49-F238E27FC236}">
                <a16:creationId xmlns:a16="http://schemas.microsoft.com/office/drawing/2014/main" id="{6EA18A5C-CB58-B566-A557-0F345E4DEE65}"/>
              </a:ext>
            </a:extLst>
          </xdr:cNvPr>
          <xdr:cNvSpPr/>
        </xdr:nvSpPr>
        <xdr:spPr>
          <a:xfrm rot="16200000">
            <a:off x="4241800" y="2381250"/>
            <a:ext cx="1250950" cy="889000"/>
          </a:xfrm>
          <a:prstGeom prst="round2SameRect">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Top Corners Rounded 13">
            <a:extLst>
              <a:ext uri="{FF2B5EF4-FFF2-40B4-BE49-F238E27FC236}">
                <a16:creationId xmlns:a16="http://schemas.microsoft.com/office/drawing/2014/main" id="{F468D5AB-7AF7-58B6-888C-7ACC02ECD02B}"/>
              </a:ext>
            </a:extLst>
          </xdr:cNvPr>
          <xdr:cNvSpPr/>
        </xdr:nvSpPr>
        <xdr:spPr>
          <a:xfrm rot="5400000">
            <a:off x="5165725" y="1673224"/>
            <a:ext cx="1250950" cy="23114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5" name="Straight Connector 14">
            <a:extLst>
              <a:ext uri="{FF2B5EF4-FFF2-40B4-BE49-F238E27FC236}">
                <a16:creationId xmlns:a16="http://schemas.microsoft.com/office/drawing/2014/main" id="{697C7C19-1998-5887-8A00-65B5545DCADD}"/>
              </a:ext>
            </a:extLst>
          </xdr:cNvPr>
          <xdr:cNvCxnSpPr/>
        </xdr:nvCxnSpPr>
        <xdr:spPr>
          <a:xfrm>
            <a:off x="5410200" y="2374900"/>
            <a:ext cx="6350" cy="92710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9</xdr:col>
      <xdr:colOff>104774</xdr:colOff>
      <xdr:row>1</xdr:row>
      <xdr:rowOff>60324</xdr:rowOff>
    </xdr:from>
    <xdr:to>
      <xdr:col>13</xdr:col>
      <xdr:colOff>468756</xdr:colOff>
      <xdr:row>6</xdr:row>
      <xdr:rowOff>126999</xdr:rowOff>
    </xdr:to>
    <xdr:grpSp>
      <xdr:nvGrpSpPr>
        <xdr:cNvPr id="16" name="Group 15">
          <a:extLst>
            <a:ext uri="{FF2B5EF4-FFF2-40B4-BE49-F238E27FC236}">
              <a16:creationId xmlns:a16="http://schemas.microsoft.com/office/drawing/2014/main" id="{FC5A7C57-FBE0-4A5F-B6A3-2A3DB8A62FE7}"/>
            </a:ext>
          </a:extLst>
        </xdr:cNvPr>
        <xdr:cNvGrpSpPr/>
      </xdr:nvGrpSpPr>
      <xdr:grpSpPr>
        <a:xfrm>
          <a:off x="5645985" y="247482"/>
          <a:ext cx="2309087" cy="1176254"/>
          <a:chOff x="4422775" y="2200275"/>
          <a:chExt cx="2524125" cy="1254125"/>
        </a:xfrm>
      </xdr:grpSpPr>
      <xdr:sp macro="" textlink="">
        <xdr:nvSpPr>
          <xdr:cNvPr id="17" name="Rectangle: Top Corners Rounded 16">
            <a:extLst>
              <a:ext uri="{FF2B5EF4-FFF2-40B4-BE49-F238E27FC236}">
                <a16:creationId xmlns:a16="http://schemas.microsoft.com/office/drawing/2014/main" id="{24701745-3113-5C79-2187-3F51CF5FFAB0}"/>
              </a:ext>
            </a:extLst>
          </xdr:cNvPr>
          <xdr:cNvSpPr/>
        </xdr:nvSpPr>
        <xdr:spPr>
          <a:xfrm rot="16200000">
            <a:off x="4241800" y="2381250"/>
            <a:ext cx="1250950" cy="889000"/>
          </a:xfrm>
          <a:prstGeom prst="round2SameRect">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Top Corners Rounded 17">
            <a:extLst>
              <a:ext uri="{FF2B5EF4-FFF2-40B4-BE49-F238E27FC236}">
                <a16:creationId xmlns:a16="http://schemas.microsoft.com/office/drawing/2014/main" id="{B9195F1C-59BF-E1F0-88C2-D991E82904A0}"/>
              </a:ext>
            </a:extLst>
          </xdr:cNvPr>
          <xdr:cNvSpPr/>
        </xdr:nvSpPr>
        <xdr:spPr>
          <a:xfrm rot="5400000">
            <a:off x="5165725" y="1673225"/>
            <a:ext cx="1250950" cy="23114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9" name="Straight Connector 18">
            <a:extLst>
              <a:ext uri="{FF2B5EF4-FFF2-40B4-BE49-F238E27FC236}">
                <a16:creationId xmlns:a16="http://schemas.microsoft.com/office/drawing/2014/main" id="{760618D9-CE29-537E-F0AD-0641FFDF8530}"/>
              </a:ext>
            </a:extLst>
          </xdr:cNvPr>
          <xdr:cNvCxnSpPr/>
        </xdr:nvCxnSpPr>
        <xdr:spPr>
          <a:xfrm>
            <a:off x="5410200" y="2374900"/>
            <a:ext cx="6350" cy="927100"/>
          </a:xfrm>
          <a:prstGeom prst="line">
            <a:avLst/>
          </a:prstGeom>
          <a:ln w="9525">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10</xdr:col>
      <xdr:colOff>190500</xdr:colOff>
      <xdr:row>2</xdr:row>
      <xdr:rowOff>6350</xdr:rowOff>
    </xdr:from>
    <xdr:to>
      <xdr:col>11</xdr:col>
      <xdr:colOff>196850</xdr:colOff>
      <xdr:row>5</xdr:row>
      <xdr:rowOff>69850</xdr:rowOff>
    </xdr:to>
    <xdr:pic>
      <xdr:nvPicPr>
        <xdr:cNvPr id="21" name="Graphic 20" descr="Target Audience outline">
          <a:extLst>
            <a:ext uri="{FF2B5EF4-FFF2-40B4-BE49-F238E27FC236}">
              <a16:creationId xmlns:a16="http://schemas.microsoft.com/office/drawing/2014/main" id="{ADB248A4-53EB-582B-5BB5-39B17A46DD7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62650" y="552450"/>
          <a:ext cx="615950" cy="615950"/>
        </a:xfrm>
        <a:prstGeom prst="rect">
          <a:avLst/>
        </a:prstGeom>
      </xdr:spPr>
    </xdr:pic>
    <xdr:clientData/>
  </xdr:twoCellAnchor>
  <xdr:twoCellAnchor editAs="oneCell">
    <xdr:from>
      <xdr:col>19</xdr:col>
      <xdr:colOff>96800</xdr:colOff>
      <xdr:row>2</xdr:row>
      <xdr:rowOff>48400</xdr:rowOff>
    </xdr:from>
    <xdr:to>
      <xdr:col>20</xdr:col>
      <xdr:colOff>10300</xdr:colOff>
      <xdr:row>5</xdr:row>
      <xdr:rowOff>19050</xdr:rowOff>
    </xdr:to>
    <xdr:pic>
      <xdr:nvPicPr>
        <xdr:cNvPr id="23" name="Graphic 22" descr="Money outline">
          <a:extLst>
            <a:ext uri="{FF2B5EF4-FFF2-40B4-BE49-F238E27FC236}">
              <a16:creationId xmlns:a16="http://schemas.microsoft.com/office/drawing/2014/main" id="{EDE65F47-A400-FD1B-F589-0D5381AB243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222000" y="594500"/>
          <a:ext cx="523100" cy="523100"/>
        </a:xfrm>
        <a:prstGeom prst="rect">
          <a:avLst/>
        </a:prstGeom>
      </xdr:spPr>
    </xdr:pic>
    <xdr:clientData/>
  </xdr:twoCellAnchor>
  <xdr:twoCellAnchor editAs="oneCell">
    <xdr:from>
      <xdr:col>14</xdr:col>
      <xdr:colOff>381000</xdr:colOff>
      <xdr:row>2</xdr:row>
      <xdr:rowOff>68066</xdr:rowOff>
    </xdr:from>
    <xdr:to>
      <xdr:col>15</xdr:col>
      <xdr:colOff>326950</xdr:colOff>
      <xdr:row>5</xdr:row>
      <xdr:rowOff>71166</xdr:rowOff>
    </xdr:to>
    <xdr:pic>
      <xdr:nvPicPr>
        <xdr:cNvPr id="25" name="Graphic 24" descr="Ribbon outline">
          <a:extLst>
            <a:ext uri="{FF2B5EF4-FFF2-40B4-BE49-F238E27FC236}">
              <a16:creationId xmlns:a16="http://schemas.microsoft.com/office/drawing/2014/main" id="{459FD0D7-7661-81FF-9F04-FA44036EB2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458200" y="614166"/>
          <a:ext cx="555550" cy="555550"/>
        </a:xfrm>
        <a:prstGeom prst="rect">
          <a:avLst/>
        </a:prstGeom>
      </xdr:spPr>
    </xdr:pic>
    <xdr:clientData/>
  </xdr:twoCellAnchor>
  <xdr:twoCellAnchor editAs="oneCell">
    <xdr:from>
      <xdr:col>5</xdr:col>
      <xdr:colOff>229067</xdr:colOff>
      <xdr:row>2</xdr:row>
      <xdr:rowOff>44450</xdr:rowOff>
    </xdr:from>
    <xdr:to>
      <xdr:col>5</xdr:col>
      <xdr:colOff>774701</xdr:colOff>
      <xdr:row>5</xdr:row>
      <xdr:rowOff>37634</xdr:rowOff>
    </xdr:to>
    <xdr:pic>
      <xdr:nvPicPr>
        <xdr:cNvPr id="27" name="Graphic 26" descr="Receiver outline">
          <a:extLst>
            <a:ext uri="{FF2B5EF4-FFF2-40B4-BE49-F238E27FC236}">
              <a16:creationId xmlns:a16="http://schemas.microsoft.com/office/drawing/2014/main" id="{C9C534CA-0169-0E08-9C58-3916C4BAD1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19867" y="590550"/>
          <a:ext cx="545634" cy="545634"/>
        </a:xfrm>
        <a:prstGeom prst="rect">
          <a:avLst/>
        </a:prstGeom>
      </xdr:spPr>
    </xdr:pic>
    <xdr:clientData/>
  </xdr:twoCellAnchor>
  <xdr:twoCellAnchor>
    <xdr:from>
      <xdr:col>6</xdr:col>
      <xdr:colOff>177800</xdr:colOff>
      <xdr:row>1</xdr:row>
      <xdr:rowOff>279400</xdr:rowOff>
    </xdr:from>
    <xdr:to>
      <xdr:col>7</xdr:col>
      <xdr:colOff>412750</xdr:colOff>
      <xdr:row>3</xdr:row>
      <xdr:rowOff>127000</xdr:rowOff>
    </xdr:to>
    <xdr:sp macro="" textlink="'Calculation-1'!B4">
      <xdr:nvSpPr>
        <xdr:cNvPr id="29" name="TextBox 28">
          <a:extLst>
            <a:ext uri="{FF2B5EF4-FFF2-40B4-BE49-F238E27FC236}">
              <a16:creationId xmlns:a16="http://schemas.microsoft.com/office/drawing/2014/main" id="{83181A98-E709-3AD4-5FF8-BF62B6CD18B5}"/>
            </a:ext>
          </a:extLst>
        </xdr:cNvPr>
        <xdr:cNvSpPr txBox="1"/>
      </xdr:nvSpPr>
      <xdr:spPr>
        <a:xfrm>
          <a:off x="4038600" y="463550"/>
          <a:ext cx="1079500"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216286-9BB5-4DB2-8EEC-9E225CFEDECA}" type="TxLink">
            <a:rPr lang="en-US" sz="2000" b="0" i="0" u="none" strike="noStrike">
              <a:solidFill>
                <a:srgbClr val="000000"/>
              </a:solidFill>
              <a:latin typeface="+mn-lt"/>
            </a:rPr>
            <a:pPr algn="ctr"/>
            <a:t> 18,300 </a:t>
          </a:fld>
          <a:endParaRPr lang="en-US" sz="2000">
            <a:latin typeface="+mn-lt"/>
          </a:endParaRPr>
        </a:p>
      </xdr:txBody>
    </xdr:sp>
    <xdr:clientData/>
  </xdr:twoCellAnchor>
  <xdr:twoCellAnchor>
    <xdr:from>
      <xdr:col>6</xdr:col>
      <xdr:colOff>209550</xdr:colOff>
      <xdr:row>3</xdr:row>
      <xdr:rowOff>171450</xdr:rowOff>
    </xdr:from>
    <xdr:to>
      <xdr:col>7</xdr:col>
      <xdr:colOff>311150</xdr:colOff>
      <xdr:row>5</xdr:row>
      <xdr:rowOff>44450</xdr:rowOff>
    </xdr:to>
    <xdr:sp macro="" textlink="">
      <xdr:nvSpPr>
        <xdr:cNvPr id="31" name="TextBox 30">
          <a:extLst>
            <a:ext uri="{FF2B5EF4-FFF2-40B4-BE49-F238E27FC236}">
              <a16:creationId xmlns:a16="http://schemas.microsoft.com/office/drawing/2014/main" id="{A733FBF4-698E-916D-956D-DD5A7132EEC9}"/>
            </a:ext>
          </a:extLst>
        </xdr:cNvPr>
        <xdr:cNvSpPr txBox="1"/>
      </xdr:nvSpPr>
      <xdr:spPr>
        <a:xfrm>
          <a:off x="4070350" y="901700"/>
          <a:ext cx="946150"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Aptos Narrow"/>
              <a:ea typeface="+mn-ea"/>
              <a:cs typeface="+mn-cs"/>
            </a:rPr>
            <a:t>CALLS</a:t>
          </a:r>
        </a:p>
      </xdr:txBody>
    </xdr:sp>
    <xdr:clientData/>
  </xdr:twoCellAnchor>
  <xdr:twoCellAnchor>
    <xdr:from>
      <xdr:col>11</xdr:col>
      <xdr:colOff>317500</xdr:colOff>
      <xdr:row>1</xdr:row>
      <xdr:rowOff>212725</xdr:rowOff>
    </xdr:from>
    <xdr:to>
      <xdr:col>13</xdr:col>
      <xdr:colOff>295275</xdr:colOff>
      <xdr:row>3</xdr:row>
      <xdr:rowOff>60325</xdr:rowOff>
    </xdr:to>
    <xdr:sp macro="" textlink="'Calculation-1'!B5">
      <xdr:nvSpPr>
        <xdr:cNvPr id="32" name="TextBox 31">
          <a:extLst>
            <a:ext uri="{FF2B5EF4-FFF2-40B4-BE49-F238E27FC236}">
              <a16:creationId xmlns:a16="http://schemas.microsoft.com/office/drawing/2014/main" id="{4A9AC7A1-5AA6-4631-8D30-FDE25EEB47B4}"/>
            </a:ext>
          </a:extLst>
        </xdr:cNvPr>
        <xdr:cNvSpPr txBox="1"/>
      </xdr:nvSpPr>
      <xdr:spPr>
        <a:xfrm>
          <a:off x="6699250" y="396875"/>
          <a:ext cx="1196975"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157115-C4DF-4B1A-BB22-96A8D108BAAE}" type="TxLink">
            <a:rPr lang="en-US" sz="2000" b="0" i="0" u="none" strike="noStrike">
              <a:solidFill>
                <a:srgbClr val="000000"/>
              </a:solidFill>
              <a:latin typeface="+mn-lt"/>
              <a:ea typeface="+mn-ea"/>
              <a:cs typeface="+mn-cs"/>
            </a:rPr>
            <a:pPr marL="0" indent="0" algn="ctr"/>
            <a:t> 3,619 </a:t>
          </a:fld>
          <a:endParaRPr lang="en-US" sz="2000" b="0" i="0" u="none" strike="noStrike">
            <a:solidFill>
              <a:srgbClr val="000000"/>
            </a:solidFill>
            <a:latin typeface="+mn-lt"/>
            <a:ea typeface="+mn-ea"/>
            <a:cs typeface="+mn-cs"/>
          </a:endParaRPr>
        </a:p>
      </xdr:txBody>
    </xdr:sp>
    <xdr:clientData/>
  </xdr:twoCellAnchor>
  <xdr:twoCellAnchor>
    <xdr:from>
      <xdr:col>11</xdr:col>
      <xdr:colOff>422275</xdr:colOff>
      <xdr:row>3</xdr:row>
      <xdr:rowOff>161925</xdr:rowOff>
    </xdr:from>
    <xdr:to>
      <xdr:col>13</xdr:col>
      <xdr:colOff>257175</xdr:colOff>
      <xdr:row>5</xdr:row>
      <xdr:rowOff>28575</xdr:rowOff>
    </xdr:to>
    <xdr:sp macro="" textlink="">
      <xdr:nvSpPr>
        <xdr:cNvPr id="33" name="TextBox 32">
          <a:extLst>
            <a:ext uri="{FF2B5EF4-FFF2-40B4-BE49-F238E27FC236}">
              <a16:creationId xmlns:a16="http://schemas.microsoft.com/office/drawing/2014/main" id="{88386D7D-4DE2-486F-B619-D821531F19E2}"/>
            </a:ext>
          </a:extLst>
        </xdr:cNvPr>
        <xdr:cNvSpPr txBox="1"/>
      </xdr:nvSpPr>
      <xdr:spPr>
        <a:xfrm>
          <a:off x="6804025" y="892175"/>
          <a:ext cx="10541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Aptos Narrow"/>
              <a:ea typeface="+mn-ea"/>
              <a:cs typeface="+mn-cs"/>
            </a:rPr>
            <a:t>REACHED</a:t>
          </a:r>
        </a:p>
      </xdr:txBody>
    </xdr:sp>
    <xdr:clientData/>
  </xdr:twoCellAnchor>
  <xdr:twoCellAnchor>
    <xdr:from>
      <xdr:col>15</xdr:col>
      <xdr:colOff>447675</xdr:colOff>
      <xdr:row>1</xdr:row>
      <xdr:rowOff>269875</xdr:rowOff>
    </xdr:from>
    <xdr:to>
      <xdr:col>17</xdr:col>
      <xdr:colOff>425450</xdr:colOff>
      <xdr:row>3</xdr:row>
      <xdr:rowOff>117475</xdr:rowOff>
    </xdr:to>
    <xdr:sp macro="" textlink="'Calculation-1'!B6">
      <xdr:nvSpPr>
        <xdr:cNvPr id="34" name="TextBox 33">
          <a:extLst>
            <a:ext uri="{FF2B5EF4-FFF2-40B4-BE49-F238E27FC236}">
              <a16:creationId xmlns:a16="http://schemas.microsoft.com/office/drawing/2014/main" id="{E24F0871-21D5-4701-94BA-47B627BA0663}"/>
            </a:ext>
          </a:extLst>
        </xdr:cNvPr>
        <xdr:cNvSpPr txBox="1"/>
      </xdr:nvSpPr>
      <xdr:spPr>
        <a:xfrm>
          <a:off x="9134475" y="454025"/>
          <a:ext cx="1196975"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E25C2C-9ED5-4B32-9659-C9E63FC7D41F}" type="TxLink">
            <a:rPr lang="en-US" sz="2000" b="0" i="0" u="none" strike="noStrike">
              <a:solidFill>
                <a:srgbClr val="000000"/>
              </a:solidFill>
              <a:latin typeface="+mn-lt"/>
              <a:ea typeface="+mn-ea"/>
              <a:cs typeface="+mn-cs"/>
            </a:rPr>
            <a:pPr marL="0" indent="0" algn="ctr"/>
            <a:t> 1,309 </a:t>
          </a:fld>
          <a:endParaRPr lang="en-US" sz="2000" b="0" i="0" u="none" strike="noStrike">
            <a:solidFill>
              <a:srgbClr val="000000"/>
            </a:solidFill>
            <a:latin typeface="+mn-lt"/>
            <a:ea typeface="+mn-ea"/>
            <a:cs typeface="+mn-cs"/>
          </a:endParaRPr>
        </a:p>
      </xdr:txBody>
    </xdr:sp>
    <xdr:clientData/>
  </xdr:twoCellAnchor>
  <xdr:twoCellAnchor>
    <xdr:from>
      <xdr:col>15</xdr:col>
      <xdr:colOff>552450</xdr:colOff>
      <xdr:row>4</xdr:row>
      <xdr:rowOff>34925</xdr:rowOff>
    </xdr:from>
    <xdr:to>
      <xdr:col>17</xdr:col>
      <xdr:colOff>387350</xdr:colOff>
      <xdr:row>5</xdr:row>
      <xdr:rowOff>85725</xdr:rowOff>
    </xdr:to>
    <xdr:sp macro="" textlink="">
      <xdr:nvSpPr>
        <xdr:cNvPr id="35" name="TextBox 34">
          <a:extLst>
            <a:ext uri="{FF2B5EF4-FFF2-40B4-BE49-F238E27FC236}">
              <a16:creationId xmlns:a16="http://schemas.microsoft.com/office/drawing/2014/main" id="{80E363A9-5D11-40FF-9920-515D573676C0}"/>
            </a:ext>
          </a:extLst>
        </xdr:cNvPr>
        <xdr:cNvSpPr txBox="1"/>
      </xdr:nvSpPr>
      <xdr:spPr>
        <a:xfrm>
          <a:off x="9239250" y="949325"/>
          <a:ext cx="10541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Aptos Narrow"/>
              <a:ea typeface="+mn-ea"/>
              <a:cs typeface="+mn-cs"/>
            </a:rPr>
            <a:t>CLOSED</a:t>
          </a:r>
        </a:p>
      </xdr:txBody>
    </xdr:sp>
    <xdr:clientData/>
  </xdr:twoCellAnchor>
  <xdr:twoCellAnchor>
    <xdr:from>
      <xdr:col>20</xdr:col>
      <xdr:colOff>260349</xdr:colOff>
      <xdr:row>1</xdr:row>
      <xdr:rowOff>212725</xdr:rowOff>
    </xdr:from>
    <xdr:to>
      <xdr:col>22</xdr:col>
      <xdr:colOff>368300</xdr:colOff>
      <xdr:row>3</xdr:row>
      <xdr:rowOff>60325</xdr:rowOff>
    </xdr:to>
    <xdr:sp macro="" textlink="'Calculation-1'!B7">
      <xdr:nvSpPr>
        <xdr:cNvPr id="36" name="TextBox 35">
          <a:extLst>
            <a:ext uri="{FF2B5EF4-FFF2-40B4-BE49-F238E27FC236}">
              <a16:creationId xmlns:a16="http://schemas.microsoft.com/office/drawing/2014/main" id="{E16D52BD-601A-4B67-A887-838914A08874}"/>
            </a:ext>
          </a:extLst>
        </xdr:cNvPr>
        <xdr:cNvSpPr txBox="1"/>
      </xdr:nvSpPr>
      <xdr:spPr>
        <a:xfrm>
          <a:off x="11995149" y="396875"/>
          <a:ext cx="1327151"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09465D-65D6-47B5-A35C-7221F21D832D}" type="TxLink">
            <a:rPr lang="en-US" sz="2000" b="0" i="0" u="none" strike="noStrike">
              <a:solidFill>
                <a:srgbClr val="000000"/>
              </a:solidFill>
              <a:latin typeface="+mn-lt"/>
              <a:ea typeface="+mn-ea"/>
              <a:cs typeface="+mn-cs"/>
            </a:rPr>
            <a:pPr marL="0" indent="0" algn="ctr"/>
            <a:t> $706,195 </a:t>
          </a:fld>
          <a:endParaRPr lang="en-US" sz="2000" b="0" i="0" u="none" strike="noStrike">
            <a:solidFill>
              <a:srgbClr val="000000"/>
            </a:solidFill>
            <a:latin typeface="+mn-lt"/>
            <a:ea typeface="+mn-ea"/>
            <a:cs typeface="+mn-cs"/>
          </a:endParaRPr>
        </a:p>
      </xdr:txBody>
    </xdr:sp>
    <xdr:clientData/>
  </xdr:twoCellAnchor>
  <xdr:twoCellAnchor>
    <xdr:from>
      <xdr:col>20</xdr:col>
      <xdr:colOff>400050</xdr:colOff>
      <xdr:row>3</xdr:row>
      <xdr:rowOff>161925</xdr:rowOff>
    </xdr:from>
    <xdr:to>
      <xdr:col>22</xdr:col>
      <xdr:colOff>234950</xdr:colOff>
      <xdr:row>5</xdr:row>
      <xdr:rowOff>28575</xdr:rowOff>
    </xdr:to>
    <xdr:sp macro="" textlink="">
      <xdr:nvSpPr>
        <xdr:cNvPr id="37" name="TextBox 36">
          <a:extLst>
            <a:ext uri="{FF2B5EF4-FFF2-40B4-BE49-F238E27FC236}">
              <a16:creationId xmlns:a16="http://schemas.microsoft.com/office/drawing/2014/main" id="{2F54B783-1F0B-4DD1-B36A-10BA948EB5F2}"/>
            </a:ext>
          </a:extLst>
        </xdr:cNvPr>
        <xdr:cNvSpPr txBox="1"/>
      </xdr:nvSpPr>
      <xdr:spPr>
        <a:xfrm>
          <a:off x="12134850" y="892175"/>
          <a:ext cx="10541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Aptos Narrow"/>
              <a:ea typeface="+mn-ea"/>
              <a:cs typeface="+mn-cs"/>
            </a:rPr>
            <a:t>VALUE</a:t>
          </a:r>
        </a:p>
      </xdr:txBody>
    </xdr:sp>
    <xdr:clientData/>
  </xdr:twoCellAnchor>
  <xdr:twoCellAnchor editAs="oneCell">
    <xdr:from>
      <xdr:col>0</xdr:col>
      <xdr:colOff>57150</xdr:colOff>
      <xdr:row>6</xdr:row>
      <xdr:rowOff>120650</xdr:rowOff>
    </xdr:from>
    <xdr:to>
      <xdr:col>2</xdr:col>
      <xdr:colOff>520700</xdr:colOff>
      <xdr:row>35</xdr:row>
      <xdr:rowOff>152400</xdr:rowOff>
    </xdr:to>
    <mc:AlternateContent xmlns:mc="http://schemas.openxmlformats.org/markup-compatibility/2006" xmlns:a14="http://schemas.microsoft.com/office/drawing/2010/main">
      <mc:Choice Requires="a14">
        <xdr:graphicFrame macro="">
          <xdr:nvGraphicFramePr>
            <xdr:cNvPr id="39" name="Name 2">
              <a:extLst>
                <a:ext uri="{FF2B5EF4-FFF2-40B4-BE49-F238E27FC236}">
                  <a16:creationId xmlns:a16="http://schemas.microsoft.com/office/drawing/2014/main" id="{979953CD-3892-4C58-A57E-C067FF22A50E}"/>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57150" y="1403350"/>
              <a:ext cx="1225550" cy="537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31750</xdr:colOff>
      <xdr:row>8</xdr:row>
      <xdr:rowOff>19050</xdr:rowOff>
    </xdr:from>
    <xdr:to>
      <xdr:col>15</xdr:col>
      <xdr:colOff>596900</xdr:colOff>
      <xdr:row>35</xdr:row>
      <xdr:rowOff>88900</xdr:rowOff>
    </xdr:to>
    <xdr:graphicFrame macro="">
      <xdr:nvGraphicFramePr>
        <xdr:cNvPr id="40" name="Chart 39">
          <a:extLst>
            <a:ext uri="{FF2B5EF4-FFF2-40B4-BE49-F238E27FC236}">
              <a16:creationId xmlns:a16="http://schemas.microsoft.com/office/drawing/2014/main" id="{3AB7A0F1-3D76-42A1-845E-04F17B8B2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6350</xdr:colOff>
      <xdr:row>8</xdr:row>
      <xdr:rowOff>6350</xdr:rowOff>
    </xdr:from>
    <xdr:to>
      <xdr:col>22</xdr:col>
      <xdr:colOff>508000</xdr:colOff>
      <xdr:row>35</xdr:row>
      <xdr:rowOff>63500</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3BA98E2C-FAF6-459D-B8E6-F52C982E91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321800" y="1657350"/>
              <a:ext cx="4159250" cy="5029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533400</xdr:colOff>
      <xdr:row>6</xdr:row>
      <xdr:rowOff>152400</xdr:rowOff>
    </xdr:from>
    <xdr:to>
      <xdr:col>8</xdr:col>
      <xdr:colOff>6350</xdr:colOff>
      <xdr:row>8</xdr:row>
      <xdr:rowOff>6350</xdr:rowOff>
    </xdr:to>
    <xdr:sp macro="" textlink="">
      <xdr:nvSpPr>
        <xdr:cNvPr id="42" name="Rectangle: Top Corners Rounded 41">
          <a:extLst>
            <a:ext uri="{FF2B5EF4-FFF2-40B4-BE49-F238E27FC236}">
              <a16:creationId xmlns:a16="http://schemas.microsoft.com/office/drawing/2014/main" id="{FDB6C4A5-5BF6-59B5-9093-C5AEC317A5C2}"/>
            </a:ext>
          </a:extLst>
        </xdr:cNvPr>
        <xdr:cNvSpPr/>
      </xdr:nvSpPr>
      <xdr:spPr>
        <a:xfrm>
          <a:off x="1295400" y="1435100"/>
          <a:ext cx="4159250" cy="22225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209550</xdr:colOff>
      <xdr:row>1</xdr:row>
      <xdr:rowOff>342900</xdr:rowOff>
    </xdr:from>
    <xdr:to>
      <xdr:col>10</xdr:col>
      <xdr:colOff>577850</xdr:colOff>
      <xdr:row>6</xdr:row>
      <xdr:rowOff>63500</xdr:rowOff>
    </xdr:to>
    <xdr:grpSp>
      <xdr:nvGrpSpPr>
        <xdr:cNvPr id="8" name="Group 7">
          <a:extLst>
            <a:ext uri="{FF2B5EF4-FFF2-40B4-BE49-F238E27FC236}">
              <a16:creationId xmlns:a16="http://schemas.microsoft.com/office/drawing/2014/main" id="{9E536FE3-4FFD-D10B-2E07-FCD761DC57ED}"/>
            </a:ext>
          </a:extLst>
        </xdr:cNvPr>
        <xdr:cNvGrpSpPr/>
      </xdr:nvGrpSpPr>
      <xdr:grpSpPr>
        <a:xfrm>
          <a:off x="4849380" y="530514"/>
          <a:ext cx="2468129" cy="1127702"/>
          <a:chOff x="3816350" y="527050"/>
          <a:chExt cx="2197100" cy="1111250"/>
        </a:xfrm>
      </xdr:grpSpPr>
      <xdr:sp macro="" textlink="">
        <xdr:nvSpPr>
          <xdr:cNvPr id="2" name="Rectangle: Top Corners Rounded 1">
            <a:extLst>
              <a:ext uri="{FF2B5EF4-FFF2-40B4-BE49-F238E27FC236}">
                <a16:creationId xmlns:a16="http://schemas.microsoft.com/office/drawing/2014/main" id="{A0EFFD8B-7FE6-69F8-512C-61895C142C62}"/>
              </a:ext>
            </a:extLst>
          </xdr:cNvPr>
          <xdr:cNvSpPr/>
        </xdr:nvSpPr>
        <xdr:spPr>
          <a:xfrm rot="16200000">
            <a:off x="4257675" y="85725"/>
            <a:ext cx="1111250" cy="199390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 name="Rectangle: Top Corners Rounded 2">
            <a:extLst>
              <a:ext uri="{FF2B5EF4-FFF2-40B4-BE49-F238E27FC236}">
                <a16:creationId xmlns:a16="http://schemas.microsoft.com/office/drawing/2014/main" id="{8129C06C-65E6-4D8F-9DF3-216E8DDEABE0}"/>
              </a:ext>
            </a:extLst>
          </xdr:cNvPr>
          <xdr:cNvSpPr/>
        </xdr:nvSpPr>
        <xdr:spPr>
          <a:xfrm rot="5400000">
            <a:off x="4460875" y="85725"/>
            <a:ext cx="1111250" cy="19939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xnSp macro="">
        <xdr:nvCxnSpPr>
          <xdr:cNvPr id="5" name="Straight Connector 4">
            <a:extLst>
              <a:ext uri="{FF2B5EF4-FFF2-40B4-BE49-F238E27FC236}">
                <a16:creationId xmlns:a16="http://schemas.microsoft.com/office/drawing/2014/main" id="{CAC6B5B9-CA0A-901E-1B14-8E4AE936C6D9}"/>
              </a:ext>
            </a:extLst>
          </xdr:cNvPr>
          <xdr:cNvCxnSpPr/>
        </xdr:nvCxnSpPr>
        <xdr:spPr>
          <a:xfrm>
            <a:off x="4679950" y="762000"/>
            <a:ext cx="6350" cy="723900"/>
          </a:xfrm>
          <a:prstGeom prst="line">
            <a:avLst/>
          </a:prstGeom>
          <a:ln w="1270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15</xdr:col>
      <xdr:colOff>139700</xdr:colOff>
      <xdr:row>1</xdr:row>
      <xdr:rowOff>330200</xdr:rowOff>
    </xdr:from>
    <xdr:to>
      <xdr:col>18</xdr:col>
      <xdr:colOff>508000</xdr:colOff>
      <xdr:row>6</xdr:row>
      <xdr:rowOff>50800</xdr:rowOff>
    </xdr:to>
    <xdr:grpSp>
      <xdr:nvGrpSpPr>
        <xdr:cNvPr id="9" name="Group 8">
          <a:extLst>
            <a:ext uri="{FF2B5EF4-FFF2-40B4-BE49-F238E27FC236}">
              <a16:creationId xmlns:a16="http://schemas.microsoft.com/office/drawing/2014/main" id="{BA9CE5F6-DC93-4373-B95D-8940AD0D9841}"/>
            </a:ext>
          </a:extLst>
        </xdr:cNvPr>
        <xdr:cNvGrpSpPr/>
      </xdr:nvGrpSpPr>
      <xdr:grpSpPr>
        <a:xfrm>
          <a:off x="9910041" y="517814"/>
          <a:ext cx="2186709" cy="1127702"/>
          <a:chOff x="3816350" y="527050"/>
          <a:chExt cx="2197100" cy="1111250"/>
        </a:xfrm>
      </xdr:grpSpPr>
      <xdr:sp macro="" textlink="">
        <xdr:nvSpPr>
          <xdr:cNvPr id="10" name="Rectangle: Top Corners Rounded 9">
            <a:extLst>
              <a:ext uri="{FF2B5EF4-FFF2-40B4-BE49-F238E27FC236}">
                <a16:creationId xmlns:a16="http://schemas.microsoft.com/office/drawing/2014/main" id="{7C2553C9-53A1-AFD2-BA3E-31B921E42165}"/>
              </a:ext>
            </a:extLst>
          </xdr:cNvPr>
          <xdr:cNvSpPr/>
        </xdr:nvSpPr>
        <xdr:spPr>
          <a:xfrm rot="16200000">
            <a:off x="4257675" y="85725"/>
            <a:ext cx="1111250" cy="199390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 name="Rectangle: Top Corners Rounded 10">
            <a:extLst>
              <a:ext uri="{FF2B5EF4-FFF2-40B4-BE49-F238E27FC236}">
                <a16:creationId xmlns:a16="http://schemas.microsoft.com/office/drawing/2014/main" id="{A751B9CA-3BA8-AE81-DFF4-0F7B60ABB376}"/>
              </a:ext>
            </a:extLst>
          </xdr:cNvPr>
          <xdr:cNvSpPr/>
        </xdr:nvSpPr>
        <xdr:spPr>
          <a:xfrm rot="5400000">
            <a:off x="4460875" y="85725"/>
            <a:ext cx="1111250" cy="19939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xnSp macro="">
        <xdr:nvCxnSpPr>
          <xdr:cNvPr id="12" name="Straight Connector 11">
            <a:extLst>
              <a:ext uri="{FF2B5EF4-FFF2-40B4-BE49-F238E27FC236}">
                <a16:creationId xmlns:a16="http://schemas.microsoft.com/office/drawing/2014/main" id="{E9F7AB98-48D1-D232-B391-A130E8809C89}"/>
              </a:ext>
            </a:extLst>
          </xdr:cNvPr>
          <xdr:cNvCxnSpPr/>
        </xdr:nvCxnSpPr>
        <xdr:spPr>
          <a:xfrm>
            <a:off x="4679950" y="762000"/>
            <a:ext cx="6350" cy="723900"/>
          </a:xfrm>
          <a:prstGeom prst="line">
            <a:avLst/>
          </a:prstGeom>
          <a:ln w="1270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19</xdr:col>
      <xdr:colOff>57150</xdr:colOff>
      <xdr:row>1</xdr:row>
      <xdr:rowOff>355600</xdr:rowOff>
    </xdr:from>
    <xdr:to>
      <xdr:col>22</xdr:col>
      <xdr:colOff>425450</xdr:colOff>
      <xdr:row>6</xdr:row>
      <xdr:rowOff>76200</xdr:rowOff>
    </xdr:to>
    <xdr:grpSp>
      <xdr:nvGrpSpPr>
        <xdr:cNvPr id="13" name="Group 12">
          <a:extLst>
            <a:ext uri="{FF2B5EF4-FFF2-40B4-BE49-F238E27FC236}">
              <a16:creationId xmlns:a16="http://schemas.microsoft.com/office/drawing/2014/main" id="{7A183D37-29E9-4D3B-9046-130EBCD01935}"/>
            </a:ext>
          </a:extLst>
        </xdr:cNvPr>
        <xdr:cNvGrpSpPr/>
      </xdr:nvGrpSpPr>
      <xdr:grpSpPr>
        <a:xfrm>
          <a:off x="12252036" y="543214"/>
          <a:ext cx="2186709" cy="1127702"/>
          <a:chOff x="3816350" y="527050"/>
          <a:chExt cx="2197100" cy="1111250"/>
        </a:xfrm>
      </xdr:grpSpPr>
      <xdr:sp macro="" textlink="">
        <xdr:nvSpPr>
          <xdr:cNvPr id="14" name="Rectangle: Top Corners Rounded 13">
            <a:extLst>
              <a:ext uri="{FF2B5EF4-FFF2-40B4-BE49-F238E27FC236}">
                <a16:creationId xmlns:a16="http://schemas.microsoft.com/office/drawing/2014/main" id="{12B66C5D-631C-7AE7-15F4-5A2AAD0EE4E3}"/>
              </a:ext>
            </a:extLst>
          </xdr:cNvPr>
          <xdr:cNvSpPr/>
        </xdr:nvSpPr>
        <xdr:spPr>
          <a:xfrm rot="16200000">
            <a:off x="4257675" y="85725"/>
            <a:ext cx="1111250" cy="199390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5" name="Rectangle: Top Corners Rounded 14">
            <a:extLst>
              <a:ext uri="{FF2B5EF4-FFF2-40B4-BE49-F238E27FC236}">
                <a16:creationId xmlns:a16="http://schemas.microsoft.com/office/drawing/2014/main" id="{57E54D50-1CFE-1931-123B-D851BF9195D2}"/>
              </a:ext>
            </a:extLst>
          </xdr:cNvPr>
          <xdr:cNvSpPr/>
        </xdr:nvSpPr>
        <xdr:spPr>
          <a:xfrm rot="5400000">
            <a:off x="4460875" y="85725"/>
            <a:ext cx="1111250" cy="19939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xnSp macro="">
        <xdr:nvCxnSpPr>
          <xdr:cNvPr id="16" name="Straight Connector 15">
            <a:extLst>
              <a:ext uri="{FF2B5EF4-FFF2-40B4-BE49-F238E27FC236}">
                <a16:creationId xmlns:a16="http://schemas.microsoft.com/office/drawing/2014/main" id="{2F6E5C95-A6F3-41F7-7385-B8239E7E2DC8}"/>
              </a:ext>
            </a:extLst>
          </xdr:cNvPr>
          <xdr:cNvCxnSpPr/>
        </xdr:nvCxnSpPr>
        <xdr:spPr>
          <a:xfrm>
            <a:off x="4679950" y="762000"/>
            <a:ext cx="6350" cy="723900"/>
          </a:xfrm>
          <a:prstGeom prst="line">
            <a:avLst/>
          </a:prstGeom>
          <a:ln w="1270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209550</xdr:colOff>
      <xdr:row>1</xdr:row>
      <xdr:rowOff>349250</xdr:rowOff>
    </xdr:from>
    <xdr:to>
      <xdr:col>14</xdr:col>
      <xdr:colOff>577850</xdr:colOff>
      <xdr:row>6</xdr:row>
      <xdr:rowOff>69850</xdr:rowOff>
    </xdr:to>
    <xdr:grpSp>
      <xdr:nvGrpSpPr>
        <xdr:cNvPr id="17" name="Group 16">
          <a:extLst>
            <a:ext uri="{FF2B5EF4-FFF2-40B4-BE49-F238E27FC236}">
              <a16:creationId xmlns:a16="http://schemas.microsoft.com/office/drawing/2014/main" id="{F8F4621A-5D44-46D6-97A6-E84B60FFA71D}"/>
            </a:ext>
          </a:extLst>
        </xdr:cNvPr>
        <xdr:cNvGrpSpPr/>
      </xdr:nvGrpSpPr>
      <xdr:grpSpPr>
        <a:xfrm>
          <a:off x="7555345" y="536864"/>
          <a:ext cx="2186710" cy="1127702"/>
          <a:chOff x="3816350" y="527050"/>
          <a:chExt cx="2197100" cy="1111250"/>
        </a:xfrm>
      </xdr:grpSpPr>
      <xdr:sp macro="" textlink="">
        <xdr:nvSpPr>
          <xdr:cNvPr id="18" name="Rectangle: Top Corners Rounded 17">
            <a:extLst>
              <a:ext uri="{FF2B5EF4-FFF2-40B4-BE49-F238E27FC236}">
                <a16:creationId xmlns:a16="http://schemas.microsoft.com/office/drawing/2014/main" id="{C7A45D96-79A4-51BC-D95E-FB5FA32E2C19}"/>
              </a:ext>
            </a:extLst>
          </xdr:cNvPr>
          <xdr:cNvSpPr/>
        </xdr:nvSpPr>
        <xdr:spPr>
          <a:xfrm rot="16200000">
            <a:off x="4257675" y="85725"/>
            <a:ext cx="1111250" cy="199390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9" name="Rectangle: Top Corners Rounded 18">
            <a:extLst>
              <a:ext uri="{FF2B5EF4-FFF2-40B4-BE49-F238E27FC236}">
                <a16:creationId xmlns:a16="http://schemas.microsoft.com/office/drawing/2014/main" id="{8F1A6CB6-43BB-7213-186C-AEC5EA82714C}"/>
              </a:ext>
            </a:extLst>
          </xdr:cNvPr>
          <xdr:cNvSpPr/>
        </xdr:nvSpPr>
        <xdr:spPr>
          <a:xfrm rot="5400000">
            <a:off x="4460875" y="85725"/>
            <a:ext cx="1111250" cy="19939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xnSp macro="">
        <xdr:nvCxnSpPr>
          <xdr:cNvPr id="20" name="Straight Connector 19">
            <a:extLst>
              <a:ext uri="{FF2B5EF4-FFF2-40B4-BE49-F238E27FC236}">
                <a16:creationId xmlns:a16="http://schemas.microsoft.com/office/drawing/2014/main" id="{EA2EC327-A70C-B57F-3331-14F5D994EE14}"/>
              </a:ext>
            </a:extLst>
          </xdr:cNvPr>
          <xdr:cNvCxnSpPr/>
        </xdr:nvCxnSpPr>
        <xdr:spPr>
          <a:xfrm>
            <a:off x="4679950" y="762000"/>
            <a:ext cx="6350" cy="723900"/>
          </a:xfrm>
          <a:prstGeom prst="line">
            <a:avLst/>
          </a:prstGeom>
          <a:ln w="1270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19</xdr:col>
      <xdr:colOff>247650</xdr:colOff>
      <xdr:row>1</xdr:row>
      <xdr:rowOff>539750</xdr:rowOff>
    </xdr:from>
    <xdr:to>
      <xdr:col>20</xdr:col>
      <xdr:colOff>298450</xdr:colOff>
      <xdr:row>4</xdr:row>
      <xdr:rowOff>177800</xdr:rowOff>
    </xdr:to>
    <xdr:pic>
      <xdr:nvPicPr>
        <xdr:cNvPr id="25" name="Graphic 24" descr="Money outline">
          <a:extLst>
            <a:ext uri="{FF2B5EF4-FFF2-40B4-BE49-F238E27FC236}">
              <a16:creationId xmlns:a16="http://schemas.microsoft.com/office/drawing/2014/main" id="{B4F81607-80F9-5990-BB89-2AB77A8367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30050" y="723900"/>
          <a:ext cx="660400" cy="660400"/>
        </a:xfrm>
        <a:prstGeom prst="rect">
          <a:avLst/>
        </a:prstGeom>
      </xdr:spPr>
    </xdr:pic>
    <xdr:clientData/>
  </xdr:twoCellAnchor>
  <xdr:twoCellAnchor editAs="oneCell">
    <xdr:from>
      <xdr:col>15</xdr:col>
      <xdr:colOff>368300</xdr:colOff>
      <xdr:row>2</xdr:row>
      <xdr:rowOff>29350</xdr:rowOff>
    </xdr:from>
    <xdr:to>
      <xdr:col>16</xdr:col>
      <xdr:colOff>334150</xdr:colOff>
      <xdr:row>5</xdr:row>
      <xdr:rowOff>1550</xdr:rowOff>
    </xdr:to>
    <xdr:pic>
      <xdr:nvPicPr>
        <xdr:cNvPr id="27" name="Graphic 26" descr="Ribbon outline">
          <a:extLst>
            <a:ext uri="{FF2B5EF4-FFF2-40B4-BE49-F238E27FC236}">
              <a16:creationId xmlns:a16="http://schemas.microsoft.com/office/drawing/2014/main" id="{E7E1EE7D-0FA4-8416-7943-A479443EB7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12300" y="816750"/>
          <a:ext cx="575450" cy="575450"/>
        </a:xfrm>
        <a:prstGeom prst="rect">
          <a:avLst/>
        </a:prstGeom>
      </xdr:spPr>
    </xdr:pic>
    <xdr:clientData/>
  </xdr:twoCellAnchor>
  <xdr:twoCellAnchor editAs="oneCell">
    <xdr:from>
      <xdr:col>11</xdr:col>
      <xdr:colOff>406400</xdr:colOff>
      <xdr:row>2</xdr:row>
      <xdr:rowOff>65050</xdr:rowOff>
    </xdr:from>
    <xdr:to>
      <xdr:col>12</xdr:col>
      <xdr:colOff>420650</xdr:colOff>
      <xdr:row>5</xdr:row>
      <xdr:rowOff>85650</xdr:rowOff>
    </xdr:to>
    <xdr:pic>
      <xdr:nvPicPr>
        <xdr:cNvPr id="29" name="Graphic 28" descr="Target Audience outline">
          <a:extLst>
            <a:ext uri="{FF2B5EF4-FFF2-40B4-BE49-F238E27FC236}">
              <a16:creationId xmlns:a16="http://schemas.microsoft.com/office/drawing/2014/main" id="{59C08459-9CC5-FC5A-4C6E-F44B0A62B7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12000" y="852450"/>
          <a:ext cx="623850" cy="623850"/>
        </a:xfrm>
        <a:prstGeom prst="rect">
          <a:avLst/>
        </a:prstGeom>
      </xdr:spPr>
    </xdr:pic>
    <xdr:clientData/>
  </xdr:twoCellAnchor>
  <xdr:twoCellAnchor editAs="oneCell">
    <xdr:from>
      <xdr:col>7</xdr:col>
      <xdr:colOff>450850</xdr:colOff>
      <xdr:row>2</xdr:row>
      <xdr:rowOff>50800</xdr:rowOff>
    </xdr:from>
    <xdr:to>
      <xdr:col>8</xdr:col>
      <xdr:colOff>119801</xdr:colOff>
      <xdr:row>5</xdr:row>
      <xdr:rowOff>5500</xdr:rowOff>
    </xdr:to>
    <xdr:pic>
      <xdr:nvPicPr>
        <xdr:cNvPr id="31" name="Graphic 30" descr="Receiver outline">
          <a:extLst>
            <a:ext uri="{FF2B5EF4-FFF2-40B4-BE49-F238E27FC236}">
              <a16:creationId xmlns:a16="http://schemas.microsoft.com/office/drawing/2014/main" id="{865AF90E-E4CB-730C-D7B7-375E37ABF85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18050" y="838200"/>
          <a:ext cx="557950" cy="557950"/>
        </a:xfrm>
        <a:prstGeom prst="rect">
          <a:avLst/>
        </a:prstGeom>
      </xdr:spPr>
    </xdr:pic>
    <xdr:clientData/>
  </xdr:twoCellAnchor>
  <xdr:twoCellAnchor editAs="oneCell">
    <xdr:from>
      <xdr:col>0</xdr:col>
      <xdr:colOff>0</xdr:colOff>
      <xdr:row>6</xdr:row>
      <xdr:rowOff>31750</xdr:rowOff>
    </xdr:from>
    <xdr:to>
      <xdr:col>2</xdr:col>
      <xdr:colOff>590550</xdr:colOff>
      <xdr:row>35</xdr:row>
      <xdr:rowOff>127000</xdr:rowOff>
    </xdr:to>
    <mc:AlternateContent xmlns:mc="http://schemas.openxmlformats.org/markup-compatibility/2006" xmlns:a14="http://schemas.microsoft.com/office/drawing/2010/main">
      <mc:Choice Requires="a14">
        <xdr:graphicFrame macro="">
          <xdr:nvGraphicFramePr>
            <xdr:cNvPr id="32" name="Name">
              <a:extLst>
                <a:ext uri="{FF2B5EF4-FFF2-40B4-BE49-F238E27FC236}">
                  <a16:creationId xmlns:a16="http://schemas.microsoft.com/office/drawing/2014/main" id="{B1900268-95A4-4A24-90E7-29664433B07F}"/>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0" y="1626466"/>
              <a:ext cx="1369868" cy="5536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495300</xdr:colOff>
      <xdr:row>1</xdr:row>
      <xdr:rowOff>571500</xdr:rowOff>
    </xdr:from>
    <xdr:to>
      <xdr:col>10</xdr:col>
      <xdr:colOff>527050</xdr:colOff>
      <xdr:row>2</xdr:row>
      <xdr:rowOff>228600</xdr:rowOff>
    </xdr:to>
    <xdr:sp macro="" textlink="'Calculation Table'!B2">
      <xdr:nvSpPr>
        <xdr:cNvPr id="33" name="TextBox 32">
          <a:extLst>
            <a:ext uri="{FF2B5EF4-FFF2-40B4-BE49-F238E27FC236}">
              <a16:creationId xmlns:a16="http://schemas.microsoft.com/office/drawing/2014/main" id="{EFE8CC4A-0D01-A2BA-7067-E2263C906CA1}"/>
            </a:ext>
          </a:extLst>
        </xdr:cNvPr>
        <xdr:cNvSpPr txBox="1"/>
      </xdr:nvSpPr>
      <xdr:spPr>
        <a:xfrm>
          <a:off x="5372100" y="755650"/>
          <a:ext cx="12509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67E22A-B18B-4275-98EC-7CBC4393BC61}" type="TxLink">
            <a:rPr lang="en-US" sz="1800" b="0" i="0" u="none" strike="noStrike" kern="1200">
              <a:solidFill>
                <a:schemeClr val="accent5">
                  <a:lumMod val="75000"/>
                </a:schemeClr>
              </a:solidFill>
              <a:latin typeface="Aptos Narrow"/>
            </a:rPr>
            <a:pPr algn="ctr"/>
            <a:t> 18,300 </a:t>
          </a:fld>
          <a:endParaRPr lang="en-US" sz="1800" kern="1200">
            <a:solidFill>
              <a:schemeClr val="accent5">
                <a:lumMod val="75000"/>
              </a:schemeClr>
            </a:solidFill>
          </a:endParaRPr>
        </a:p>
      </xdr:txBody>
    </xdr:sp>
    <xdr:clientData/>
  </xdr:twoCellAnchor>
  <xdr:twoCellAnchor>
    <xdr:from>
      <xdr:col>8</xdr:col>
      <xdr:colOff>469900</xdr:colOff>
      <xdr:row>3</xdr:row>
      <xdr:rowOff>152400</xdr:rowOff>
    </xdr:from>
    <xdr:to>
      <xdr:col>10</xdr:col>
      <xdr:colOff>501650</xdr:colOff>
      <xdr:row>5</xdr:row>
      <xdr:rowOff>69850</xdr:rowOff>
    </xdr:to>
    <xdr:sp macro="" textlink="">
      <xdr:nvSpPr>
        <xdr:cNvPr id="34" name="TextBox 33">
          <a:extLst>
            <a:ext uri="{FF2B5EF4-FFF2-40B4-BE49-F238E27FC236}">
              <a16:creationId xmlns:a16="http://schemas.microsoft.com/office/drawing/2014/main" id="{541CDF0B-6694-4C3F-9400-0B8343836EA1}"/>
            </a:ext>
          </a:extLst>
        </xdr:cNvPr>
        <xdr:cNvSpPr txBox="1"/>
      </xdr:nvSpPr>
      <xdr:spPr>
        <a:xfrm>
          <a:off x="5346700" y="1174750"/>
          <a:ext cx="1250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kern="1200">
              <a:solidFill>
                <a:schemeClr val="accent5">
                  <a:lumMod val="75000"/>
                </a:schemeClr>
              </a:solidFill>
            </a:rPr>
            <a:t>Calls</a:t>
          </a:r>
        </a:p>
      </xdr:txBody>
    </xdr:sp>
    <xdr:clientData/>
  </xdr:twoCellAnchor>
  <xdr:twoCellAnchor>
    <xdr:from>
      <xdr:col>12</xdr:col>
      <xdr:colOff>520700</xdr:colOff>
      <xdr:row>1</xdr:row>
      <xdr:rowOff>590550</xdr:rowOff>
    </xdr:from>
    <xdr:to>
      <xdr:col>14</xdr:col>
      <xdr:colOff>552450</xdr:colOff>
      <xdr:row>3</xdr:row>
      <xdr:rowOff>12700</xdr:rowOff>
    </xdr:to>
    <xdr:sp macro="" textlink="'Calculation Table'!B3">
      <xdr:nvSpPr>
        <xdr:cNvPr id="41" name="TextBox 40">
          <a:extLst>
            <a:ext uri="{FF2B5EF4-FFF2-40B4-BE49-F238E27FC236}">
              <a16:creationId xmlns:a16="http://schemas.microsoft.com/office/drawing/2014/main" id="{F995598F-9E95-4191-98A8-11F4604B87DE}"/>
            </a:ext>
          </a:extLst>
        </xdr:cNvPr>
        <xdr:cNvSpPr txBox="1"/>
      </xdr:nvSpPr>
      <xdr:spPr>
        <a:xfrm>
          <a:off x="7835900" y="774700"/>
          <a:ext cx="12509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3BEF19-6A6B-4990-BD72-EF3BE4C6F6FC}" type="TxLink">
            <a:rPr lang="en-US" sz="1800" b="0" i="0" u="none" strike="noStrike" kern="1200">
              <a:solidFill>
                <a:schemeClr val="accent5">
                  <a:lumMod val="75000"/>
                </a:schemeClr>
              </a:solidFill>
              <a:latin typeface="Aptos Narrow"/>
              <a:ea typeface="+mn-ea"/>
              <a:cs typeface="+mn-cs"/>
            </a:rPr>
            <a:pPr marL="0" indent="0" algn="ctr"/>
            <a:t> 3,619 </a:t>
          </a:fld>
          <a:endParaRPr lang="en-US" sz="1800" b="0" i="0" u="none" strike="noStrike" kern="1200">
            <a:solidFill>
              <a:schemeClr val="accent5">
                <a:lumMod val="75000"/>
              </a:schemeClr>
            </a:solidFill>
            <a:latin typeface="Aptos Narrow"/>
            <a:ea typeface="+mn-ea"/>
            <a:cs typeface="+mn-cs"/>
          </a:endParaRPr>
        </a:p>
      </xdr:txBody>
    </xdr:sp>
    <xdr:clientData/>
  </xdr:twoCellAnchor>
  <xdr:twoCellAnchor>
    <xdr:from>
      <xdr:col>12</xdr:col>
      <xdr:colOff>495300</xdr:colOff>
      <xdr:row>3</xdr:row>
      <xdr:rowOff>171450</xdr:rowOff>
    </xdr:from>
    <xdr:to>
      <xdr:col>14</xdr:col>
      <xdr:colOff>527050</xdr:colOff>
      <xdr:row>5</xdr:row>
      <xdr:rowOff>88900</xdr:rowOff>
    </xdr:to>
    <xdr:sp macro="" textlink="">
      <xdr:nvSpPr>
        <xdr:cNvPr id="42" name="TextBox 41">
          <a:extLst>
            <a:ext uri="{FF2B5EF4-FFF2-40B4-BE49-F238E27FC236}">
              <a16:creationId xmlns:a16="http://schemas.microsoft.com/office/drawing/2014/main" id="{4B789F5C-0D25-4154-B4E6-2F8E219DAD85}"/>
            </a:ext>
          </a:extLst>
        </xdr:cNvPr>
        <xdr:cNvSpPr txBox="1"/>
      </xdr:nvSpPr>
      <xdr:spPr>
        <a:xfrm>
          <a:off x="7810500" y="1193800"/>
          <a:ext cx="12509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kern="1200">
              <a:solidFill>
                <a:schemeClr val="accent5">
                  <a:lumMod val="75000"/>
                </a:schemeClr>
              </a:solidFill>
              <a:latin typeface="+mn-lt"/>
              <a:ea typeface="+mn-ea"/>
              <a:cs typeface="+mn-cs"/>
            </a:rPr>
            <a:t>Reached</a:t>
          </a:r>
        </a:p>
      </xdr:txBody>
    </xdr:sp>
    <xdr:clientData/>
  </xdr:twoCellAnchor>
  <xdr:twoCellAnchor>
    <xdr:from>
      <xdr:col>16</xdr:col>
      <xdr:colOff>476250</xdr:colOff>
      <xdr:row>2</xdr:row>
      <xdr:rowOff>0</xdr:rowOff>
    </xdr:from>
    <xdr:to>
      <xdr:col>18</xdr:col>
      <xdr:colOff>508000</xdr:colOff>
      <xdr:row>3</xdr:row>
      <xdr:rowOff>25400</xdr:rowOff>
    </xdr:to>
    <xdr:sp macro="" textlink="'Calculation Table'!B4">
      <xdr:nvSpPr>
        <xdr:cNvPr id="43" name="TextBox 42">
          <a:extLst>
            <a:ext uri="{FF2B5EF4-FFF2-40B4-BE49-F238E27FC236}">
              <a16:creationId xmlns:a16="http://schemas.microsoft.com/office/drawing/2014/main" id="{E1CF6D87-A3AB-4630-B336-AFBFF183C9E8}"/>
            </a:ext>
          </a:extLst>
        </xdr:cNvPr>
        <xdr:cNvSpPr txBox="1"/>
      </xdr:nvSpPr>
      <xdr:spPr>
        <a:xfrm>
          <a:off x="10229850" y="787400"/>
          <a:ext cx="12509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34D6F-8902-45B1-867D-F04A83A854CA}" type="TxLink">
            <a:rPr lang="en-US" sz="1800" b="0" i="0" u="none" strike="noStrike" kern="1200">
              <a:solidFill>
                <a:schemeClr val="accent5">
                  <a:lumMod val="75000"/>
                </a:schemeClr>
              </a:solidFill>
              <a:latin typeface="Aptos Narrow"/>
              <a:ea typeface="+mn-ea"/>
              <a:cs typeface="+mn-cs"/>
            </a:rPr>
            <a:pPr marL="0" indent="0" algn="ctr"/>
            <a:t> 1,309 </a:t>
          </a:fld>
          <a:endParaRPr lang="en-US" sz="1800" b="0" i="0" u="none" strike="noStrike" kern="1200">
            <a:solidFill>
              <a:schemeClr val="accent5">
                <a:lumMod val="75000"/>
              </a:schemeClr>
            </a:solidFill>
            <a:latin typeface="Aptos Narrow"/>
            <a:ea typeface="+mn-ea"/>
            <a:cs typeface="+mn-cs"/>
          </a:endParaRPr>
        </a:p>
      </xdr:txBody>
    </xdr:sp>
    <xdr:clientData/>
  </xdr:twoCellAnchor>
  <xdr:twoCellAnchor>
    <xdr:from>
      <xdr:col>16</xdr:col>
      <xdr:colOff>450850</xdr:colOff>
      <xdr:row>4</xdr:row>
      <xdr:rowOff>0</xdr:rowOff>
    </xdr:from>
    <xdr:to>
      <xdr:col>18</xdr:col>
      <xdr:colOff>482600</xdr:colOff>
      <xdr:row>5</xdr:row>
      <xdr:rowOff>101600</xdr:rowOff>
    </xdr:to>
    <xdr:sp macro="" textlink="">
      <xdr:nvSpPr>
        <xdr:cNvPr id="44" name="TextBox 43">
          <a:extLst>
            <a:ext uri="{FF2B5EF4-FFF2-40B4-BE49-F238E27FC236}">
              <a16:creationId xmlns:a16="http://schemas.microsoft.com/office/drawing/2014/main" id="{297C93DD-2E05-4527-AE3C-3CB8B986D4C6}"/>
            </a:ext>
          </a:extLst>
        </xdr:cNvPr>
        <xdr:cNvSpPr txBox="1"/>
      </xdr:nvSpPr>
      <xdr:spPr>
        <a:xfrm>
          <a:off x="10204450" y="1206500"/>
          <a:ext cx="1250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kern="1200">
              <a:solidFill>
                <a:schemeClr val="accent5">
                  <a:lumMod val="75000"/>
                </a:schemeClr>
              </a:solidFill>
              <a:latin typeface="+mn-lt"/>
              <a:ea typeface="+mn-ea"/>
              <a:cs typeface="+mn-cs"/>
            </a:rPr>
            <a:t>Closed</a:t>
          </a:r>
        </a:p>
      </xdr:txBody>
    </xdr:sp>
    <xdr:clientData/>
  </xdr:twoCellAnchor>
  <xdr:twoCellAnchor>
    <xdr:from>
      <xdr:col>20</xdr:col>
      <xdr:colOff>419100</xdr:colOff>
      <xdr:row>1</xdr:row>
      <xdr:rowOff>577850</xdr:rowOff>
    </xdr:from>
    <xdr:to>
      <xdr:col>22</xdr:col>
      <xdr:colOff>450850</xdr:colOff>
      <xdr:row>3</xdr:row>
      <xdr:rowOff>0</xdr:rowOff>
    </xdr:to>
    <xdr:sp macro="" textlink="'Calculation Table'!B2">
      <xdr:nvSpPr>
        <xdr:cNvPr id="45" name="TextBox 44">
          <a:extLst>
            <a:ext uri="{FF2B5EF4-FFF2-40B4-BE49-F238E27FC236}">
              <a16:creationId xmlns:a16="http://schemas.microsoft.com/office/drawing/2014/main" id="{62B145BB-F2AC-4AB9-AB78-6EC10C333B65}"/>
            </a:ext>
          </a:extLst>
        </xdr:cNvPr>
        <xdr:cNvSpPr txBox="1"/>
      </xdr:nvSpPr>
      <xdr:spPr>
        <a:xfrm>
          <a:off x="12611100" y="762000"/>
          <a:ext cx="12509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67E22A-B18B-4275-98EC-7CBC4393BC61}" type="TxLink">
            <a:rPr lang="en-US" sz="1800" b="0" i="0" u="none" strike="noStrike" kern="1200">
              <a:solidFill>
                <a:schemeClr val="accent5">
                  <a:lumMod val="75000"/>
                </a:schemeClr>
              </a:solidFill>
              <a:latin typeface="Aptos Narrow"/>
              <a:ea typeface="+mn-ea"/>
              <a:cs typeface="+mn-cs"/>
            </a:rPr>
            <a:pPr marL="0" indent="0" algn="ctr"/>
            <a:t> 18,300 </a:t>
          </a:fld>
          <a:endParaRPr lang="en-US" sz="1800" b="0" i="0" u="none" strike="noStrike" kern="1200">
            <a:solidFill>
              <a:schemeClr val="accent5">
                <a:lumMod val="75000"/>
              </a:schemeClr>
            </a:solidFill>
            <a:latin typeface="Aptos Narrow"/>
            <a:ea typeface="+mn-ea"/>
            <a:cs typeface="+mn-cs"/>
          </a:endParaRPr>
        </a:p>
      </xdr:txBody>
    </xdr:sp>
    <xdr:clientData/>
  </xdr:twoCellAnchor>
  <xdr:twoCellAnchor>
    <xdr:from>
      <xdr:col>20</xdr:col>
      <xdr:colOff>393700</xdr:colOff>
      <xdr:row>3</xdr:row>
      <xdr:rowOff>158750</xdr:rowOff>
    </xdr:from>
    <xdr:to>
      <xdr:col>22</xdr:col>
      <xdr:colOff>425450</xdr:colOff>
      <xdr:row>5</xdr:row>
      <xdr:rowOff>76200</xdr:rowOff>
    </xdr:to>
    <xdr:sp macro="" textlink="">
      <xdr:nvSpPr>
        <xdr:cNvPr id="46" name="TextBox 45">
          <a:extLst>
            <a:ext uri="{FF2B5EF4-FFF2-40B4-BE49-F238E27FC236}">
              <a16:creationId xmlns:a16="http://schemas.microsoft.com/office/drawing/2014/main" id="{84EE68D7-59C6-4818-A26A-C6BB9026A78B}"/>
            </a:ext>
          </a:extLst>
        </xdr:cNvPr>
        <xdr:cNvSpPr txBox="1"/>
      </xdr:nvSpPr>
      <xdr:spPr>
        <a:xfrm>
          <a:off x="12585700" y="1181100"/>
          <a:ext cx="1250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kern="1200">
              <a:solidFill>
                <a:schemeClr val="accent5">
                  <a:lumMod val="75000"/>
                </a:schemeClr>
              </a:solidFill>
            </a:rPr>
            <a:t>Value</a:t>
          </a:r>
        </a:p>
      </xdr:txBody>
    </xdr:sp>
    <xdr:clientData/>
  </xdr:twoCellAnchor>
  <xdr:twoCellAnchor>
    <xdr:from>
      <xdr:col>2</xdr:col>
      <xdr:colOff>667704</xdr:colOff>
      <xdr:row>6</xdr:row>
      <xdr:rowOff>88900</xdr:rowOff>
    </xdr:from>
    <xdr:to>
      <xdr:col>7</xdr:col>
      <xdr:colOff>730249</xdr:colOff>
      <xdr:row>7</xdr:row>
      <xdr:rowOff>179360</xdr:rowOff>
    </xdr:to>
    <xdr:sp macro="" textlink="">
      <xdr:nvSpPr>
        <xdr:cNvPr id="47" name="Rectangle: Top Corners Rounded 46">
          <a:extLst>
            <a:ext uri="{FF2B5EF4-FFF2-40B4-BE49-F238E27FC236}">
              <a16:creationId xmlns:a16="http://schemas.microsoft.com/office/drawing/2014/main" id="{6467413E-12F3-4903-BDF2-280B53851FE4}"/>
            </a:ext>
          </a:extLst>
        </xdr:cNvPr>
        <xdr:cNvSpPr/>
      </xdr:nvSpPr>
      <xdr:spPr>
        <a:xfrm>
          <a:off x="1448754" y="1663700"/>
          <a:ext cx="3929695" cy="27461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chemeClr val="bg2">
                  <a:lumMod val="25000"/>
                </a:schemeClr>
              </a:solidFill>
            </a:rPr>
            <a:t>Sales Person KPI</a:t>
          </a:r>
        </a:p>
      </xdr:txBody>
    </xdr:sp>
    <xdr:clientData/>
  </xdr:twoCellAnchor>
  <xdr:twoCellAnchor>
    <xdr:from>
      <xdr:col>8</xdr:col>
      <xdr:colOff>209262</xdr:colOff>
      <xdr:row>6</xdr:row>
      <xdr:rowOff>165966</xdr:rowOff>
    </xdr:from>
    <xdr:to>
      <xdr:col>16</xdr:col>
      <xdr:colOff>79375</xdr:colOff>
      <xdr:row>21</xdr:row>
      <xdr:rowOff>94962</xdr:rowOff>
    </xdr:to>
    <xdr:graphicFrame macro="">
      <xdr:nvGraphicFramePr>
        <xdr:cNvPr id="48" name="Chart 47">
          <a:extLst>
            <a:ext uri="{FF2B5EF4-FFF2-40B4-BE49-F238E27FC236}">
              <a16:creationId xmlns:a16="http://schemas.microsoft.com/office/drawing/2014/main" id="{CFEEC5FC-CC97-4009-9B28-C15AE17F9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223692</xdr:colOff>
      <xdr:row>6</xdr:row>
      <xdr:rowOff>180398</xdr:rowOff>
    </xdr:from>
    <xdr:to>
      <xdr:col>24</xdr:col>
      <xdr:colOff>548408</xdr:colOff>
      <xdr:row>21</xdr:row>
      <xdr:rowOff>109394</xdr:rowOff>
    </xdr:to>
    <xdr:graphicFrame macro="">
      <xdr:nvGraphicFramePr>
        <xdr:cNvPr id="49" name="Chart 48">
          <a:extLst>
            <a:ext uri="{FF2B5EF4-FFF2-40B4-BE49-F238E27FC236}">
              <a16:creationId xmlns:a16="http://schemas.microsoft.com/office/drawing/2014/main" id="{7F81F239-2614-4C65-8622-32CE8B11B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223694</xdr:colOff>
      <xdr:row>21</xdr:row>
      <xdr:rowOff>158749</xdr:rowOff>
    </xdr:from>
    <xdr:to>
      <xdr:col>16</xdr:col>
      <xdr:colOff>79375</xdr:colOff>
      <xdr:row>36</xdr:row>
      <xdr:rowOff>137101</xdr:rowOff>
    </xdr:to>
    <xdr:graphicFrame macro="">
      <xdr:nvGraphicFramePr>
        <xdr:cNvPr id="50" name="Chart 49">
          <a:extLst>
            <a:ext uri="{FF2B5EF4-FFF2-40B4-BE49-F238E27FC236}">
              <a16:creationId xmlns:a16="http://schemas.microsoft.com/office/drawing/2014/main" id="{A81EA657-759C-4640-BC07-AF134AEB9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252556</xdr:colOff>
      <xdr:row>22</xdr:row>
      <xdr:rowOff>7217</xdr:rowOff>
    </xdr:from>
    <xdr:to>
      <xdr:col>24</xdr:col>
      <xdr:colOff>548408</xdr:colOff>
      <xdr:row>36</xdr:row>
      <xdr:rowOff>123826</xdr:rowOff>
    </xdr:to>
    <xdr:graphicFrame macro="">
      <xdr:nvGraphicFramePr>
        <xdr:cNvPr id="51" name="Chart 50">
          <a:extLst>
            <a:ext uri="{FF2B5EF4-FFF2-40B4-BE49-F238E27FC236}">
              <a16:creationId xmlns:a16="http://schemas.microsoft.com/office/drawing/2014/main" id="{6873B524-41FF-433B-9364-113577402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3" refreshedDate="45635.913374305557" createdVersion="8" refreshedVersion="8" minRefreshableVersion="3" recordCount="312" xr:uid="{3DDF5734-34DE-4E6B-9E6B-BDF71061AFD6}">
  <cacheSource type="worksheet">
    <worksheetSource name="SalesData"/>
  </cacheSource>
  <cacheFields count="11">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0"/>
    </cacheField>
    <cacheField name="Total Calls" numFmtId="0">
      <sharedItems containsSemiMixedTypes="0" containsString="0" containsNumber="1" containsInteger="1" minValue="16" maxValue="115" count="92">
        <n v="74"/>
        <n v="78"/>
        <n v="47"/>
        <n v="24"/>
        <n v="81"/>
        <n v="59"/>
        <n v="68"/>
        <n v="60"/>
        <n v="34"/>
        <n v="18"/>
        <n v="36"/>
        <n v="67"/>
        <n v="54"/>
        <n v="82"/>
        <n v="31"/>
        <n v="92"/>
        <n v="73"/>
        <n v="25"/>
        <n v="96"/>
        <n v="63"/>
        <n v="38"/>
        <n v="43"/>
        <n v="62"/>
        <n v="52"/>
        <n v="22"/>
        <n v="93"/>
        <n v="65"/>
        <n v="90"/>
        <n v="48"/>
        <n v="37"/>
        <n v="20"/>
        <n v="35"/>
        <n v="30"/>
        <n v="69"/>
        <n v="21"/>
        <n v="83"/>
        <n v="57"/>
        <n v="55"/>
        <n v="91"/>
        <n v="19"/>
        <n v="77"/>
        <n v="50"/>
        <n v="88"/>
        <n v="33"/>
        <n v="16"/>
        <n v="61"/>
        <n v="84"/>
        <n v="64"/>
        <n v="110"/>
        <n v="108"/>
        <n v="28"/>
        <n v="39"/>
        <n v="41"/>
        <n v="17"/>
        <n v="76"/>
        <n v="72"/>
        <n v="44"/>
        <n v="29"/>
        <n v="26"/>
        <n v="103"/>
        <n v="100"/>
        <n v="104"/>
        <n v="42"/>
        <n v="45"/>
        <n v="85"/>
        <n v="49"/>
        <n v="66"/>
        <n v="75"/>
        <n v="97"/>
        <n v="105"/>
        <n v="111"/>
        <n v="71"/>
        <n v="40"/>
        <n v="58"/>
        <n v="114"/>
        <n v="53"/>
        <n v="70"/>
        <n v="32"/>
        <n v="79"/>
        <n v="80"/>
        <n v="106"/>
        <n v="115"/>
        <n v="51"/>
        <n v="87"/>
        <n v="86"/>
        <n v="98"/>
        <n v="27"/>
        <n v="102"/>
        <n v="23"/>
        <n v="101"/>
        <n v="99"/>
        <n v="94"/>
      </sharedItems>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ount="312">
        <n v="4276.3100000000004"/>
        <n v="3880.98"/>
        <n v="3716"/>
        <n v="1552.35"/>
        <n v="1030.68"/>
        <n v="3546.72"/>
        <n v="2472.2399999999998"/>
        <n v="3956.69"/>
        <n v="1140.08"/>
        <n v="979.09"/>
        <n v="720.56"/>
        <n v="3463.18"/>
        <n v="330.12"/>
        <n v="4072.07"/>
        <n v="645.83000000000004"/>
        <n v="1207.17"/>
        <n v="3463.96"/>
        <n v="3945.43"/>
        <n v="425.41"/>
        <n v="1123.8399999999999"/>
        <n v="1432.23"/>
        <n v="3173.13"/>
        <n v="526.12"/>
        <n v="2695.84"/>
        <n v="243.62"/>
        <n v="3843.52"/>
        <n v="4195.1400000000003"/>
        <n v="3620.19"/>
        <n v="3394.39"/>
        <n v="1638.74"/>
        <n v="1057.1400000000001"/>
        <n v="3486.23"/>
        <n v="2662.44"/>
        <n v="4335.84"/>
        <n v="1295.07"/>
        <n v="979.47"/>
        <n v="732.99"/>
        <n v="3949.69"/>
        <n v="360.7"/>
        <n v="3595.12"/>
        <n v="610.66"/>
        <n v="1173.27"/>
        <n v="3794.02"/>
        <n v="3616.21"/>
        <n v="402.53"/>
        <n v="1152.4100000000001"/>
        <n v="1703.6"/>
        <n v="3503.57"/>
        <n v="548.36"/>
        <n v="3017.43"/>
        <n v="221.94"/>
        <n v="4183.2700000000004"/>
        <n v="3890.73"/>
        <n v="3674.37"/>
        <n v="3357.27"/>
        <n v="1469.62"/>
        <n v="963.35"/>
        <n v="3725.66"/>
        <n v="2619.84"/>
        <n v="4641.6099999999997"/>
        <n v="1169.6400000000001"/>
        <n v="1080.0899999999999"/>
        <n v="818.64"/>
        <n v="3621.51"/>
        <n v="355.96"/>
        <n v="4153.3100000000004"/>
        <n v="661.2"/>
        <n v="1171.95"/>
        <n v="3848.14"/>
        <n v="4039.26"/>
        <n v="411.36"/>
        <n v="1306.3800000000001"/>
        <n v="1692.59"/>
        <n v="3113.29"/>
        <n v="534.58000000000004"/>
        <n v="2989.69"/>
        <n v="224.87"/>
        <n v="4592.09"/>
        <n v="3728.2"/>
        <n v="3682.69"/>
        <n v="3638.83"/>
        <n v="1419.04"/>
        <n v="1019.97"/>
        <n v="3633.75"/>
        <n v="2378.29"/>
        <n v="4155.8"/>
        <n v="1075.94"/>
        <n v="1088.22"/>
        <n v="868.4"/>
        <n v="3483.6"/>
        <n v="377.45"/>
        <n v="3988.15"/>
        <n v="643.44000000000005"/>
        <n v="1169.3800000000001"/>
        <n v="4085.91"/>
        <n v="3360.11"/>
        <n v="433.41"/>
        <n v="1138.51"/>
        <n v="1591.45"/>
        <n v="3499.88"/>
        <n v="462.44"/>
        <n v="3153.56"/>
        <n v="229.72"/>
        <n v="4298.2700000000004"/>
        <n v="3716.14"/>
        <n v="3558.13"/>
        <n v="3327.07"/>
        <n v="1672.82"/>
        <n v="939.32"/>
        <n v="3623.32"/>
        <n v="2631.58"/>
        <n v="4064.36"/>
        <n v="1294.3599999999999"/>
        <n v="899.46"/>
        <n v="789.77"/>
        <n v="3867.67"/>
        <n v="359.97"/>
        <n v="3797.35"/>
        <n v="592.71"/>
        <n v="1282.81"/>
        <n v="3971.59"/>
        <n v="3830.32"/>
        <n v="386.08"/>
        <n v="1287.1300000000001"/>
        <n v="1598.49"/>
        <n v="3496.65"/>
        <n v="455.32"/>
        <n v="2811.77"/>
        <n v="241.08"/>
        <n v="4068.75"/>
        <n v="3958.94"/>
        <n v="4003.52"/>
        <n v="3173.36"/>
        <n v="1431.69"/>
        <n v="988.98"/>
        <n v="3545.66"/>
        <n v="2420.5300000000002"/>
        <n v="3860.12"/>
        <n v="1213.5899999999999"/>
        <n v="1056.98"/>
        <n v="809.56"/>
        <n v="3330.44"/>
        <n v="364.56"/>
        <n v="3760.57"/>
        <n v="692.47"/>
        <n v="1190.24"/>
        <n v="3913.17"/>
        <n v="3993.03"/>
        <n v="377.13"/>
        <n v="1262.99"/>
        <n v="1455.83"/>
        <n v="3734.43"/>
        <n v="525.73"/>
        <n v="2988.28"/>
        <n v="224.24"/>
        <n v="3984.69"/>
        <n v="4444.83"/>
        <n v="3704.33"/>
        <n v="3514.07"/>
        <n v="1597.98"/>
        <n v="1004.9"/>
        <n v="3289.06"/>
        <n v="2296.14"/>
        <n v="4227.22"/>
        <n v="1101.06"/>
        <n v="1087.4100000000001"/>
        <n v="828.73"/>
        <n v="3939.56"/>
        <n v="327.82"/>
        <n v="3767.74"/>
        <n v="692.29"/>
        <n v="1364.24"/>
        <n v="3652.64"/>
        <n v="3588.89"/>
        <n v="458.18"/>
        <n v="1219.29"/>
        <n v="1494.14"/>
        <n v="3682.29"/>
        <n v="506.88"/>
        <n v="2949.94"/>
        <n v="259.86"/>
        <n v="3846.34"/>
        <n v="4043.62"/>
        <n v="3819.73"/>
        <n v="3409.69"/>
        <n v="1387.86"/>
        <n v="958.02"/>
        <n v="3620.9"/>
        <n v="2531.4"/>
        <n v="4136.6899999999996"/>
        <n v="1166.55"/>
        <n v="1044.8599999999999"/>
        <n v="772.77"/>
        <n v="3868.36"/>
        <n v="350.62"/>
        <n v="3963.32"/>
        <n v="675.97"/>
        <n v="1255.83"/>
        <n v="3666.64"/>
        <n v="3790.05"/>
        <n v="443.22"/>
        <n v="1265.47"/>
        <n v="1573.7"/>
        <n v="3398.37"/>
        <n v="464.49"/>
        <n v="2681.51"/>
        <n v="222.62"/>
        <n v="4155.8599999999997"/>
        <n v="4017.54"/>
        <n v="3658.64"/>
        <n v="3767.63"/>
        <n v="1650.69"/>
        <n v="990.89"/>
        <n v="3916.58"/>
        <n v="2254.16"/>
        <n v="3929.11"/>
        <n v="1187.3699999999999"/>
        <n v="924.79"/>
        <n v="779.86"/>
        <n v="4013.79"/>
        <n v="336.22"/>
        <n v="3424.83"/>
        <n v="635.24"/>
        <n v="1307.47"/>
        <n v="3483.91"/>
        <n v="3895.32"/>
        <n v="418.33"/>
        <n v="1269.5999999999999"/>
        <n v="1444.65"/>
        <n v="3601.93"/>
        <n v="507.1"/>
        <n v="2978.09"/>
        <n v="250.08"/>
        <n v="4381.3900000000003"/>
        <n v="4267.5"/>
        <n v="3679.65"/>
        <n v="3626.22"/>
        <n v="1543.72"/>
        <n v="980.1"/>
        <n v="3928.71"/>
        <n v="2486.2199999999998"/>
        <n v="3946.23"/>
        <n v="1286.18"/>
        <n v="957.05"/>
        <n v="762.2"/>
        <n v="3420.99"/>
        <n v="376.66"/>
        <n v="3781.81"/>
        <n v="636.65"/>
        <n v="1148.1400000000001"/>
        <n v="3851.19"/>
        <n v="3767.78"/>
        <n v="400.92"/>
        <n v="1220.5899999999999"/>
        <n v="1649.09"/>
        <n v="3183.87"/>
        <n v="508.84"/>
        <n v="2890.62"/>
        <n v="241.26"/>
        <n v="4111.76"/>
        <n v="4402.41"/>
        <n v="3917.99"/>
        <n v="3669.4"/>
        <n v="1476.69"/>
        <n v="1093.75"/>
        <n v="3775.84"/>
        <n v="2481.64"/>
        <n v="3982.36"/>
        <n v="1172.04"/>
        <n v="995.6"/>
        <n v="788.65"/>
        <n v="3543.71"/>
        <n v="358.29"/>
        <n v="3534.1"/>
        <n v="707.75"/>
        <n v="1248.54"/>
        <n v="3892.76"/>
        <n v="3359.77"/>
        <n v="392.05"/>
        <n v="1097.5999999999999"/>
        <n v="1469.71"/>
        <n v="3491.19"/>
        <n v="548.46"/>
        <n v="3020.19"/>
        <n v="231.16"/>
        <n v="4484.96"/>
        <n v="4099.6400000000003"/>
        <n v="3996.04"/>
        <n v="3543.6"/>
        <n v="1527.27"/>
        <n v="1116.6099999999999"/>
        <n v="3767.09"/>
        <n v="2608.4699999999998"/>
        <n v="3836.95"/>
        <n v="1107.51"/>
        <n v="947.47"/>
        <n v="730.81"/>
        <n v="3643.63"/>
        <n v="379.83"/>
        <n v="3753.06"/>
        <n v="649.97"/>
        <n v="1153.93"/>
        <n v="3741.27"/>
        <n v="3793.56"/>
        <n v="454.09"/>
        <n v="1182.6300000000001"/>
        <n v="1553.7"/>
        <n v="3665.55"/>
        <n v="545.09"/>
        <n v="2605.02"/>
        <n v="239.13"/>
        <n v="4573.5"/>
      </sharedItems>
    </cacheField>
    <cacheField name="Call Drop Rate (%)" numFmtId="9">
      <sharedItems containsSemiMixedTypes="0" containsString="0" containsNumber="1" minValue="8.9999999999999998E-4" maxValue="0.10640000000000001"/>
    </cacheField>
    <cacheField name="Days (Date)" numFmtId="0" databaseField="0">
      <fieldGroup base="1">
        <rangePr groupBy="days" startDate="2024-01-01T00:00:00" endDate="2024-12-02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4"/>
        </groupItems>
      </fieldGroup>
    </cacheField>
    <cacheField name="Months (Date)" numFmtId="0" databaseField="0">
      <fieldGroup base="1">
        <rangePr groupBy="months" startDate="2024-01-01T00:00:00" endDate="2024-12-02T00:00:00"/>
        <groupItems count="14">
          <s v="&lt;01-01-24"/>
          <s v="Jan"/>
          <s v="Feb"/>
          <s v="Mar"/>
          <s v="Apr"/>
          <s v="May"/>
          <s v="Jun"/>
          <s v="Jul"/>
          <s v="Aug"/>
          <s v="Sep"/>
          <s v="Oct"/>
          <s v="Nov"/>
          <s v="Dec"/>
          <s v="&gt;02-12-24"/>
        </groupItems>
      </fieldGroup>
    </cacheField>
  </cacheFields>
  <extLst>
    <ext xmlns:x14="http://schemas.microsoft.com/office/spreadsheetml/2009/9/main" uri="{725AE2AE-9491-48be-B2B4-4EB974FC3084}">
      <x14:pivotCacheDefinition pivotCacheId="17420625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3" refreshedDate="45673.896300231485" createdVersion="8" refreshedVersion="8" minRefreshableVersion="3" recordCount="312" xr:uid="{E5827B7F-9BF0-4B3F-9B7A-349D0219F515}">
  <cacheSource type="worksheet">
    <worksheetSource name="SalesData3"/>
  </cacheSource>
  <cacheFields count="13">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Region" numFmtId="0">
      <sharedItems count="5">
        <s v="Dhaka"/>
        <s v="Rangpur"/>
        <s v="Sylhet"/>
        <s v="Chittagong"/>
        <s v="Barisal"/>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2"/>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Service Level" numFmtId="0">
      <sharedItems containsSemiMixedTypes="0" containsString="0" containsNumber="1" containsInteger="1" minValue="1" maxValue="3"/>
    </cacheField>
    <cacheField name="Call Drop Rate (%)" numFmtId="9">
      <sharedItems containsSemiMixedTypes="0" containsString="0" containsNumber="1" minValue="8.9999999999999998E-4" maxValue="0.10640000000000001"/>
    </cacheField>
    <cacheField name="Days (Date)" numFmtId="0" databaseField="0">
      <fieldGroup base="2">
        <rangePr groupBy="days" startDate="2024-01-01T00:00:00" endDate="2024-12-02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4"/>
        </groupItems>
      </fieldGroup>
    </cacheField>
    <cacheField name="Months (Date)" numFmtId="0" databaseField="0">
      <fieldGroup base="2">
        <rangePr groupBy="months" startDate="2024-01-01T00:00:00" endDate="2024-12-02T00:00:00"/>
        <groupItems count="14">
          <s v="&lt;01-01-24"/>
          <s v="Jan"/>
          <s v="Feb"/>
          <s v="Mar"/>
          <s v="Apr"/>
          <s v="May"/>
          <s v="Jun"/>
          <s v="Jul"/>
          <s v="Aug"/>
          <s v="Sep"/>
          <s v="Oct"/>
          <s v="Nov"/>
          <s v="Dec"/>
          <s v="&gt;02-12-24"/>
        </groupItems>
      </fieldGroup>
    </cacheField>
  </cacheFields>
  <extLst>
    <ext xmlns:x14="http://schemas.microsoft.com/office/spreadsheetml/2009/9/main" uri="{725AE2AE-9491-48be-B2B4-4EB974FC3084}">
      <x14:pivotCacheDefinition pivotCacheId="672165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n v="12"/>
    <n v="330.42"/>
    <n v="7"/>
    <n v="0.58333333333333337"/>
    <x v="0"/>
    <n v="2.9500000000000002E-2"/>
  </r>
  <r>
    <x v="1"/>
    <x v="0"/>
    <x v="1"/>
    <n v="12"/>
    <n v="377.5"/>
    <n v="4"/>
    <n v="0.33333333333333331"/>
    <x v="1"/>
    <n v="4.3400000000000001E-2"/>
  </r>
  <r>
    <x v="2"/>
    <x v="0"/>
    <x v="2"/>
    <n v="14"/>
    <n v="418.92"/>
    <n v="2"/>
    <n v="0.14285714285714285"/>
    <x v="2"/>
    <n v="4.3899999999999995E-2"/>
  </r>
  <r>
    <x v="3"/>
    <x v="0"/>
    <x v="3"/>
    <n v="6"/>
    <n v="76.930000000000007"/>
    <n v="4"/>
    <n v="0.66666666666666663"/>
    <x v="3"/>
    <n v="3.0800000000000001E-2"/>
  </r>
  <r>
    <x v="4"/>
    <x v="0"/>
    <x v="4"/>
    <n v="16"/>
    <n v="516.23"/>
    <n v="5"/>
    <n v="0.3125"/>
    <x v="4"/>
    <n v="4.1100000000000005E-2"/>
  </r>
  <r>
    <x v="5"/>
    <x v="0"/>
    <x v="5"/>
    <n v="5"/>
    <n v="520.05999999999995"/>
    <n v="3"/>
    <n v="0.6"/>
    <x v="5"/>
    <n v="1.2699999999999999E-2"/>
  </r>
  <r>
    <x v="6"/>
    <x v="0"/>
    <x v="6"/>
    <n v="19"/>
    <n v="290.39"/>
    <n v="3"/>
    <n v="0.15789473684210525"/>
    <x v="6"/>
    <n v="9.5399999999999985E-2"/>
  </r>
  <r>
    <x v="7"/>
    <x v="0"/>
    <x v="7"/>
    <n v="7"/>
    <n v="251.7"/>
    <n v="5"/>
    <n v="0.7142857142857143"/>
    <x v="7"/>
    <n v="4.1100000000000005E-2"/>
  </r>
  <r>
    <x v="8"/>
    <x v="0"/>
    <x v="8"/>
    <n v="21"/>
    <n v="362.62"/>
    <n v="9"/>
    <n v="0.42857142857142855"/>
    <x v="8"/>
    <n v="5.4600000000000003E-2"/>
  </r>
  <r>
    <x v="9"/>
    <x v="0"/>
    <x v="5"/>
    <n v="13"/>
    <n v="307.49"/>
    <n v="10"/>
    <n v="0.76923076923076927"/>
    <x v="9"/>
    <n v="3.27E-2"/>
  </r>
  <r>
    <x v="10"/>
    <x v="0"/>
    <x v="9"/>
    <n v="8"/>
    <n v="206.81"/>
    <n v="7"/>
    <n v="0.875"/>
    <x v="10"/>
    <n v="7.8899999999999998E-2"/>
  </r>
  <r>
    <x v="11"/>
    <x v="0"/>
    <x v="10"/>
    <n v="6"/>
    <n v="547.6"/>
    <n v="5"/>
    <n v="0.83333333333333337"/>
    <x v="11"/>
    <n v="3.7599999999999995E-2"/>
  </r>
  <r>
    <x v="12"/>
    <x v="0"/>
    <x v="11"/>
    <n v="17"/>
    <n v="552.54999999999995"/>
    <n v="2"/>
    <n v="0.11764705882352941"/>
    <x v="12"/>
    <n v="3.7200000000000004E-2"/>
  </r>
  <r>
    <x v="13"/>
    <x v="0"/>
    <x v="10"/>
    <n v="9"/>
    <n v="216.03"/>
    <n v="2"/>
    <n v="0.22222222222222221"/>
    <x v="13"/>
    <n v="4.1200000000000001E-2"/>
  </r>
  <r>
    <x v="14"/>
    <x v="0"/>
    <x v="12"/>
    <n v="10"/>
    <n v="208.23"/>
    <n v="3"/>
    <n v="0.3"/>
    <x v="14"/>
    <n v="2.7999999999999997E-2"/>
  </r>
  <r>
    <x v="15"/>
    <x v="0"/>
    <x v="13"/>
    <n v="4"/>
    <n v="180.06"/>
    <n v="4"/>
    <n v="1"/>
    <x v="15"/>
    <n v="8.4199999999999997E-2"/>
  </r>
  <r>
    <x v="16"/>
    <x v="0"/>
    <x v="4"/>
    <n v="7"/>
    <n v="82.43"/>
    <n v="7"/>
    <n v="1"/>
    <x v="16"/>
    <n v="8.4900000000000003E-2"/>
  </r>
  <r>
    <x v="17"/>
    <x v="0"/>
    <x v="14"/>
    <n v="17"/>
    <n v="476.95"/>
    <n v="7"/>
    <n v="0.41176470588235292"/>
    <x v="17"/>
    <n v="3.6000000000000004E-2"/>
  </r>
  <r>
    <x v="18"/>
    <x v="0"/>
    <x v="15"/>
    <n v="20"/>
    <n v="161.41999999999999"/>
    <n v="4"/>
    <n v="0.2"/>
    <x v="18"/>
    <n v="0.1045"/>
  </r>
  <r>
    <x v="19"/>
    <x v="0"/>
    <x v="16"/>
    <n v="12"/>
    <n v="507.45"/>
    <n v="0"/>
    <n v="0"/>
    <x v="19"/>
    <n v="8.9999999999999998E-4"/>
  </r>
  <r>
    <x v="20"/>
    <x v="0"/>
    <x v="17"/>
    <n v="14"/>
    <n v="279.95"/>
    <n v="2"/>
    <n v="0.14285714285714285"/>
    <x v="20"/>
    <n v="5.1699999999999996E-2"/>
  </r>
  <r>
    <x v="21"/>
    <x v="0"/>
    <x v="18"/>
    <n v="6"/>
    <n v="532.83000000000004"/>
    <n v="1"/>
    <n v="0.16666666666666666"/>
    <x v="21"/>
    <n v="2.8300000000000002E-2"/>
  </r>
  <r>
    <x v="22"/>
    <x v="0"/>
    <x v="19"/>
    <n v="8"/>
    <n v="170.49"/>
    <n v="7"/>
    <n v="0.875"/>
    <x v="22"/>
    <n v="8.3499999999999991E-2"/>
  </r>
  <r>
    <x v="23"/>
    <x v="0"/>
    <x v="15"/>
    <n v="13"/>
    <n v="422.39"/>
    <n v="1"/>
    <n v="7.6923076923076927E-2"/>
    <x v="23"/>
    <n v="2.46E-2"/>
  </r>
  <r>
    <x v="24"/>
    <x v="0"/>
    <x v="20"/>
    <n v="10"/>
    <n v="514.25"/>
    <n v="4"/>
    <n v="0.4"/>
    <x v="24"/>
    <n v="6.4399999999999999E-2"/>
  </r>
  <r>
    <x v="25"/>
    <x v="0"/>
    <x v="21"/>
    <n v="15"/>
    <n v="363.48"/>
    <n v="7"/>
    <n v="0.46666666666666667"/>
    <x v="25"/>
    <n v="8.3400000000000002E-2"/>
  </r>
  <r>
    <x v="0"/>
    <x v="1"/>
    <x v="22"/>
    <n v="15"/>
    <n v="361.38"/>
    <n v="6"/>
    <n v="0.4"/>
    <x v="26"/>
    <n v="2.75E-2"/>
  </r>
  <r>
    <x v="1"/>
    <x v="1"/>
    <x v="4"/>
    <n v="14"/>
    <n v="362.96"/>
    <n v="5"/>
    <n v="0.35714285714285715"/>
    <x v="27"/>
    <n v="4.0800000000000003E-2"/>
  </r>
  <r>
    <x v="2"/>
    <x v="1"/>
    <x v="23"/>
    <n v="14"/>
    <n v="382.59"/>
    <n v="3"/>
    <n v="0.21428571428571427"/>
    <x v="28"/>
    <n v="4.5599999999999995E-2"/>
  </r>
  <r>
    <x v="3"/>
    <x v="1"/>
    <x v="24"/>
    <n v="7"/>
    <n v="79.459999999999994"/>
    <n v="3"/>
    <n v="0.42857142857142855"/>
    <x v="29"/>
    <n v="3.04E-2"/>
  </r>
  <r>
    <x v="4"/>
    <x v="1"/>
    <x v="25"/>
    <n v="11"/>
    <n v="446.3"/>
    <n v="5"/>
    <n v="0.45454545454545453"/>
    <x v="30"/>
    <n v="3.6900000000000002E-2"/>
  </r>
  <r>
    <x v="5"/>
    <x v="1"/>
    <x v="26"/>
    <n v="7"/>
    <n v="461.67"/>
    <n v="2"/>
    <n v="0.2857142857142857"/>
    <x v="31"/>
    <n v="1.1200000000000002E-2"/>
  </r>
  <r>
    <x v="6"/>
    <x v="1"/>
    <x v="27"/>
    <n v="20"/>
    <n v="328.63"/>
    <n v="3"/>
    <n v="0.15"/>
    <x v="32"/>
    <n v="0.10640000000000001"/>
  </r>
  <r>
    <x v="7"/>
    <x v="1"/>
    <x v="28"/>
    <n v="7"/>
    <n v="247.66"/>
    <n v="6"/>
    <n v="0.8571428571428571"/>
    <x v="33"/>
    <n v="3.9900000000000005E-2"/>
  </r>
  <r>
    <x v="8"/>
    <x v="1"/>
    <x v="29"/>
    <n v="17"/>
    <n v="378.61"/>
    <n v="10"/>
    <n v="0.58823529411764708"/>
    <x v="34"/>
    <n v="5.6299999999999996E-2"/>
  </r>
  <r>
    <x v="9"/>
    <x v="1"/>
    <x v="6"/>
    <n v="16"/>
    <n v="299.58999999999997"/>
    <n v="9"/>
    <n v="0.5625"/>
    <x v="35"/>
    <n v="3.6900000000000002E-2"/>
  </r>
  <r>
    <x v="10"/>
    <x v="1"/>
    <x v="30"/>
    <n v="9"/>
    <n v="202.4"/>
    <n v="7"/>
    <n v="0.77777777777777779"/>
    <x v="36"/>
    <n v="7.9000000000000001E-2"/>
  </r>
  <r>
    <x v="11"/>
    <x v="1"/>
    <x v="31"/>
    <n v="6"/>
    <n v="568.38"/>
    <n v="6"/>
    <n v="1"/>
    <x v="37"/>
    <n v="3.7499999999999999E-2"/>
  </r>
  <r>
    <x v="12"/>
    <x v="1"/>
    <x v="6"/>
    <n v="21"/>
    <n v="553.08000000000004"/>
    <n v="3"/>
    <n v="0.14285714285714285"/>
    <x v="38"/>
    <n v="3.3399999999999999E-2"/>
  </r>
  <r>
    <x v="13"/>
    <x v="1"/>
    <x v="32"/>
    <n v="8"/>
    <n v="223.22"/>
    <n v="2"/>
    <n v="0.25"/>
    <x v="39"/>
    <n v="4.3400000000000001E-2"/>
  </r>
  <r>
    <x v="14"/>
    <x v="1"/>
    <x v="33"/>
    <n v="8"/>
    <n v="199.93"/>
    <n v="2"/>
    <n v="0.25"/>
    <x v="40"/>
    <n v="2.8199999999999999E-2"/>
  </r>
  <r>
    <x v="15"/>
    <x v="1"/>
    <x v="15"/>
    <n v="6"/>
    <n v="180.46"/>
    <n v="5"/>
    <n v="0.83333333333333337"/>
    <x v="41"/>
    <n v="7.5300000000000006E-2"/>
  </r>
  <r>
    <x v="16"/>
    <x v="1"/>
    <x v="15"/>
    <n v="7"/>
    <n v="80.12"/>
    <n v="6"/>
    <n v="0.8571428571428571"/>
    <x v="42"/>
    <n v="9.5000000000000001E-2"/>
  </r>
  <r>
    <x v="17"/>
    <x v="1"/>
    <x v="34"/>
    <n v="14"/>
    <n v="563.79"/>
    <n v="8"/>
    <n v="0.5714285714285714"/>
    <x v="43"/>
    <n v="3.61E-2"/>
  </r>
  <r>
    <x v="18"/>
    <x v="1"/>
    <x v="35"/>
    <n v="20"/>
    <n v="193.39"/>
    <n v="5"/>
    <n v="0.25"/>
    <x v="44"/>
    <n v="0.1013"/>
  </r>
  <r>
    <x v="19"/>
    <x v="1"/>
    <x v="36"/>
    <n v="11"/>
    <n v="454.77"/>
    <n v="1"/>
    <n v="9.0909090909090912E-2"/>
    <x v="45"/>
    <n v="1E-3"/>
  </r>
  <r>
    <x v="20"/>
    <x v="1"/>
    <x v="24"/>
    <n v="17"/>
    <n v="291.97000000000003"/>
    <n v="1"/>
    <n v="5.8823529411764705E-2"/>
    <x v="46"/>
    <n v="5.21E-2"/>
  </r>
  <r>
    <x v="21"/>
    <x v="1"/>
    <x v="1"/>
    <n v="5"/>
    <n v="553.86"/>
    <n v="1"/>
    <n v="0.2"/>
    <x v="47"/>
    <n v="3.1300000000000001E-2"/>
  </r>
  <r>
    <x v="22"/>
    <x v="1"/>
    <x v="6"/>
    <n v="7"/>
    <n v="171.76"/>
    <n v="7"/>
    <n v="1"/>
    <x v="48"/>
    <n v="8.2500000000000004E-2"/>
  </r>
  <r>
    <x v="23"/>
    <x v="1"/>
    <x v="35"/>
    <n v="16"/>
    <n v="382.21"/>
    <n v="1"/>
    <n v="6.25E-2"/>
    <x v="49"/>
    <n v="2.4199999999999999E-2"/>
  </r>
  <r>
    <x v="24"/>
    <x v="1"/>
    <x v="14"/>
    <n v="11"/>
    <n v="562.73"/>
    <n v="4"/>
    <n v="0.36363636363636365"/>
    <x v="50"/>
    <n v="6.7400000000000002E-2"/>
  </r>
  <r>
    <x v="25"/>
    <x v="1"/>
    <x v="8"/>
    <n v="17"/>
    <n v="380.37"/>
    <n v="7"/>
    <n v="0.41176470588235292"/>
    <x v="51"/>
    <n v="8.8699999999999987E-2"/>
  </r>
  <r>
    <x v="0"/>
    <x v="2"/>
    <x v="37"/>
    <n v="17"/>
    <n v="315.62"/>
    <n v="5"/>
    <n v="0.29411764705882354"/>
    <x v="52"/>
    <n v="2.8799999999999999E-2"/>
  </r>
  <r>
    <x v="1"/>
    <x v="2"/>
    <x v="38"/>
    <n v="10"/>
    <n v="361.58"/>
    <n v="4"/>
    <n v="0.4"/>
    <x v="53"/>
    <n v="4.0800000000000003E-2"/>
  </r>
  <r>
    <x v="2"/>
    <x v="2"/>
    <x v="5"/>
    <n v="13"/>
    <n v="402.9"/>
    <n v="2"/>
    <n v="0.15384615384615385"/>
    <x v="54"/>
    <n v="4.2599999999999999E-2"/>
  </r>
  <r>
    <x v="3"/>
    <x v="2"/>
    <x v="39"/>
    <n v="6"/>
    <n v="82.65"/>
    <n v="3"/>
    <n v="0.5"/>
    <x v="55"/>
    <n v="3.0699999999999998E-2"/>
  </r>
  <r>
    <x v="4"/>
    <x v="2"/>
    <x v="40"/>
    <n v="14"/>
    <n v="494.43"/>
    <n v="4"/>
    <n v="0.2857142857142857"/>
    <x v="56"/>
    <n v="3.6699999999999997E-2"/>
  </r>
  <r>
    <x v="5"/>
    <x v="2"/>
    <x v="41"/>
    <n v="8"/>
    <n v="512.92999999999995"/>
    <n v="3"/>
    <n v="0.375"/>
    <x v="57"/>
    <n v="1.1599999999999999E-2"/>
  </r>
  <r>
    <x v="6"/>
    <x v="2"/>
    <x v="42"/>
    <n v="18"/>
    <n v="291.04000000000002"/>
    <n v="2"/>
    <n v="0.1111111111111111"/>
    <x v="58"/>
    <n v="0.10550000000000001"/>
  </r>
  <r>
    <x v="7"/>
    <x v="2"/>
    <x v="22"/>
    <n v="9"/>
    <n v="252.77"/>
    <n v="7"/>
    <n v="0.77777777777777779"/>
    <x v="59"/>
    <n v="4.0800000000000003E-2"/>
  </r>
  <r>
    <x v="8"/>
    <x v="2"/>
    <x v="43"/>
    <n v="18"/>
    <n v="348.57"/>
    <n v="8"/>
    <n v="0.44444444444444442"/>
    <x v="60"/>
    <n v="5.4800000000000001E-2"/>
  </r>
  <r>
    <x v="9"/>
    <x v="2"/>
    <x v="12"/>
    <n v="15"/>
    <n v="321.99"/>
    <n v="8"/>
    <n v="0.53333333333333333"/>
    <x v="61"/>
    <n v="3.5499999999999997E-2"/>
  </r>
  <r>
    <x v="10"/>
    <x v="2"/>
    <x v="44"/>
    <n v="9"/>
    <n v="199.87"/>
    <n v="9"/>
    <n v="1"/>
    <x v="62"/>
    <n v="7.46E-2"/>
  </r>
  <r>
    <x v="11"/>
    <x v="2"/>
    <x v="32"/>
    <n v="5"/>
    <n v="565.19000000000005"/>
    <n v="4"/>
    <n v="0.8"/>
    <x v="63"/>
    <n v="4.3099999999999999E-2"/>
  </r>
  <r>
    <x v="12"/>
    <x v="2"/>
    <x v="6"/>
    <n v="19"/>
    <n v="623.25"/>
    <n v="3"/>
    <n v="0.15789473684210525"/>
    <x v="64"/>
    <n v="3.6299999999999999E-2"/>
  </r>
  <r>
    <x v="13"/>
    <x v="2"/>
    <x v="14"/>
    <n v="9"/>
    <n v="209.18"/>
    <n v="2"/>
    <n v="0.22222222222222221"/>
    <x v="65"/>
    <n v="4.0399999999999998E-2"/>
  </r>
  <r>
    <x v="14"/>
    <x v="2"/>
    <x v="45"/>
    <n v="7"/>
    <n v="190.5"/>
    <n v="3"/>
    <n v="0.42857142857142855"/>
    <x v="66"/>
    <n v="2.7699999999999999E-2"/>
  </r>
  <r>
    <x v="15"/>
    <x v="2"/>
    <x v="35"/>
    <n v="5"/>
    <n v="170.12"/>
    <n v="3"/>
    <n v="0.6"/>
    <x v="67"/>
    <n v="7.690000000000001E-2"/>
  </r>
  <r>
    <x v="16"/>
    <x v="2"/>
    <x v="0"/>
    <n v="7"/>
    <n v="87.89"/>
    <n v="7"/>
    <n v="1"/>
    <x v="68"/>
    <n v="8.6699999999999999E-2"/>
  </r>
  <r>
    <x v="17"/>
    <x v="2"/>
    <x v="34"/>
    <n v="14"/>
    <n v="498.82"/>
    <n v="5"/>
    <n v="0.35714285714285715"/>
    <x v="69"/>
    <n v="3.4000000000000002E-2"/>
  </r>
  <r>
    <x v="18"/>
    <x v="2"/>
    <x v="46"/>
    <n v="15"/>
    <n v="163.21"/>
    <n v="5"/>
    <n v="0.33333333333333331"/>
    <x v="70"/>
    <n v="0.1014"/>
  </r>
  <r>
    <x v="19"/>
    <x v="2"/>
    <x v="47"/>
    <n v="13"/>
    <n v="496.4"/>
    <n v="0"/>
    <n v="0"/>
    <x v="71"/>
    <n v="1.1000000000000001E-3"/>
  </r>
  <r>
    <x v="20"/>
    <x v="2"/>
    <x v="34"/>
    <n v="13"/>
    <n v="315.41000000000003"/>
    <n v="1"/>
    <n v="7.6923076923076927E-2"/>
    <x v="72"/>
    <n v="5.0999999999999997E-2"/>
  </r>
  <r>
    <x v="21"/>
    <x v="2"/>
    <x v="48"/>
    <n v="6"/>
    <n v="535.37"/>
    <n v="2"/>
    <n v="0.33333333333333331"/>
    <x v="73"/>
    <n v="3.2099999999999997E-2"/>
  </r>
  <r>
    <x v="22"/>
    <x v="2"/>
    <x v="22"/>
    <n v="8"/>
    <n v="198.84"/>
    <n v="8"/>
    <n v="1"/>
    <x v="74"/>
    <n v="8.8000000000000009E-2"/>
  </r>
  <r>
    <x v="23"/>
    <x v="2"/>
    <x v="49"/>
    <n v="14"/>
    <n v="416.78"/>
    <n v="1"/>
    <n v="7.1428571428571425E-2"/>
    <x v="75"/>
    <n v="2.5499999999999998E-2"/>
  </r>
  <r>
    <x v="24"/>
    <x v="2"/>
    <x v="50"/>
    <n v="12"/>
    <n v="533.85"/>
    <n v="5"/>
    <n v="0.41666666666666669"/>
    <x v="76"/>
    <n v="6.480000000000001E-2"/>
  </r>
  <r>
    <x v="25"/>
    <x v="2"/>
    <x v="51"/>
    <n v="16"/>
    <n v="312.8"/>
    <n v="8"/>
    <n v="0.5"/>
    <x v="77"/>
    <n v="8.5500000000000007E-2"/>
  </r>
  <r>
    <x v="0"/>
    <x v="3"/>
    <x v="33"/>
    <n v="17"/>
    <n v="342.81"/>
    <n v="6"/>
    <n v="0.35294117647058826"/>
    <x v="78"/>
    <n v="2.9600000000000001E-2"/>
  </r>
  <r>
    <x v="1"/>
    <x v="3"/>
    <x v="35"/>
    <n v="11"/>
    <n v="365.12"/>
    <n v="5"/>
    <n v="0.45454545454545453"/>
    <x v="79"/>
    <n v="3.8199999999999998E-2"/>
  </r>
  <r>
    <x v="2"/>
    <x v="3"/>
    <x v="52"/>
    <n v="14"/>
    <n v="416.88"/>
    <n v="2"/>
    <n v="0.14285714285714285"/>
    <x v="80"/>
    <n v="4.41E-2"/>
  </r>
  <r>
    <x v="3"/>
    <x v="3"/>
    <x v="53"/>
    <n v="7"/>
    <n v="81.14"/>
    <n v="3"/>
    <n v="0.42857142857142855"/>
    <x v="81"/>
    <n v="2.9399999999999999E-2"/>
  </r>
  <r>
    <x v="4"/>
    <x v="3"/>
    <x v="54"/>
    <n v="16"/>
    <n v="449.04"/>
    <n v="4"/>
    <n v="0.25"/>
    <x v="82"/>
    <n v="3.8100000000000002E-2"/>
  </r>
  <r>
    <x v="5"/>
    <x v="3"/>
    <x v="55"/>
    <n v="6"/>
    <n v="508.55"/>
    <n v="3"/>
    <n v="0.5"/>
    <x v="83"/>
    <n v="1.1399999999999999E-2"/>
  </r>
  <r>
    <x v="6"/>
    <x v="3"/>
    <x v="55"/>
    <n v="18"/>
    <n v="299.08999999999997"/>
    <n v="2"/>
    <n v="0.1111111111111111"/>
    <x v="84"/>
    <n v="0.1052"/>
  </r>
  <r>
    <x v="7"/>
    <x v="3"/>
    <x v="56"/>
    <n v="6"/>
    <n v="246.21"/>
    <n v="5"/>
    <n v="0.83333333333333337"/>
    <x v="85"/>
    <n v="4.3299999999999998E-2"/>
  </r>
  <r>
    <x v="8"/>
    <x v="3"/>
    <x v="57"/>
    <n v="16"/>
    <n v="412.07"/>
    <n v="10"/>
    <n v="0.625"/>
    <x v="86"/>
    <n v="6.2400000000000004E-2"/>
  </r>
  <r>
    <x v="9"/>
    <x v="3"/>
    <x v="47"/>
    <n v="13"/>
    <n v="317.58"/>
    <n v="8"/>
    <n v="0.61538461538461542"/>
    <x v="87"/>
    <n v="3.49E-2"/>
  </r>
  <r>
    <x v="10"/>
    <x v="3"/>
    <x v="44"/>
    <n v="7"/>
    <n v="181.58"/>
    <n v="6"/>
    <n v="0.8571428571428571"/>
    <x v="88"/>
    <n v="8.4100000000000008E-2"/>
  </r>
  <r>
    <x v="11"/>
    <x v="3"/>
    <x v="29"/>
    <n v="7"/>
    <n v="470.85"/>
    <n v="7"/>
    <n v="1"/>
    <x v="89"/>
    <n v="4.2599999999999999E-2"/>
  </r>
  <r>
    <x v="12"/>
    <x v="3"/>
    <x v="4"/>
    <n v="16"/>
    <n v="584.29999999999995"/>
    <n v="3"/>
    <n v="0.1875"/>
    <x v="90"/>
    <n v="3.32E-2"/>
  </r>
  <r>
    <x v="13"/>
    <x v="3"/>
    <x v="58"/>
    <n v="6"/>
    <n v="231.59"/>
    <n v="2"/>
    <n v="0.33333333333333331"/>
    <x v="91"/>
    <n v="3.8399999999999997E-2"/>
  </r>
  <r>
    <x v="14"/>
    <x v="3"/>
    <x v="33"/>
    <n v="9"/>
    <n v="221.01"/>
    <n v="3"/>
    <n v="0.33333333333333331"/>
    <x v="92"/>
    <n v="3.2000000000000001E-2"/>
  </r>
  <r>
    <x v="15"/>
    <x v="3"/>
    <x v="59"/>
    <n v="6"/>
    <n v="165.74"/>
    <n v="6"/>
    <n v="1"/>
    <x v="93"/>
    <n v="7.7699999999999991E-2"/>
  </r>
  <r>
    <x v="16"/>
    <x v="3"/>
    <x v="60"/>
    <n v="7"/>
    <n v="82.62"/>
    <n v="6"/>
    <n v="0.8571428571428571"/>
    <x v="94"/>
    <n v="9.0500000000000011E-2"/>
  </r>
  <r>
    <x v="17"/>
    <x v="3"/>
    <x v="58"/>
    <n v="17"/>
    <n v="526.34"/>
    <n v="6"/>
    <n v="0.35294117647058826"/>
    <x v="95"/>
    <n v="3.0600000000000002E-2"/>
  </r>
  <r>
    <x v="18"/>
    <x v="3"/>
    <x v="61"/>
    <n v="22"/>
    <n v="190.87"/>
    <n v="4"/>
    <n v="0.18181818181818182"/>
    <x v="96"/>
    <n v="9.3599999999999989E-2"/>
  </r>
  <r>
    <x v="19"/>
    <x v="3"/>
    <x v="19"/>
    <n v="11"/>
    <n v="554.51"/>
    <n v="1"/>
    <n v="9.0909090909090912E-2"/>
    <x v="97"/>
    <n v="1E-3"/>
  </r>
  <r>
    <x v="20"/>
    <x v="3"/>
    <x v="24"/>
    <n v="13"/>
    <n v="302.49"/>
    <n v="2"/>
    <n v="0.15384615384615385"/>
    <x v="98"/>
    <n v="4.9599999999999998E-2"/>
  </r>
  <r>
    <x v="21"/>
    <x v="3"/>
    <x v="38"/>
    <n v="5"/>
    <n v="605.11"/>
    <n v="2"/>
    <n v="0.4"/>
    <x v="99"/>
    <n v="3.0200000000000001E-2"/>
  </r>
  <r>
    <x v="22"/>
    <x v="3"/>
    <x v="40"/>
    <n v="8"/>
    <n v="173.88"/>
    <n v="6"/>
    <n v="0.75"/>
    <x v="100"/>
    <n v="7.9899999999999999E-2"/>
  </r>
  <r>
    <x v="23"/>
    <x v="3"/>
    <x v="27"/>
    <n v="17"/>
    <n v="366.84"/>
    <n v="0"/>
    <n v="0"/>
    <x v="101"/>
    <n v="2.4500000000000001E-2"/>
  </r>
  <r>
    <x v="24"/>
    <x v="3"/>
    <x v="43"/>
    <n v="9"/>
    <n v="578.41999999999996"/>
    <n v="4"/>
    <n v="0.44444444444444442"/>
    <x v="102"/>
    <n v="7.46E-2"/>
  </r>
  <r>
    <x v="25"/>
    <x v="3"/>
    <x v="62"/>
    <n v="14"/>
    <n v="321.29000000000002"/>
    <n v="7"/>
    <n v="0.5"/>
    <x v="103"/>
    <n v="7.4499999999999997E-2"/>
  </r>
  <r>
    <x v="0"/>
    <x v="4"/>
    <x v="33"/>
    <n v="16"/>
    <n v="299.22000000000003"/>
    <n v="6"/>
    <n v="0.375"/>
    <x v="104"/>
    <n v="2.63E-2"/>
  </r>
  <r>
    <x v="1"/>
    <x v="4"/>
    <x v="6"/>
    <n v="11"/>
    <n v="345.62"/>
    <n v="4"/>
    <n v="0.36363636363636365"/>
    <x v="105"/>
    <n v="4.0800000000000003E-2"/>
  </r>
  <r>
    <x v="2"/>
    <x v="4"/>
    <x v="63"/>
    <n v="17"/>
    <n v="416.96"/>
    <n v="3"/>
    <n v="0.17647058823529413"/>
    <x v="106"/>
    <n v="4.0999999999999995E-2"/>
  </r>
  <r>
    <x v="3"/>
    <x v="4"/>
    <x v="53"/>
    <n v="8"/>
    <n v="72.05"/>
    <n v="3"/>
    <n v="0.375"/>
    <x v="107"/>
    <n v="3.0299999999999997E-2"/>
  </r>
  <r>
    <x v="4"/>
    <x v="4"/>
    <x v="64"/>
    <n v="13"/>
    <n v="475.61"/>
    <n v="5"/>
    <n v="0.38461538461538464"/>
    <x v="108"/>
    <n v="3.6400000000000002E-2"/>
  </r>
  <r>
    <x v="5"/>
    <x v="4"/>
    <x v="65"/>
    <n v="7"/>
    <n v="469.53"/>
    <n v="3"/>
    <n v="0.42857142857142855"/>
    <x v="109"/>
    <n v="1.21E-2"/>
  </r>
  <r>
    <x v="6"/>
    <x v="4"/>
    <x v="66"/>
    <n v="15"/>
    <n v="333.1"/>
    <n v="2"/>
    <n v="0.13333333333333333"/>
    <x v="110"/>
    <n v="0.10249999999999999"/>
  </r>
  <r>
    <x v="7"/>
    <x v="4"/>
    <x v="19"/>
    <n v="9"/>
    <n v="258.11"/>
    <n v="7"/>
    <n v="0.77777777777777779"/>
    <x v="111"/>
    <n v="4.1599999999999998E-2"/>
  </r>
  <r>
    <x v="8"/>
    <x v="4"/>
    <x v="14"/>
    <n v="20"/>
    <n v="400.8"/>
    <n v="8"/>
    <n v="0.4"/>
    <x v="112"/>
    <n v="5.6399999999999999E-2"/>
  </r>
  <r>
    <x v="9"/>
    <x v="4"/>
    <x v="67"/>
    <n v="19"/>
    <n v="343.28"/>
    <n v="9"/>
    <n v="0.47368421052631576"/>
    <x v="113"/>
    <n v="3.2199999999999999E-2"/>
  </r>
  <r>
    <x v="10"/>
    <x v="4"/>
    <x v="9"/>
    <n v="7"/>
    <n v="204.63"/>
    <n v="7"/>
    <n v="1"/>
    <x v="114"/>
    <n v="7.4499999999999997E-2"/>
  </r>
  <r>
    <x v="11"/>
    <x v="4"/>
    <x v="31"/>
    <n v="6"/>
    <n v="553.11"/>
    <n v="4"/>
    <n v="0.66666666666666663"/>
    <x v="115"/>
    <n v="3.8300000000000001E-2"/>
  </r>
  <r>
    <x v="12"/>
    <x v="4"/>
    <x v="0"/>
    <n v="20"/>
    <n v="623.33000000000004"/>
    <n v="2"/>
    <n v="0.1"/>
    <x v="116"/>
    <n v="3.8399999999999997E-2"/>
  </r>
  <r>
    <x v="13"/>
    <x v="4"/>
    <x v="58"/>
    <n v="7"/>
    <n v="200.45"/>
    <n v="1"/>
    <n v="0.14285714285714285"/>
    <x v="117"/>
    <n v="4.1399999999999999E-2"/>
  </r>
  <r>
    <x v="14"/>
    <x v="4"/>
    <x v="41"/>
    <n v="7"/>
    <n v="196.2"/>
    <n v="2"/>
    <n v="0.2857142857142857"/>
    <x v="118"/>
    <n v="2.76E-2"/>
  </r>
  <r>
    <x v="15"/>
    <x v="4"/>
    <x v="68"/>
    <n v="5"/>
    <n v="185.62"/>
    <n v="4"/>
    <n v="0.8"/>
    <x v="119"/>
    <n v="7.22E-2"/>
  </r>
  <r>
    <x v="16"/>
    <x v="4"/>
    <x v="38"/>
    <n v="7"/>
    <n v="89.39"/>
    <n v="6"/>
    <n v="0.8571428571428571"/>
    <x v="120"/>
    <n v="9.0700000000000003E-2"/>
  </r>
  <r>
    <x v="17"/>
    <x v="4"/>
    <x v="34"/>
    <n v="14"/>
    <n v="472.79"/>
    <n v="8"/>
    <n v="0.5714285714285714"/>
    <x v="121"/>
    <n v="3.5200000000000002E-2"/>
  </r>
  <r>
    <x v="18"/>
    <x v="4"/>
    <x v="38"/>
    <n v="15"/>
    <n v="173.03"/>
    <n v="4"/>
    <n v="0.26666666666666666"/>
    <x v="122"/>
    <n v="9.820000000000001E-2"/>
  </r>
  <r>
    <x v="19"/>
    <x v="4"/>
    <x v="11"/>
    <n v="15"/>
    <n v="499.68"/>
    <n v="0"/>
    <n v="0"/>
    <x v="123"/>
    <n v="1E-3"/>
  </r>
  <r>
    <x v="20"/>
    <x v="4"/>
    <x v="39"/>
    <n v="13"/>
    <n v="316.23"/>
    <n v="1"/>
    <n v="7.6923076923076927E-2"/>
    <x v="124"/>
    <n v="5.8299999999999998E-2"/>
  </r>
  <r>
    <x v="21"/>
    <x v="4"/>
    <x v="69"/>
    <n v="6"/>
    <n v="567.03"/>
    <n v="1"/>
    <n v="0.16666666666666666"/>
    <x v="125"/>
    <n v="3.0600000000000002E-2"/>
  </r>
  <r>
    <x v="22"/>
    <x v="4"/>
    <x v="16"/>
    <n v="8"/>
    <n v="175.52"/>
    <n v="7"/>
    <n v="0.875"/>
    <x v="126"/>
    <n v="9.35E-2"/>
  </r>
  <r>
    <x v="23"/>
    <x v="4"/>
    <x v="70"/>
    <n v="13"/>
    <n v="358.31"/>
    <n v="0"/>
    <n v="0"/>
    <x v="127"/>
    <n v="2.7099999999999999E-2"/>
  </r>
  <r>
    <x v="24"/>
    <x v="4"/>
    <x v="20"/>
    <n v="12"/>
    <n v="556.33000000000004"/>
    <n v="4"/>
    <n v="0.33333333333333331"/>
    <x v="128"/>
    <n v="7.0599999999999996E-2"/>
  </r>
  <r>
    <x v="25"/>
    <x v="4"/>
    <x v="43"/>
    <n v="17"/>
    <n v="371.65"/>
    <n v="9"/>
    <n v="0.52941176470588236"/>
    <x v="129"/>
    <n v="8.5500000000000007E-2"/>
  </r>
  <r>
    <x v="0"/>
    <x v="5"/>
    <x v="5"/>
    <n v="16"/>
    <n v="359.47"/>
    <n v="7"/>
    <n v="0.4375"/>
    <x v="130"/>
    <n v="2.46E-2"/>
  </r>
  <r>
    <x v="1"/>
    <x v="5"/>
    <x v="71"/>
    <n v="11"/>
    <n v="379.33"/>
    <n v="4"/>
    <n v="0.36363636363636365"/>
    <x v="131"/>
    <n v="4.2900000000000001E-2"/>
  </r>
  <r>
    <x v="2"/>
    <x v="5"/>
    <x v="28"/>
    <n v="14"/>
    <n v="383.94"/>
    <n v="3"/>
    <n v="0.21428571428571427"/>
    <x v="132"/>
    <n v="4.0999999999999995E-2"/>
  </r>
  <r>
    <x v="3"/>
    <x v="5"/>
    <x v="9"/>
    <n v="7"/>
    <n v="85.32"/>
    <n v="3"/>
    <n v="0.42857142857142855"/>
    <x v="133"/>
    <n v="3.1600000000000003E-2"/>
  </r>
  <r>
    <x v="4"/>
    <x v="5"/>
    <x v="25"/>
    <n v="14"/>
    <n v="466.81"/>
    <n v="5"/>
    <n v="0.35714285714285715"/>
    <x v="134"/>
    <n v="4.2300000000000004E-2"/>
  </r>
  <r>
    <x v="5"/>
    <x v="5"/>
    <x v="65"/>
    <n v="7"/>
    <n v="512.88"/>
    <n v="2"/>
    <n v="0.2857142857142857"/>
    <x v="135"/>
    <n v="1.2699999999999999E-2"/>
  </r>
  <r>
    <x v="6"/>
    <x v="5"/>
    <x v="64"/>
    <n v="17"/>
    <n v="324.56"/>
    <n v="3"/>
    <n v="0.17647058823529413"/>
    <x v="136"/>
    <n v="8.929999999999999E-2"/>
  </r>
  <r>
    <x v="7"/>
    <x v="5"/>
    <x v="45"/>
    <n v="7"/>
    <n v="219.53"/>
    <n v="7"/>
    <n v="1"/>
    <x v="137"/>
    <n v="4.3499999999999997E-2"/>
  </r>
  <r>
    <x v="8"/>
    <x v="5"/>
    <x v="32"/>
    <n v="16"/>
    <n v="353.65"/>
    <n v="9"/>
    <n v="0.5625"/>
    <x v="138"/>
    <n v="6.2E-2"/>
  </r>
  <r>
    <x v="9"/>
    <x v="5"/>
    <x v="12"/>
    <n v="16"/>
    <n v="334.41"/>
    <n v="9"/>
    <n v="0.5625"/>
    <x v="139"/>
    <n v="3.5200000000000002E-2"/>
  </r>
  <r>
    <x v="10"/>
    <x v="5"/>
    <x v="39"/>
    <n v="7"/>
    <n v="199.46"/>
    <n v="7"/>
    <n v="1"/>
    <x v="140"/>
    <n v="7.1399999999999991E-2"/>
  </r>
  <r>
    <x v="11"/>
    <x v="5"/>
    <x v="72"/>
    <n v="6"/>
    <n v="509.67"/>
    <n v="4"/>
    <n v="0.66666666666666663"/>
    <x v="141"/>
    <n v="3.8300000000000001E-2"/>
  </r>
  <r>
    <x v="12"/>
    <x v="5"/>
    <x v="16"/>
    <n v="21"/>
    <n v="601.02"/>
    <n v="2"/>
    <n v="9.5238095238095233E-2"/>
    <x v="142"/>
    <n v="3.4300000000000004E-2"/>
  </r>
  <r>
    <x v="13"/>
    <x v="5"/>
    <x v="10"/>
    <n v="9"/>
    <n v="196.74"/>
    <n v="1"/>
    <n v="0.1111111111111111"/>
    <x v="143"/>
    <n v="3.9800000000000002E-2"/>
  </r>
  <r>
    <x v="14"/>
    <x v="5"/>
    <x v="73"/>
    <n v="8"/>
    <n v="196.58"/>
    <n v="3"/>
    <n v="0.375"/>
    <x v="144"/>
    <n v="3.27E-2"/>
  </r>
  <r>
    <x v="15"/>
    <x v="5"/>
    <x v="60"/>
    <n v="5"/>
    <n v="153.87"/>
    <n v="2"/>
    <n v="0.4"/>
    <x v="145"/>
    <n v="8.0600000000000005E-2"/>
  </r>
  <r>
    <x v="16"/>
    <x v="5"/>
    <x v="25"/>
    <n v="5"/>
    <n v="85.65"/>
    <n v="5"/>
    <n v="1"/>
    <x v="146"/>
    <n v="9.5700000000000007E-2"/>
  </r>
  <r>
    <x v="17"/>
    <x v="5"/>
    <x v="50"/>
    <n v="16"/>
    <n v="506.95"/>
    <n v="6"/>
    <n v="0.375"/>
    <x v="147"/>
    <n v="3.0600000000000002E-2"/>
  </r>
  <r>
    <x v="18"/>
    <x v="5"/>
    <x v="42"/>
    <n v="18"/>
    <n v="181.21"/>
    <n v="4"/>
    <n v="0.22222222222222221"/>
    <x v="148"/>
    <n v="0.10009999999999999"/>
  </r>
  <r>
    <x v="19"/>
    <x v="5"/>
    <x v="33"/>
    <n v="16"/>
    <n v="495.32"/>
    <n v="0"/>
    <n v="0"/>
    <x v="149"/>
    <n v="1E-3"/>
  </r>
  <r>
    <x v="20"/>
    <x v="5"/>
    <x v="34"/>
    <n v="16"/>
    <n v="315.91000000000003"/>
    <n v="1"/>
    <n v="6.25E-2"/>
    <x v="150"/>
    <n v="5.1299999999999998E-2"/>
  </r>
  <r>
    <x v="21"/>
    <x v="5"/>
    <x v="15"/>
    <n v="5"/>
    <n v="569.75"/>
    <n v="2"/>
    <n v="0.4"/>
    <x v="151"/>
    <n v="2.76E-2"/>
  </r>
  <r>
    <x v="22"/>
    <x v="5"/>
    <x v="73"/>
    <n v="7"/>
    <n v="173.24"/>
    <n v="7"/>
    <n v="1"/>
    <x v="152"/>
    <n v="8.2299999999999998E-2"/>
  </r>
  <r>
    <x v="23"/>
    <x v="5"/>
    <x v="74"/>
    <n v="13"/>
    <n v="364.35"/>
    <n v="0"/>
    <n v="0"/>
    <x v="153"/>
    <n v="2.58E-2"/>
  </r>
  <r>
    <x v="24"/>
    <x v="5"/>
    <x v="31"/>
    <n v="12"/>
    <n v="515.24"/>
    <n v="5"/>
    <n v="0.41666666666666669"/>
    <x v="154"/>
    <n v="6.9800000000000001E-2"/>
  </r>
  <r>
    <x v="25"/>
    <x v="5"/>
    <x v="31"/>
    <n v="16"/>
    <n v="351.71"/>
    <n v="9"/>
    <n v="0.5625"/>
    <x v="155"/>
    <n v="7.4099999999999999E-2"/>
  </r>
  <r>
    <x v="0"/>
    <x v="6"/>
    <x v="71"/>
    <n v="17"/>
    <n v="360.1"/>
    <n v="6"/>
    <n v="0.35294117647058826"/>
    <x v="156"/>
    <n v="2.9500000000000002E-2"/>
  </r>
  <r>
    <x v="1"/>
    <x v="6"/>
    <x v="22"/>
    <n v="13"/>
    <n v="364.64"/>
    <n v="4"/>
    <n v="0.30769230769230771"/>
    <x v="157"/>
    <n v="3.7499999999999999E-2"/>
  </r>
  <r>
    <x v="2"/>
    <x v="6"/>
    <x v="75"/>
    <n v="14"/>
    <n v="367.56"/>
    <n v="2"/>
    <n v="0.14285714285714285"/>
    <x v="158"/>
    <n v="4.0099999999999997E-2"/>
  </r>
  <r>
    <x v="3"/>
    <x v="6"/>
    <x v="9"/>
    <n v="6"/>
    <n v="76.27"/>
    <n v="4"/>
    <n v="0.66666666666666663"/>
    <x v="159"/>
    <n v="2.81E-2"/>
  </r>
  <r>
    <x v="4"/>
    <x v="6"/>
    <x v="71"/>
    <n v="12"/>
    <n v="487.04"/>
    <n v="5"/>
    <n v="0.41666666666666669"/>
    <x v="160"/>
    <n v="4.2099999999999999E-2"/>
  </r>
  <r>
    <x v="5"/>
    <x v="6"/>
    <x v="76"/>
    <n v="5"/>
    <n v="491.31"/>
    <n v="3"/>
    <n v="0.6"/>
    <x v="161"/>
    <n v="1.1299999999999999E-2"/>
  </r>
  <r>
    <x v="6"/>
    <x v="6"/>
    <x v="40"/>
    <n v="15"/>
    <n v="282.58999999999997"/>
    <n v="2"/>
    <n v="0.13333333333333333"/>
    <x v="162"/>
    <n v="9.5799999999999996E-2"/>
  </r>
  <r>
    <x v="7"/>
    <x v="6"/>
    <x v="41"/>
    <n v="9"/>
    <n v="246.06"/>
    <n v="5"/>
    <n v="0.55555555555555558"/>
    <x v="163"/>
    <n v="3.7200000000000004E-2"/>
  </r>
  <r>
    <x v="8"/>
    <x v="6"/>
    <x v="14"/>
    <n v="15"/>
    <n v="347.38"/>
    <n v="10"/>
    <n v="0.66666666666666663"/>
    <x v="164"/>
    <n v="6.0100000000000001E-2"/>
  </r>
  <r>
    <x v="9"/>
    <x v="6"/>
    <x v="40"/>
    <n v="16"/>
    <n v="335.59"/>
    <n v="7"/>
    <n v="0.4375"/>
    <x v="165"/>
    <n v="3.6900000000000002E-2"/>
  </r>
  <r>
    <x v="10"/>
    <x v="6"/>
    <x v="53"/>
    <n v="8"/>
    <n v="208.21"/>
    <n v="4"/>
    <n v="0.5"/>
    <x v="166"/>
    <n v="7.4200000000000002E-2"/>
  </r>
  <r>
    <x v="11"/>
    <x v="6"/>
    <x v="77"/>
    <n v="6"/>
    <n v="553.58000000000004"/>
    <n v="3"/>
    <n v="0.5"/>
    <x v="167"/>
    <n v="3.78E-2"/>
  </r>
  <r>
    <x v="12"/>
    <x v="6"/>
    <x v="55"/>
    <n v="21"/>
    <n v="604.57000000000005"/>
    <n v="2"/>
    <n v="9.5238095238095233E-2"/>
    <x v="168"/>
    <n v="3.6699999999999997E-2"/>
  </r>
  <r>
    <x v="13"/>
    <x v="6"/>
    <x v="8"/>
    <n v="7"/>
    <n v="199.39"/>
    <n v="1"/>
    <n v="0.14285714285714285"/>
    <x v="169"/>
    <n v="3.85E-2"/>
  </r>
  <r>
    <x v="14"/>
    <x v="6"/>
    <x v="71"/>
    <n v="9"/>
    <n v="220.4"/>
    <n v="2"/>
    <n v="0.22222222222222221"/>
    <x v="170"/>
    <n v="2.8999999999999998E-2"/>
  </r>
  <r>
    <x v="15"/>
    <x v="6"/>
    <x v="35"/>
    <n v="5"/>
    <n v="166.85"/>
    <n v="4"/>
    <n v="0.8"/>
    <x v="171"/>
    <n v="8.3100000000000007E-2"/>
  </r>
  <r>
    <x v="16"/>
    <x v="6"/>
    <x v="71"/>
    <n v="7"/>
    <n v="78.53"/>
    <n v="4"/>
    <n v="0.5714285714285714"/>
    <x v="172"/>
    <n v="8.6999999999999994E-2"/>
  </r>
  <r>
    <x v="17"/>
    <x v="6"/>
    <x v="3"/>
    <n v="13"/>
    <n v="471.72"/>
    <n v="7"/>
    <n v="0.53846153846153844"/>
    <x v="173"/>
    <n v="3.5400000000000001E-2"/>
  </r>
  <r>
    <x v="18"/>
    <x v="6"/>
    <x v="67"/>
    <n v="17"/>
    <n v="176.07"/>
    <n v="5"/>
    <n v="0.29411764705882354"/>
    <x v="174"/>
    <n v="9.9399999999999988E-2"/>
  </r>
  <r>
    <x v="19"/>
    <x v="6"/>
    <x v="54"/>
    <n v="11"/>
    <n v="486.93"/>
    <n v="0"/>
    <n v="0"/>
    <x v="175"/>
    <n v="1E-3"/>
  </r>
  <r>
    <x v="20"/>
    <x v="6"/>
    <x v="30"/>
    <n v="14"/>
    <n v="283.66000000000003"/>
    <n v="2"/>
    <n v="0.14285714285714285"/>
    <x v="176"/>
    <n v="5.7800000000000004E-2"/>
  </r>
  <r>
    <x v="21"/>
    <x v="6"/>
    <x v="78"/>
    <n v="6"/>
    <n v="536.04999999999995"/>
    <n v="1"/>
    <n v="0.16666666666666666"/>
    <x v="177"/>
    <n v="3.2099999999999997E-2"/>
  </r>
  <r>
    <x v="22"/>
    <x v="6"/>
    <x v="13"/>
    <n v="9"/>
    <n v="171.86"/>
    <n v="7"/>
    <n v="0.77777777777777779"/>
    <x v="178"/>
    <n v="9.4100000000000003E-2"/>
  </r>
  <r>
    <x v="23"/>
    <x v="6"/>
    <x v="59"/>
    <n v="15"/>
    <n v="359.16"/>
    <n v="1"/>
    <n v="6.6666666666666666E-2"/>
    <x v="179"/>
    <n v="2.3599999999999999E-2"/>
  </r>
  <r>
    <x v="24"/>
    <x v="6"/>
    <x v="52"/>
    <n v="9"/>
    <n v="569.97"/>
    <n v="5"/>
    <n v="0.55555555555555558"/>
    <x v="180"/>
    <n v="6.3299999999999995E-2"/>
  </r>
  <r>
    <x v="25"/>
    <x v="6"/>
    <x v="20"/>
    <n v="14"/>
    <n v="359.22"/>
    <n v="8"/>
    <n v="0.5714285714285714"/>
    <x v="181"/>
    <n v="8.5900000000000004E-2"/>
  </r>
  <r>
    <x v="0"/>
    <x v="7"/>
    <x v="71"/>
    <n v="15"/>
    <n v="297.05"/>
    <n v="6"/>
    <n v="0.4"/>
    <x v="182"/>
    <n v="2.7200000000000002E-2"/>
  </r>
  <r>
    <x v="1"/>
    <x v="7"/>
    <x v="66"/>
    <n v="13"/>
    <n v="376.76"/>
    <n v="5"/>
    <n v="0.38461538461538464"/>
    <x v="183"/>
    <n v="4.4900000000000002E-2"/>
  </r>
  <r>
    <x v="2"/>
    <x v="7"/>
    <x v="75"/>
    <n v="15"/>
    <n v="379.29"/>
    <n v="2"/>
    <n v="0.13333333333333333"/>
    <x v="184"/>
    <n v="4.41E-2"/>
  </r>
  <r>
    <x v="3"/>
    <x v="7"/>
    <x v="9"/>
    <n v="8"/>
    <n v="82.91"/>
    <n v="3"/>
    <n v="0.375"/>
    <x v="185"/>
    <n v="3.0099999999999998E-2"/>
  </r>
  <r>
    <x v="4"/>
    <x v="7"/>
    <x v="55"/>
    <n v="14"/>
    <n v="437.47"/>
    <n v="4"/>
    <n v="0.2857142857142857"/>
    <x v="186"/>
    <n v="3.9100000000000003E-2"/>
  </r>
  <r>
    <x v="5"/>
    <x v="7"/>
    <x v="47"/>
    <n v="7"/>
    <n v="554.20000000000005"/>
    <n v="2"/>
    <n v="0.2857142857142857"/>
    <x v="187"/>
    <n v="1.23E-2"/>
  </r>
  <r>
    <x v="6"/>
    <x v="7"/>
    <x v="54"/>
    <n v="21"/>
    <n v="293.93"/>
    <n v="2"/>
    <n v="9.5238095238095233E-2"/>
    <x v="188"/>
    <n v="0.1012"/>
  </r>
  <r>
    <x v="7"/>
    <x v="7"/>
    <x v="47"/>
    <n v="9"/>
    <n v="255.17"/>
    <n v="6"/>
    <n v="0.66666666666666663"/>
    <x v="189"/>
    <n v="3.8199999999999998E-2"/>
  </r>
  <r>
    <x v="8"/>
    <x v="7"/>
    <x v="58"/>
    <n v="17"/>
    <n v="391.73"/>
    <n v="7"/>
    <n v="0.41176470588235292"/>
    <x v="190"/>
    <n v="6.1200000000000004E-2"/>
  </r>
  <r>
    <x v="9"/>
    <x v="7"/>
    <x v="26"/>
    <n v="13"/>
    <n v="324.26"/>
    <n v="7"/>
    <n v="0.53846153846153844"/>
    <x v="191"/>
    <n v="3.5200000000000002E-2"/>
  </r>
  <r>
    <x v="10"/>
    <x v="7"/>
    <x v="24"/>
    <n v="9"/>
    <n v="211.28"/>
    <n v="8"/>
    <n v="0.88888888888888884"/>
    <x v="192"/>
    <n v="8.0600000000000005E-2"/>
  </r>
  <r>
    <x v="11"/>
    <x v="7"/>
    <x v="32"/>
    <n v="6"/>
    <n v="549.26"/>
    <n v="2"/>
    <n v="0.33333333333333331"/>
    <x v="193"/>
    <n v="4.2800000000000005E-2"/>
  </r>
  <r>
    <x v="12"/>
    <x v="7"/>
    <x v="35"/>
    <n v="15"/>
    <n v="601.05999999999995"/>
    <n v="3"/>
    <n v="0.2"/>
    <x v="194"/>
    <n v="3.6600000000000001E-2"/>
  </r>
  <r>
    <x v="13"/>
    <x v="7"/>
    <x v="31"/>
    <n v="6"/>
    <n v="192.19"/>
    <n v="1"/>
    <n v="0.16666666666666666"/>
    <x v="195"/>
    <n v="3.9800000000000002E-2"/>
  </r>
  <r>
    <x v="14"/>
    <x v="7"/>
    <x v="16"/>
    <n v="8"/>
    <n v="191.76"/>
    <n v="3"/>
    <n v="0.375"/>
    <x v="196"/>
    <n v="3.0200000000000001E-2"/>
  </r>
  <r>
    <x v="15"/>
    <x v="7"/>
    <x v="61"/>
    <n v="4"/>
    <n v="169.75"/>
    <n v="3"/>
    <n v="0.75"/>
    <x v="197"/>
    <n v="7.7600000000000002E-2"/>
  </r>
  <r>
    <x v="16"/>
    <x v="7"/>
    <x v="71"/>
    <n v="6"/>
    <n v="87.5"/>
    <n v="3"/>
    <n v="0.5"/>
    <x v="198"/>
    <n v="9.1300000000000006E-2"/>
  </r>
  <r>
    <x v="17"/>
    <x v="7"/>
    <x v="24"/>
    <n v="14"/>
    <n v="477.3"/>
    <n v="6"/>
    <n v="0.42857142857142855"/>
    <x v="199"/>
    <n v="3.32E-2"/>
  </r>
  <r>
    <x v="18"/>
    <x v="7"/>
    <x v="64"/>
    <n v="17"/>
    <n v="187.72"/>
    <n v="5"/>
    <n v="0.29411764705882354"/>
    <x v="200"/>
    <n v="0.1016"/>
  </r>
  <r>
    <x v="19"/>
    <x v="7"/>
    <x v="79"/>
    <n v="13"/>
    <n v="504.59"/>
    <n v="0"/>
    <n v="0"/>
    <x v="201"/>
    <n v="1E-3"/>
  </r>
  <r>
    <x v="20"/>
    <x v="7"/>
    <x v="9"/>
    <n v="12"/>
    <n v="262.26"/>
    <n v="1"/>
    <n v="8.3333333333333329E-2"/>
    <x v="202"/>
    <n v="5.1299999999999998E-2"/>
  </r>
  <r>
    <x v="21"/>
    <x v="7"/>
    <x v="80"/>
    <n v="6"/>
    <n v="572.16"/>
    <n v="2"/>
    <n v="0.33333333333333331"/>
    <x v="203"/>
    <n v="2.87E-2"/>
  </r>
  <r>
    <x v="22"/>
    <x v="7"/>
    <x v="71"/>
    <n v="9"/>
    <n v="172.96"/>
    <n v="6"/>
    <n v="0.66666666666666663"/>
    <x v="204"/>
    <n v="8.2699999999999996E-2"/>
  </r>
  <r>
    <x v="23"/>
    <x v="7"/>
    <x v="81"/>
    <n v="17"/>
    <n v="422.48"/>
    <n v="0"/>
    <n v="0"/>
    <x v="205"/>
    <n v="2.5000000000000001E-2"/>
  </r>
  <r>
    <x v="24"/>
    <x v="7"/>
    <x v="8"/>
    <n v="10"/>
    <n v="565.11"/>
    <n v="5"/>
    <n v="0.5"/>
    <x v="206"/>
    <n v="7.1800000000000003E-2"/>
  </r>
  <r>
    <x v="25"/>
    <x v="7"/>
    <x v="72"/>
    <n v="17"/>
    <n v="355.83"/>
    <n v="6"/>
    <n v="0.35294117647058826"/>
    <x v="207"/>
    <n v="8.8000000000000009E-2"/>
  </r>
  <r>
    <x v="0"/>
    <x v="8"/>
    <x v="82"/>
    <n v="15"/>
    <n v="349.71"/>
    <n v="8"/>
    <n v="0.53333333333333333"/>
    <x v="208"/>
    <n v="2.92E-2"/>
  </r>
  <r>
    <x v="1"/>
    <x v="8"/>
    <x v="78"/>
    <n v="9"/>
    <n v="358.67"/>
    <n v="5"/>
    <n v="0.55555555555555558"/>
    <x v="209"/>
    <n v="3.7499999999999999E-2"/>
  </r>
  <r>
    <x v="2"/>
    <x v="8"/>
    <x v="36"/>
    <n v="18"/>
    <n v="403.41"/>
    <n v="3"/>
    <n v="0.16666666666666666"/>
    <x v="210"/>
    <n v="4.24E-2"/>
  </r>
  <r>
    <x v="3"/>
    <x v="8"/>
    <x v="3"/>
    <n v="7"/>
    <n v="79.62"/>
    <n v="4"/>
    <n v="0.5714285714285714"/>
    <x v="211"/>
    <n v="3.0600000000000002E-2"/>
  </r>
  <r>
    <x v="4"/>
    <x v="8"/>
    <x v="40"/>
    <n v="11"/>
    <n v="487.47"/>
    <n v="4"/>
    <n v="0.36363636363636365"/>
    <x v="212"/>
    <n v="4.3299999999999998E-2"/>
  </r>
  <r>
    <x v="5"/>
    <x v="8"/>
    <x v="33"/>
    <n v="7"/>
    <n v="549.77"/>
    <n v="2"/>
    <n v="0.2857142857142857"/>
    <x v="213"/>
    <n v="1.2E-2"/>
  </r>
  <r>
    <x v="6"/>
    <x v="8"/>
    <x v="0"/>
    <n v="18"/>
    <n v="306.89999999999998"/>
    <n v="3"/>
    <n v="0.16666666666666666"/>
    <x v="214"/>
    <n v="9.64E-2"/>
  </r>
  <r>
    <x v="7"/>
    <x v="8"/>
    <x v="36"/>
    <n v="7"/>
    <n v="262.27999999999997"/>
    <n v="7"/>
    <n v="1"/>
    <x v="215"/>
    <n v="4.4299999999999999E-2"/>
  </r>
  <r>
    <x v="8"/>
    <x v="8"/>
    <x v="58"/>
    <n v="21"/>
    <n v="359.51"/>
    <n v="9"/>
    <n v="0.42857142857142855"/>
    <x v="216"/>
    <n v="5.33E-2"/>
  </r>
  <r>
    <x v="9"/>
    <x v="8"/>
    <x v="54"/>
    <n v="18"/>
    <n v="339.1"/>
    <n v="8"/>
    <n v="0.44444444444444442"/>
    <x v="217"/>
    <n v="3.6000000000000004E-2"/>
  </r>
  <r>
    <x v="10"/>
    <x v="8"/>
    <x v="24"/>
    <n v="7"/>
    <n v="182.47"/>
    <n v="7"/>
    <n v="1"/>
    <x v="218"/>
    <n v="7.2700000000000001E-2"/>
  </r>
  <r>
    <x v="11"/>
    <x v="8"/>
    <x v="20"/>
    <n v="6"/>
    <n v="553.89"/>
    <n v="6"/>
    <n v="1"/>
    <x v="219"/>
    <n v="4.3200000000000002E-2"/>
  </r>
  <r>
    <x v="12"/>
    <x v="8"/>
    <x v="83"/>
    <n v="21"/>
    <n v="633.13"/>
    <n v="2"/>
    <n v="9.5238095238095233E-2"/>
    <x v="220"/>
    <n v="3.4500000000000003E-2"/>
  </r>
  <r>
    <x v="13"/>
    <x v="8"/>
    <x v="29"/>
    <n v="8"/>
    <n v="215.09"/>
    <n v="2"/>
    <n v="0.25"/>
    <x v="221"/>
    <n v="4.07E-2"/>
  </r>
  <r>
    <x v="14"/>
    <x v="8"/>
    <x v="71"/>
    <n v="8"/>
    <n v="199.19"/>
    <n v="2"/>
    <n v="0.25"/>
    <x v="222"/>
    <n v="2.9500000000000002E-2"/>
  </r>
  <r>
    <x v="15"/>
    <x v="8"/>
    <x v="4"/>
    <n v="5"/>
    <n v="153.5"/>
    <n v="2"/>
    <n v="0.4"/>
    <x v="223"/>
    <n v="7.3300000000000004E-2"/>
  </r>
  <r>
    <x v="16"/>
    <x v="8"/>
    <x v="25"/>
    <n v="5"/>
    <n v="77.12"/>
    <n v="2"/>
    <n v="0.4"/>
    <x v="224"/>
    <n v="9.9000000000000005E-2"/>
  </r>
  <r>
    <x v="17"/>
    <x v="8"/>
    <x v="34"/>
    <n v="17"/>
    <n v="533.41999999999996"/>
    <n v="7"/>
    <n v="0.41176470588235292"/>
    <x v="225"/>
    <n v="3.4000000000000002E-2"/>
  </r>
  <r>
    <x v="18"/>
    <x v="8"/>
    <x v="84"/>
    <n v="17"/>
    <n v="160.88999999999999"/>
    <n v="4"/>
    <n v="0.23529411764705882"/>
    <x v="226"/>
    <n v="8.8100000000000012E-2"/>
  </r>
  <r>
    <x v="19"/>
    <x v="8"/>
    <x v="55"/>
    <n v="11"/>
    <n v="459.86"/>
    <n v="0"/>
    <n v="0"/>
    <x v="227"/>
    <n v="1E-3"/>
  </r>
  <r>
    <x v="20"/>
    <x v="8"/>
    <x v="9"/>
    <n v="13"/>
    <n v="290.14"/>
    <n v="2"/>
    <n v="0.15384615384615385"/>
    <x v="228"/>
    <n v="5.4699999999999999E-2"/>
  </r>
  <r>
    <x v="21"/>
    <x v="8"/>
    <x v="69"/>
    <n v="7"/>
    <n v="587.83000000000004"/>
    <n v="1"/>
    <n v="0.14285714285714285"/>
    <x v="229"/>
    <n v="3.2199999999999999E-2"/>
  </r>
  <r>
    <x v="22"/>
    <x v="8"/>
    <x v="67"/>
    <n v="8"/>
    <n v="177.88"/>
    <n v="7"/>
    <n v="0.875"/>
    <x v="230"/>
    <n v="9.5199999999999993E-2"/>
  </r>
  <r>
    <x v="23"/>
    <x v="8"/>
    <x v="85"/>
    <n v="12"/>
    <n v="406.95"/>
    <n v="0"/>
    <n v="0"/>
    <x v="231"/>
    <n v="2.3700000000000002E-2"/>
  </r>
  <r>
    <x v="24"/>
    <x v="8"/>
    <x v="43"/>
    <n v="13"/>
    <n v="517.1"/>
    <n v="4"/>
    <n v="0.30769230769230771"/>
    <x v="232"/>
    <n v="6.5299999999999997E-2"/>
  </r>
  <r>
    <x v="25"/>
    <x v="8"/>
    <x v="31"/>
    <n v="18"/>
    <n v="348.92"/>
    <n v="7"/>
    <n v="0.3888888888888889"/>
    <x v="233"/>
    <n v="8.8599999999999998E-2"/>
  </r>
  <r>
    <x v="0"/>
    <x v="9"/>
    <x v="0"/>
    <n v="16"/>
    <n v="308.51"/>
    <n v="7"/>
    <n v="0.4375"/>
    <x v="234"/>
    <n v="2.9399999999999999E-2"/>
  </r>
  <r>
    <x v="1"/>
    <x v="9"/>
    <x v="55"/>
    <n v="10"/>
    <n v="362.58"/>
    <n v="5"/>
    <n v="0.5"/>
    <x v="235"/>
    <n v="3.8599999999999995E-2"/>
  </r>
  <r>
    <x v="2"/>
    <x v="9"/>
    <x v="73"/>
    <n v="13"/>
    <n v="368.06"/>
    <n v="2"/>
    <n v="0.15384615384615385"/>
    <x v="236"/>
    <n v="4.1399999999999999E-2"/>
  </r>
  <r>
    <x v="3"/>
    <x v="9"/>
    <x v="24"/>
    <n v="7"/>
    <n v="74.680000000000007"/>
    <n v="4"/>
    <n v="0.5714285714285714"/>
    <x v="237"/>
    <n v="2.75E-2"/>
  </r>
  <r>
    <x v="4"/>
    <x v="9"/>
    <x v="0"/>
    <n v="15"/>
    <n v="460.2"/>
    <n v="4"/>
    <n v="0.26666666666666666"/>
    <x v="238"/>
    <n v="3.7900000000000003E-2"/>
  </r>
  <r>
    <x v="5"/>
    <x v="9"/>
    <x v="22"/>
    <n v="8"/>
    <n v="540.79999999999995"/>
    <n v="3"/>
    <n v="0.375"/>
    <x v="239"/>
    <n v="1.09E-2"/>
  </r>
  <r>
    <x v="6"/>
    <x v="9"/>
    <x v="76"/>
    <n v="21"/>
    <n v="319.62"/>
    <n v="3"/>
    <n v="0.14285714285714285"/>
    <x v="240"/>
    <n v="0.1036"/>
  </r>
  <r>
    <x v="7"/>
    <x v="9"/>
    <x v="82"/>
    <n v="7"/>
    <n v="248.37"/>
    <n v="7"/>
    <n v="1"/>
    <x v="241"/>
    <n v="4.2699999999999995E-2"/>
  </r>
  <r>
    <x v="8"/>
    <x v="9"/>
    <x v="77"/>
    <n v="16"/>
    <n v="393.04"/>
    <n v="7"/>
    <n v="0.4375"/>
    <x v="242"/>
    <n v="5.6399999999999999E-2"/>
  </r>
  <r>
    <x v="9"/>
    <x v="9"/>
    <x v="71"/>
    <n v="16"/>
    <n v="323.56"/>
    <n v="9"/>
    <n v="0.5625"/>
    <x v="243"/>
    <n v="3.1099999999999999E-2"/>
  </r>
  <r>
    <x v="10"/>
    <x v="9"/>
    <x v="53"/>
    <n v="7"/>
    <n v="205.3"/>
    <n v="4"/>
    <n v="0.5714285714285714"/>
    <x v="244"/>
    <n v="7.2300000000000003E-2"/>
  </r>
  <r>
    <x v="11"/>
    <x v="9"/>
    <x v="31"/>
    <n v="6"/>
    <n v="544.78"/>
    <n v="5"/>
    <n v="0.83333333333333337"/>
    <x v="245"/>
    <n v="4.0500000000000001E-2"/>
  </r>
  <r>
    <x v="12"/>
    <x v="9"/>
    <x v="16"/>
    <n v="17"/>
    <n v="557.29999999999995"/>
    <n v="3"/>
    <n v="0.17647058823529413"/>
    <x v="246"/>
    <n v="3.4700000000000002E-2"/>
  </r>
  <r>
    <x v="13"/>
    <x v="9"/>
    <x v="86"/>
    <n v="6"/>
    <n v="202.37"/>
    <n v="1"/>
    <n v="0.16666666666666666"/>
    <x v="247"/>
    <n v="4.3099999999999999E-2"/>
  </r>
  <r>
    <x v="14"/>
    <x v="9"/>
    <x v="65"/>
    <n v="7"/>
    <n v="204.14"/>
    <n v="3"/>
    <n v="0.42857142857142855"/>
    <x v="248"/>
    <n v="2.9500000000000002E-2"/>
  </r>
  <r>
    <x v="15"/>
    <x v="9"/>
    <x v="80"/>
    <n v="5"/>
    <n v="163.38"/>
    <n v="1"/>
    <n v="0.2"/>
    <x v="249"/>
    <n v="7.8799999999999995E-2"/>
  </r>
  <r>
    <x v="16"/>
    <x v="9"/>
    <x v="87"/>
    <n v="5"/>
    <n v="86.37"/>
    <n v="5"/>
    <n v="1"/>
    <x v="250"/>
    <n v="8.3800000000000013E-2"/>
  </r>
  <r>
    <x v="17"/>
    <x v="9"/>
    <x v="34"/>
    <n v="14"/>
    <n v="537.36"/>
    <n v="7"/>
    <n v="0.5"/>
    <x v="251"/>
    <n v="3.44E-2"/>
  </r>
  <r>
    <x v="18"/>
    <x v="9"/>
    <x v="61"/>
    <n v="20"/>
    <n v="181.9"/>
    <n v="4"/>
    <n v="0.2"/>
    <x v="252"/>
    <n v="0.10009999999999999"/>
  </r>
  <r>
    <x v="19"/>
    <x v="9"/>
    <x v="47"/>
    <n v="15"/>
    <n v="514.38"/>
    <n v="0"/>
    <n v="0"/>
    <x v="253"/>
    <n v="1E-3"/>
  </r>
  <r>
    <x v="20"/>
    <x v="9"/>
    <x v="34"/>
    <n v="15"/>
    <n v="309.75"/>
    <n v="2"/>
    <n v="0.13333333333333333"/>
    <x v="254"/>
    <n v="5.0999999999999997E-2"/>
  </r>
  <r>
    <x v="21"/>
    <x v="9"/>
    <x v="49"/>
    <n v="6"/>
    <n v="515.27"/>
    <n v="2"/>
    <n v="0.33333333333333331"/>
    <x v="255"/>
    <n v="3.04E-2"/>
  </r>
  <r>
    <x v="22"/>
    <x v="9"/>
    <x v="19"/>
    <n v="10"/>
    <n v="194.21"/>
    <n v="7"/>
    <n v="0.7"/>
    <x v="256"/>
    <n v="9.3900000000000011E-2"/>
  </r>
  <r>
    <x v="23"/>
    <x v="9"/>
    <x v="64"/>
    <n v="15"/>
    <n v="400.65"/>
    <n v="0"/>
    <n v="0"/>
    <x v="257"/>
    <n v="2.4700000000000003E-2"/>
  </r>
  <r>
    <x v="24"/>
    <x v="9"/>
    <x v="10"/>
    <n v="10"/>
    <n v="535.44000000000005"/>
    <n v="4"/>
    <n v="0.4"/>
    <x v="258"/>
    <n v="6.3E-2"/>
  </r>
  <r>
    <x v="25"/>
    <x v="9"/>
    <x v="8"/>
    <n v="12"/>
    <n v="356.4"/>
    <n v="8"/>
    <n v="0.66666666666666663"/>
    <x v="259"/>
    <n v="8.4700000000000011E-2"/>
  </r>
  <r>
    <x v="0"/>
    <x v="10"/>
    <x v="11"/>
    <n v="12"/>
    <n v="352.6"/>
    <n v="6"/>
    <n v="0.5"/>
    <x v="260"/>
    <n v="2.8999999999999998E-2"/>
  </r>
  <r>
    <x v="1"/>
    <x v="10"/>
    <x v="54"/>
    <n v="14"/>
    <n v="351.42"/>
    <n v="4"/>
    <n v="0.2857142857142857"/>
    <x v="261"/>
    <n v="4.2999999999999997E-2"/>
  </r>
  <r>
    <x v="2"/>
    <x v="10"/>
    <x v="75"/>
    <n v="17"/>
    <n v="404.22"/>
    <n v="2"/>
    <n v="0.11764705882352941"/>
    <x v="262"/>
    <n v="4.4500000000000005E-2"/>
  </r>
  <r>
    <x v="3"/>
    <x v="10"/>
    <x v="24"/>
    <n v="6"/>
    <n v="80.02"/>
    <n v="3"/>
    <n v="0.5"/>
    <x v="263"/>
    <n v="2.9300000000000003E-2"/>
  </r>
  <r>
    <x v="4"/>
    <x v="10"/>
    <x v="40"/>
    <n v="16"/>
    <n v="502.41"/>
    <n v="5"/>
    <n v="0.3125"/>
    <x v="264"/>
    <n v="3.8399999999999997E-2"/>
  </r>
  <r>
    <x v="5"/>
    <x v="10"/>
    <x v="23"/>
    <n v="6"/>
    <n v="492.23"/>
    <n v="2"/>
    <n v="0.33333333333333331"/>
    <x v="265"/>
    <n v="1.1000000000000001E-2"/>
  </r>
  <r>
    <x v="6"/>
    <x v="10"/>
    <x v="0"/>
    <n v="17"/>
    <n v="284.91000000000003"/>
    <n v="3"/>
    <n v="0.17647058823529413"/>
    <x v="266"/>
    <n v="9.0500000000000011E-2"/>
  </r>
  <r>
    <x v="7"/>
    <x v="10"/>
    <x v="41"/>
    <n v="9"/>
    <n v="237.95"/>
    <n v="5"/>
    <n v="0.55555555555555558"/>
    <x v="267"/>
    <n v="4.4299999999999999E-2"/>
  </r>
  <r>
    <x v="8"/>
    <x v="10"/>
    <x v="32"/>
    <n v="21"/>
    <n v="372.34"/>
    <n v="7"/>
    <n v="0.33333333333333331"/>
    <x v="268"/>
    <n v="5.4800000000000001E-2"/>
  </r>
  <r>
    <x v="9"/>
    <x v="10"/>
    <x v="0"/>
    <n v="13"/>
    <n v="324.77999999999997"/>
    <n v="7"/>
    <n v="0.53846153846153844"/>
    <x v="269"/>
    <n v="3.0699999999999998E-2"/>
  </r>
  <r>
    <x v="10"/>
    <x v="10"/>
    <x v="88"/>
    <n v="7"/>
    <n v="190.12"/>
    <n v="4"/>
    <n v="0.5714285714285714"/>
    <x v="270"/>
    <n v="7.2000000000000008E-2"/>
  </r>
  <r>
    <x v="11"/>
    <x v="10"/>
    <x v="77"/>
    <n v="7"/>
    <n v="563.41999999999996"/>
    <n v="6"/>
    <n v="0.8571428571428571"/>
    <x v="271"/>
    <n v="4.3799999999999999E-2"/>
  </r>
  <r>
    <x v="12"/>
    <x v="10"/>
    <x v="5"/>
    <n v="21"/>
    <n v="633.37"/>
    <n v="2"/>
    <n v="9.5238095238095233E-2"/>
    <x v="272"/>
    <n v="3.27E-2"/>
  </r>
  <r>
    <x v="13"/>
    <x v="10"/>
    <x v="32"/>
    <n v="6"/>
    <n v="209.84"/>
    <n v="1"/>
    <n v="0.16666666666666666"/>
    <x v="273"/>
    <n v="4.2000000000000003E-2"/>
  </r>
  <r>
    <x v="14"/>
    <x v="10"/>
    <x v="26"/>
    <n v="9"/>
    <n v="220.46"/>
    <n v="3"/>
    <n v="0.33333333333333331"/>
    <x v="274"/>
    <n v="2.76E-2"/>
  </r>
  <r>
    <x v="15"/>
    <x v="10"/>
    <x v="60"/>
    <n v="6"/>
    <n v="153.34"/>
    <n v="3"/>
    <n v="0.5"/>
    <x v="275"/>
    <n v="7.9000000000000001E-2"/>
  </r>
  <r>
    <x v="16"/>
    <x v="10"/>
    <x v="4"/>
    <n v="7"/>
    <n v="79.62"/>
    <n v="7"/>
    <n v="1"/>
    <x v="276"/>
    <n v="9.74E-2"/>
  </r>
  <r>
    <x v="17"/>
    <x v="10"/>
    <x v="58"/>
    <n v="17"/>
    <n v="504.54"/>
    <n v="8"/>
    <n v="0.47058823529411764"/>
    <x v="277"/>
    <n v="3.2000000000000001E-2"/>
  </r>
  <r>
    <x v="18"/>
    <x v="10"/>
    <x v="18"/>
    <n v="16"/>
    <n v="161.69"/>
    <n v="5"/>
    <n v="0.3125"/>
    <x v="278"/>
    <n v="9.5700000000000007E-2"/>
  </r>
  <r>
    <x v="19"/>
    <x v="10"/>
    <x v="55"/>
    <n v="12"/>
    <n v="474.28"/>
    <n v="1"/>
    <n v="8.3333333333333329E-2"/>
    <x v="279"/>
    <n v="1E-3"/>
  </r>
  <r>
    <x v="20"/>
    <x v="10"/>
    <x v="9"/>
    <n v="15"/>
    <n v="268.94"/>
    <n v="1"/>
    <n v="6.6666666666666666E-2"/>
    <x v="280"/>
    <n v="5.0900000000000001E-2"/>
  </r>
  <r>
    <x v="21"/>
    <x v="10"/>
    <x v="83"/>
    <n v="5"/>
    <n v="601.28"/>
    <n v="2"/>
    <n v="0.4"/>
    <x v="281"/>
    <n v="2.9700000000000001E-2"/>
  </r>
  <r>
    <x v="22"/>
    <x v="10"/>
    <x v="16"/>
    <n v="8"/>
    <n v="182.48"/>
    <n v="8"/>
    <n v="1"/>
    <x v="282"/>
    <n v="8.8200000000000001E-2"/>
  </r>
  <r>
    <x v="23"/>
    <x v="10"/>
    <x v="68"/>
    <n v="14"/>
    <n v="368.16"/>
    <n v="0"/>
    <n v="0"/>
    <x v="283"/>
    <n v="2.5099999999999997E-2"/>
  </r>
  <r>
    <x v="24"/>
    <x v="10"/>
    <x v="50"/>
    <n v="12"/>
    <n v="565.51"/>
    <n v="4"/>
    <n v="0.33333333333333331"/>
    <x v="284"/>
    <n v="6.2699999999999992E-2"/>
  </r>
  <r>
    <x v="25"/>
    <x v="10"/>
    <x v="52"/>
    <n v="13"/>
    <n v="370.44"/>
    <n v="9"/>
    <n v="0.69230769230769229"/>
    <x v="285"/>
    <n v="8.5199999999999998E-2"/>
  </r>
  <r>
    <x v="0"/>
    <x v="11"/>
    <x v="45"/>
    <n v="13"/>
    <n v="356.61"/>
    <n v="7"/>
    <n v="0.53846153846153844"/>
    <x v="286"/>
    <n v="2.9600000000000001E-2"/>
  </r>
  <r>
    <x v="1"/>
    <x v="11"/>
    <x v="79"/>
    <n v="13"/>
    <n v="369.46"/>
    <n v="4"/>
    <n v="0.30769230769230771"/>
    <x v="287"/>
    <n v="3.7499999999999999E-2"/>
  </r>
  <r>
    <x v="2"/>
    <x v="11"/>
    <x v="82"/>
    <n v="14"/>
    <n v="419.93"/>
    <n v="2"/>
    <n v="0.14285714285714285"/>
    <x v="288"/>
    <n v="4.6300000000000001E-2"/>
  </r>
  <r>
    <x v="3"/>
    <x v="11"/>
    <x v="30"/>
    <n v="5"/>
    <n v="71.41"/>
    <n v="3"/>
    <n v="0.6"/>
    <x v="289"/>
    <n v="2.7000000000000003E-2"/>
  </r>
  <r>
    <x v="4"/>
    <x v="11"/>
    <x v="89"/>
    <n v="14"/>
    <n v="503.93"/>
    <n v="5"/>
    <n v="0.35714285714285715"/>
    <x v="290"/>
    <n v="3.7000000000000005E-2"/>
  </r>
  <r>
    <x v="5"/>
    <x v="11"/>
    <x v="76"/>
    <n v="6"/>
    <n v="488.97"/>
    <n v="3"/>
    <n v="0.5"/>
    <x v="291"/>
    <n v="1.0800000000000001E-2"/>
  </r>
  <r>
    <x v="6"/>
    <x v="11"/>
    <x v="46"/>
    <n v="19"/>
    <n v="301.2"/>
    <n v="2"/>
    <n v="0.10526315789473684"/>
    <x v="292"/>
    <n v="0.1032"/>
  </r>
  <r>
    <x v="7"/>
    <x v="11"/>
    <x v="41"/>
    <n v="6"/>
    <n v="219.19"/>
    <n v="4"/>
    <n v="0.66666666666666663"/>
    <x v="293"/>
    <n v="3.8699999999999998E-2"/>
  </r>
  <r>
    <x v="8"/>
    <x v="11"/>
    <x v="50"/>
    <n v="19"/>
    <n v="352.06"/>
    <n v="9"/>
    <n v="0.47368421052631576"/>
    <x v="294"/>
    <n v="5.5E-2"/>
  </r>
  <r>
    <x v="9"/>
    <x v="11"/>
    <x v="33"/>
    <n v="16"/>
    <n v="337.7"/>
    <n v="9"/>
    <n v="0.5625"/>
    <x v="295"/>
    <n v="3.56E-2"/>
  </r>
  <r>
    <x v="10"/>
    <x v="11"/>
    <x v="9"/>
    <n v="6"/>
    <n v="212.39"/>
    <n v="3"/>
    <n v="0.5"/>
    <x v="296"/>
    <n v="8.6699999999999999E-2"/>
  </r>
  <r>
    <x v="11"/>
    <x v="11"/>
    <x v="72"/>
    <n v="7"/>
    <n v="486.93"/>
    <n v="7"/>
    <n v="1"/>
    <x v="297"/>
    <n v="4.0199999999999993E-2"/>
  </r>
  <r>
    <x v="12"/>
    <x v="11"/>
    <x v="40"/>
    <n v="16"/>
    <n v="539.26"/>
    <n v="3"/>
    <n v="0.1875"/>
    <x v="298"/>
    <n v="3.7999999999999999E-2"/>
  </r>
  <r>
    <x v="13"/>
    <x v="11"/>
    <x v="14"/>
    <n v="6"/>
    <n v="191.66"/>
    <n v="2"/>
    <n v="0.33333333333333331"/>
    <x v="299"/>
    <n v="3.8300000000000001E-2"/>
  </r>
  <r>
    <x v="14"/>
    <x v="11"/>
    <x v="36"/>
    <n v="7"/>
    <n v="190.08"/>
    <n v="2"/>
    <n v="0.2857142857142857"/>
    <x v="300"/>
    <n v="2.8799999999999999E-2"/>
  </r>
  <r>
    <x v="15"/>
    <x v="11"/>
    <x v="42"/>
    <n v="5"/>
    <n v="168.89"/>
    <n v="3"/>
    <n v="0.6"/>
    <x v="301"/>
    <n v="8.2500000000000004E-2"/>
  </r>
  <r>
    <x v="16"/>
    <x v="11"/>
    <x v="0"/>
    <n v="6"/>
    <n v="87.83"/>
    <n v="6"/>
    <n v="1"/>
    <x v="302"/>
    <n v="9.9700000000000011E-2"/>
  </r>
  <r>
    <x v="17"/>
    <x v="11"/>
    <x v="58"/>
    <n v="13"/>
    <n v="543.15"/>
    <n v="6"/>
    <n v="0.46153846153846156"/>
    <x v="303"/>
    <n v="3.56E-2"/>
  </r>
  <r>
    <x v="18"/>
    <x v="11"/>
    <x v="90"/>
    <n v="15"/>
    <n v="181.12"/>
    <n v="5"/>
    <n v="0.33333333333333331"/>
    <x v="304"/>
    <n v="9.3599999999999989E-2"/>
  </r>
  <r>
    <x v="19"/>
    <x v="11"/>
    <x v="0"/>
    <n v="14"/>
    <n v="508.85"/>
    <n v="1"/>
    <n v="7.1428571428571425E-2"/>
    <x v="305"/>
    <n v="8.9999999999999998E-4"/>
  </r>
  <r>
    <x v="20"/>
    <x v="11"/>
    <x v="34"/>
    <n v="17"/>
    <n v="297.83999999999997"/>
    <n v="1"/>
    <n v="5.8823529411764705E-2"/>
    <x v="306"/>
    <n v="5.0700000000000002E-2"/>
  </r>
  <r>
    <x v="21"/>
    <x v="11"/>
    <x v="91"/>
    <n v="6"/>
    <n v="537.26"/>
    <n v="1"/>
    <n v="0.16666666666666666"/>
    <x v="307"/>
    <n v="3.0800000000000001E-2"/>
  </r>
  <r>
    <x v="22"/>
    <x v="11"/>
    <x v="35"/>
    <n v="9"/>
    <n v="188.49"/>
    <n v="7"/>
    <n v="0.77777777777777779"/>
    <x v="308"/>
    <n v="8.5600000000000009E-2"/>
  </r>
  <r>
    <x v="23"/>
    <x v="11"/>
    <x v="46"/>
    <n v="14"/>
    <n v="370.36"/>
    <n v="0"/>
    <n v="0"/>
    <x v="309"/>
    <n v="2.5499999999999998E-2"/>
  </r>
  <r>
    <x v="24"/>
    <x v="11"/>
    <x v="77"/>
    <n v="10"/>
    <n v="500.83"/>
    <n v="4"/>
    <n v="0.4"/>
    <x v="310"/>
    <n v="6.1900000000000004E-2"/>
  </r>
  <r>
    <x v="25"/>
    <x v="11"/>
    <x v="51"/>
    <n v="15"/>
    <n v="319.08999999999997"/>
    <n v="7"/>
    <n v="0.46666666666666667"/>
    <x v="311"/>
    <n v="8.0399999999999985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n v="74"/>
    <n v="12"/>
    <n v="330.42"/>
    <n v="7"/>
    <n v="0.58333333333333337"/>
    <n v="4276.3100000000004"/>
    <n v="3"/>
    <n v="2.9500000000000002E-2"/>
  </r>
  <r>
    <x v="1"/>
    <x v="0"/>
    <x v="0"/>
    <n v="78"/>
    <n v="12"/>
    <n v="377.5"/>
    <n v="4"/>
    <n v="0.33333333333333331"/>
    <n v="3880.98"/>
    <n v="2"/>
    <n v="4.3400000000000001E-2"/>
  </r>
  <r>
    <x v="2"/>
    <x v="0"/>
    <x v="0"/>
    <n v="47"/>
    <n v="14"/>
    <n v="418.92"/>
    <n v="2"/>
    <n v="0.14285714285714285"/>
    <n v="3716"/>
    <n v="1"/>
    <n v="4.3899999999999995E-2"/>
  </r>
  <r>
    <x v="3"/>
    <x v="0"/>
    <x v="0"/>
    <n v="24"/>
    <n v="6"/>
    <n v="76.930000000000007"/>
    <n v="4"/>
    <n v="0.66666666666666663"/>
    <n v="1552.35"/>
    <n v="3"/>
    <n v="3.0800000000000001E-2"/>
  </r>
  <r>
    <x v="4"/>
    <x v="0"/>
    <x v="0"/>
    <n v="81"/>
    <n v="16"/>
    <n v="516.23"/>
    <n v="5"/>
    <n v="0.3125"/>
    <n v="1030.68"/>
    <n v="2"/>
    <n v="4.1100000000000005E-2"/>
  </r>
  <r>
    <x v="5"/>
    <x v="0"/>
    <x v="0"/>
    <n v="59"/>
    <n v="5"/>
    <n v="520.05999999999995"/>
    <n v="3"/>
    <n v="0.6"/>
    <n v="3546.72"/>
    <n v="1"/>
    <n v="1.2699999999999999E-2"/>
  </r>
  <r>
    <x v="6"/>
    <x v="0"/>
    <x v="0"/>
    <n v="68"/>
    <n v="19"/>
    <n v="290.39"/>
    <n v="3"/>
    <n v="0.15789473684210525"/>
    <n v="2472.2399999999998"/>
    <n v="3"/>
    <n v="9.5399999999999985E-2"/>
  </r>
  <r>
    <x v="7"/>
    <x v="0"/>
    <x v="0"/>
    <n v="60"/>
    <n v="7"/>
    <n v="251.7"/>
    <n v="5"/>
    <n v="0.7142857142857143"/>
    <n v="3956.69"/>
    <n v="2"/>
    <n v="4.1100000000000005E-2"/>
  </r>
  <r>
    <x v="8"/>
    <x v="0"/>
    <x v="0"/>
    <n v="34"/>
    <n v="21"/>
    <n v="362.62"/>
    <n v="9"/>
    <n v="0.42857142857142855"/>
    <n v="1140.08"/>
    <n v="1"/>
    <n v="5.4600000000000003E-2"/>
  </r>
  <r>
    <x v="9"/>
    <x v="0"/>
    <x v="0"/>
    <n v="59"/>
    <n v="13"/>
    <n v="307.49"/>
    <n v="10"/>
    <n v="0.76923076923076927"/>
    <n v="979.09"/>
    <n v="3"/>
    <n v="3.27E-2"/>
  </r>
  <r>
    <x v="10"/>
    <x v="0"/>
    <x v="0"/>
    <n v="18"/>
    <n v="8"/>
    <n v="206.81"/>
    <n v="7"/>
    <n v="0.875"/>
    <n v="720.56"/>
    <n v="2"/>
    <n v="7.8899999999999998E-2"/>
  </r>
  <r>
    <x v="11"/>
    <x v="0"/>
    <x v="0"/>
    <n v="36"/>
    <n v="6"/>
    <n v="547.6"/>
    <n v="5"/>
    <n v="0.83333333333333337"/>
    <n v="3463.18"/>
    <n v="1"/>
    <n v="3.7599999999999995E-2"/>
  </r>
  <r>
    <x v="12"/>
    <x v="0"/>
    <x v="0"/>
    <n v="67"/>
    <n v="17"/>
    <n v="552.54999999999995"/>
    <n v="2"/>
    <n v="0.11764705882352941"/>
    <n v="330.12"/>
    <n v="1"/>
    <n v="3.7200000000000004E-2"/>
  </r>
  <r>
    <x v="13"/>
    <x v="0"/>
    <x v="0"/>
    <n v="36"/>
    <n v="9"/>
    <n v="216.03"/>
    <n v="2"/>
    <n v="0.22222222222222221"/>
    <n v="4072.07"/>
    <n v="3"/>
    <n v="4.1200000000000001E-2"/>
  </r>
  <r>
    <x v="14"/>
    <x v="0"/>
    <x v="0"/>
    <n v="54"/>
    <n v="10"/>
    <n v="208.23"/>
    <n v="3"/>
    <n v="0.3"/>
    <n v="645.83000000000004"/>
    <n v="2"/>
    <n v="2.7999999999999997E-2"/>
  </r>
  <r>
    <x v="15"/>
    <x v="0"/>
    <x v="0"/>
    <n v="82"/>
    <n v="4"/>
    <n v="180.06"/>
    <n v="4"/>
    <n v="1"/>
    <n v="1207.17"/>
    <n v="1"/>
    <n v="8.4199999999999997E-2"/>
  </r>
  <r>
    <x v="16"/>
    <x v="0"/>
    <x v="0"/>
    <n v="81"/>
    <n v="7"/>
    <n v="82.43"/>
    <n v="7"/>
    <n v="1"/>
    <n v="3463.96"/>
    <n v="3"/>
    <n v="8.4900000000000003E-2"/>
  </r>
  <r>
    <x v="17"/>
    <x v="0"/>
    <x v="0"/>
    <n v="31"/>
    <n v="17"/>
    <n v="476.95"/>
    <n v="7"/>
    <n v="0.41176470588235292"/>
    <n v="3945.43"/>
    <n v="2"/>
    <n v="3.6000000000000004E-2"/>
  </r>
  <r>
    <x v="18"/>
    <x v="0"/>
    <x v="0"/>
    <n v="92"/>
    <n v="20"/>
    <n v="161.41999999999999"/>
    <n v="4"/>
    <n v="0.2"/>
    <n v="425.41"/>
    <n v="1"/>
    <n v="0.1045"/>
  </r>
  <r>
    <x v="19"/>
    <x v="0"/>
    <x v="0"/>
    <n v="73"/>
    <n v="12"/>
    <n v="507.45"/>
    <n v="0"/>
    <n v="0"/>
    <n v="1123.8399999999999"/>
    <n v="3"/>
    <n v="8.9999999999999998E-4"/>
  </r>
  <r>
    <x v="20"/>
    <x v="0"/>
    <x v="0"/>
    <n v="25"/>
    <n v="14"/>
    <n v="279.95"/>
    <n v="2"/>
    <n v="0.14285714285714285"/>
    <n v="1432.23"/>
    <n v="2"/>
    <n v="5.1699999999999996E-2"/>
  </r>
  <r>
    <x v="21"/>
    <x v="0"/>
    <x v="0"/>
    <n v="96"/>
    <n v="6"/>
    <n v="532.83000000000004"/>
    <n v="1"/>
    <n v="0.16666666666666666"/>
    <n v="3173.13"/>
    <n v="1"/>
    <n v="2.8300000000000002E-2"/>
  </r>
  <r>
    <x v="22"/>
    <x v="0"/>
    <x v="0"/>
    <n v="63"/>
    <n v="8"/>
    <n v="170.49"/>
    <n v="7"/>
    <n v="0.875"/>
    <n v="526.12"/>
    <n v="3"/>
    <n v="8.3499999999999991E-2"/>
  </r>
  <r>
    <x v="23"/>
    <x v="1"/>
    <x v="0"/>
    <n v="92"/>
    <n v="13"/>
    <n v="422.39"/>
    <n v="1"/>
    <n v="7.6923076923076927E-2"/>
    <n v="2695.84"/>
    <n v="2"/>
    <n v="2.46E-2"/>
  </r>
  <r>
    <x v="24"/>
    <x v="1"/>
    <x v="0"/>
    <n v="38"/>
    <n v="10"/>
    <n v="514.25"/>
    <n v="4"/>
    <n v="0.4"/>
    <n v="243.62"/>
    <n v="1"/>
    <n v="6.4399999999999999E-2"/>
  </r>
  <r>
    <x v="25"/>
    <x v="1"/>
    <x v="0"/>
    <n v="43"/>
    <n v="15"/>
    <n v="363.48"/>
    <n v="7"/>
    <n v="0.46666666666666667"/>
    <n v="3843.52"/>
    <n v="3"/>
    <n v="8.3400000000000002E-2"/>
  </r>
  <r>
    <x v="0"/>
    <x v="1"/>
    <x v="1"/>
    <n v="62"/>
    <n v="15"/>
    <n v="361.38"/>
    <n v="6"/>
    <n v="0.4"/>
    <n v="4195.1400000000003"/>
    <n v="2"/>
    <n v="2.75E-2"/>
  </r>
  <r>
    <x v="1"/>
    <x v="1"/>
    <x v="1"/>
    <n v="81"/>
    <n v="14"/>
    <n v="362.96"/>
    <n v="5"/>
    <n v="0.35714285714285715"/>
    <n v="3620.19"/>
    <n v="1"/>
    <n v="4.0800000000000003E-2"/>
  </r>
  <r>
    <x v="2"/>
    <x v="1"/>
    <x v="1"/>
    <n v="52"/>
    <n v="14"/>
    <n v="382.59"/>
    <n v="3"/>
    <n v="0.21428571428571427"/>
    <n v="3394.39"/>
    <n v="3"/>
    <n v="4.5599999999999995E-2"/>
  </r>
  <r>
    <x v="3"/>
    <x v="1"/>
    <x v="1"/>
    <n v="22"/>
    <n v="7"/>
    <n v="79.459999999999994"/>
    <n v="3"/>
    <n v="0.42857142857142855"/>
    <n v="1638.74"/>
    <n v="2"/>
    <n v="3.04E-2"/>
  </r>
  <r>
    <x v="4"/>
    <x v="1"/>
    <x v="1"/>
    <n v="93"/>
    <n v="11"/>
    <n v="446.3"/>
    <n v="5"/>
    <n v="0.45454545454545453"/>
    <n v="1057.1400000000001"/>
    <n v="1"/>
    <n v="3.6900000000000002E-2"/>
  </r>
  <r>
    <x v="5"/>
    <x v="1"/>
    <x v="1"/>
    <n v="65"/>
    <n v="7"/>
    <n v="461.67"/>
    <n v="2"/>
    <n v="0.2857142857142857"/>
    <n v="3486.23"/>
    <n v="3"/>
    <n v="1.1200000000000002E-2"/>
  </r>
  <r>
    <x v="6"/>
    <x v="1"/>
    <x v="1"/>
    <n v="90"/>
    <n v="20"/>
    <n v="328.63"/>
    <n v="3"/>
    <n v="0.15"/>
    <n v="2662.44"/>
    <n v="2"/>
    <n v="0.10640000000000001"/>
  </r>
  <r>
    <x v="7"/>
    <x v="1"/>
    <x v="1"/>
    <n v="48"/>
    <n v="7"/>
    <n v="247.66"/>
    <n v="6"/>
    <n v="0.8571428571428571"/>
    <n v="4335.84"/>
    <n v="1"/>
    <n v="3.9900000000000005E-2"/>
  </r>
  <r>
    <x v="8"/>
    <x v="1"/>
    <x v="1"/>
    <n v="37"/>
    <n v="17"/>
    <n v="378.61"/>
    <n v="10"/>
    <n v="0.58823529411764708"/>
    <n v="1295.07"/>
    <n v="3"/>
    <n v="5.6299999999999996E-2"/>
  </r>
  <r>
    <x v="9"/>
    <x v="1"/>
    <x v="1"/>
    <n v="68"/>
    <n v="16"/>
    <n v="299.58999999999997"/>
    <n v="9"/>
    <n v="0.5625"/>
    <n v="979.47"/>
    <n v="2"/>
    <n v="3.6900000000000002E-2"/>
  </r>
  <r>
    <x v="10"/>
    <x v="1"/>
    <x v="1"/>
    <n v="20"/>
    <n v="9"/>
    <n v="202.4"/>
    <n v="7"/>
    <n v="0.77777777777777779"/>
    <n v="732.99"/>
    <n v="1"/>
    <n v="7.9000000000000001E-2"/>
  </r>
  <r>
    <x v="11"/>
    <x v="1"/>
    <x v="1"/>
    <n v="35"/>
    <n v="6"/>
    <n v="568.38"/>
    <n v="6"/>
    <n v="1"/>
    <n v="3949.69"/>
    <n v="1"/>
    <n v="3.7499999999999999E-2"/>
  </r>
  <r>
    <x v="12"/>
    <x v="1"/>
    <x v="1"/>
    <n v="68"/>
    <n v="21"/>
    <n v="553.08000000000004"/>
    <n v="3"/>
    <n v="0.14285714285714285"/>
    <n v="360.7"/>
    <n v="3"/>
    <n v="3.3399999999999999E-2"/>
  </r>
  <r>
    <x v="13"/>
    <x v="1"/>
    <x v="1"/>
    <n v="30"/>
    <n v="8"/>
    <n v="223.22"/>
    <n v="2"/>
    <n v="0.25"/>
    <n v="3595.12"/>
    <n v="2"/>
    <n v="4.3400000000000001E-2"/>
  </r>
  <r>
    <x v="14"/>
    <x v="1"/>
    <x v="1"/>
    <n v="69"/>
    <n v="8"/>
    <n v="199.93"/>
    <n v="2"/>
    <n v="0.25"/>
    <n v="610.66"/>
    <n v="1"/>
    <n v="2.8199999999999999E-2"/>
  </r>
  <r>
    <x v="15"/>
    <x v="1"/>
    <x v="1"/>
    <n v="92"/>
    <n v="6"/>
    <n v="180.46"/>
    <n v="5"/>
    <n v="0.83333333333333337"/>
    <n v="1173.27"/>
    <n v="3"/>
    <n v="7.5300000000000006E-2"/>
  </r>
  <r>
    <x v="16"/>
    <x v="1"/>
    <x v="1"/>
    <n v="92"/>
    <n v="7"/>
    <n v="80.12"/>
    <n v="6"/>
    <n v="0.8571428571428571"/>
    <n v="3794.02"/>
    <n v="2"/>
    <n v="9.5000000000000001E-2"/>
  </r>
  <r>
    <x v="17"/>
    <x v="1"/>
    <x v="1"/>
    <n v="21"/>
    <n v="14"/>
    <n v="563.79"/>
    <n v="8"/>
    <n v="0.5714285714285714"/>
    <n v="3616.21"/>
    <n v="1"/>
    <n v="3.61E-2"/>
  </r>
  <r>
    <x v="18"/>
    <x v="1"/>
    <x v="1"/>
    <n v="83"/>
    <n v="20"/>
    <n v="193.39"/>
    <n v="5"/>
    <n v="0.25"/>
    <n v="402.53"/>
    <n v="3"/>
    <n v="0.1013"/>
  </r>
  <r>
    <x v="19"/>
    <x v="1"/>
    <x v="1"/>
    <n v="57"/>
    <n v="11"/>
    <n v="454.77"/>
    <n v="1"/>
    <n v="9.0909090909090912E-2"/>
    <n v="1152.4100000000001"/>
    <n v="2"/>
    <n v="1E-3"/>
  </r>
  <r>
    <x v="20"/>
    <x v="1"/>
    <x v="1"/>
    <n v="22"/>
    <n v="17"/>
    <n v="291.97000000000003"/>
    <n v="1"/>
    <n v="5.8823529411764705E-2"/>
    <n v="1703.6"/>
    <n v="1"/>
    <n v="5.21E-2"/>
  </r>
  <r>
    <x v="21"/>
    <x v="1"/>
    <x v="1"/>
    <n v="78"/>
    <n v="5"/>
    <n v="553.86"/>
    <n v="1"/>
    <n v="0.2"/>
    <n v="3503.57"/>
    <n v="3"/>
    <n v="3.1300000000000001E-2"/>
  </r>
  <r>
    <x v="22"/>
    <x v="1"/>
    <x v="1"/>
    <n v="68"/>
    <n v="7"/>
    <n v="171.76"/>
    <n v="7"/>
    <n v="1"/>
    <n v="548.36"/>
    <n v="2"/>
    <n v="8.2500000000000004E-2"/>
  </r>
  <r>
    <x v="23"/>
    <x v="1"/>
    <x v="1"/>
    <n v="83"/>
    <n v="16"/>
    <n v="382.21"/>
    <n v="1"/>
    <n v="6.25E-2"/>
    <n v="3017.43"/>
    <n v="3"/>
    <n v="2.4199999999999999E-2"/>
  </r>
  <r>
    <x v="24"/>
    <x v="1"/>
    <x v="1"/>
    <n v="31"/>
    <n v="11"/>
    <n v="562.73"/>
    <n v="4"/>
    <n v="0.36363636363636365"/>
    <n v="221.94"/>
    <n v="2"/>
    <n v="6.7400000000000002E-2"/>
  </r>
  <r>
    <x v="25"/>
    <x v="1"/>
    <x v="1"/>
    <n v="34"/>
    <n v="17"/>
    <n v="380.37"/>
    <n v="7"/>
    <n v="0.41176470588235292"/>
    <n v="4183.2700000000004"/>
    <n v="1"/>
    <n v="8.8699999999999987E-2"/>
  </r>
  <r>
    <x v="0"/>
    <x v="1"/>
    <x v="2"/>
    <n v="55"/>
    <n v="17"/>
    <n v="315.62"/>
    <n v="5"/>
    <n v="0.29411764705882354"/>
    <n v="3890.73"/>
    <n v="3"/>
    <n v="2.8799999999999999E-2"/>
  </r>
  <r>
    <x v="1"/>
    <x v="1"/>
    <x v="2"/>
    <n v="91"/>
    <n v="10"/>
    <n v="361.58"/>
    <n v="4"/>
    <n v="0.4"/>
    <n v="3674.37"/>
    <n v="2"/>
    <n v="4.0800000000000003E-2"/>
  </r>
  <r>
    <x v="2"/>
    <x v="1"/>
    <x v="2"/>
    <n v="59"/>
    <n v="13"/>
    <n v="402.9"/>
    <n v="2"/>
    <n v="0.15384615384615385"/>
    <n v="3357.27"/>
    <n v="1"/>
    <n v="4.2599999999999999E-2"/>
  </r>
  <r>
    <x v="3"/>
    <x v="1"/>
    <x v="2"/>
    <n v="19"/>
    <n v="6"/>
    <n v="82.65"/>
    <n v="3"/>
    <n v="0.5"/>
    <n v="1469.62"/>
    <n v="3"/>
    <n v="3.0699999999999998E-2"/>
  </r>
  <r>
    <x v="4"/>
    <x v="1"/>
    <x v="2"/>
    <n v="77"/>
    <n v="14"/>
    <n v="494.43"/>
    <n v="4"/>
    <n v="0.2857142857142857"/>
    <n v="963.35"/>
    <n v="2"/>
    <n v="3.6699999999999997E-2"/>
  </r>
  <r>
    <x v="5"/>
    <x v="1"/>
    <x v="2"/>
    <n v="50"/>
    <n v="8"/>
    <n v="512.92999999999995"/>
    <n v="3"/>
    <n v="0.375"/>
    <n v="3725.66"/>
    <n v="1"/>
    <n v="1.1599999999999999E-2"/>
  </r>
  <r>
    <x v="6"/>
    <x v="1"/>
    <x v="2"/>
    <n v="88"/>
    <n v="18"/>
    <n v="291.04000000000002"/>
    <n v="2"/>
    <n v="0.1111111111111111"/>
    <n v="2619.84"/>
    <n v="3"/>
    <n v="0.10550000000000001"/>
  </r>
  <r>
    <x v="7"/>
    <x v="1"/>
    <x v="2"/>
    <n v="62"/>
    <n v="9"/>
    <n v="252.77"/>
    <n v="7"/>
    <n v="0.77777777777777779"/>
    <n v="4641.6099999999997"/>
    <n v="2"/>
    <n v="4.0800000000000003E-2"/>
  </r>
  <r>
    <x v="8"/>
    <x v="1"/>
    <x v="2"/>
    <n v="33"/>
    <n v="18"/>
    <n v="348.57"/>
    <n v="8"/>
    <n v="0.44444444444444442"/>
    <n v="1169.6400000000001"/>
    <n v="1"/>
    <n v="5.4800000000000001E-2"/>
  </r>
  <r>
    <x v="9"/>
    <x v="1"/>
    <x v="2"/>
    <n v="54"/>
    <n v="15"/>
    <n v="321.99"/>
    <n v="8"/>
    <n v="0.53333333333333333"/>
    <n v="1080.0899999999999"/>
    <n v="1"/>
    <n v="3.5499999999999997E-2"/>
  </r>
  <r>
    <x v="10"/>
    <x v="1"/>
    <x v="2"/>
    <n v="16"/>
    <n v="9"/>
    <n v="199.87"/>
    <n v="9"/>
    <n v="1"/>
    <n v="818.64"/>
    <n v="3"/>
    <n v="7.46E-2"/>
  </r>
  <r>
    <x v="11"/>
    <x v="1"/>
    <x v="2"/>
    <n v="30"/>
    <n v="5"/>
    <n v="565.19000000000005"/>
    <n v="4"/>
    <n v="0.8"/>
    <n v="3621.51"/>
    <n v="2"/>
    <n v="4.3099999999999999E-2"/>
  </r>
  <r>
    <x v="12"/>
    <x v="1"/>
    <x v="2"/>
    <n v="68"/>
    <n v="19"/>
    <n v="623.25"/>
    <n v="3"/>
    <n v="0.15789473684210525"/>
    <n v="355.96"/>
    <n v="1"/>
    <n v="3.6299999999999999E-2"/>
  </r>
  <r>
    <x v="13"/>
    <x v="1"/>
    <x v="2"/>
    <n v="31"/>
    <n v="9"/>
    <n v="209.18"/>
    <n v="2"/>
    <n v="0.22222222222222221"/>
    <n v="4153.3100000000004"/>
    <n v="3"/>
    <n v="4.0399999999999998E-2"/>
  </r>
  <r>
    <x v="14"/>
    <x v="1"/>
    <x v="2"/>
    <n v="61"/>
    <n v="7"/>
    <n v="190.5"/>
    <n v="3"/>
    <n v="0.42857142857142855"/>
    <n v="661.2"/>
    <n v="2"/>
    <n v="2.7699999999999999E-2"/>
  </r>
  <r>
    <x v="15"/>
    <x v="1"/>
    <x v="2"/>
    <n v="83"/>
    <n v="5"/>
    <n v="170.12"/>
    <n v="3"/>
    <n v="0.6"/>
    <n v="1171.95"/>
    <n v="1"/>
    <n v="7.690000000000001E-2"/>
  </r>
  <r>
    <x v="16"/>
    <x v="1"/>
    <x v="2"/>
    <n v="74"/>
    <n v="7"/>
    <n v="87.89"/>
    <n v="7"/>
    <n v="1"/>
    <n v="3848.14"/>
    <n v="3"/>
    <n v="8.6699999999999999E-2"/>
  </r>
  <r>
    <x v="17"/>
    <x v="1"/>
    <x v="2"/>
    <n v="21"/>
    <n v="14"/>
    <n v="498.82"/>
    <n v="5"/>
    <n v="0.35714285714285715"/>
    <n v="4039.26"/>
    <n v="2"/>
    <n v="3.4000000000000002E-2"/>
  </r>
  <r>
    <x v="18"/>
    <x v="2"/>
    <x v="2"/>
    <n v="84"/>
    <n v="15"/>
    <n v="163.21"/>
    <n v="5"/>
    <n v="0.33333333333333331"/>
    <n v="411.36"/>
    <n v="1"/>
    <n v="0.1014"/>
  </r>
  <r>
    <x v="19"/>
    <x v="2"/>
    <x v="2"/>
    <n v="64"/>
    <n v="13"/>
    <n v="496.4"/>
    <n v="0"/>
    <n v="0"/>
    <n v="1306.3800000000001"/>
    <n v="3"/>
    <n v="1.1000000000000001E-3"/>
  </r>
  <r>
    <x v="20"/>
    <x v="2"/>
    <x v="2"/>
    <n v="21"/>
    <n v="13"/>
    <n v="315.41000000000003"/>
    <n v="1"/>
    <n v="7.6923076923076927E-2"/>
    <n v="1692.59"/>
    <n v="2"/>
    <n v="5.0999999999999997E-2"/>
  </r>
  <r>
    <x v="21"/>
    <x v="2"/>
    <x v="2"/>
    <n v="110"/>
    <n v="6"/>
    <n v="535.37"/>
    <n v="2"/>
    <n v="0.33333333333333331"/>
    <n v="3113.29"/>
    <n v="1"/>
    <n v="3.2099999999999997E-2"/>
  </r>
  <r>
    <x v="22"/>
    <x v="2"/>
    <x v="2"/>
    <n v="62"/>
    <n v="8"/>
    <n v="198.84"/>
    <n v="8"/>
    <n v="1"/>
    <n v="534.58000000000004"/>
    <n v="3"/>
    <n v="8.8000000000000009E-2"/>
  </r>
  <r>
    <x v="23"/>
    <x v="2"/>
    <x v="2"/>
    <n v="108"/>
    <n v="14"/>
    <n v="416.78"/>
    <n v="1"/>
    <n v="7.1428571428571425E-2"/>
    <n v="2989.69"/>
    <n v="2"/>
    <n v="2.5499999999999998E-2"/>
  </r>
  <r>
    <x v="24"/>
    <x v="2"/>
    <x v="2"/>
    <n v="28"/>
    <n v="12"/>
    <n v="533.85"/>
    <n v="5"/>
    <n v="0.41666666666666669"/>
    <n v="224.87"/>
    <n v="1"/>
    <n v="6.480000000000001E-2"/>
  </r>
  <r>
    <x v="25"/>
    <x v="2"/>
    <x v="2"/>
    <n v="39"/>
    <n v="16"/>
    <n v="312.8"/>
    <n v="8"/>
    <n v="0.5"/>
    <n v="4592.09"/>
    <n v="3"/>
    <n v="8.5500000000000007E-2"/>
  </r>
  <r>
    <x v="0"/>
    <x v="2"/>
    <x v="3"/>
    <n v="69"/>
    <n v="17"/>
    <n v="342.81"/>
    <n v="6"/>
    <n v="0.35294117647058826"/>
    <n v="3728.2"/>
    <n v="2"/>
    <n v="2.9600000000000001E-2"/>
  </r>
  <r>
    <x v="1"/>
    <x v="2"/>
    <x v="3"/>
    <n v="83"/>
    <n v="11"/>
    <n v="365.12"/>
    <n v="5"/>
    <n v="0.45454545454545453"/>
    <n v="3682.69"/>
    <n v="1"/>
    <n v="3.8199999999999998E-2"/>
  </r>
  <r>
    <x v="2"/>
    <x v="2"/>
    <x v="3"/>
    <n v="41"/>
    <n v="14"/>
    <n v="416.88"/>
    <n v="2"/>
    <n v="0.14285714285714285"/>
    <n v="3638.83"/>
    <n v="3"/>
    <n v="4.41E-2"/>
  </r>
  <r>
    <x v="3"/>
    <x v="2"/>
    <x v="3"/>
    <n v="17"/>
    <n v="7"/>
    <n v="81.14"/>
    <n v="3"/>
    <n v="0.42857142857142855"/>
    <n v="1419.04"/>
    <n v="2"/>
    <n v="2.9399999999999999E-2"/>
  </r>
  <r>
    <x v="4"/>
    <x v="2"/>
    <x v="3"/>
    <n v="76"/>
    <n v="16"/>
    <n v="449.04"/>
    <n v="4"/>
    <n v="0.25"/>
    <n v="1019.97"/>
    <n v="1"/>
    <n v="3.8100000000000002E-2"/>
  </r>
  <r>
    <x v="5"/>
    <x v="2"/>
    <x v="3"/>
    <n v="72"/>
    <n v="6"/>
    <n v="508.55"/>
    <n v="3"/>
    <n v="0.5"/>
    <n v="3633.75"/>
    <n v="3"/>
    <n v="1.1399999999999999E-2"/>
  </r>
  <r>
    <x v="6"/>
    <x v="2"/>
    <x v="3"/>
    <n v="72"/>
    <n v="18"/>
    <n v="299.08999999999997"/>
    <n v="2"/>
    <n v="0.1111111111111111"/>
    <n v="2378.29"/>
    <n v="2"/>
    <n v="0.1052"/>
  </r>
  <r>
    <x v="7"/>
    <x v="2"/>
    <x v="3"/>
    <n v="44"/>
    <n v="6"/>
    <n v="246.21"/>
    <n v="5"/>
    <n v="0.83333333333333337"/>
    <n v="4155.8"/>
    <n v="1"/>
    <n v="4.3299999999999998E-2"/>
  </r>
  <r>
    <x v="8"/>
    <x v="2"/>
    <x v="3"/>
    <n v="29"/>
    <n v="16"/>
    <n v="412.07"/>
    <n v="10"/>
    <n v="0.625"/>
    <n v="1075.94"/>
    <n v="1"/>
    <n v="6.2400000000000004E-2"/>
  </r>
  <r>
    <x v="9"/>
    <x v="2"/>
    <x v="3"/>
    <n v="64"/>
    <n v="13"/>
    <n v="317.58"/>
    <n v="8"/>
    <n v="0.61538461538461542"/>
    <n v="1088.22"/>
    <n v="3"/>
    <n v="3.49E-2"/>
  </r>
  <r>
    <x v="10"/>
    <x v="2"/>
    <x v="3"/>
    <n v="16"/>
    <n v="7"/>
    <n v="181.58"/>
    <n v="6"/>
    <n v="0.8571428571428571"/>
    <n v="868.4"/>
    <n v="2"/>
    <n v="8.4100000000000008E-2"/>
  </r>
  <r>
    <x v="11"/>
    <x v="2"/>
    <x v="3"/>
    <n v="37"/>
    <n v="7"/>
    <n v="470.85"/>
    <n v="7"/>
    <n v="1"/>
    <n v="3483.6"/>
    <n v="1"/>
    <n v="4.2599999999999999E-2"/>
  </r>
  <r>
    <x v="12"/>
    <x v="2"/>
    <x v="3"/>
    <n v="81"/>
    <n v="16"/>
    <n v="584.29999999999995"/>
    <n v="3"/>
    <n v="0.1875"/>
    <n v="377.45"/>
    <n v="3"/>
    <n v="3.32E-2"/>
  </r>
  <r>
    <x v="13"/>
    <x v="2"/>
    <x v="3"/>
    <n v="26"/>
    <n v="6"/>
    <n v="231.59"/>
    <n v="2"/>
    <n v="0.33333333333333331"/>
    <n v="3988.15"/>
    <n v="2"/>
    <n v="3.8399999999999997E-2"/>
  </r>
  <r>
    <x v="14"/>
    <x v="3"/>
    <x v="3"/>
    <n v="69"/>
    <n v="9"/>
    <n v="221.01"/>
    <n v="3"/>
    <n v="0.33333333333333331"/>
    <n v="643.44000000000005"/>
    <n v="1"/>
    <n v="3.2000000000000001E-2"/>
  </r>
  <r>
    <x v="15"/>
    <x v="3"/>
    <x v="3"/>
    <n v="103"/>
    <n v="6"/>
    <n v="165.74"/>
    <n v="6"/>
    <n v="1"/>
    <n v="1169.3800000000001"/>
    <n v="3"/>
    <n v="7.7699999999999991E-2"/>
  </r>
  <r>
    <x v="16"/>
    <x v="3"/>
    <x v="3"/>
    <n v="100"/>
    <n v="7"/>
    <n v="82.62"/>
    <n v="6"/>
    <n v="0.8571428571428571"/>
    <n v="4085.91"/>
    <n v="2"/>
    <n v="9.0500000000000011E-2"/>
  </r>
  <r>
    <x v="17"/>
    <x v="3"/>
    <x v="3"/>
    <n v="26"/>
    <n v="17"/>
    <n v="526.34"/>
    <n v="6"/>
    <n v="0.35294117647058826"/>
    <n v="3360.11"/>
    <n v="1"/>
    <n v="3.0600000000000002E-2"/>
  </r>
  <r>
    <x v="18"/>
    <x v="3"/>
    <x v="3"/>
    <n v="104"/>
    <n v="22"/>
    <n v="190.87"/>
    <n v="4"/>
    <n v="0.18181818181818182"/>
    <n v="433.41"/>
    <n v="3"/>
    <n v="9.3599999999999989E-2"/>
  </r>
  <r>
    <x v="19"/>
    <x v="3"/>
    <x v="3"/>
    <n v="63"/>
    <n v="11"/>
    <n v="554.51"/>
    <n v="1"/>
    <n v="9.0909090909090912E-2"/>
    <n v="1138.51"/>
    <n v="2"/>
    <n v="1E-3"/>
  </r>
  <r>
    <x v="20"/>
    <x v="3"/>
    <x v="3"/>
    <n v="22"/>
    <n v="13"/>
    <n v="302.49"/>
    <n v="2"/>
    <n v="0.15384615384615385"/>
    <n v="1591.45"/>
    <n v="3"/>
    <n v="4.9599999999999998E-2"/>
  </r>
  <r>
    <x v="21"/>
    <x v="3"/>
    <x v="3"/>
    <n v="91"/>
    <n v="5"/>
    <n v="605.11"/>
    <n v="2"/>
    <n v="0.4"/>
    <n v="3499.88"/>
    <n v="2"/>
    <n v="3.0200000000000001E-2"/>
  </r>
  <r>
    <x v="22"/>
    <x v="3"/>
    <x v="3"/>
    <n v="77"/>
    <n v="8"/>
    <n v="173.88"/>
    <n v="6"/>
    <n v="0.75"/>
    <n v="462.44"/>
    <n v="1"/>
    <n v="7.9899999999999999E-2"/>
  </r>
  <r>
    <x v="23"/>
    <x v="3"/>
    <x v="3"/>
    <n v="90"/>
    <n v="17"/>
    <n v="366.84"/>
    <n v="0"/>
    <n v="0"/>
    <n v="3153.56"/>
    <n v="3"/>
    <n v="2.4500000000000001E-2"/>
  </r>
  <r>
    <x v="24"/>
    <x v="3"/>
    <x v="3"/>
    <n v="33"/>
    <n v="9"/>
    <n v="578.41999999999996"/>
    <n v="4"/>
    <n v="0.44444444444444442"/>
    <n v="229.72"/>
    <n v="2"/>
    <n v="7.46E-2"/>
  </r>
  <r>
    <x v="25"/>
    <x v="3"/>
    <x v="3"/>
    <n v="42"/>
    <n v="14"/>
    <n v="321.29000000000002"/>
    <n v="7"/>
    <n v="0.5"/>
    <n v="4298.2700000000004"/>
    <n v="1"/>
    <n v="7.4499999999999997E-2"/>
  </r>
  <r>
    <x v="0"/>
    <x v="3"/>
    <x v="4"/>
    <n v="69"/>
    <n v="16"/>
    <n v="299.22000000000003"/>
    <n v="6"/>
    <n v="0.375"/>
    <n v="3716.14"/>
    <n v="3"/>
    <n v="2.63E-2"/>
  </r>
  <r>
    <x v="1"/>
    <x v="3"/>
    <x v="4"/>
    <n v="68"/>
    <n v="11"/>
    <n v="345.62"/>
    <n v="4"/>
    <n v="0.36363636363636365"/>
    <n v="3558.13"/>
    <n v="2"/>
    <n v="4.0800000000000003E-2"/>
  </r>
  <r>
    <x v="2"/>
    <x v="3"/>
    <x v="4"/>
    <n v="45"/>
    <n v="17"/>
    <n v="416.96"/>
    <n v="3"/>
    <n v="0.17647058823529413"/>
    <n v="3327.07"/>
    <n v="1"/>
    <n v="4.0999999999999995E-2"/>
  </r>
  <r>
    <x v="3"/>
    <x v="3"/>
    <x v="4"/>
    <n v="17"/>
    <n v="8"/>
    <n v="72.05"/>
    <n v="3"/>
    <n v="0.375"/>
    <n v="1672.82"/>
    <n v="3"/>
    <n v="3.0299999999999997E-2"/>
  </r>
  <r>
    <x v="4"/>
    <x v="3"/>
    <x v="4"/>
    <n v="85"/>
    <n v="13"/>
    <n v="475.61"/>
    <n v="5"/>
    <n v="0.38461538461538464"/>
    <n v="939.32"/>
    <n v="2"/>
    <n v="3.6400000000000002E-2"/>
  </r>
  <r>
    <x v="5"/>
    <x v="3"/>
    <x v="4"/>
    <n v="49"/>
    <n v="7"/>
    <n v="469.53"/>
    <n v="3"/>
    <n v="0.42857142857142855"/>
    <n v="3623.32"/>
    <n v="1"/>
    <n v="1.21E-2"/>
  </r>
  <r>
    <x v="6"/>
    <x v="3"/>
    <x v="4"/>
    <n v="66"/>
    <n v="15"/>
    <n v="333.1"/>
    <n v="2"/>
    <n v="0.13333333333333333"/>
    <n v="2631.58"/>
    <n v="1"/>
    <n v="0.10249999999999999"/>
  </r>
  <r>
    <x v="7"/>
    <x v="3"/>
    <x v="4"/>
    <n v="63"/>
    <n v="9"/>
    <n v="258.11"/>
    <n v="7"/>
    <n v="0.77777777777777779"/>
    <n v="4064.36"/>
    <n v="3"/>
    <n v="4.1599999999999998E-2"/>
  </r>
  <r>
    <x v="8"/>
    <x v="3"/>
    <x v="4"/>
    <n v="31"/>
    <n v="20"/>
    <n v="400.8"/>
    <n v="8"/>
    <n v="0.4"/>
    <n v="1294.3599999999999"/>
    <n v="2"/>
    <n v="5.6399999999999999E-2"/>
  </r>
  <r>
    <x v="9"/>
    <x v="3"/>
    <x v="4"/>
    <n v="75"/>
    <n v="19"/>
    <n v="343.28"/>
    <n v="9"/>
    <n v="0.47368421052631576"/>
    <n v="899.46"/>
    <n v="1"/>
    <n v="3.2199999999999999E-2"/>
  </r>
  <r>
    <x v="10"/>
    <x v="3"/>
    <x v="4"/>
    <n v="18"/>
    <n v="7"/>
    <n v="204.63"/>
    <n v="7"/>
    <n v="1"/>
    <n v="789.77"/>
    <n v="3"/>
    <n v="7.4499999999999997E-2"/>
  </r>
  <r>
    <x v="11"/>
    <x v="3"/>
    <x v="4"/>
    <n v="35"/>
    <n v="6"/>
    <n v="553.11"/>
    <n v="4"/>
    <n v="0.66666666666666663"/>
    <n v="3867.67"/>
    <n v="2"/>
    <n v="3.8300000000000001E-2"/>
  </r>
  <r>
    <x v="12"/>
    <x v="3"/>
    <x v="4"/>
    <n v="74"/>
    <n v="20"/>
    <n v="623.33000000000004"/>
    <n v="2"/>
    <n v="0.1"/>
    <n v="359.97"/>
    <n v="1"/>
    <n v="3.8399999999999997E-2"/>
  </r>
  <r>
    <x v="13"/>
    <x v="3"/>
    <x v="4"/>
    <n v="26"/>
    <n v="7"/>
    <n v="200.45"/>
    <n v="1"/>
    <n v="0.14285714285714285"/>
    <n v="3797.35"/>
    <n v="3"/>
    <n v="4.1399999999999999E-2"/>
  </r>
  <r>
    <x v="14"/>
    <x v="3"/>
    <x v="4"/>
    <n v="50"/>
    <n v="7"/>
    <n v="196.2"/>
    <n v="2"/>
    <n v="0.2857142857142857"/>
    <n v="592.71"/>
    <n v="2"/>
    <n v="2.76E-2"/>
  </r>
  <r>
    <x v="15"/>
    <x v="3"/>
    <x v="4"/>
    <n v="97"/>
    <n v="5"/>
    <n v="185.62"/>
    <n v="4"/>
    <n v="0.8"/>
    <n v="1282.81"/>
    <n v="1"/>
    <n v="7.22E-2"/>
  </r>
  <r>
    <x v="16"/>
    <x v="3"/>
    <x v="4"/>
    <n v="91"/>
    <n v="7"/>
    <n v="89.39"/>
    <n v="6"/>
    <n v="0.8571428571428571"/>
    <n v="3971.59"/>
    <n v="3"/>
    <n v="9.0700000000000003E-2"/>
  </r>
  <r>
    <x v="17"/>
    <x v="3"/>
    <x v="4"/>
    <n v="21"/>
    <n v="14"/>
    <n v="472.79"/>
    <n v="8"/>
    <n v="0.5714285714285714"/>
    <n v="3830.32"/>
    <n v="2"/>
    <n v="3.5200000000000002E-2"/>
  </r>
  <r>
    <x v="18"/>
    <x v="3"/>
    <x v="4"/>
    <n v="91"/>
    <n v="15"/>
    <n v="173.03"/>
    <n v="4"/>
    <n v="0.26666666666666666"/>
    <n v="386.08"/>
    <n v="1"/>
    <n v="9.820000000000001E-2"/>
  </r>
  <r>
    <x v="19"/>
    <x v="3"/>
    <x v="4"/>
    <n v="67"/>
    <n v="15"/>
    <n v="499.68"/>
    <n v="0"/>
    <n v="0"/>
    <n v="1287.1300000000001"/>
    <n v="3"/>
    <n v="1E-3"/>
  </r>
  <r>
    <x v="20"/>
    <x v="3"/>
    <x v="4"/>
    <n v="19"/>
    <n v="13"/>
    <n v="316.23"/>
    <n v="1"/>
    <n v="7.6923076923076927E-2"/>
    <n v="1598.49"/>
    <n v="2"/>
    <n v="5.8299999999999998E-2"/>
  </r>
  <r>
    <x v="21"/>
    <x v="3"/>
    <x v="4"/>
    <n v="105"/>
    <n v="6"/>
    <n v="567.03"/>
    <n v="1"/>
    <n v="0.16666666666666666"/>
    <n v="3496.65"/>
    <n v="1"/>
    <n v="3.0600000000000002E-2"/>
  </r>
  <r>
    <x v="22"/>
    <x v="3"/>
    <x v="4"/>
    <n v="73"/>
    <n v="8"/>
    <n v="175.52"/>
    <n v="7"/>
    <n v="0.875"/>
    <n v="455.32"/>
    <n v="3"/>
    <n v="9.35E-2"/>
  </r>
  <r>
    <x v="23"/>
    <x v="3"/>
    <x v="4"/>
    <n v="111"/>
    <n v="13"/>
    <n v="358.31"/>
    <n v="0"/>
    <n v="0"/>
    <n v="2811.77"/>
    <n v="2"/>
    <n v="2.7099999999999999E-2"/>
  </r>
  <r>
    <x v="24"/>
    <x v="3"/>
    <x v="4"/>
    <n v="38"/>
    <n v="12"/>
    <n v="556.33000000000004"/>
    <n v="4"/>
    <n v="0.33333333333333331"/>
    <n v="241.08"/>
    <n v="1"/>
    <n v="7.0599999999999996E-2"/>
  </r>
  <r>
    <x v="25"/>
    <x v="3"/>
    <x v="4"/>
    <n v="33"/>
    <n v="17"/>
    <n v="371.65"/>
    <n v="9"/>
    <n v="0.52941176470588236"/>
    <n v="4068.75"/>
    <n v="3"/>
    <n v="8.5500000000000007E-2"/>
  </r>
  <r>
    <x v="0"/>
    <x v="3"/>
    <x v="5"/>
    <n v="59"/>
    <n v="16"/>
    <n v="359.47"/>
    <n v="7"/>
    <n v="0.4375"/>
    <n v="3958.94"/>
    <n v="2"/>
    <n v="2.46E-2"/>
  </r>
  <r>
    <x v="1"/>
    <x v="3"/>
    <x v="5"/>
    <n v="71"/>
    <n v="11"/>
    <n v="379.33"/>
    <n v="4"/>
    <n v="0.36363636363636365"/>
    <n v="4003.52"/>
    <n v="1"/>
    <n v="4.2900000000000001E-2"/>
  </r>
  <r>
    <x v="2"/>
    <x v="3"/>
    <x v="5"/>
    <n v="48"/>
    <n v="14"/>
    <n v="383.94"/>
    <n v="3"/>
    <n v="0.21428571428571427"/>
    <n v="3173.36"/>
    <n v="3"/>
    <n v="4.0999999999999995E-2"/>
  </r>
  <r>
    <x v="3"/>
    <x v="3"/>
    <x v="5"/>
    <n v="18"/>
    <n v="7"/>
    <n v="85.32"/>
    <n v="3"/>
    <n v="0.42857142857142855"/>
    <n v="1431.69"/>
    <n v="2"/>
    <n v="3.1600000000000003E-2"/>
  </r>
  <r>
    <x v="4"/>
    <x v="3"/>
    <x v="5"/>
    <n v="93"/>
    <n v="14"/>
    <n v="466.81"/>
    <n v="5"/>
    <n v="0.35714285714285715"/>
    <n v="988.98"/>
    <n v="1"/>
    <n v="4.2300000000000004E-2"/>
  </r>
  <r>
    <x v="5"/>
    <x v="4"/>
    <x v="5"/>
    <n v="49"/>
    <n v="7"/>
    <n v="512.88"/>
    <n v="2"/>
    <n v="0.2857142857142857"/>
    <n v="3545.66"/>
    <n v="1"/>
    <n v="1.2699999999999999E-2"/>
  </r>
  <r>
    <x v="6"/>
    <x v="4"/>
    <x v="5"/>
    <n v="85"/>
    <n v="17"/>
    <n v="324.56"/>
    <n v="3"/>
    <n v="0.17647058823529413"/>
    <n v="2420.5300000000002"/>
    <n v="3"/>
    <n v="8.929999999999999E-2"/>
  </r>
  <r>
    <x v="7"/>
    <x v="4"/>
    <x v="5"/>
    <n v="61"/>
    <n v="7"/>
    <n v="219.53"/>
    <n v="7"/>
    <n v="1"/>
    <n v="3860.12"/>
    <n v="2"/>
    <n v="4.3499999999999997E-2"/>
  </r>
  <r>
    <x v="8"/>
    <x v="4"/>
    <x v="5"/>
    <n v="30"/>
    <n v="16"/>
    <n v="353.65"/>
    <n v="9"/>
    <n v="0.5625"/>
    <n v="1213.5899999999999"/>
    <n v="1"/>
    <n v="6.2E-2"/>
  </r>
  <r>
    <x v="9"/>
    <x v="4"/>
    <x v="5"/>
    <n v="54"/>
    <n v="16"/>
    <n v="334.41"/>
    <n v="9"/>
    <n v="0.5625"/>
    <n v="1056.98"/>
    <n v="3"/>
    <n v="3.5200000000000002E-2"/>
  </r>
  <r>
    <x v="10"/>
    <x v="4"/>
    <x v="5"/>
    <n v="19"/>
    <n v="7"/>
    <n v="199.46"/>
    <n v="7"/>
    <n v="1"/>
    <n v="809.56"/>
    <n v="2"/>
    <n v="7.1399999999999991E-2"/>
  </r>
  <r>
    <x v="11"/>
    <x v="4"/>
    <x v="5"/>
    <n v="40"/>
    <n v="6"/>
    <n v="509.67"/>
    <n v="4"/>
    <n v="0.66666666666666663"/>
    <n v="3330.44"/>
    <n v="1"/>
    <n v="3.8300000000000001E-2"/>
  </r>
  <r>
    <x v="12"/>
    <x v="4"/>
    <x v="5"/>
    <n v="73"/>
    <n v="21"/>
    <n v="601.02"/>
    <n v="2"/>
    <n v="9.5238095238095233E-2"/>
    <n v="364.56"/>
    <n v="3"/>
    <n v="3.4300000000000004E-2"/>
  </r>
  <r>
    <x v="13"/>
    <x v="4"/>
    <x v="5"/>
    <n v="36"/>
    <n v="9"/>
    <n v="196.74"/>
    <n v="1"/>
    <n v="0.1111111111111111"/>
    <n v="3760.57"/>
    <n v="2"/>
    <n v="3.9800000000000002E-2"/>
  </r>
  <r>
    <x v="14"/>
    <x v="4"/>
    <x v="5"/>
    <n v="58"/>
    <n v="8"/>
    <n v="196.58"/>
    <n v="3"/>
    <n v="0.375"/>
    <n v="692.47"/>
    <n v="1"/>
    <n v="3.27E-2"/>
  </r>
  <r>
    <x v="15"/>
    <x v="4"/>
    <x v="5"/>
    <n v="100"/>
    <n v="5"/>
    <n v="153.87"/>
    <n v="2"/>
    <n v="0.4"/>
    <n v="1190.24"/>
    <n v="3"/>
    <n v="8.0600000000000005E-2"/>
  </r>
  <r>
    <x v="16"/>
    <x v="4"/>
    <x v="5"/>
    <n v="93"/>
    <n v="5"/>
    <n v="85.65"/>
    <n v="5"/>
    <n v="1"/>
    <n v="3913.17"/>
    <n v="2"/>
    <n v="9.5700000000000007E-2"/>
  </r>
  <r>
    <x v="17"/>
    <x v="4"/>
    <x v="5"/>
    <n v="28"/>
    <n v="16"/>
    <n v="506.95"/>
    <n v="6"/>
    <n v="0.375"/>
    <n v="3993.03"/>
    <n v="3"/>
    <n v="3.0600000000000002E-2"/>
  </r>
  <r>
    <x v="18"/>
    <x v="4"/>
    <x v="5"/>
    <n v="88"/>
    <n v="18"/>
    <n v="181.21"/>
    <n v="4"/>
    <n v="0.22222222222222221"/>
    <n v="377.13"/>
    <n v="2"/>
    <n v="0.10009999999999999"/>
  </r>
  <r>
    <x v="19"/>
    <x v="4"/>
    <x v="5"/>
    <n v="69"/>
    <n v="16"/>
    <n v="495.32"/>
    <n v="0"/>
    <n v="0"/>
    <n v="1262.99"/>
    <n v="1"/>
    <n v="1E-3"/>
  </r>
  <r>
    <x v="20"/>
    <x v="4"/>
    <x v="5"/>
    <n v="21"/>
    <n v="16"/>
    <n v="315.91000000000003"/>
    <n v="1"/>
    <n v="6.25E-2"/>
    <n v="1455.83"/>
    <n v="3"/>
    <n v="5.1299999999999998E-2"/>
  </r>
  <r>
    <x v="21"/>
    <x v="4"/>
    <x v="5"/>
    <n v="92"/>
    <n v="5"/>
    <n v="569.75"/>
    <n v="2"/>
    <n v="0.4"/>
    <n v="3734.43"/>
    <n v="2"/>
    <n v="2.76E-2"/>
  </r>
  <r>
    <x v="22"/>
    <x v="4"/>
    <x v="5"/>
    <n v="58"/>
    <n v="7"/>
    <n v="173.24"/>
    <n v="7"/>
    <n v="1"/>
    <n v="525.73"/>
    <n v="1"/>
    <n v="8.2299999999999998E-2"/>
  </r>
  <r>
    <x v="23"/>
    <x v="4"/>
    <x v="5"/>
    <n v="114"/>
    <n v="13"/>
    <n v="364.35"/>
    <n v="0"/>
    <n v="0"/>
    <n v="2988.28"/>
    <n v="3"/>
    <n v="2.58E-2"/>
  </r>
  <r>
    <x v="24"/>
    <x v="4"/>
    <x v="5"/>
    <n v="35"/>
    <n v="12"/>
    <n v="515.24"/>
    <n v="5"/>
    <n v="0.41666666666666669"/>
    <n v="224.24"/>
    <n v="2"/>
    <n v="6.9800000000000001E-2"/>
  </r>
  <r>
    <x v="25"/>
    <x v="4"/>
    <x v="5"/>
    <n v="35"/>
    <n v="16"/>
    <n v="351.71"/>
    <n v="9"/>
    <n v="0.5625"/>
    <n v="3984.69"/>
    <n v="1"/>
    <n v="7.4099999999999999E-2"/>
  </r>
  <r>
    <x v="0"/>
    <x v="4"/>
    <x v="6"/>
    <n v="71"/>
    <n v="17"/>
    <n v="360.1"/>
    <n v="6"/>
    <n v="0.35294117647058826"/>
    <n v="4444.83"/>
    <n v="3"/>
    <n v="2.9500000000000002E-2"/>
  </r>
  <r>
    <x v="1"/>
    <x v="4"/>
    <x v="6"/>
    <n v="62"/>
    <n v="13"/>
    <n v="364.64"/>
    <n v="4"/>
    <n v="0.30769230769230771"/>
    <n v="3704.33"/>
    <n v="2"/>
    <n v="3.7499999999999999E-2"/>
  </r>
  <r>
    <x v="2"/>
    <x v="4"/>
    <x v="6"/>
    <n v="53"/>
    <n v="14"/>
    <n v="367.56"/>
    <n v="2"/>
    <n v="0.14285714285714285"/>
    <n v="3514.07"/>
    <n v="1"/>
    <n v="4.0099999999999997E-2"/>
  </r>
  <r>
    <x v="3"/>
    <x v="4"/>
    <x v="6"/>
    <n v="18"/>
    <n v="6"/>
    <n v="76.27"/>
    <n v="4"/>
    <n v="0.66666666666666663"/>
    <n v="1597.98"/>
    <n v="1"/>
    <n v="2.81E-2"/>
  </r>
  <r>
    <x v="4"/>
    <x v="4"/>
    <x v="6"/>
    <n v="71"/>
    <n v="12"/>
    <n v="487.04"/>
    <n v="5"/>
    <n v="0.41666666666666669"/>
    <n v="1004.9"/>
    <n v="3"/>
    <n v="4.2099999999999999E-2"/>
  </r>
  <r>
    <x v="5"/>
    <x v="4"/>
    <x v="6"/>
    <n v="70"/>
    <n v="5"/>
    <n v="491.31"/>
    <n v="3"/>
    <n v="0.6"/>
    <n v="3289.06"/>
    <n v="2"/>
    <n v="1.1299999999999999E-2"/>
  </r>
  <r>
    <x v="6"/>
    <x v="4"/>
    <x v="6"/>
    <n v="77"/>
    <n v="15"/>
    <n v="282.58999999999997"/>
    <n v="2"/>
    <n v="0.13333333333333333"/>
    <n v="2296.14"/>
    <n v="1"/>
    <n v="9.5799999999999996E-2"/>
  </r>
  <r>
    <x v="7"/>
    <x v="4"/>
    <x v="6"/>
    <n v="50"/>
    <n v="9"/>
    <n v="246.06"/>
    <n v="5"/>
    <n v="0.55555555555555558"/>
    <n v="4227.22"/>
    <n v="3"/>
    <n v="3.7200000000000004E-2"/>
  </r>
  <r>
    <x v="8"/>
    <x v="4"/>
    <x v="6"/>
    <n v="31"/>
    <n v="15"/>
    <n v="347.38"/>
    <n v="10"/>
    <n v="0.66666666666666663"/>
    <n v="1101.06"/>
    <n v="2"/>
    <n v="6.0100000000000001E-2"/>
  </r>
  <r>
    <x v="9"/>
    <x v="4"/>
    <x v="6"/>
    <n v="77"/>
    <n v="16"/>
    <n v="335.59"/>
    <n v="7"/>
    <n v="0.4375"/>
    <n v="1087.4100000000001"/>
    <n v="1"/>
    <n v="3.6900000000000002E-2"/>
  </r>
  <r>
    <x v="10"/>
    <x v="4"/>
    <x v="6"/>
    <n v="17"/>
    <n v="8"/>
    <n v="208.21"/>
    <n v="4"/>
    <n v="0.5"/>
    <n v="828.73"/>
    <n v="3"/>
    <n v="7.4200000000000002E-2"/>
  </r>
  <r>
    <x v="11"/>
    <x v="4"/>
    <x v="6"/>
    <n v="32"/>
    <n v="6"/>
    <n v="553.58000000000004"/>
    <n v="3"/>
    <n v="0.5"/>
    <n v="3939.56"/>
    <n v="2"/>
    <n v="3.78E-2"/>
  </r>
  <r>
    <x v="12"/>
    <x v="4"/>
    <x v="6"/>
    <n v="72"/>
    <n v="21"/>
    <n v="604.57000000000005"/>
    <n v="2"/>
    <n v="9.5238095238095233E-2"/>
    <n v="327.82"/>
    <n v="1"/>
    <n v="3.6699999999999997E-2"/>
  </r>
  <r>
    <x v="13"/>
    <x v="4"/>
    <x v="6"/>
    <n v="34"/>
    <n v="7"/>
    <n v="199.39"/>
    <n v="1"/>
    <n v="0.14285714285714285"/>
    <n v="3767.74"/>
    <n v="3"/>
    <n v="3.85E-2"/>
  </r>
  <r>
    <x v="14"/>
    <x v="4"/>
    <x v="6"/>
    <n v="71"/>
    <n v="9"/>
    <n v="220.4"/>
    <n v="2"/>
    <n v="0.22222222222222221"/>
    <n v="692.29"/>
    <n v="2"/>
    <n v="2.8999999999999998E-2"/>
  </r>
  <r>
    <x v="15"/>
    <x v="4"/>
    <x v="6"/>
    <n v="83"/>
    <n v="5"/>
    <n v="166.85"/>
    <n v="4"/>
    <n v="0.8"/>
    <n v="1364.24"/>
    <n v="1"/>
    <n v="8.3100000000000007E-2"/>
  </r>
  <r>
    <x v="16"/>
    <x v="4"/>
    <x v="6"/>
    <n v="71"/>
    <n v="7"/>
    <n v="78.53"/>
    <n v="4"/>
    <n v="0.5714285714285714"/>
    <n v="3652.64"/>
    <n v="3"/>
    <n v="8.6999999999999994E-2"/>
  </r>
  <r>
    <x v="17"/>
    <x v="4"/>
    <x v="6"/>
    <n v="24"/>
    <n v="13"/>
    <n v="471.72"/>
    <n v="7"/>
    <n v="0.53846153846153844"/>
    <n v="3588.89"/>
    <n v="2"/>
    <n v="3.5400000000000001E-2"/>
  </r>
  <r>
    <x v="18"/>
    <x v="4"/>
    <x v="6"/>
    <n v="75"/>
    <n v="17"/>
    <n v="176.07"/>
    <n v="5"/>
    <n v="0.29411764705882354"/>
    <n v="458.18"/>
    <n v="1"/>
    <n v="9.9399999999999988E-2"/>
  </r>
  <r>
    <x v="19"/>
    <x v="4"/>
    <x v="6"/>
    <n v="76"/>
    <n v="11"/>
    <n v="486.93"/>
    <n v="0"/>
    <n v="0"/>
    <n v="1219.29"/>
    <n v="3"/>
    <n v="1E-3"/>
  </r>
  <r>
    <x v="20"/>
    <x v="4"/>
    <x v="6"/>
    <n v="20"/>
    <n v="14"/>
    <n v="283.66000000000003"/>
    <n v="2"/>
    <n v="0.14285714285714285"/>
    <n v="1494.14"/>
    <n v="2"/>
    <n v="5.7800000000000004E-2"/>
  </r>
  <r>
    <x v="21"/>
    <x v="4"/>
    <x v="6"/>
    <n v="79"/>
    <n v="6"/>
    <n v="536.04999999999995"/>
    <n v="1"/>
    <n v="0.16666666666666666"/>
    <n v="3682.29"/>
    <n v="1"/>
    <n v="3.2099999999999997E-2"/>
  </r>
  <r>
    <x v="22"/>
    <x v="4"/>
    <x v="6"/>
    <n v="82"/>
    <n v="9"/>
    <n v="171.86"/>
    <n v="7"/>
    <n v="0.77777777777777779"/>
    <n v="506.88"/>
    <n v="3"/>
    <n v="9.4100000000000003E-2"/>
  </r>
  <r>
    <x v="23"/>
    <x v="4"/>
    <x v="6"/>
    <n v="103"/>
    <n v="15"/>
    <n v="359.16"/>
    <n v="1"/>
    <n v="6.6666666666666666E-2"/>
    <n v="2949.94"/>
    <n v="2"/>
    <n v="2.3599999999999999E-2"/>
  </r>
  <r>
    <x v="24"/>
    <x v="4"/>
    <x v="6"/>
    <n v="41"/>
    <n v="9"/>
    <n v="569.97"/>
    <n v="5"/>
    <n v="0.55555555555555558"/>
    <n v="259.86"/>
    <n v="1"/>
    <n v="6.3299999999999995E-2"/>
  </r>
  <r>
    <x v="25"/>
    <x v="4"/>
    <x v="6"/>
    <n v="38"/>
    <n v="14"/>
    <n v="359.22"/>
    <n v="8"/>
    <n v="0.5714285714285714"/>
    <n v="3846.34"/>
    <n v="3"/>
    <n v="8.5900000000000004E-2"/>
  </r>
  <r>
    <x v="0"/>
    <x v="4"/>
    <x v="7"/>
    <n v="71"/>
    <n v="15"/>
    <n v="297.05"/>
    <n v="6"/>
    <n v="0.4"/>
    <n v="4043.62"/>
    <n v="2"/>
    <n v="2.7200000000000002E-2"/>
  </r>
  <r>
    <x v="1"/>
    <x v="4"/>
    <x v="7"/>
    <n v="66"/>
    <n v="13"/>
    <n v="376.76"/>
    <n v="5"/>
    <n v="0.38461538461538464"/>
    <n v="3819.73"/>
    <n v="1"/>
    <n v="4.4900000000000002E-2"/>
  </r>
  <r>
    <x v="2"/>
    <x v="4"/>
    <x v="7"/>
    <n v="53"/>
    <n v="15"/>
    <n v="379.29"/>
    <n v="2"/>
    <n v="0.13333333333333333"/>
    <n v="3409.69"/>
    <n v="1"/>
    <n v="4.41E-2"/>
  </r>
  <r>
    <x v="3"/>
    <x v="4"/>
    <x v="7"/>
    <n v="18"/>
    <n v="8"/>
    <n v="82.91"/>
    <n v="3"/>
    <n v="0.375"/>
    <n v="1387.86"/>
    <n v="3"/>
    <n v="3.0099999999999998E-2"/>
  </r>
  <r>
    <x v="4"/>
    <x v="4"/>
    <x v="7"/>
    <n v="72"/>
    <n v="14"/>
    <n v="437.47"/>
    <n v="4"/>
    <n v="0.2857142857142857"/>
    <n v="958.02"/>
    <n v="2"/>
    <n v="3.9100000000000003E-2"/>
  </r>
  <r>
    <x v="5"/>
    <x v="4"/>
    <x v="7"/>
    <n v="64"/>
    <n v="7"/>
    <n v="554.20000000000005"/>
    <n v="2"/>
    <n v="0.2857142857142857"/>
    <n v="3620.9"/>
    <n v="1"/>
    <n v="1.23E-2"/>
  </r>
  <r>
    <x v="6"/>
    <x v="4"/>
    <x v="7"/>
    <n v="76"/>
    <n v="21"/>
    <n v="293.93"/>
    <n v="2"/>
    <n v="9.5238095238095233E-2"/>
    <n v="2531.4"/>
    <n v="3"/>
    <n v="0.1012"/>
  </r>
  <r>
    <x v="7"/>
    <x v="4"/>
    <x v="7"/>
    <n v="64"/>
    <n v="9"/>
    <n v="255.17"/>
    <n v="6"/>
    <n v="0.66666666666666663"/>
    <n v="4136.6899999999996"/>
    <n v="2"/>
    <n v="3.8199999999999998E-2"/>
  </r>
  <r>
    <x v="8"/>
    <x v="4"/>
    <x v="7"/>
    <n v="26"/>
    <n v="17"/>
    <n v="391.73"/>
    <n v="7"/>
    <n v="0.41176470588235292"/>
    <n v="1166.55"/>
    <n v="1"/>
    <n v="6.1200000000000004E-2"/>
  </r>
  <r>
    <x v="9"/>
    <x v="4"/>
    <x v="7"/>
    <n v="65"/>
    <n v="13"/>
    <n v="324.26"/>
    <n v="7"/>
    <n v="0.53846153846153844"/>
    <n v="1044.8599999999999"/>
    <n v="3"/>
    <n v="3.5200000000000002E-2"/>
  </r>
  <r>
    <x v="10"/>
    <x v="4"/>
    <x v="7"/>
    <n v="22"/>
    <n v="9"/>
    <n v="211.28"/>
    <n v="8"/>
    <n v="0.88888888888888884"/>
    <n v="772.77"/>
    <n v="2"/>
    <n v="8.0600000000000005E-2"/>
  </r>
  <r>
    <x v="11"/>
    <x v="4"/>
    <x v="7"/>
    <n v="30"/>
    <n v="6"/>
    <n v="549.26"/>
    <n v="2"/>
    <n v="0.33333333333333331"/>
    <n v="3868.36"/>
    <n v="1"/>
    <n v="4.2800000000000005E-2"/>
  </r>
  <r>
    <x v="12"/>
    <x v="4"/>
    <x v="7"/>
    <n v="83"/>
    <n v="15"/>
    <n v="601.05999999999995"/>
    <n v="3"/>
    <n v="0.2"/>
    <n v="350.62"/>
    <n v="3"/>
    <n v="3.6600000000000001E-2"/>
  </r>
  <r>
    <x v="13"/>
    <x v="4"/>
    <x v="7"/>
    <n v="35"/>
    <n v="6"/>
    <n v="192.19"/>
    <n v="1"/>
    <n v="0.16666666666666666"/>
    <n v="3963.32"/>
    <n v="2"/>
    <n v="3.9800000000000002E-2"/>
  </r>
  <r>
    <x v="14"/>
    <x v="4"/>
    <x v="7"/>
    <n v="73"/>
    <n v="8"/>
    <n v="191.76"/>
    <n v="3"/>
    <n v="0.375"/>
    <n v="675.97"/>
    <n v="3"/>
    <n v="3.0200000000000001E-2"/>
  </r>
  <r>
    <x v="15"/>
    <x v="4"/>
    <x v="7"/>
    <n v="104"/>
    <n v="4"/>
    <n v="169.75"/>
    <n v="3"/>
    <n v="0.75"/>
    <n v="1255.83"/>
    <n v="2"/>
    <n v="7.7600000000000002E-2"/>
  </r>
  <r>
    <x v="16"/>
    <x v="4"/>
    <x v="7"/>
    <n v="71"/>
    <n v="6"/>
    <n v="87.5"/>
    <n v="3"/>
    <n v="0.5"/>
    <n v="3666.64"/>
    <n v="1"/>
    <n v="9.1300000000000006E-2"/>
  </r>
  <r>
    <x v="17"/>
    <x v="4"/>
    <x v="7"/>
    <n v="22"/>
    <n v="14"/>
    <n v="477.3"/>
    <n v="6"/>
    <n v="0.42857142857142855"/>
    <n v="3790.05"/>
    <n v="3"/>
    <n v="3.32E-2"/>
  </r>
  <r>
    <x v="18"/>
    <x v="4"/>
    <x v="7"/>
    <n v="85"/>
    <n v="17"/>
    <n v="187.72"/>
    <n v="5"/>
    <n v="0.29411764705882354"/>
    <n v="443.22"/>
    <n v="2"/>
    <n v="0.1016"/>
  </r>
  <r>
    <x v="19"/>
    <x v="4"/>
    <x v="7"/>
    <n v="80"/>
    <n v="13"/>
    <n v="504.59"/>
    <n v="0"/>
    <n v="0"/>
    <n v="1265.47"/>
    <n v="1"/>
    <n v="1E-3"/>
  </r>
  <r>
    <x v="20"/>
    <x v="4"/>
    <x v="7"/>
    <n v="18"/>
    <n v="12"/>
    <n v="262.26"/>
    <n v="1"/>
    <n v="8.3333333333333329E-2"/>
    <n v="1573.7"/>
    <n v="3"/>
    <n v="5.1299999999999998E-2"/>
  </r>
  <r>
    <x v="21"/>
    <x v="4"/>
    <x v="7"/>
    <n v="106"/>
    <n v="6"/>
    <n v="572.16"/>
    <n v="2"/>
    <n v="0.33333333333333331"/>
    <n v="3398.37"/>
    <n v="2"/>
    <n v="2.87E-2"/>
  </r>
  <r>
    <x v="22"/>
    <x v="4"/>
    <x v="7"/>
    <n v="71"/>
    <n v="9"/>
    <n v="172.96"/>
    <n v="6"/>
    <n v="0.66666666666666663"/>
    <n v="464.49"/>
    <n v="1"/>
    <n v="8.2699999999999996E-2"/>
  </r>
  <r>
    <x v="23"/>
    <x v="4"/>
    <x v="7"/>
    <n v="115"/>
    <n v="17"/>
    <n v="422.48"/>
    <n v="0"/>
    <n v="0"/>
    <n v="2681.51"/>
    <n v="3"/>
    <n v="2.5000000000000001E-2"/>
  </r>
  <r>
    <x v="24"/>
    <x v="4"/>
    <x v="7"/>
    <n v="34"/>
    <n v="10"/>
    <n v="565.11"/>
    <n v="5"/>
    <n v="0.5"/>
    <n v="222.62"/>
    <n v="2"/>
    <n v="7.1800000000000003E-2"/>
  </r>
  <r>
    <x v="25"/>
    <x v="4"/>
    <x v="7"/>
    <n v="40"/>
    <n v="17"/>
    <n v="355.83"/>
    <n v="6"/>
    <n v="0.35294117647058826"/>
    <n v="4155.8599999999997"/>
    <n v="1"/>
    <n v="8.8000000000000009E-2"/>
  </r>
  <r>
    <x v="0"/>
    <x v="4"/>
    <x v="8"/>
    <n v="51"/>
    <n v="15"/>
    <n v="349.71"/>
    <n v="8"/>
    <n v="0.53333333333333333"/>
    <n v="4017.54"/>
    <n v="1"/>
    <n v="2.92E-2"/>
  </r>
  <r>
    <x v="1"/>
    <x v="4"/>
    <x v="8"/>
    <n v="79"/>
    <n v="9"/>
    <n v="358.67"/>
    <n v="5"/>
    <n v="0.55555555555555558"/>
    <n v="3658.64"/>
    <n v="3"/>
    <n v="3.7499999999999999E-2"/>
  </r>
  <r>
    <x v="2"/>
    <x v="4"/>
    <x v="8"/>
    <n v="57"/>
    <n v="18"/>
    <n v="403.41"/>
    <n v="3"/>
    <n v="0.16666666666666666"/>
    <n v="3767.63"/>
    <n v="2"/>
    <n v="4.24E-2"/>
  </r>
  <r>
    <x v="3"/>
    <x v="4"/>
    <x v="8"/>
    <n v="24"/>
    <n v="7"/>
    <n v="79.62"/>
    <n v="4"/>
    <n v="0.5714285714285714"/>
    <n v="1650.69"/>
    <n v="1"/>
    <n v="3.0600000000000002E-2"/>
  </r>
  <r>
    <x v="4"/>
    <x v="4"/>
    <x v="8"/>
    <n v="77"/>
    <n v="11"/>
    <n v="487.47"/>
    <n v="4"/>
    <n v="0.36363636363636365"/>
    <n v="990.89"/>
    <n v="3"/>
    <n v="4.3299999999999998E-2"/>
  </r>
  <r>
    <x v="5"/>
    <x v="4"/>
    <x v="8"/>
    <n v="69"/>
    <n v="7"/>
    <n v="549.77"/>
    <n v="2"/>
    <n v="0.2857142857142857"/>
    <n v="3916.58"/>
    <n v="2"/>
    <n v="1.2E-2"/>
  </r>
  <r>
    <x v="6"/>
    <x v="4"/>
    <x v="8"/>
    <n v="74"/>
    <n v="18"/>
    <n v="306.89999999999998"/>
    <n v="3"/>
    <n v="0.16666666666666666"/>
    <n v="2254.16"/>
    <n v="1"/>
    <n v="9.64E-2"/>
  </r>
  <r>
    <x v="7"/>
    <x v="4"/>
    <x v="8"/>
    <n v="57"/>
    <n v="7"/>
    <n v="262.27999999999997"/>
    <n v="7"/>
    <n v="1"/>
    <n v="3929.11"/>
    <n v="3"/>
    <n v="4.4299999999999999E-2"/>
  </r>
  <r>
    <x v="8"/>
    <x v="4"/>
    <x v="8"/>
    <n v="26"/>
    <n v="21"/>
    <n v="359.51"/>
    <n v="9"/>
    <n v="0.42857142857142855"/>
    <n v="1187.3699999999999"/>
    <n v="2"/>
    <n v="5.33E-2"/>
  </r>
  <r>
    <x v="9"/>
    <x v="4"/>
    <x v="8"/>
    <n v="76"/>
    <n v="18"/>
    <n v="339.1"/>
    <n v="8"/>
    <n v="0.44444444444444442"/>
    <n v="924.79"/>
    <n v="1"/>
    <n v="3.6000000000000004E-2"/>
  </r>
  <r>
    <x v="10"/>
    <x v="4"/>
    <x v="8"/>
    <n v="22"/>
    <n v="7"/>
    <n v="182.47"/>
    <n v="7"/>
    <n v="1"/>
    <n v="779.86"/>
    <n v="3"/>
    <n v="7.2700000000000001E-2"/>
  </r>
  <r>
    <x v="11"/>
    <x v="4"/>
    <x v="8"/>
    <n v="38"/>
    <n v="6"/>
    <n v="553.89"/>
    <n v="6"/>
    <n v="1"/>
    <n v="4013.79"/>
    <n v="2"/>
    <n v="4.3200000000000002E-2"/>
  </r>
  <r>
    <x v="12"/>
    <x v="4"/>
    <x v="8"/>
    <n v="87"/>
    <n v="21"/>
    <n v="633.13"/>
    <n v="2"/>
    <n v="9.5238095238095233E-2"/>
    <n v="336.22"/>
    <n v="1"/>
    <n v="3.4500000000000003E-2"/>
  </r>
  <r>
    <x v="13"/>
    <x v="4"/>
    <x v="8"/>
    <n v="37"/>
    <n v="8"/>
    <n v="215.09"/>
    <n v="2"/>
    <n v="0.25"/>
    <n v="3424.83"/>
    <n v="3"/>
    <n v="4.07E-2"/>
  </r>
  <r>
    <x v="14"/>
    <x v="4"/>
    <x v="8"/>
    <n v="71"/>
    <n v="8"/>
    <n v="199.19"/>
    <n v="2"/>
    <n v="0.25"/>
    <n v="635.24"/>
    <n v="2"/>
    <n v="2.9500000000000002E-2"/>
  </r>
  <r>
    <x v="15"/>
    <x v="4"/>
    <x v="8"/>
    <n v="81"/>
    <n v="5"/>
    <n v="153.5"/>
    <n v="2"/>
    <n v="0.4"/>
    <n v="1307.47"/>
    <n v="1"/>
    <n v="7.3300000000000004E-2"/>
  </r>
  <r>
    <x v="16"/>
    <x v="4"/>
    <x v="8"/>
    <n v="93"/>
    <n v="5"/>
    <n v="77.12"/>
    <n v="2"/>
    <n v="0.4"/>
    <n v="3483.91"/>
    <n v="3"/>
    <n v="9.9000000000000005E-2"/>
  </r>
  <r>
    <x v="17"/>
    <x v="4"/>
    <x v="8"/>
    <n v="21"/>
    <n v="17"/>
    <n v="533.41999999999996"/>
    <n v="7"/>
    <n v="0.41176470588235292"/>
    <n v="3895.32"/>
    <n v="2"/>
    <n v="3.4000000000000002E-2"/>
  </r>
  <r>
    <x v="18"/>
    <x v="4"/>
    <x v="8"/>
    <n v="86"/>
    <n v="17"/>
    <n v="160.88999999999999"/>
    <n v="4"/>
    <n v="0.23529411764705882"/>
    <n v="418.33"/>
    <n v="1"/>
    <n v="8.8100000000000012E-2"/>
  </r>
  <r>
    <x v="19"/>
    <x v="4"/>
    <x v="8"/>
    <n v="72"/>
    <n v="11"/>
    <n v="459.86"/>
    <n v="0"/>
    <n v="0"/>
    <n v="1269.5999999999999"/>
    <n v="3"/>
    <n v="1E-3"/>
  </r>
  <r>
    <x v="20"/>
    <x v="4"/>
    <x v="8"/>
    <n v="18"/>
    <n v="13"/>
    <n v="290.14"/>
    <n v="2"/>
    <n v="0.15384615384615385"/>
    <n v="1444.65"/>
    <n v="2"/>
    <n v="5.4699999999999999E-2"/>
  </r>
  <r>
    <x v="21"/>
    <x v="4"/>
    <x v="8"/>
    <n v="105"/>
    <n v="7"/>
    <n v="587.83000000000004"/>
    <n v="1"/>
    <n v="0.14285714285714285"/>
    <n v="3601.93"/>
    <n v="1"/>
    <n v="3.2199999999999999E-2"/>
  </r>
  <r>
    <x v="22"/>
    <x v="4"/>
    <x v="8"/>
    <n v="75"/>
    <n v="8"/>
    <n v="177.88"/>
    <n v="7"/>
    <n v="0.875"/>
    <n v="507.1"/>
    <n v="3"/>
    <n v="9.5199999999999993E-2"/>
  </r>
  <r>
    <x v="23"/>
    <x v="4"/>
    <x v="8"/>
    <n v="98"/>
    <n v="12"/>
    <n v="406.95"/>
    <n v="0"/>
    <n v="0"/>
    <n v="2978.09"/>
    <n v="2"/>
    <n v="2.3700000000000002E-2"/>
  </r>
  <r>
    <x v="24"/>
    <x v="4"/>
    <x v="8"/>
    <n v="33"/>
    <n v="13"/>
    <n v="517.1"/>
    <n v="4"/>
    <n v="0.30769230769230771"/>
    <n v="250.08"/>
    <n v="1"/>
    <n v="6.5299999999999997E-2"/>
  </r>
  <r>
    <x v="25"/>
    <x v="4"/>
    <x v="8"/>
    <n v="35"/>
    <n v="18"/>
    <n v="348.92"/>
    <n v="7"/>
    <n v="0.3888888888888889"/>
    <n v="4381.3900000000003"/>
    <n v="1"/>
    <n v="8.8599999999999998E-2"/>
  </r>
  <r>
    <x v="0"/>
    <x v="4"/>
    <x v="9"/>
    <n v="74"/>
    <n v="16"/>
    <n v="308.51"/>
    <n v="7"/>
    <n v="0.4375"/>
    <n v="4267.5"/>
    <n v="3"/>
    <n v="2.9399999999999999E-2"/>
  </r>
  <r>
    <x v="1"/>
    <x v="4"/>
    <x v="9"/>
    <n v="72"/>
    <n v="10"/>
    <n v="362.58"/>
    <n v="5"/>
    <n v="0.5"/>
    <n v="3679.65"/>
    <n v="2"/>
    <n v="3.8599999999999995E-2"/>
  </r>
  <r>
    <x v="2"/>
    <x v="4"/>
    <x v="9"/>
    <n v="58"/>
    <n v="13"/>
    <n v="368.06"/>
    <n v="2"/>
    <n v="0.15384615384615385"/>
    <n v="3626.22"/>
    <n v="1"/>
    <n v="4.1399999999999999E-2"/>
  </r>
  <r>
    <x v="3"/>
    <x v="4"/>
    <x v="9"/>
    <n v="22"/>
    <n v="7"/>
    <n v="74.680000000000007"/>
    <n v="4"/>
    <n v="0.5714285714285714"/>
    <n v="1543.72"/>
    <n v="3"/>
    <n v="2.75E-2"/>
  </r>
  <r>
    <x v="4"/>
    <x v="4"/>
    <x v="9"/>
    <n v="74"/>
    <n v="15"/>
    <n v="460.2"/>
    <n v="4"/>
    <n v="0.26666666666666666"/>
    <n v="980.1"/>
    <n v="2"/>
    <n v="3.7900000000000003E-2"/>
  </r>
  <r>
    <x v="5"/>
    <x v="4"/>
    <x v="9"/>
    <n v="62"/>
    <n v="8"/>
    <n v="540.79999999999995"/>
    <n v="3"/>
    <n v="0.375"/>
    <n v="3928.71"/>
    <n v="1"/>
    <n v="1.09E-2"/>
  </r>
  <r>
    <x v="6"/>
    <x v="4"/>
    <x v="9"/>
    <n v="70"/>
    <n v="21"/>
    <n v="319.62"/>
    <n v="3"/>
    <n v="0.14285714285714285"/>
    <n v="2486.2199999999998"/>
    <n v="3"/>
    <n v="0.1036"/>
  </r>
  <r>
    <x v="7"/>
    <x v="4"/>
    <x v="9"/>
    <n v="51"/>
    <n v="7"/>
    <n v="248.37"/>
    <n v="7"/>
    <n v="1"/>
    <n v="3946.23"/>
    <n v="2"/>
    <n v="4.2699999999999995E-2"/>
  </r>
  <r>
    <x v="8"/>
    <x v="4"/>
    <x v="9"/>
    <n v="32"/>
    <n v="16"/>
    <n v="393.04"/>
    <n v="7"/>
    <n v="0.4375"/>
    <n v="1286.18"/>
    <n v="1"/>
    <n v="5.6399999999999999E-2"/>
  </r>
  <r>
    <x v="9"/>
    <x v="4"/>
    <x v="9"/>
    <n v="71"/>
    <n v="16"/>
    <n v="323.56"/>
    <n v="9"/>
    <n v="0.5625"/>
    <n v="957.05"/>
    <n v="3"/>
    <n v="3.1099999999999999E-2"/>
  </r>
  <r>
    <x v="10"/>
    <x v="4"/>
    <x v="9"/>
    <n v="17"/>
    <n v="7"/>
    <n v="205.3"/>
    <n v="4"/>
    <n v="0.5714285714285714"/>
    <n v="762.2"/>
    <n v="2"/>
    <n v="7.2300000000000003E-2"/>
  </r>
  <r>
    <x v="11"/>
    <x v="4"/>
    <x v="9"/>
    <n v="35"/>
    <n v="6"/>
    <n v="544.78"/>
    <n v="5"/>
    <n v="0.83333333333333337"/>
    <n v="3420.99"/>
    <n v="3"/>
    <n v="4.0500000000000001E-2"/>
  </r>
  <r>
    <x v="12"/>
    <x v="4"/>
    <x v="9"/>
    <n v="73"/>
    <n v="17"/>
    <n v="557.29999999999995"/>
    <n v="3"/>
    <n v="0.17647058823529413"/>
    <n v="376.66"/>
    <n v="2"/>
    <n v="3.4700000000000002E-2"/>
  </r>
  <r>
    <x v="13"/>
    <x v="4"/>
    <x v="9"/>
    <n v="27"/>
    <n v="6"/>
    <n v="202.37"/>
    <n v="1"/>
    <n v="0.16666666666666666"/>
    <n v="3781.81"/>
    <n v="1"/>
    <n v="4.3099999999999999E-2"/>
  </r>
  <r>
    <x v="14"/>
    <x v="4"/>
    <x v="9"/>
    <n v="49"/>
    <n v="7"/>
    <n v="204.14"/>
    <n v="3"/>
    <n v="0.42857142857142855"/>
    <n v="636.65"/>
    <n v="3"/>
    <n v="2.9500000000000002E-2"/>
  </r>
  <r>
    <x v="15"/>
    <x v="4"/>
    <x v="9"/>
    <n v="106"/>
    <n v="5"/>
    <n v="163.38"/>
    <n v="1"/>
    <n v="0.2"/>
    <n v="1148.1400000000001"/>
    <n v="2"/>
    <n v="7.8799999999999995E-2"/>
  </r>
  <r>
    <x v="16"/>
    <x v="4"/>
    <x v="9"/>
    <n v="102"/>
    <n v="5"/>
    <n v="86.37"/>
    <n v="5"/>
    <n v="1"/>
    <n v="3851.19"/>
    <n v="1"/>
    <n v="8.3800000000000013E-2"/>
  </r>
  <r>
    <x v="17"/>
    <x v="4"/>
    <x v="9"/>
    <n v="21"/>
    <n v="14"/>
    <n v="537.36"/>
    <n v="7"/>
    <n v="0.5"/>
    <n v="3767.78"/>
    <n v="3"/>
    <n v="3.44E-2"/>
  </r>
  <r>
    <x v="18"/>
    <x v="4"/>
    <x v="9"/>
    <n v="104"/>
    <n v="20"/>
    <n v="181.9"/>
    <n v="4"/>
    <n v="0.2"/>
    <n v="400.92"/>
    <n v="2"/>
    <n v="0.10009999999999999"/>
  </r>
  <r>
    <x v="19"/>
    <x v="4"/>
    <x v="9"/>
    <n v="64"/>
    <n v="15"/>
    <n v="514.38"/>
    <n v="0"/>
    <n v="0"/>
    <n v="1220.5899999999999"/>
    <n v="1"/>
    <n v="1E-3"/>
  </r>
  <r>
    <x v="20"/>
    <x v="4"/>
    <x v="9"/>
    <n v="21"/>
    <n v="15"/>
    <n v="309.75"/>
    <n v="2"/>
    <n v="0.13333333333333333"/>
    <n v="1649.09"/>
    <n v="3"/>
    <n v="5.0999999999999997E-2"/>
  </r>
  <r>
    <x v="21"/>
    <x v="4"/>
    <x v="9"/>
    <n v="108"/>
    <n v="6"/>
    <n v="515.27"/>
    <n v="2"/>
    <n v="0.33333333333333331"/>
    <n v="3183.87"/>
    <n v="2"/>
    <n v="3.04E-2"/>
  </r>
  <r>
    <x v="22"/>
    <x v="4"/>
    <x v="9"/>
    <n v="63"/>
    <n v="10"/>
    <n v="194.21"/>
    <n v="7"/>
    <n v="0.7"/>
    <n v="508.84"/>
    <n v="1"/>
    <n v="9.3900000000000011E-2"/>
  </r>
  <r>
    <x v="23"/>
    <x v="4"/>
    <x v="9"/>
    <n v="85"/>
    <n v="15"/>
    <n v="400.65"/>
    <n v="0"/>
    <n v="0"/>
    <n v="2890.62"/>
    <n v="1"/>
    <n v="2.4700000000000003E-2"/>
  </r>
  <r>
    <x v="24"/>
    <x v="4"/>
    <x v="9"/>
    <n v="36"/>
    <n v="10"/>
    <n v="535.44000000000005"/>
    <n v="4"/>
    <n v="0.4"/>
    <n v="241.26"/>
    <n v="3"/>
    <n v="6.3E-2"/>
  </r>
  <r>
    <x v="25"/>
    <x v="4"/>
    <x v="9"/>
    <n v="34"/>
    <n v="12"/>
    <n v="356.4"/>
    <n v="8"/>
    <n v="0.66666666666666663"/>
    <n v="4111.76"/>
    <n v="2"/>
    <n v="8.4700000000000011E-2"/>
  </r>
  <r>
    <x v="0"/>
    <x v="4"/>
    <x v="10"/>
    <n v="67"/>
    <n v="12"/>
    <n v="352.6"/>
    <n v="6"/>
    <n v="0.5"/>
    <n v="4402.41"/>
    <n v="1"/>
    <n v="2.8999999999999998E-2"/>
  </r>
  <r>
    <x v="1"/>
    <x v="4"/>
    <x v="10"/>
    <n v="76"/>
    <n v="14"/>
    <n v="351.42"/>
    <n v="4"/>
    <n v="0.2857142857142857"/>
    <n v="3917.99"/>
    <n v="3"/>
    <n v="4.2999999999999997E-2"/>
  </r>
  <r>
    <x v="2"/>
    <x v="4"/>
    <x v="10"/>
    <n v="53"/>
    <n v="17"/>
    <n v="404.22"/>
    <n v="2"/>
    <n v="0.11764705882352941"/>
    <n v="3669.4"/>
    <n v="2"/>
    <n v="4.4500000000000005E-2"/>
  </r>
  <r>
    <x v="3"/>
    <x v="4"/>
    <x v="10"/>
    <n v="22"/>
    <n v="6"/>
    <n v="80.02"/>
    <n v="3"/>
    <n v="0.5"/>
    <n v="1476.69"/>
    <n v="1"/>
    <n v="2.9300000000000003E-2"/>
  </r>
  <r>
    <x v="4"/>
    <x v="4"/>
    <x v="10"/>
    <n v="77"/>
    <n v="16"/>
    <n v="502.41"/>
    <n v="5"/>
    <n v="0.3125"/>
    <n v="1093.75"/>
    <n v="3"/>
    <n v="3.8399999999999997E-2"/>
  </r>
  <r>
    <x v="5"/>
    <x v="4"/>
    <x v="10"/>
    <n v="52"/>
    <n v="6"/>
    <n v="492.23"/>
    <n v="2"/>
    <n v="0.33333333333333331"/>
    <n v="3775.84"/>
    <n v="2"/>
    <n v="1.1000000000000001E-2"/>
  </r>
  <r>
    <x v="6"/>
    <x v="4"/>
    <x v="10"/>
    <n v="74"/>
    <n v="17"/>
    <n v="284.91000000000003"/>
    <n v="3"/>
    <n v="0.17647058823529413"/>
    <n v="2481.64"/>
    <n v="1"/>
    <n v="9.0500000000000011E-2"/>
  </r>
  <r>
    <x v="7"/>
    <x v="4"/>
    <x v="10"/>
    <n v="50"/>
    <n v="9"/>
    <n v="237.95"/>
    <n v="5"/>
    <n v="0.55555555555555558"/>
    <n v="3982.36"/>
    <n v="3"/>
    <n v="4.4299999999999999E-2"/>
  </r>
  <r>
    <x v="8"/>
    <x v="4"/>
    <x v="10"/>
    <n v="30"/>
    <n v="21"/>
    <n v="372.34"/>
    <n v="7"/>
    <n v="0.33333333333333331"/>
    <n v="1172.04"/>
    <n v="2"/>
    <n v="5.4800000000000001E-2"/>
  </r>
  <r>
    <x v="9"/>
    <x v="4"/>
    <x v="10"/>
    <n v="74"/>
    <n v="13"/>
    <n v="324.77999999999997"/>
    <n v="7"/>
    <n v="0.53846153846153844"/>
    <n v="995.6"/>
    <n v="1"/>
    <n v="3.0699999999999998E-2"/>
  </r>
  <r>
    <x v="10"/>
    <x v="4"/>
    <x v="10"/>
    <n v="23"/>
    <n v="7"/>
    <n v="190.12"/>
    <n v="4"/>
    <n v="0.5714285714285714"/>
    <n v="788.65"/>
    <n v="3"/>
    <n v="7.2000000000000008E-2"/>
  </r>
  <r>
    <x v="11"/>
    <x v="4"/>
    <x v="10"/>
    <n v="32"/>
    <n v="7"/>
    <n v="563.41999999999996"/>
    <n v="6"/>
    <n v="0.8571428571428571"/>
    <n v="3543.71"/>
    <n v="2"/>
    <n v="4.3799999999999999E-2"/>
  </r>
  <r>
    <x v="12"/>
    <x v="4"/>
    <x v="10"/>
    <n v="59"/>
    <n v="21"/>
    <n v="633.37"/>
    <n v="2"/>
    <n v="9.5238095238095233E-2"/>
    <n v="358.29"/>
    <n v="1"/>
    <n v="3.27E-2"/>
  </r>
  <r>
    <x v="13"/>
    <x v="4"/>
    <x v="10"/>
    <n v="30"/>
    <n v="6"/>
    <n v="209.84"/>
    <n v="1"/>
    <n v="0.16666666666666666"/>
    <n v="3534.1"/>
    <n v="3"/>
    <n v="4.2000000000000003E-2"/>
  </r>
  <r>
    <x v="14"/>
    <x v="4"/>
    <x v="10"/>
    <n v="65"/>
    <n v="9"/>
    <n v="220.46"/>
    <n v="3"/>
    <n v="0.33333333333333331"/>
    <n v="707.75"/>
    <n v="2"/>
    <n v="2.76E-2"/>
  </r>
  <r>
    <x v="15"/>
    <x v="4"/>
    <x v="10"/>
    <n v="100"/>
    <n v="6"/>
    <n v="153.34"/>
    <n v="3"/>
    <n v="0.5"/>
    <n v="1248.54"/>
    <n v="1"/>
    <n v="7.9000000000000001E-2"/>
  </r>
  <r>
    <x v="16"/>
    <x v="4"/>
    <x v="10"/>
    <n v="81"/>
    <n v="7"/>
    <n v="79.62"/>
    <n v="7"/>
    <n v="1"/>
    <n v="3892.76"/>
    <n v="3"/>
    <n v="9.74E-2"/>
  </r>
  <r>
    <x v="17"/>
    <x v="4"/>
    <x v="10"/>
    <n v="26"/>
    <n v="17"/>
    <n v="504.54"/>
    <n v="8"/>
    <n v="0.47058823529411764"/>
    <n v="3359.77"/>
    <n v="2"/>
    <n v="3.2000000000000001E-2"/>
  </r>
  <r>
    <x v="18"/>
    <x v="4"/>
    <x v="10"/>
    <n v="96"/>
    <n v="16"/>
    <n v="161.69"/>
    <n v="5"/>
    <n v="0.3125"/>
    <n v="392.05"/>
    <n v="1"/>
    <n v="9.5700000000000007E-2"/>
  </r>
  <r>
    <x v="19"/>
    <x v="4"/>
    <x v="10"/>
    <n v="72"/>
    <n v="12"/>
    <n v="474.28"/>
    <n v="1"/>
    <n v="8.3333333333333329E-2"/>
    <n v="1097.5999999999999"/>
    <n v="3"/>
    <n v="1E-3"/>
  </r>
  <r>
    <x v="20"/>
    <x v="4"/>
    <x v="10"/>
    <n v="18"/>
    <n v="15"/>
    <n v="268.94"/>
    <n v="1"/>
    <n v="6.6666666666666666E-2"/>
    <n v="1469.71"/>
    <n v="2"/>
    <n v="5.0900000000000001E-2"/>
  </r>
  <r>
    <x v="21"/>
    <x v="4"/>
    <x v="10"/>
    <n v="87"/>
    <n v="5"/>
    <n v="601.28"/>
    <n v="2"/>
    <n v="0.4"/>
    <n v="3491.19"/>
    <n v="1"/>
    <n v="2.9700000000000001E-2"/>
  </r>
  <r>
    <x v="22"/>
    <x v="4"/>
    <x v="10"/>
    <n v="73"/>
    <n v="8"/>
    <n v="182.48"/>
    <n v="8"/>
    <n v="1"/>
    <n v="548.46"/>
    <n v="1"/>
    <n v="8.8200000000000001E-2"/>
  </r>
  <r>
    <x v="23"/>
    <x v="4"/>
    <x v="10"/>
    <n v="97"/>
    <n v="14"/>
    <n v="368.16"/>
    <n v="0"/>
    <n v="0"/>
    <n v="3020.19"/>
    <n v="3"/>
    <n v="2.5099999999999997E-2"/>
  </r>
  <r>
    <x v="24"/>
    <x v="4"/>
    <x v="10"/>
    <n v="28"/>
    <n v="12"/>
    <n v="565.51"/>
    <n v="4"/>
    <n v="0.33333333333333331"/>
    <n v="231.16"/>
    <n v="2"/>
    <n v="6.2699999999999992E-2"/>
  </r>
  <r>
    <x v="25"/>
    <x v="4"/>
    <x v="10"/>
    <n v="41"/>
    <n v="13"/>
    <n v="370.44"/>
    <n v="9"/>
    <n v="0.69230769230769229"/>
    <n v="4484.96"/>
    <n v="1"/>
    <n v="8.5199999999999998E-2"/>
  </r>
  <r>
    <x v="0"/>
    <x v="4"/>
    <x v="11"/>
    <n v="61"/>
    <n v="13"/>
    <n v="356.61"/>
    <n v="7"/>
    <n v="0.53846153846153844"/>
    <n v="4099.6400000000003"/>
    <n v="3"/>
    <n v="2.9600000000000001E-2"/>
  </r>
  <r>
    <x v="1"/>
    <x v="4"/>
    <x v="11"/>
    <n v="80"/>
    <n v="13"/>
    <n v="369.46"/>
    <n v="4"/>
    <n v="0.30769230769230771"/>
    <n v="3996.04"/>
    <n v="2"/>
    <n v="3.7499999999999999E-2"/>
  </r>
  <r>
    <x v="2"/>
    <x v="4"/>
    <x v="11"/>
    <n v="51"/>
    <n v="14"/>
    <n v="419.93"/>
    <n v="2"/>
    <n v="0.14285714285714285"/>
    <n v="3543.6"/>
    <n v="1"/>
    <n v="4.6300000000000001E-2"/>
  </r>
  <r>
    <x v="3"/>
    <x v="4"/>
    <x v="11"/>
    <n v="20"/>
    <n v="5"/>
    <n v="71.41"/>
    <n v="3"/>
    <n v="0.6"/>
    <n v="1527.27"/>
    <n v="3"/>
    <n v="2.7000000000000003E-2"/>
  </r>
  <r>
    <x v="4"/>
    <x v="4"/>
    <x v="11"/>
    <n v="101"/>
    <n v="14"/>
    <n v="503.93"/>
    <n v="5"/>
    <n v="0.35714285714285715"/>
    <n v="1116.6099999999999"/>
    <n v="2"/>
    <n v="3.7000000000000005E-2"/>
  </r>
  <r>
    <x v="5"/>
    <x v="4"/>
    <x v="11"/>
    <n v="70"/>
    <n v="6"/>
    <n v="488.97"/>
    <n v="3"/>
    <n v="0.5"/>
    <n v="3767.09"/>
    <n v="1"/>
    <n v="1.0800000000000001E-2"/>
  </r>
  <r>
    <x v="6"/>
    <x v="4"/>
    <x v="11"/>
    <n v="84"/>
    <n v="19"/>
    <n v="301.2"/>
    <n v="2"/>
    <n v="0.10526315789473684"/>
    <n v="2608.4699999999998"/>
    <n v="3"/>
    <n v="0.1032"/>
  </r>
  <r>
    <x v="7"/>
    <x v="4"/>
    <x v="11"/>
    <n v="50"/>
    <n v="6"/>
    <n v="219.19"/>
    <n v="4"/>
    <n v="0.66666666666666663"/>
    <n v="3836.95"/>
    <n v="2"/>
    <n v="3.8699999999999998E-2"/>
  </r>
  <r>
    <x v="8"/>
    <x v="4"/>
    <x v="11"/>
    <n v="28"/>
    <n v="19"/>
    <n v="352.06"/>
    <n v="9"/>
    <n v="0.47368421052631576"/>
    <n v="1107.51"/>
    <n v="3"/>
    <n v="5.5E-2"/>
  </r>
  <r>
    <x v="9"/>
    <x v="4"/>
    <x v="11"/>
    <n v="69"/>
    <n v="16"/>
    <n v="337.7"/>
    <n v="9"/>
    <n v="0.5625"/>
    <n v="947.47"/>
    <n v="2"/>
    <n v="3.56E-2"/>
  </r>
  <r>
    <x v="10"/>
    <x v="4"/>
    <x v="11"/>
    <n v="18"/>
    <n v="6"/>
    <n v="212.39"/>
    <n v="3"/>
    <n v="0.5"/>
    <n v="730.81"/>
    <n v="1"/>
    <n v="8.6699999999999999E-2"/>
  </r>
  <r>
    <x v="11"/>
    <x v="4"/>
    <x v="11"/>
    <n v="40"/>
    <n v="7"/>
    <n v="486.93"/>
    <n v="7"/>
    <n v="1"/>
    <n v="3643.63"/>
    <n v="3"/>
    <n v="4.0199999999999993E-2"/>
  </r>
  <r>
    <x v="12"/>
    <x v="4"/>
    <x v="11"/>
    <n v="77"/>
    <n v="16"/>
    <n v="539.26"/>
    <n v="3"/>
    <n v="0.1875"/>
    <n v="379.83"/>
    <n v="2"/>
    <n v="3.7999999999999999E-2"/>
  </r>
  <r>
    <x v="13"/>
    <x v="4"/>
    <x v="11"/>
    <n v="31"/>
    <n v="6"/>
    <n v="191.66"/>
    <n v="2"/>
    <n v="0.33333333333333331"/>
    <n v="3753.06"/>
    <n v="1"/>
    <n v="3.8300000000000001E-2"/>
  </r>
  <r>
    <x v="14"/>
    <x v="4"/>
    <x v="11"/>
    <n v="57"/>
    <n v="7"/>
    <n v="190.08"/>
    <n v="2"/>
    <n v="0.2857142857142857"/>
    <n v="649.97"/>
    <n v="3"/>
    <n v="2.8799999999999999E-2"/>
  </r>
  <r>
    <x v="15"/>
    <x v="4"/>
    <x v="11"/>
    <n v="88"/>
    <n v="5"/>
    <n v="168.89"/>
    <n v="3"/>
    <n v="0.6"/>
    <n v="1153.93"/>
    <n v="2"/>
    <n v="8.2500000000000004E-2"/>
  </r>
  <r>
    <x v="16"/>
    <x v="4"/>
    <x v="11"/>
    <n v="74"/>
    <n v="6"/>
    <n v="87.83"/>
    <n v="6"/>
    <n v="1"/>
    <n v="3741.27"/>
    <n v="1"/>
    <n v="9.9700000000000011E-2"/>
  </r>
  <r>
    <x v="17"/>
    <x v="4"/>
    <x v="11"/>
    <n v="26"/>
    <n v="13"/>
    <n v="543.15"/>
    <n v="6"/>
    <n v="0.46153846153846156"/>
    <n v="3793.56"/>
    <n v="3"/>
    <n v="3.56E-2"/>
  </r>
  <r>
    <x v="18"/>
    <x v="4"/>
    <x v="11"/>
    <n v="99"/>
    <n v="15"/>
    <n v="181.12"/>
    <n v="5"/>
    <n v="0.33333333333333331"/>
    <n v="454.09"/>
    <n v="2"/>
    <n v="9.3599999999999989E-2"/>
  </r>
  <r>
    <x v="19"/>
    <x v="4"/>
    <x v="11"/>
    <n v="74"/>
    <n v="14"/>
    <n v="508.85"/>
    <n v="1"/>
    <n v="7.1428571428571425E-2"/>
    <n v="1182.6300000000001"/>
    <n v="1"/>
    <n v="8.9999999999999998E-4"/>
  </r>
  <r>
    <x v="20"/>
    <x v="4"/>
    <x v="11"/>
    <n v="21"/>
    <n v="17"/>
    <n v="297.83999999999997"/>
    <n v="1"/>
    <n v="5.8823529411764705E-2"/>
    <n v="1553.7"/>
    <n v="1"/>
    <n v="5.0700000000000002E-2"/>
  </r>
  <r>
    <x v="21"/>
    <x v="4"/>
    <x v="11"/>
    <n v="94"/>
    <n v="6"/>
    <n v="537.26"/>
    <n v="1"/>
    <n v="0.16666666666666666"/>
    <n v="3665.55"/>
    <n v="3"/>
    <n v="3.0800000000000001E-2"/>
  </r>
  <r>
    <x v="22"/>
    <x v="4"/>
    <x v="11"/>
    <n v="83"/>
    <n v="9"/>
    <n v="188.49"/>
    <n v="7"/>
    <n v="0.77777777777777779"/>
    <n v="545.09"/>
    <n v="2"/>
    <n v="8.5600000000000009E-2"/>
  </r>
  <r>
    <x v="23"/>
    <x v="4"/>
    <x v="11"/>
    <n v="84"/>
    <n v="14"/>
    <n v="370.36"/>
    <n v="0"/>
    <n v="0"/>
    <n v="2605.02"/>
    <n v="1"/>
    <n v="2.5499999999999998E-2"/>
  </r>
  <r>
    <x v="24"/>
    <x v="4"/>
    <x v="11"/>
    <n v="32"/>
    <n v="10"/>
    <n v="500.83"/>
    <n v="4"/>
    <n v="0.4"/>
    <n v="239.13"/>
    <n v="3"/>
    <n v="6.1900000000000004E-2"/>
  </r>
  <r>
    <x v="25"/>
    <x v="4"/>
    <x v="11"/>
    <n v="39"/>
    <n v="15"/>
    <n v="319.08999999999997"/>
    <n v="7"/>
    <n v="0.46666666666666667"/>
    <n v="4573.5"/>
    <n v="2"/>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1D99B3-CE6C-4FFA-90F9-42D6AA42168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s">
  <location ref="E8:I35" firstHeaderRow="0" firstDataRow="1" firstDataCol="1"/>
  <pivotFields count="13">
    <pivotField axis="axisRow" showAll="0" sortType="descending">
      <items count="27">
        <item x="18"/>
        <item x="19"/>
        <item x="6"/>
        <item x="11"/>
        <item x="12"/>
        <item x="8"/>
        <item x="25"/>
        <item x="14"/>
        <item x="4"/>
        <item x="16"/>
        <item x="22"/>
        <item x="10"/>
        <item x="3"/>
        <item x="13"/>
        <item x="20"/>
        <item x="0"/>
        <item x="21"/>
        <item x="2"/>
        <item x="24"/>
        <item x="17"/>
        <item x="23"/>
        <item x="9"/>
        <item x="7"/>
        <item x="5"/>
        <item x="1"/>
        <item x="15"/>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3" baseField="0" baseItem="0"/>
    <dataField name=" Calls Reached" fld="4" baseField="0" baseItem="0"/>
    <dataField name=" Deals Closed" fld="6" baseField="0" baseItem="0"/>
    <dataField name=" Deal Value ($)" fld="8" baseField="0" baseItem="0"/>
  </dataFields>
  <formats count="2">
    <format dxfId="1081">
      <pivotArea collapsedLevelsAreSubtotals="1" fieldPosition="0">
        <references count="2">
          <reference field="4294967294" count="1" selected="0">
            <x v="0"/>
          </reference>
          <reference field="0" count="0"/>
        </references>
      </pivotArea>
    </format>
    <format dxfId="1080">
      <pivotArea collapsedLevelsAreSubtotals="1" fieldPosition="0">
        <references count="2">
          <reference field="4294967294" count="1" selected="0">
            <x v="1"/>
          </reference>
          <reference field="0" count="1">
            <x v="0"/>
          </reference>
        </references>
      </pivotArea>
    </format>
  </formats>
  <conditionalFormats count="4">
    <conditionalFormat priority="5">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423545-4570-4C7A-B731-541A777B24A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8"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Average of Service Level" fld="9" subtotal="average" baseField="1" baseItem="0" numFmtId="166"/>
  </dataFields>
  <formats count="3">
    <format dxfId="1074">
      <pivotArea outline="0" collapsedLevelsAreSubtotals="1" fieldPosition="0"/>
    </format>
    <format dxfId="1073">
      <pivotArea dataOnly="0" labelOnly="1" fieldPosition="0">
        <references count="1">
          <reference field="1" count="0"/>
        </references>
      </pivotArea>
    </format>
    <format dxfId="107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29F83F-6B79-49F0-8ACA-CC332BA16E43}" name="PivotTable1"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3" baseField="0" baseItem="0"/>
    <dataField name="Sum of Calls Reached" fld="4" baseField="0" baseItem="0"/>
    <dataField name="Sum of Deals Closed" fld="6" baseField="0" baseItem="0"/>
    <dataField name="Sum of Deal Value ($)" fld="8" baseField="0" baseItem="0"/>
  </dataFields>
  <formats count="2">
    <format dxfId="1076">
      <pivotArea collapsedLevelsAreSubtotals="1" fieldPosition="0">
        <references count="1">
          <reference field="4294967294" count="1">
            <x v="3"/>
          </reference>
        </references>
      </pivotArea>
    </format>
    <format dxfId="10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CC7FCB-490C-4BB9-BD75-4DE93D4780B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2:C35"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Deal Value ($)" fld="8" baseField="0" baseItem="0"/>
  </dataFields>
  <formats count="3">
    <format dxfId="1079">
      <pivotArea outline="0" collapsedLevelsAreSubtotals="1" fieldPosition="0"/>
    </format>
    <format dxfId="1078">
      <pivotArea dataOnly="0" labelOnly="1" grandRow="1" outline="0" fieldPosition="0"/>
    </format>
    <format dxfId="1077">
      <pivotArea collapsedLevelsAreSubtotals="1" fieldPosition="0">
        <references count="1">
          <reference field="12" count="12">
            <x v="1"/>
            <x v="2"/>
            <x v="3"/>
            <x v="4"/>
            <x v="5"/>
            <x v="6"/>
            <x v="7"/>
            <x v="8"/>
            <x v="9"/>
            <x v="10"/>
            <x v="11"/>
            <x v="12"/>
          </reference>
        </references>
      </pivotArea>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10A4C0-FB94-4E40-A125-BF68266AB6D2}"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8:H35" firstHeaderRow="0" firstDataRow="1" firstDataCol="1"/>
  <pivotFields count="13">
    <pivotField axis="axisRow" compact="0" outline="0"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compact="0" outline="0" showAll="0">
      <items count="6">
        <item x="4"/>
        <item x="3"/>
        <item x="0"/>
        <item x="1"/>
        <item x="2"/>
        <item t="default"/>
      </items>
    </pivotField>
    <pivotField compact="0" numFmtId="14" outline="0" showAll="0">
      <items count="13">
        <item x="0"/>
        <item x="1"/>
        <item x="2"/>
        <item x="3"/>
        <item x="4"/>
        <item x="5"/>
        <item x="6"/>
        <item x="7"/>
        <item x="8"/>
        <item x="9"/>
        <item x="10"/>
        <item x="11"/>
        <item t="default"/>
      </items>
    </pivotField>
    <pivotField dataField="1" compact="0" outline="0" showAll="0"/>
    <pivotField dataField="1" compact="0" outline="0" showAll="0"/>
    <pivotField compact="0" outline="0" showAll="0"/>
    <pivotField dataField="1" compact="0" outline="0" showAll="0"/>
    <pivotField compact="0" numFmtId="9" outline="0" showAll="0"/>
    <pivotField dataField="1" compact="0" outline="0" showAll="0"/>
    <pivotField compact="0" outline="0" showAll="0"/>
    <pivotField compact="0" numFmtId="9" outline="0" showAl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3" baseField="0" baseItem="0"/>
    <dataField name=" Calls Reached" fld="4" baseField="0" baseItem="0"/>
    <dataField name=" Deals Closed" fld="6" baseField="0" baseItem="0"/>
    <dataField name=" Deal Value ($)" fld="8" baseField="0" baseItem="0"/>
  </dataFields>
  <formats count="4">
    <format dxfId="1040">
      <pivotArea outline="0" collapsedLevelsAreSubtotals="1" fieldPosition="0"/>
    </format>
    <format dxfId="1039">
      <pivotArea outline="0" fieldPosition="0">
        <references count="1">
          <reference field="0" count="1" selected="0">
            <x v="8"/>
          </reference>
        </references>
      </pivotArea>
    </format>
    <format dxfId="1038">
      <pivotArea dataOnly="0" labelOnly="1" outline="0" fieldPosition="0">
        <references count="1">
          <reference field="0" count="1">
            <x v="8"/>
          </reference>
        </references>
      </pivotArea>
    </format>
    <format dxfId="474">
      <pivotArea outline="0" fieldPosition="0">
        <references count="1">
          <reference field="4294967294" count="3" selected="0">
            <x v="0"/>
            <x v="1"/>
            <x v="2"/>
          </reference>
        </references>
      </pivotArea>
    </format>
  </formats>
  <conditionalFormats count="4">
    <conditionalFormat priority="4">
      <pivotAreas count="1">
        <pivotArea type="data" outline="0" collapsedLevelsAreSubtotals="1" fieldPosition="0">
          <references count="2">
            <reference field="4294967294" count="1" selected="0">
              <x v="0"/>
            </reference>
            <reference field="0" count="26" selected="0">
              <x v="0"/>
              <x v="1"/>
              <x v="2"/>
              <x v="3"/>
              <x v="4"/>
              <x v="5"/>
              <x v="6"/>
              <x v="7"/>
              <x v="8"/>
              <x v="9"/>
              <x v="10"/>
              <x v="11"/>
              <x v="12"/>
              <x v="13"/>
              <x v="14"/>
              <x v="15"/>
              <x v="16"/>
              <x v="17"/>
              <x v="18"/>
              <x v="19"/>
              <x v="20"/>
              <x v="21"/>
              <x v="22"/>
              <x v="23"/>
              <x v="24"/>
              <x v="25"/>
            </reference>
          </references>
        </pivotArea>
      </pivotAreas>
    </conditionalFormat>
    <conditionalFormat priority="3">
      <pivotAreas count="1">
        <pivotArea type="data" outline="0" collapsedLevelsAreSubtotals="1" fieldPosition="0">
          <references count="2">
            <reference field="4294967294" count="1" selected="0">
              <x v="1"/>
            </reference>
            <reference field="0" count="26" selected="0">
              <x v="0"/>
              <x v="1"/>
              <x v="2"/>
              <x v="3"/>
              <x v="4"/>
              <x v="5"/>
              <x v="6"/>
              <x v="7"/>
              <x v="8"/>
              <x v="9"/>
              <x v="10"/>
              <x v="11"/>
              <x v="12"/>
              <x v="13"/>
              <x v="14"/>
              <x v="15"/>
              <x v="16"/>
              <x v="17"/>
              <x v="18"/>
              <x v="19"/>
              <x v="20"/>
              <x v="21"/>
              <x v="22"/>
              <x v="23"/>
              <x v="24"/>
              <x v="25"/>
            </reference>
          </references>
        </pivotArea>
      </pivotAreas>
    </conditionalFormat>
    <conditionalFormat priority="2">
      <pivotAreas count="1">
        <pivotArea type="data" outline="0" collapsedLevelsAreSubtotals="1" fieldPosition="0">
          <references count="2">
            <reference field="4294967294" count="1" selected="0">
              <x v="2"/>
            </reference>
            <reference field="0" count="26" selected="0">
              <x v="0"/>
              <x v="1"/>
              <x v="2"/>
              <x v="3"/>
              <x v="4"/>
              <x v="5"/>
              <x v="6"/>
              <x v="7"/>
              <x v="8"/>
              <x v="9"/>
              <x v="10"/>
              <x v="11"/>
              <x v="12"/>
              <x v="13"/>
              <x v="14"/>
              <x v="15"/>
              <x v="16"/>
              <x v="17"/>
              <x v="18"/>
              <x v="19"/>
              <x v="20"/>
              <x v="21"/>
              <x v="22"/>
              <x v="23"/>
              <x v="24"/>
              <x v="25"/>
            </reference>
          </references>
        </pivotArea>
      </pivotAreas>
    </conditionalFormat>
    <conditionalFormat priority="1">
      <pivotAreas count="1">
        <pivotArea type="data" outline="0" collapsedLevelsAreSubtotals="1" fieldPosition="0">
          <references count="2">
            <reference field="4294967294" count="1" selected="0">
              <x v="3"/>
            </reference>
            <reference field="0" count="25" selected="0">
              <x v="0"/>
              <x v="1"/>
              <x v="2"/>
              <x v="3"/>
              <x v="4"/>
              <x v="5"/>
              <x v="6"/>
              <x v="7"/>
              <x v="8"/>
              <x v="9"/>
              <x v="10"/>
              <x v="11"/>
              <x v="12"/>
              <x v="13"/>
              <x v="14"/>
              <x v="15"/>
              <x v="16"/>
              <x v="17"/>
              <x v="18"/>
              <x v="19"/>
              <x v="20"/>
              <x v="21"/>
              <x v="22"/>
              <x v="23"/>
              <x v="24"/>
            </reference>
          </references>
        </pivotArea>
      </pivotAreas>
    </conditionalFormat>
  </conditional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433F59-31E1-4671-AEC0-17F76167F0EE}" name="PivotTable3"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9"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showAll="0"/>
    <pivotField numFmtId="9"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6">
    <i>
      <x/>
    </i>
    <i>
      <x v="1"/>
    </i>
    <i>
      <x v="2"/>
    </i>
    <i>
      <x v="3"/>
    </i>
    <i>
      <x v="4"/>
    </i>
    <i t="grand">
      <x/>
    </i>
  </rowItems>
  <colItems count="1">
    <i/>
  </colItems>
  <dataFields count="1">
    <dataField name="Average of Service Level" fld="9" subtotal="average" baseField="12" baseItem="1" numFmtId="44"/>
  </dataFields>
  <formats count="1">
    <format dxfId="10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55A9BB-A49B-4B64-AEDD-2AFA1D3DEA30}" name="PivotTable2"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26"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showAll="0"/>
    <pivotField numFmtId="9"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13">
    <i>
      <x v="1"/>
    </i>
    <i>
      <x v="2"/>
    </i>
    <i>
      <x v="3"/>
    </i>
    <i>
      <x v="4"/>
    </i>
    <i>
      <x v="5"/>
    </i>
    <i>
      <x v="6"/>
    </i>
    <i>
      <x v="7"/>
    </i>
    <i>
      <x v="8"/>
    </i>
    <i>
      <x v="9"/>
    </i>
    <i>
      <x v="10"/>
    </i>
    <i>
      <x v="11"/>
    </i>
    <i>
      <x v="12"/>
    </i>
    <i t="grand">
      <x/>
    </i>
  </rowItems>
  <colItems count="1">
    <i/>
  </colItems>
  <dataFields count="1">
    <dataField name=" Deal Value ($)" fld="8" baseField="0" baseItem="0"/>
  </dataFields>
  <formats count="1">
    <format dxfId="104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3F6369-FDEC-4DDF-B19F-7A419461076D}" name="PivotTable1"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i="1">
      <x v="1"/>
    </i>
    <i i="2">
      <x v="2"/>
    </i>
    <i i="3">
      <x v="3"/>
    </i>
  </rowItems>
  <colItems count="1">
    <i/>
  </colItems>
  <dataFields count="4">
    <dataField name=" Total Calls" fld="3" baseField="0" baseItem="0"/>
    <dataField name=" Calls Reached" fld="4" baseField="0" baseItem="0"/>
    <dataField name=" Deals Closed" fld="6" baseField="0" baseItem="0"/>
    <dataField name=" Deal Value ($)" fld="8" baseField="0" baseItem="0"/>
  </dataFields>
  <formats count="2">
    <format dxfId="1044">
      <pivotArea outline="0" collapsedLevelsAreSubtotals="1" fieldPosition="0"/>
    </format>
    <format dxfId="1041">
      <pivotArea collapsedLevelsAreSubtotals="1"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89DC48-B206-47D4-9473-5AE4B108EDB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location ref="D9:H36" firstHeaderRow="0" firstDataRow="1" firstDataCol="1"/>
  <pivotFields count="13">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4">
    <i>
      <x/>
    </i>
    <i i="1">
      <x v="1"/>
    </i>
    <i i="2">
      <x v="2"/>
    </i>
    <i i="3">
      <x v="3"/>
    </i>
  </colItems>
  <dataFields count="4">
    <dataField name=" Total Calls" fld="3" baseField="0" baseItem="0"/>
    <dataField name=" Calls Reached" fld="4" baseField="0" baseItem="0"/>
    <dataField name=" Deals Closed" fld="6" baseField="0" baseItem="0"/>
    <dataField name=" Deal Value ($)" fld="8" baseField="0" baseItem="0"/>
  </dataFields>
  <formats count="7">
    <format dxfId="1068">
      <pivotArea type="all" dataOnly="0" outline="0" fieldPosition="0"/>
    </format>
    <format dxfId="1067">
      <pivotArea outline="0" collapsedLevelsAreSubtotals="1" fieldPosition="0"/>
    </format>
    <format dxfId="1066">
      <pivotArea field="0" type="button" dataOnly="0" labelOnly="1" outline="0" axis="axisRow" fieldPosition="0"/>
    </format>
    <format dxfId="1065">
      <pivotArea dataOnly="0" labelOnly="1" fieldPosition="0">
        <references count="1">
          <reference field="0" count="0"/>
        </references>
      </pivotArea>
    </format>
    <format dxfId="1064">
      <pivotArea dataOnly="0" labelOnly="1" grandRow="1" outline="0" fieldPosition="0"/>
    </format>
    <format dxfId="1063">
      <pivotArea dataOnly="0" labelOnly="1" outline="0" fieldPosition="0">
        <references count="1">
          <reference field="4294967294" count="4">
            <x v="0"/>
            <x v="1"/>
            <x v="2"/>
            <x v="3"/>
          </reference>
        </references>
      </pivotArea>
    </format>
    <format dxfId="1062">
      <pivotArea collapsedLevelsAreSubtotals="1" fieldPosition="0">
        <references count="2">
          <reference field="4294967294" count="1" selected="0">
            <x v="3"/>
          </reference>
          <reference field="0" count="0"/>
        </references>
      </pivotArea>
    </format>
  </formats>
  <conditionalFormats count="4">
    <conditionalFormat priority="1">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5">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6">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3B4E2B-3238-4D0A-917B-19200179226D}" name="PivotTable5" cacheId="2"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D18:E23" firstHeaderRow="1" firstDataRow="1" firstDataCol="1"/>
  <pivotFields count="13">
    <pivotField compact="0" outline="0" showAll="0" defaultSubtotal="0">
      <items count="26">
        <item x="15"/>
        <item x="1"/>
        <item x="5"/>
        <item x="7"/>
        <item x="9"/>
        <item x="23"/>
        <item x="17"/>
        <item x="24"/>
        <item x="2"/>
        <item x="21"/>
        <item x="0"/>
        <item x="20"/>
        <item x="13"/>
        <item x="3"/>
        <item x="10"/>
        <item x="22"/>
        <item x="16"/>
        <item x="4"/>
        <item x="14"/>
        <item x="25"/>
        <item x="8"/>
        <item x="12"/>
        <item x="11"/>
        <item x="6"/>
        <item x="19"/>
        <item x="18"/>
      </items>
    </pivotField>
    <pivotField axis="axisRow" compact="0" outline="0" showAll="0" defaultSubtotal="0">
      <items count="5">
        <item x="4"/>
        <item x="3"/>
        <item x="0"/>
        <item x="1"/>
        <item x="2"/>
      </items>
    </pivotField>
    <pivotField compact="0" numFmtId="14"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outline="0" showAll="0" defaultSubtotal="0"/>
    <pivotField compact="0" numFmtId="9"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5">
    <i>
      <x/>
    </i>
    <i>
      <x v="1"/>
    </i>
    <i>
      <x v="2"/>
    </i>
    <i>
      <x v="3"/>
    </i>
    <i>
      <x v="4"/>
    </i>
  </rowItems>
  <colItems count="1">
    <i/>
  </colItems>
  <dataFields count="1">
    <dataField name="Average of Service Level" fld="9" subtotal="average" baseField="1" baseItem="0" numFmtId="166"/>
  </dataFields>
  <formats count="1">
    <format dxfId="10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9B788F-F7FF-4198-82D1-584E3788CC4D}" name="PivotTable4" cacheId="2"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D3:E15" firstHeaderRow="1" firstDataRow="1" firstDataCol="1"/>
  <pivotFields count="13">
    <pivotField compact="0" outline="0" showAll="0" defaultSubtotal="0">
      <items count="26">
        <item x="15"/>
        <item x="1"/>
        <item x="5"/>
        <item x="7"/>
        <item x="9"/>
        <item x="23"/>
        <item x="17"/>
        <item x="24"/>
        <item x="2"/>
        <item x="21"/>
        <item x="0"/>
        <item x="20"/>
        <item x="13"/>
        <item x="3"/>
        <item x="10"/>
        <item x="22"/>
        <item x="16"/>
        <item x="4"/>
        <item x="14"/>
        <item x="25"/>
        <item x="8"/>
        <item x="12"/>
        <item x="11"/>
        <item x="6"/>
        <item x="19"/>
        <item x="18"/>
      </items>
    </pivotField>
    <pivotField compact="0" outline="0" showAll="0" defaultSubtotal="0">
      <items count="5">
        <item x="4"/>
        <item x="3"/>
        <item x="0"/>
        <item x="1"/>
        <item x="2"/>
      </items>
    </pivotField>
    <pivotField compact="0" numFmtId="14"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dataField="1" compact="0" outline="0" showAll="0" defaultSubtotal="0"/>
    <pivotField compact="0" outline="0" showAll="0" defaultSubtotal="0"/>
    <pivotField compact="0" numFmtId="9"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12">
    <i>
      <x v="1"/>
    </i>
    <i>
      <x v="2"/>
    </i>
    <i>
      <x v="3"/>
    </i>
    <i>
      <x v="4"/>
    </i>
    <i>
      <x v="5"/>
    </i>
    <i>
      <x v="6"/>
    </i>
    <i>
      <x v="7"/>
    </i>
    <i>
      <x v="8"/>
    </i>
    <i>
      <x v="9"/>
    </i>
    <i>
      <x v="10"/>
    </i>
    <i>
      <x v="11"/>
    </i>
    <i>
      <x v="12"/>
    </i>
  </rowItems>
  <colItems count="1">
    <i/>
  </colItems>
  <dataFields count="1">
    <dataField name="Sum of Deal Value ($)" fld="8" baseField="0" baseItem="0"/>
  </dataFields>
  <formats count="2">
    <format dxfId="1059">
      <pivotArea outline="0" collapsedLevelsAreSubtotals="1" fieldPosition="0"/>
    </format>
    <format dxfId="1058">
      <pivotArea collapsedLevelsAreSubtotals="1"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67230F-2E59-47A9-A352-7CED8284D786}" name="PivotTable1"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i="1">
      <x v="1"/>
    </i>
    <i i="2">
      <x v="2"/>
    </i>
    <i i="3">
      <x v="3"/>
    </i>
  </rowItems>
  <colItems count="1">
    <i/>
  </colItems>
  <dataFields count="4">
    <dataField name="Sum of Total Calls" fld="3" baseField="0" baseItem="0"/>
    <dataField name="Sum of Calls Reached" fld="4" baseField="0" baseItem="0"/>
    <dataField name="Sum of Deals Closed" fld="6" baseField="0" baseItem="0"/>
    <dataField name="Sum of Deal Value ($)" fld="8" baseField="0" baseItem="0"/>
  </dataFields>
  <formats count="2">
    <format dxfId="1061">
      <pivotArea outline="0" collapsedLevelsAreSubtotals="1" fieldPosition="0"/>
    </format>
    <format dxfId="1060">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A3364D-24A4-4EB4-A78C-050EECFBEA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location ref="D9:H36" firstHeaderRow="0" firstDataRow="1" firstDataCol="1"/>
  <pivotFields count="11">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4">
    <i>
      <x/>
    </i>
    <i i="1">
      <x v="1"/>
    </i>
    <i i="2">
      <x v="2"/>
    </i>
    <i i="3">
      <x v="3"/>
    </i>
  </colItems>
  <dataFields count="4">
    <dataField name=" Total Calls" fld="2" baseField="0" baseItem="0"/>
    <dataField name=" Calls Reached" fld="3" baseField="0" baseItem="0"/>
    <dataField name=" Deals Closed" fld="5" baseField="0" baseItem="0"/>
    <dataField name=" Deal Value ($)" fld="7" baseField="0" baseItem="0"/>
  </dataFields>
  <formats count="3">
    <format dxfId="1056">
      <pivotArea collapsedLevelsAreSubtotals="1" fieldPosition="0">
        <references count="2">
          <reference field="4294967294" count="1" selected="0">
            <x v="3"/>
          </reference>
          <reference field="0" count="0"/>
        </references>
      </pivotArea>
    </format>
    <format dxfId="1055">
      <pivotArea field="0" type="button" dataOnly="0" labelOnly="1" outline="0" axis="axisRow" fieldPosition="0"/>
    </format>
    <format dxfId="1054">
      <pivotArea dataOnly="0" labelOnly="1" outline="0" fieldPosition="0">
        <references count="1">
          <reference field="4294967294" count="4">
            <x v="0"/>
            <x v="1"/>
            <x v="2"/>
            <x v="3"/>
          </reference>
        </references>
      </pivotArea>
    </format>
  </formats>
  <conditionalFormats count="4">
    <conditionalFormat priority="1">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FD7C96-1C78-49B3-B110-6CB041ECE81C}"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
    <format dxfId="1046">
      <pivotArea collapsedLevelsAreSubtotals="1" fieldPosition="0">
        <references count="1">
          <reference field="4294967294" count="3">
            <x v="1"/>
            <x v="2"/>
            <x v="3"/>
          </reference>
        </references>
      </pivotArea>
    </format>
    <format dxfId="10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A6313A7-5393-44CB-9B05-0DFE390B0DB8}" name="PivotTable6"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25">
  <location ref="G16:H28" firstHeaderRow="1" firstDataRow="1" firstDataCol="1"/>
  <pivotFields count="11">
    <pivotField compact="0" outline="0" showAll="0" defaultSubtotal="0">
      <items count="26">
        <item x="15"/>
        <item x="1"/>
        <item x="5"/>
        <item x="7"/>
        <item x="9"/>
        <item x="23"/>
        <item x="17"/>
        <item x="24"/>
        <item x="2"/>
        <item x="21"/>
        <item x="0"/>
        <item x="20"/>
        <item x="13"/>
        <item x="3"/>
        <item x="10"/>
        <item x="22"/>
        <item x="16"/>
        <item x="4"/>
        <item x="14"/>
        <item x="25"/>
        <item x="8"/>
        <item x="12"/>
        <item x="11"/>
        <item x="6"/>
        <item x="19"/>
        <item x="18"/>
      </items>
    </pivotField>
    <pivotField compact="0" numFmtId="14" outline="0" showAll="0" defaultSubtotal="0">
      <items count="12">
        <item x="0"/>
        <item x="1"/>
        <item x="2"/>
        <item x="3"/>
        <item x="4"/>
        <item x="5"/>
        <item x="6"/>
        <item x="7"/>
        <item x="8"/>
        <item x="9"/>
        <item x="10"/>
        <item x="11"/>
      </items>
    </pivotField>
    <pivotField compact="0" outline="0" showAll="0" defaultSubtotal="0">
      <items count="92">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s>
    </pivotField>
    <pivotField compact="0"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numFmtId="9"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12">
    <i>
      <x v="1"/>
    </i>
    <i>
      <x v="2"/>
    </i>
    <i>
      <x v="3"/>
    </i>
    <i>
      <x v="4"/>
    </i>
    <i>
      <x v="5"/>
    </i>
    <i>
      <x v="6"/>
    </i>
    <i>
      <x v="7"/>
    </i>
    <i>
      <x v="8"/>
    </i>
    <i>
      <x v="9"/>
    </i>
    <i>
      <x v="10"/>
    </i>
    <i>
      <x v="11"/>
    </i>
    <i>
      <x v="12"/>
    </i>
  </rowItems>
  <colItems count="1">
    <i/>
  </colItems>
  <dataFields count="1">
    <dataField name="Sum of Call Drop Rate (%)" fld="8" baseField="0" baseItem="0" numFmtId="9"/>
  </dataFields>
  <formats count="1">
    <format dxfId="1047">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DAB650-8899-4520-948A-7B1757EDABE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0">
  <location ref="D16:E28" firstHeaderRow="1" firstDataRow="1" firstDataCol="1"/>
  <pivotFields count="11">
    <pivotField compact="0" outline="0" showAll="0" defaultSubtotal="0">
      <items count="26">
        <item x="15"/>
        <item x="1"/>
        <item x="5"/>
        <item x="7"/>
        <item x="9"/>
        <item x="23"/>
        <item x="17"/>
        <item x="24"/>
        <item x="2"/>
        <item x="21"/>
        <item x="0"/>
        <item x="20"/>
        <item x="13"/>
        <item x="3"/>
        <item x="10"/>
        <item x="22"/>
        <item x="16"/>
        <item x="4"/>
        <item x="14"/>
        <item x="25"/>
        <item x="8"/>
        <item x="12"/>
        <item x="11"/>
        <item x="6"/>
        <item x="19"/>
        <item x="18"/>
      </items>
    </pivotField>
    <pivotField compact="0" numFmtId="14" outline="0" showAll="0" defaultSubtotal="0">
      <items count="12">
        <item x="0"/>
        <item x="1"/>
        <item x="2"/>
        <item x="3"/>
        <item x="4"/>
        <item x="5"/>
        <item x="6"/>
        <item x="7"/>
        <item x="8"/>
        <item x="9"/>
        <item x="10"/>
        <item x="11"/>
      </items>
    </pivotField>
    <pivotField compact="0" outline="0" showAll="0" defaultSubtotal="0">
      <items count="92">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s>
    </pivotField>
    <pivotField compact="0" outline="0" showAll="0" defaultSubtotal="0"/>
    <pivotField dataField="1" compact="0" outline="0" showAll="0" defaultSubtotal="0"/>
    <pivotField compact="0" outline="0" showAll="0" defaultSubtotal="0"/>
    <pivotField compact="0" numFmtId="9" outline="0" showAll="0" defaultSubtotal="0"/>
    <pivotField compact="0" outline="0" showAll="0" defaultSubtotal="0"/>
    <pivotField compact="0" numFmtId="9"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12">
    <i>
      <x v="1"/>
    </i>
    <i>
      <x v="2"/>
    </i>
    <i>
      <x v="3"/>
    </i>
    <i>
      <x v="4"/>
    </i>
    <i>
      <x v="5"/>
    </i>
    <i>
      <x v="6"/>
    </i>
    <i>
      <x v="7"/>
    </i>
    <i>
      <x v="8"/>
    </i>
    <i>
      <x v="9"/>
    </i>
    <i>
      <x v="10"/>
    </i>
    <i>
      <x v="11"/>
    </i>
    <i>
      <x v="12"/>
    </i>
  </rowItems>
  <colItems count="1">
    <i/>
  </colItems>
  <dataFields count="1">
    <dataField name="Sum of Average Duration (sec)" fld="4" baseField="0" baseItem="0" numFmtId="43"/>
  </dataFields>
  <formats count="1">
    <format dxfId="1048">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9755BCD-AC1A-4519-9611-5596E00176B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H1:I13" firstHeaderRow="1" firstDataRow="1" firstDataCol="1"/>
  <pivotFields count="11">
    <pivotField compact="0" outline="0" showAll="0" defaultSubtotal="0">
      <items count="26">
        <item x="15"/>
        <item x="1"/>
        <item x="5"/>
        <item x="7"/>
        <item x="9"/>
        <item x="23"/>
        <item x="17"/>
        <item x="24"/>
        <item x="2"/>
        <item x="21"/>
        <item x="0"/>
        <item x="20"/>
        <item x="13"/>
        <item x="3"/>
        <item x="10"/>
        <item x="22"/>
        <item x="16"/>
        <item x="4"/>
        <item x="14"/>
        <item x="25"/>
        <item x="8"/>
        <item x="12"/>
        <item x="11"/>
        <item x="6"/>
        <item x="19"/>
        <item x="18"/>
      </items>
    </pivotField>
    <pivotField compact="0" numFmtId="14" outline="0" showAll="0" defaultSubtotal="0">
      <items count="12">
        <item x="0"/>
        <item x="1"/>
        <item x="2"/>
        <item x="3"/>
        <item x="4"/>
        <item x="5"/>
        <item x="6"/>
        <item x="7"/>
        <item x="8"/>
        <item x="9"/>
        <item x="10"/>
        <item x="11"/>
      </items>
    </pivotField>
    <pivotField compact="0" outline="0" showAll="0" defaultSubtotal="0">
      <items count="92">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s>
    </pivotField>
    <pivotField compact="0" outline="0" showAll="0" defaultSubtotal="0"/>
    <pivotField compact="0" outline="0" showAll="0" defaultSubtotal="0"/>
    <pivotField compact="0" outline="0" showAll="0" defaultSubtotal="0"/>
    <pivotField compact="0" numFmtId="9" outline="0" showAll="0" defaultSubtotal="0"/>
    <pivotField dataField="1" compact="0" outline="0" showAll="0" defaultSubtotal="0"/>
    <pivotField compact="0" numFmtId="9"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12">
    <i>
      <x v="1"/>
    </i>
    <i>
      <x v="2"/>
    </i>
    <i>
      <x v="3"/>
    </i>
    <i>
      <x v="4"/>
    </i>
    <i>
      <x v="5"/>
    </i>
    <i>
      <x v="6"/>
    </i>
    <i>
      <x v="7"/>
    </i>
    <i>
      <x v="8"/>
    </i>
    <i>
      <x v="9"/>
    </i>
    <i>
      <x v="10"/>
    </i>
    <i>
      <x v="11"/>
    </i>
    <i>
      <x v="12"/>
    </i>
  </rowItems>
  <colItems count="1">
    <i/>
  </colItems>
  <dataFields count="1">
    <dataField name="Sum of Deal Value ($)" fld="7" baseField="0" baseItem="0" numFmtId="44"/>
  </dataFields>
  <formats count="1">
    <format dxfId="1049">
      <pivotArea outline="0" collapsedLevelsAreSubtotals="1" fieldPosition="0"/>
    </format>
  </formats>
  <chartFormats count="2">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78FF59-08A9-4182-A43B-3DE52A0A607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D1:F13" firstHeaderRow="0" firstDataRow="1" firstDataCol="1"/>
  <pivotFields count="11">
    <pivotField compact="0" outline="0" showAll="0" defaultSubtotal="0">
      <items count="26">
        <item x="15"/>
        <item x="1"/>
        <item x="5"/>
        <item x="7"/>
        <item x="9"/>
        <item x="23"/>
        <item x="17"/>
        <item x="24"/>
        <item x="2"/>
        <item x="21"/>
        <item x="0"/>
        <item x="20"/>
        <item x="13"/>
        <item x="3"/>
        <item x="10"/>
        <item x="22"/>
        <item x="16"/>
        <item x="4"/>
        <item x="14"/>
        <item x="25"/>
        <item x="8"/>
        <item x="12"/>
        <item x="11"/>
        <item x="6"/>
        <item x="19"/>
        <item x="18"/>
      </items>
    </pivotField>
    <pivotField compact="0" numFmtId="14" outline="0" showAll="0" defaultSubtotal="0">
      <items count="12">
        <item x="0"/>
        <item x="1"/>
        <item x="2"/>
        <item x="3"/>
        <item x="4"/>
        <item x="5"/>
        <item x="6"/>
        <item x="7"/>
        <item x="8"/>
        <item x="9"/>
        <item x="10"/>
        <item x="11"/>
      </items>
    </pivotField>
    <pivotField compact="0" outline="0" showAll="0" defaultSubtotal="0">
      <items count="92">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s>
    </pivotField>
    <pivotField dataField="1" compact="0" outline="0" showAll="0" defaultSubtotal="0"/>
    <pivotField compact="0" outline="0" showAll="0" defaultSubtotal="0"/>
    <pivotField dataField="1" compact="0" outline="0" showAll="0" defaultSubtotal="0"/>
    <pivotField compact="0" numFmtId="9" outline="0" showAll="0" defaultSubtotal="0"/>
    <pivotField compact="0" outline="0" showAll="0" defaultSubtotal="0"/>
    <pivotField compact="0" numFmtId="9"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12">
    <i>
      <x v="1"/>
    </i>
    <i>
      <x v="2"/>
    </i>
    <i>
      <x v="3"/>
    </i>
    <i>
      <x v="4"/>
    </i>
    <i>
      <x v="5"/>
    </i>
    <i>
      <x v="6"/>
    </i>
    <i>
      <x v="7"/>
    </i>
    <i>
      <x v="8"/>
    </i>
    <i>
      <x v="9"/>
    </i>
    <i>
      <x v="10"/>
    </i>
    <i>
      <x v="11"/>
    </i>
    <i>
      <x v="12"/>
    </i>
  </rowItems>
  <colFields count="1">
    <field x="-2"/>
  </colFields>
  <colItems count="2">
    <i>
      <x/>
    </i>
    <i i="1">
      <x v="1"/>
    </i>
  </colItems>
  <dataFields count="2">
    <dataField name="Sum of Calls Reached" fld="3" baseField="0" baseItem="0"/>
    <dataField name="Sum of Deals Closed" fld="5" baseField="0" baseItem="0"/>
  </dataFields>
  <formats count="1">
    <format dxfId="1050">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105A2C3-605F-40FB-9F62-B232A1202C59}" sourceName="Name">
  <pivotTables>
    <pivotTable tabId="2" name="PivotTable1"/>
    <pivotTable tabId="2" name="PivotTable3"/>
    <pivotTable tabId="2" name="PivotTable4"/>
    <pivotTable tabId="2" name="PivotTable5"/>
    <pivotTable tabId="2" name="PivotTable6"/>
    <pivotTable tabId="3" name="PivotTable2"/>
  </pivotTables>
  <data>
    <tabular pivotCacheId="1742062585">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 xr10:uid="{E80CB0D7-0065-481C-B6DB-EEB62230A4EF}" sourceName="Name">
  <pivotTables>
    <pivotTable tabId="10" name="PivotTable4"/>
    <pivotTable tabId="11" name="PivotTable1"/>
    <pivotTable tabId="11" name="PivotTable2"/>
    <pivotTable tabId="11" name="PivotTable3"/>
    <pivotTable tabId="8" name="PivotTable3"/>
    <pivotTable tabId="6" name="PivotTable3"/>
    <pivotTable tabId="9" name="PivotTable1"/>
    <pivotTable tabId="9" name="PivotTable4"/>
    <pivotTable tabId="9" name="PivotTable5"/>
    <pivotTable tabId="7" name="PivotTable5"/>
    <pivotTable tabId="7" name="PivotTable4"/>
    <pivotTable tabId="7" name="PivotTable1"/>
  </pivotTables>
  <data>
    <tabular pivotCacheId="672165939">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2062AC34-C2F9-4082-B95A-85ED1A608B87}" cache="Slicer_Name2" caption="Name" startItem="7" style="SlicerStyleDark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3" xr10:uid="{9F5C774F-97C6-4D4B-B37C-EA9218F113EB}" cache="Slicer_Name2" caption="Name" startItem="9" style="SlicerStyleLight5"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2" xr10:uid="{4BACEB13-DA3D-4B13-9C73-799F7C7E8644}" cache="Slicer_Name2" caption="Name" startItem="8" style="SlicerStyleDark5"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DDF86419-3A75-4266-ABA4-C34316849DA1}" cache="Slicer_Name" caption="Name" style="SlicerStyleDark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4C6A7A-6A86-44E0-8EB7-15033709D6C6}" name="SalesData3" displayName="SalesData3" ref="A1:K313" totalsRowShown="0">
  <autoFilter ref="A1:K313" xr:uid="{5D4C6A7A-6A86-44E0-8EB7-15033709D6C6}"/>
  <tableColumns count="11">
    <tableColumn id="1" xr3:uid="{97094936-6457-4A22-96D9-94C795E1B3BB}" name="Name"/>
    <tableColumn id="11" xr3:uid="{88440002-BC12-4A84-B25E-D7C9B332E46E}" name="Region"/>
    <tableColumn id="2" xr3:uid="{CCE95A04-3D46-47A8-A94D-D9F060B87C73}" name="Date" dataDxfId="1071"/>
    <tableColumn id="3" xr3:uid="{3B9A6AE5-83EB-42F7-8314-2325E3EFB16A}" name="Total Calls"/>
    <tableColumn id="4" xr3:uid="{20FF6BCD-B812-4D70-8754-239F601D6392}" name="Calls Reached"/>
    <tableColumn id="5" xr3:uid="{909F1D14-C69D-4DC3-93B4-42790FCD1B79}" name="Average Duration (sec)"/>
    <tableColumn id="6" xr3:uid="{07245AC4-77E6-4044-8A68-A191E8DD4C04}" name="Deals Closed"/>
    <tableColumn id="7" xr3:uid="{FD265642-4647-40E7-9304-AB4A5D9E90E3}" name="Call Conversion Rate (%)" dataDxfId="1070"/>
    <tableColumn id="8" xr3:uid="{6173084D-4E68-472C-81FA-D9F5EF2FF70A}" name="Deal Value ($)"/>
    <tableColumn id="10" xr3:uid="{D5F60E49-F1C0-406B-9472-6CFC1AF7B2EA}" name="Service Level"/>
    <tableColumn id="9" xr3:uid="{DFD0222A-5F91-4036-9DD1-ACB844A723DD}" name="Call Drop Rate (%)" dataDxfId="106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58CB33-9291-4232-B4C7-E7D073D28446}" name="SalesData" displayName="SalesData" ref="A1:I313" totalsRowShown="0">
  <autoFilter ref="A1:I313" xr:uid="{6758CB33-9291-4232-B4C7-E7D073D28446}"/>
  <tableColumns count="9">
    <tableColumn id="1" xr3:uid="{680EDC8C-A7EC-4542-AA51-A04291D22508}" name="Name"/>
    <tableColumn id="2" xr3:uid="{68A8F5B6-6BBB-4DC1-B633-AC298BAA33DA}" name="Date" dataDxfId="1053"/>
    <tableColumn id="3" xr3:uid="{D101B6BE-3B89-43E4-BFF5-8A6833D2436F}" name="Total Calls"/>
    <tableColumn id="4" xr3:uid="{6DCB8FB2-D8F1-4597-9558-66612A71A4A8}" name="Calls Reached"/>
    <tableColumn id="5" xr3:uid="{C7061AF3-7DE0-46A1-A751-0AF2AD16C396}" name="Average Duration (sec)"/>
    <tableColumn id="6" xr3:uid="{EA884517-4E21-49E4-9060-60CB63446E6D}" name="Deals Closed"/>
    <tableColumn id="7" xr3:uid="{8704F43C-C04B-43F7-8825-BE160A3FE425}" name="Call Conversion Rate (%)" dataDxfId="1052"/>
    <tableColumn id="8" xr3:uid="{20E5C5AE-1B65-4203-9DAD-83F6956F5437}" name="Deal Value ($)"/>
    <tableColumn id="9" xr3:uid="{D223D53C-880E-42F0-99CD-AF4BBDB6046A}" name="Call Drop Rate (%)" dataDxfId="105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A622-C556-4621-9D1D-2B31A2071714}">
  <dimension ref="B1:I35"/>
  <sheetViews>
    <sheetView showGridLines="0" zoomScale="96" zoomScaleNormal="96" workbookViewId="0">
      <selection activeCell="F40" sqref="F40"/>
    </sheetView>
  </sheetViews>
  <sheetFormatPr defaultRowHeight="14.5" x14ac:dyDescent="0.35"/>
  <cols>
    <col min="1" max="1" width="2.6328125" style="15" customWidth="1"/>
    <col min="2" max="3" width="8.7265625" style="15"/>
    <col min="4" max="4" width="3.453125" style="15" customWidth="1"/>
    <col min="5" max="5" width="10.36328125" style="15" bestFit="1" customWidth="1"/>
    <col min="6" max="6" width="9.90625" style="15" bestFit="1" customWidth="1"/>
    <col min="7" max="7" width="13.26953125" style="15" bestFit="1" customWidth="1"/>
    <col min="8" max="8" width="12.1796875" style="15" bestFit="1" customWidth="1"/>
    <col min="9" max="9" width="12.7265625" style="15" bestFit="1" customWidth="1"/>
    <col min="10" max="16384" width="8.7265625" style="15"/>
  </cols>
  <sheetData>
    <row r="1" spans="2:9" s="14" customFormat="1" x14ac:dyDescent="0.35"/>
    <row r="2" spans="2:9" s="14" customFormat="1" ht="34.5" x14ac:dyDescent="0.8">
      <c r="B2" s="16" t="s">
        <v>35</v>
      </c>
    </row>
    <row r="3" spans="2:9" s="14" customFormat="1" ht="18.5" x14ac:dyDescent="0.45">
      <c r="B3" s="17" t="s">
        <v>69</v>
      </c>
    </row>
    <row r="4" spans="2:9" s="14" customFormat="1" x14ac:dyDescent="0.35"/>
    <row r="5" spans="2:9" s="14" customFormat="1" x14ac:dyDescent="0.35"/>
    <row r="6" spans="2:9" s="14" customFormat="1" x14ac:dyDescent="0.35"/>
    <row r="7" spans="2:9" s="14" customFormat="1" x14ac:dyDescent="0.35"/>
    <row r="8" spans="2:9" x14ac:dyDescent="0.35">
      <c r="E8" s="6" t="s">
        <v>71</v>
      </c>
      <c r="F8" t="s">
        <v>43</v>
      </c>
      <c r="G8" t="s">
        <v>44</v>
      </c>
      <c r="H8" t="s">
        <v>45</v>
      </c>
      <c r="I8" t="s">
        <v>46</v>
      </c>
    </row>
    <row r="9" spans="2:9" x14ac:dyDescent="0.35">
      <c r="E9" s="7" t="s">
        <v>27</v>
      </c>
      <c r="F9" s="9">
        <v>1087</v>
      </c>
      <c r="G9" s="9">
        <v>212</v>
      </c>
      <c r="H9" s="26">
        <v>54</v>
      </c>
      <c r="I9" s="26">
        <v>5002.7100000000009</v>
      </c>
    </row>
    <row r="10" spans="2:9" x14ac:dyDescent="0.35">
      <c r="E10" s="7" t="s">
        <v>28</v>
      </c>
      <c r="F10" s="9">
        <v>831</v>
      </c>
      <c r="G10" s="26">
        <v>154</v>
      </c>
      <c r="H10" s="26">
        <v>4</v>
      </c>
      <c r="I10" s="26">
        <v>14526.439999999999</v>
      </c>
    </row>
    <row r="11" spans="2:9" x14ac:dyDescent="0.35">
      <c r="E11" s="7" t="s">
        <v>15</v>
      </c>
      <c r="F11" s="9">
        <v>924</v>
      </c>
      <c r="G11" s="26">
        <v>218</v>
      </c>
      <c r="H11" s="26">
        <v>30</v>
      </c>
      <c r="I11" s="26">
        <v>29842.950000000004</v>
      </c>
    </row>
    <row r="12" spans="2:9" x14ac:dyDescent="0.35">
      <c r="E12" s="7" t="s">
        <v>20</v>
      </c>
      <c r="F12" s="9">
        <v>420</v>
      </c>
      <c r="G12" s="26">
        <v>74</v>
      </c>
      <c r="H12" s="26">
        <v>59</v>
      </c>
      <c r="I12" s="26">
        <v>44146.13</v>
      </c>
    </row>
    <row r="13" spans="2:9" x14ac:dyDescent="0.35">
      <c r="E13" s="7" t="s">
        <v>21</v>
      </c>
      <c r="F13" s="9">
        <v>882</v>
      </c>
      <c r="G13" s="26">
        <v>225</v>
      </c>
      <c r="H13" s="26">
        <v>30</v>
      </c>
      <c r="I13" s="26">
        <v>4278.2</v>
      </c>
    </row>
    <row r="14" spans="2:9" x14ac:dyDescent="0.35">
      <c r="E14" s="7" t="s">
        <v>17</v>
      </c>
      <c r="F14" s="9">
        <v>367</v>
      </c>
      <c r="G14" s="26">
        <v>217</v>
      </c>
      <c r="H14" s="26">
        <v>103</v>
      </c>
      <c r="I14" s="26">
        <v>14209.390000000001</v>
      </c>
    </row>
    <row r="15" spans="2:9" x14ac:dyDescent="0.35">
      <c r="E15" s="7" t="s">
        <v>34</v>
      </c>
      <c r="F15" s="9">
        <v>453</v>
      </c>
      <c r="G15" s="26">
        <v>184</v>
      </c>
      <c r="H15" s="26">
        <v>92</v>
      </c>
      <c r="I15" s="26">
        <v>50524.4</v>
      </c>
    </row>
    <row r="16" spans="2:9" x14ac:dyDescent="0.35">
      <c r="E16" s="7" t="s">
        <v>23</v>
      </c>
      <c r="F16" s="9">
        <v>747</v>
      </c>
      <c r="G16" s="26">
        <v>97</v>
      </c>
      <c r="H16" s="26">
        <v>31</v>
      </c>
      <c r="I16" s="26">
        <v>7844.18</v>
      </c>
    </row>
    <row r="17" spans="5:9" x14ac:dyDescent="0.35">
      <c r="E17" s="7" t="s">
        <v>13</v>
      </c>
      <c r="F17" s="9">
        <v>977</v>
      </c>
      <c r="G17" s="26">
        <v>166</v>
      </c>
      <c r="H17" s="26">
        <v>55</v>
      </c>
      <c r="I17" s="26">
        <v>12143.710000000001</v>
      </c>
    </row>
    <row r="18" spans="5:9" x14ac:dyDescent="0.35">
      <c r="E18" s="7" t="s">
        <v>25</v>
      </c>
      <c r="F18" s="9">
        <v>1023</v>
      </c>
      <c r="G18" s="26">
        <v>76</v>
      </c>
      <c r="H18" s="26">
        <v>64</v>
      </c>
      <c r="I18" s="26">
        <v>45365.2</v>
      </c>
    </row>
    <row r="19" spans="5:9" x14ac:dyDescent="0.35">
      <c r="E19" s="7" t="s">
        <v>31</v>
      </c>
      <c r="F19" s="9">
        <v>848</v>
      </c>
      <c r="G19" s="26">
        <v>99</v>
      </c>
      <c r="H19" s="26">
        <v>84</v>
      </c>
      <c r="I19" s="26">
        <v>6133.4100000000008</v>
      </c>
    </row>
    <row r="20" spans="5:9" x14ac:dyDescent="0.35">
      <c r="E20" s="7" t="s">
        <v>19</v>
      </c>
      <c r="F20" s="9">
        <v>226</v>
      </c>
      <c r="G20" s="26">
        <v>91</v>
      </c>
      <c r="H20" s="26">
        <v>73</v>
      </c>
      <c r="I20" s="26">
        <v>9402.9399999999987</v>
      </c>
    </row>
    <row r="21" spans="5:9" x14ac:dyDescent="0.35">
      <c r="E21" s="7" t="s">
        <v>12</v>
      </c>
      <c r="F21" s="9">
        <v>241</v>
      </c>
      <c r="G21" s="26">
        <v>80</v>
      </c>
      <c r="H21" s="26">
        <v>40</v>
      </c>
      <c r="I21" s="26">
        <v>18368.47</v>
      </c>
    </row>
    <row r="22" spans="5:9" x14ac:dyDescent="0.35">
      <c r="E22" s="7" t="s">
        <v>22</v>
      </c>
      <c r="F22" s="9">
        <v>379</v>
      </c>
      <c r="G22" s="26">
        <v>87</v>
      </c>
      <c r="H22" s="26">
        <v>18</v>
      </c>
      <c r="I22" s="26">
        <v>45591.429999999993</v>
      </c>
    </row>
    <row r="23" spans="5:9" x14ac:dyDescent="0.35">
      <c r="E23" s="7" t="s">
        <v>29</v>
      </c>
      <c r="F23" s="9">
        <v>246</v>
      </c>
      <c r="G23" s="26">
        <v>172</v>
      </c>
      <c r="H23" s="26">
        <v>17</v>
      </c>
      <c r="I23" s="26">
        <v>18659.18</v>
      </c>
    </row>
    <row r="24" spans="5:9" x14ac:dyDescent="0.35">
      <c r="E24" s="7" t="s">
        <v>9</v>
      </c>
      <c r="F24" s="9">
        <v>783</v>
      </c>
      <c r="G24" s="26">
        <v>181</v>
      </c>
      <c r="H24" s="26">
        <v>77</v>
      </c>
      <c r="I24" s="26">
        <v>49041</v>
      </c>
    </row>
    <row r="25" spans="5:9" x14ac:dyDescent="0.35">
      <c r="E25" s="7" t="s">
        <v>30</v>
      </c>
      <c r="F25" s="9">
        <v>1151</v>
      </c>
      <c r="G25" s="26">
        <v>69</v>
      </c>
      <c r="H25" s="26">
        <v>18</v>
      </c>
      <c r="I25" s="26">
        <v>41544.150000000009</v>
      </c>
    </row>
    <row r="26" spans="5:9" x14ac:dyDescent="0.35">
      <c r="E26" s="7" t="s">
        <v>11</v>
      </c>
      <c r="F26" s="9">
        <v>617</v>
      </c>
      <c r="G26" s="26">
        <v>177</v>
      </c>
      <c r="H26" s="26">
        <v>28</v>
      </c>
      <c r="I26" s="26">
        <v>42137.53</v>
      </c>
    </row>
    <row r="27" spans="5:9" x14ac:dyDescent="0.35">
      <c r="E27" s="7" t="s">
        <v>33</v>
      </c>
      <c r="F27" s="9">
        <v>407</v>
      </c>
      <c r="G27" s="26">
        <v>130</v>
      </c>
      <c r="H27" s="26">
        <v>52</v>
      </c>
      <c r="I27" s="26">
        <v>2829.58</v>
      </c>
    </row>
    <row r="28" spans="5:9" x14ac:dyDescent="0.35">
      <c r="E28" s="7" t="s">
        <v>26</v>
      </c>
      <c r="F28" s="9">
        <v>288</v>
      </c>
      <c r="G28" s="26">
        <v>180</v>
      </c>
      <c r="H28" s="26">
        <v>81</v>
      </c>
      <c r="I28" s="26">
        <v>44979.729999999996</v>
      </c>
    </row>
    <row r="29" spans="5:9" x14ac:dyDescent="0.35">
      <c r="E29" s="7" t="s">
        <v>32</v>
      </c>
      <c r="F29" s="9">
        <v>1180</v>
      </c>
      <c r="G29" s="26">
        <v>173</v>
      </c>
      <c r="H29" s="26">
        <v>4</v>
      </c>
      <c r="I29" s="26">
        <v>34781.939999999995</v>
      </c>
    </row>
    <row r="30" spans="5:9" x14ac:dyDescent="0.35">
      <c r="E30" s="7" t="s">
        <v>18</v>
      </c>
      <c r="F30" s="9">
        <v>806</v>
      </c>
      <c r="G30" s="26">
        <v>184</v>
      </c>
      <c r="H30" s="26">
        <v>100</v>
      </c>
      <c r="I30" s="26">
        <v>12040.489999999998</v>
      </c>
    </row>
    <row r="31" spans="5:9" x14ac:dyDescent="0.35">
      <c r="E31" s="7" t="s">
        <v>16</v>
      </c>
      <c r="F31" s="9">
        <v>660</v>
      </c>
      <c r="G31" s="26">
        <v>92</v>
      </c>
      <c r="H31" s="26">
        <v>71</v>
      </c>
      <c r="I31" s="26">
        <v>49072.98</v>
      </c>
    </row>
    <row r="32" spans="5:9" x14ac:dyDescent="0.35">
      <c r="E32" s="7" t="s">
        <v>14</v>
      </c>
      <c r="F32" s="9">
        <v>731</v>
      </c>
      <c r="G32" s="26">
        <v>79</v>
      </c>
      <c r="H32" s="26">
        <v>31</v>
      </c>
      <c r="I32" s="26">
        <v>43859.520000000004</v>
      </c>
    </row>
    <row r="33" spans="5:9" x14ac:dyDescent="0.35">
      <c r="E33" s="7" t="s">
        <v>10</v>
      </c>
      <c r="F33" s="9">
        <v>907</v>
      </c>
      <c r="G33" s="26">
        <v>141</v>
      </c>
      <c r="H33" s="26">
        <v>53</v>
      </c>
      <c r="I33" s="26">
        <v>45196.26</v>
      </c>
    </row>
    <row r="34" spans="5:9" x14ac:dyDescent="0.35">
      <c r="E34" s="7" t="s">
        <v>24</v>
      </c>
      <c r="F34" s="9">
        <v>1119</v>
      </c>
      <c r="G34" s="26">
        <v>61</v>
      </c>
      <c r="H34" s="26">
        <v>40</v>
      </c>
      <c r="I34" s="26">
        <v>14672.969999999998</v>
      </c>
    </row>
    <row r="35" spans="5:9" x14ac:dyDescent="0.35">
      <c r="E35" s="7" t="s">
        <v>37</v>
      </c>
      <c r="F35" s="26">
        <v>18300</v>
      </c>
      <c r="G35" s="26">
        <v>3619</v>
      </c>
      <c r="H35" s="26">
        <v>1309</v>
      </c>
      <c r="I35" s="26">
        <v>706194.89</v>
      </c>
    </row>
  </sheetData>
  <conditionalFormatting pivot="1" sqref="F9:F34">
    <cfRule type="dataBar" priority="5">
      <dataBar>
        <cfvo type="min"/>
        <cfvo type="max"/>
        <color rgb="FF63C384"/>
      </dataBar>
      <extLst>
        <ext xmlns:x14="http://schemas.microsoft.com/office/spreadsheetml/2009/9/main" uri="{B025F937-C7B1-47D3-B67F-A62EFF666E3E}">
          <x14:id>{C906A44A-5A21-41A2-B611-A159C543A1E2}</x14:id>
        </ext>
      </extLst>
    </cfRule>
  </conditionalFormatting>
  <conditionalFormatting pivot="1" sqref="G9:G34">
    <cfRule type="dataBar" priority="3">
      <dataBar>
        <cfvo type="min"/>
        <cfvo type="max"/>
        <color rgb="FFFFB628"/>
      </dataBar>
      <extLst>
        <ext xmlns:x14="http://schemas.microsoft.com/office/spreadsheetml/2009/9/main" uri="{B025F937-C7B1-47D3-B67F-A62EFF666E3E}">
          <x14:id>{E280C7EA-68C5-4CD3-9804-366D7DAF2750}</x14:id>
        </ext>
      </extLst>
    </cfRule>
  </conditionalFormatting>
  <conditionalFormatting pivot="1" sqref="H9:H34">
    <cfRule type="dataBar" priority="2">
      <dataBar>
        <cfvo type="min"/>
        <cfvo type="max"/>
        <color rgb="FFFFFF66"/>
      </dataBar>
      <extLst>
        <ext xmlns:x14="http://schemas.microsoft.com/office/spreadsheetml/2009/9/main" uri="{B025F937-C7B1-47D3-B67F-A62EFF666E3E}">
          <x14:id>{BE202D7A-6E0B-4850-97B2-FB2B7C3E63A1}</x14:id>
        </ext>
      </extLst>
    </cfRule>
  </conditionalFormatting>
  <conditionalFormatting pivot="1" sqref="I9:I34">
    <cfRule type="dataBar" priority="1">
      <dataBar>
        <cfvo type="min"/>
        <cfvo type="max"/>
        <color theme="9" tint="0.59999389629810485"/>
      </dataBar>
      <extLst>
        <ext xmlns:x14="http://schemas.microsoft.com/office/spreadsheetml/2009/9/main" uri="{B025F937-C7B1-47D3-B67F-A62EFF666E3E}">
          <x14:id>{586798DD-8D59-47DE-9CCB-98AF06246AC7}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906A44A-5A21-41A2-B611-A159C543A1E2}">
            <x14:dataBar minLength="0" maxLength="100">
              <x14:cfvo type="autoMin"/>
              <x14:cfvo type="autoMax"/>
              <x14:negativeFillColor rgb="FFFF0000"/>
              <x14:axisColor rgb="FF000000"/>
            </x14:dataBar>
          </x14:cfRule>
          <xm:sqref>F9:F34</xm:sqref>
        </x14:conditionalFormatting>
        <x14:conditionalFormatting xmlns:xm="http://schemas.microsoft.com/office/excel/2006/main" pivot="1">
          <x14:cfRule type="dataBar" id="{E280C7EA-68C5-4CD3-9804-366D7DAF2750}">
            <x14:dataBar minLength="0" maxLength="100">
              <x14:cfvo type="autoMin"/>
              <x14:cfvo type="autoMax"/>
              <x14:negativeFillColor rgb="FFFF0000"/>
              <x14:axisColor rgb="FF000000"/>
            </x14:dataBar>
          </x14:cfRule>
          <xm:sqref>G9:G34</xm:sqref>
        </x14:conditionalFormatting>
        <x14:conditionalFormatting xmlns:xm="http://schemas.microsoft.com/office/excel/2006/main" pivot="1">
          <x14:cfRule type="dataBar" id="{BE202D7A-6E0B-4850-97B2-FB2B7C3E63A1}">
            <x14:dataBar minLength="0" maxLength="100">
              <x14:cfvo type="autoMin"/>
              <x14:cfvo type="autoMax"/>
              <x14:negativeFillColor rgb="FFFF0000"/>
              <x14:axisColor rgb="FF000000"/>
            </x14:dataBar>
          </x14:cfRule>
          <xm:sqref>H9:H34</xm:sqref>
        </x14:conditionalFormatting>
        <x14:conditionalFormatting xmlns:xm="http://schemas.microsoft.com/office/excel/2006/main" pivot="1">
          <x14:cfRule type="dataBar" id="{586798DD-8D59-47DE-9CCB-98AF06246AC7}">
            <x14:dataBar minLength="0" maxLength="100">
              <x14:cfvo type="autoMin"/>
              <x14:cfvo type="autoMax"/>
              <x14:negativeFillColor rgb="FFFF0000"/>
              <x14:axisColor rgb="FF000000"/>
            </x14:dataBar>
          </x14:cfRule>
          <xm:sqref>I9:I34</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AAE0-4045-4FFA-A266-0C41C1B2A91A}">
  <dimension ref="A3:E35"/>
  <sheetViews>
    <sheetView workbookViewId="0">
      <selection activeCell="B24" sqref="B24"/>
    </sheetView>
  </sheetViews>
  <sheetFormatPr defaultRowHeight="14.5" x14ac:dyDescent="0.35"/>
  <cols>
    <col min="1" max="1" width="18.36328125" bestFit="1" customWidth="1"/>
    <col min="2" max="2" width="8.6328125" bestFit="1" customWidth="1"/>
    <col min="3" max="3" width="18.7265625" bestFit="1" customWidth="1"/>
    <col min="4" max="4" width="22.36328125" bestFit="1" customWidth="1"/>
  </cols>
  <sheetData>
    <row r="3" spans="1:5" x14ac:dyDescent="0.35">
      <c r="A3" s="6" t="s">
        <v>42</v>
      </c>
    </row>
    <row r="4" spans="1:5" x14ac:dyDescent="0.35">
      <c r="A4" s="7" t="s">
        <v>38</v>
      </c>
      <c r="B4" s="9">
        <v>18300</v>
      </c>
    </row>
    <row r="5" spans="1:5" x14ac:dyDescent="0.35">
      <c r="A5" s="7" t="s">
        <v>39</v>
      </c>
      <c r="B5" s="9">
        <v>3619</v>
      </c>
    </row>
    <row r="6" spans="1:5" x14ac:dyDescent="0.35">
      <c r="A6" s="7" t="s">
        <v>40</v>
      </c>
      <c r="B6" s="9">
        <v>1309</v>
      </c>
    </row>
    <row r="7" spans="1:5" x14ac:dyDescent="0.35">
      <c r="A7" s="7" t="s">
        <v>41</v>
      </c>
      <c r="B7" s="9">
        <v>706194.88999999966</v>
      </c>
    </row>
    <row r="12" spans="1:5" x14ac:dyDescent="0.35">
      <c r="A12" s="6" t="s">
        <v>70</v>
      </c>
      <c r="B12" t="s">
        <v>72</v>
      </c>
    </row>
    <row r="13" spans="1:5" x14ac:dyDescent="0.35">
      <c r="A13" s="19" t="s">
        <v>68</v>
      </c>
      <c r="B13" s="18">
        <v>1.9830508474576272</v>
      </c>
      <c r="D13" s="18" t="str">
        <f>A13</f>
        <v>Barisal</v>
      </c>
      <c r="E13" s="18">
        <f>B13</f>
        <v>1.9830508474576272</v>
      </c>
    </row>
    <row r="14" spans="1:5" x14ac:dyDescent="0.35">
      <c r="A14" s="19" t="s">
        <v>67</v>
      </c>
      <c r="B14" s="18">
        <v>1.9767441860465116</v>
      </c>
      <c r="D14" s="18" t="str">
        <f t="shared" ref="D14:D17" si="0">A14</f>
        <v>Chittagong</v>
      </c>
      <c r="E14" s="18">
        <f t="shared" ref="E14:E17" si="1">B14</f>
        <v>1.9767441860465116</v>
      </c>
    </row>
    <row r="15" spans="1:5" x14ac:dyDescent="0.35">
      <c r="A15" s="19" t="s">
        <v>64</v>
      </c>
      <c r="B15" s="18">
        <v>2</v>
      </c>
      <c r="D15" s="18" t="str">
        <f t="shared" si="0"/>
        <v>Dhaka</v>
      </c>
      <c r="E15" s="18">
        <f t="shared" si="1"/>
        <v>2</v>
      </c>
    </row>
    <row r="16" spans="1:5" x14ac:dyDescent="0.35">
      <c r="A16" s="19" t="s">
        <v>65</v>
      </c>
      <c r="B16" s="18">
        <v>1.9787234042553192</v>
      </c>
      <c r="D16" s="18" t="str">
        <f t="shared" si="0"/>
        <v>Rangpur</v>
      </c>
      <c r="E16" s="18">
        <f t="shared" si="1"/>
        <v>1.9787234042553192</v>
      </c>
    </row>
    <row r="17" spans="1:5" x14ac:dyDescent="0.35">
      <c r="A17" s="19" t="s">
        <v>66</v>
      </c>
      <c r="B17" s="18">
        <v>1.9545454545454546</v>
      </c>
      <c r="D17" s="18" t="str">
        <f t="shared" si="0"/>
        <v>Sylhet</v>
      </c>
      <c r="E17" s="18">
        <f t="shared" si="1"/>
        <v>1.9545454545454546</v>
      </c>
    </row>
    <row r="18" spans="1:5" x14ac:dyDescent="0.35">
      <c r="A18" s="19" t="s">
        <v>37</v>
      </c>
      <c r="B18" s="18">
        <v>1.9807692307692308</v>
      </c>
    </row>
    <row r="22" spans="1:5" x14ac:dyDescent="0.35">
      <c r="B22" s="6" t="s">
        <v>70</v>
      </c>
      <c r="C22" t="s">
        <v>41</v>
      </c>
    </row>
    <row r="23" spans="1:5" x14ac:dyDescent="0.35">
      <c r="B23" s="7" t="s">
        <v>47</v>
      </c>
      <c r="C23" s="9">
        <v>57863.17</v>
      </c>
    </row>
    <row r="24" spans="1:5" x14ac:dyDescent="0.35">
      <c r="B24" s="7" t="s">
        <v>48</v>
      </c>
      <c r="C24" s="9">
        <v>59230.42</v>
      </c>
    </row>
    <row r="25" spans="1:5" x14ac:dyDescent="0.35">
      <c r="B25" s="7" t="s">
        <v>49</v>
      </c>
      <c r="C25" s="9">
        <v>60127</v>
      </c>
    </row>
    <row r="26" spans="1:5" x14ac:dyDescent="0.35">
      <c r="B26" s="7" t="s">
        <v>50</v>
      </c>
      <c r="C26" s="9">
        <v>58604.41</v>
      </c>
    </row>
    <row r="27" spans="1:5" x14ac:dyDescent="0.35">
      <c r="B27" s="7" t="s">
        <v>51</v>
      </c>
      <c r="C27" s="9">
        <v>58564.01999999999</v>
      </c>
    </row>
    <row r="28" spans="1:5" x14ac:dyDescent="0.35">
      <c r="B28" s="7" t="s">
        <v>52</v>
      </c>
      <c r="C28" s="9">
        <v>58260.729999999996</v>
      </c>
    </row>
    <row r="29" spans="1:5" x14ac:dyDescent="0.35">
      <c r="B29" s="7" t="s">
        <v>53</v>
      </c>
      <c r="C29" s="9">
        <v>58845.83</v>
      </c>
    </row>
    <row r="30" spans="1:5" x14ac:dyDescent="0.35">
      <c r="B30" s="7" t="s">
        <v>54</v>
      </c>
      <c r="C30" s="9">
        <v>58668.120000000017</v>
      </c>
    </row>
    <row r="31" spans="1:5" x14ac:dyDescent="0.35">
      <c r="B31" s="7" t="s">
        <v>55</v>
      </c>
      <c r="C31" s="9">
        <v>59025.210000000006</v>
      </c>
    </row>
    <row r="32" spans="1:5" x14ac:dyDescent="0.35">
      <c r="B32" s="7" t="s">
        <v>56</v>
      </c>
      <c r="C32" s="9">
        <v>58653.95</v>
      </c>
    </row>
    <row r="33" spans="2:3" x14ac:dyDescent="0.35">
      <c r="B33" s="7" t="s">
        <v>57</v>
      </c>
      <c r="C33" s="9">
        <v>59136.610000000008</v>
      </c>
    </row>
    <row r="34" spans="2:3" x14ac:dyDescent="0.35">
      <c r="B34" s="7" t="s">
        <v>58</v>
      </c>
      <c r="C34" s="9">
        <v>59215.419999999984</v>
      </c>
    </row>
    <row r="35" spans="2:3" x14ac:dyDescent="0.35">
      <c r="B35" s="19" t="s">
        <v>37</v>
      </c>
      <c r="C35" s="18">
        <v>706194.8899999999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5A37-01CC-4F49-A298-C6200BD270EA}">
  <dimension ref="A1:Q142"/>
  <sheetViews>
    <sheetView showGridLines="0" tabSelected="1" workbookViewId="0">
      <selection activeCell="F14" sqref="F14"/>
    </sheetView>
  </sheetViews>
  <sheetFormatPr defaultRowHeight="14.5" x14ac:dyDescent="0.35"/>
  <cols>
    <col min="1" max="2" width="8.7265625" style="15"/>
    <col min="3" max="3" width="3.36328125" style="15" customWidth="1"/>
    <col min="4" max="4" width="10.36328125" style="15" bestFit="1" customWidth="1"/>
    <col min="5" max="5" width="9.90625" style="15" bestFit="1" customWidth="1"/>
    <col min="6" max="6" width="13.26953125" style="15" bestFit="1" customWidth="1"/>
    <col min="7" max="7" width="12.08984375" style="15" bestFit="1" customWidth="1"/>
    <col min="8" max="8" width="12.7265625" style="15" bestFit="1" customWidth="1"/>
    <col min="9" max="16384" width="8.7265625" style="15"/>
  </cols>
  <sheetData>
    <row r="1" spans="1:8" s="28" customFormat="1" x14ac:dyDescent="0.35"/>
    <row r="2" spans="1:8" s="29" customFormat="1" ht="26" x14ac:dyDescent="0.6">
      <c r="A2" s="31" t="s">
        <v>35</v>
      </c>
      <c r="B2" s="31"/>
      <c r="C2" s="31"/>
      <c r="D2" s="31"/>
    </row>
    <row r="3" spans="1:8" s="28" customFormat="1" x14ac:dyDescent="0.35">
      <c r="B3" s="30" t="s">
        <v>73</v>
      </c>
    </row>
    <row r="4" spans="1:8" s="28" customFormat="1" x14ac:dyDescent="0.35"/>
    <row r="5" spans="1:8" s="28" customFormat="1" x14ac:dyDescent="0.35"/>
    <row r="6" spans="1:8" s="28" customFormat="1" x14ac:dyDescent="0.35"/>
    <row r="7" spans="1:8" s="28" customFormat="1" x14ac:dyDescent="0.35"/>
    <row r="8" spans="1:8" x14ac:dyDescent="0.35">
      <c r="D8" s="6" t="s">
        <v>0</v>
      </c>
      <c r="E8" t="s">
        <v>43</v>
      </c>
      <c r="F8" t="s">
        <v>44</v>
      </c>
      <c r="G8" t="s">
        <v>45</v>
      </c>
      <c r="H8" t="s">
        <v>46</v>
      </c>
    </row>
    <row r="9" spans="1:8" x14ac:dyDescent="0.35">
      <c r="D9" t="s">
        <v>24</v>
      </c>
      <c r="E9" s="26">
        <v>1119</v>
      </c>
      <c r="F9" s="26">
        <v>61</v>
      </c>
      <c r="G9" s="26">
        <v>40</v>
      </c>
      <c r="H9" s="10">
        <v>14672.969999999998</v>
      </c>
    </row>
    <row r="10" spans="1:8" x14ac:dyDescent="0.35">
      <c r="D10" t="s">
        <v>10</v>
      </c>
      <c r="E10" s="26">
        <v>907</v>
      </c>
      <c r="F10" s="26">
        <v>141</v>
      </c>
      <c r="G10" s="26">
        <v>53</v>
      </c>
      <c r="H10" s="10">
        <v>45196.26</v>
      </c>
    </row>
    <row r="11" spans="1:8" x14ac:dyDescent="0.35">
      <c r="D11" t="s">
        <v>14</v>
      </c>
      <c r="E11" s="26">
        <v>731</v>
      </c>
      <c r="F11" s="26">
        <v>79</v>
      </c>
      <c r="G11" s="26">
        <v>31</v>
      </c>
      <c r="H11" s="10">
        <v>43859.520000000004</v>
      </c>
    </row>
    <row r="12" spans="1:8" x14ac:dyDescent="0.35">
      <c r="D12" t="s">
        <v>16</v>
      </c>
      <c r="E12" s="26">
        <v>660</v>
      </c>
      <c r="F12" s="26">
        <v>92</v>
      </c>
      <c r="G12" s="26">
        <v>71</v>
      </c>
      <c r="H12" s="10">
        <v>49072.98</v>
      </c>
    </row>
    <row r="13" spans="1:8" x14ac:dyDescent="0.35">
      <c r="D13" t="s">
        <v>18</v>
      </c>
      <c r="E13" s="26">
        <v>806</v>
      </c>
      <c r="F13" s="26">
        <v>184</v>
      </c>
      <c r="G13" s="26">
        <v>100</v>
      </c>
      <c r="H13" s="10">
        <v>12040.489999999998</v>
      </c>
    </row>
    <row r="14" spans="1:8" x14ac:dyDescent="0.35">
      <c r="D14" t="s">
        <v>32</v>
      </c>
      <c r="E14" s="26">
        <v>1180</v>
      </c>
      <c r="F14" s="26">
        <v>173</v>
      </c>
      <c r="G14" s="26">
        <v>4</v>
      </c>
      <c r="H14" s="10">
        <v>34781.939999999995</v>
      </c>
    </row>
    <row r="15" spans="1:8" x14ac:dyDescent="0.35">
      <c r="D15" t="s">
        <v>26</v>
      </c>
      <c r="E15" s="26">
        <v>288</v>
      </c>
      <c r="F15" s="26">
        <v>180</v>
      </c>
      <c r="G15" s="26">
        <v>81</v>
      </c>
      <c r="H15" s="10">
        <v>44979.729999999996</v>
      </c>
    </row>
    <row r="16" spans="1:8" x14ac:dyDescent="0.35">
      <c r="D16" t="s">
        <v>33</v>
      </c>
      <c r="E16" s="26">
        <v>407</v>
      </c>
      <c r="F16" s="26">
        <v>130</v>
      </c>
      <c r="G16" s="26">
        <v>52</v>
      </c>
      <c r="H16" s="10">
        <v>2829.58</v>
      </c>
    </row>
    <row r="17" spans="4:17" ht="13" customHeight="1" x14ac:dyDescent="0.6">
      <c r="D17" s="35" t="s">
        <v>11</v>
      </c>
      <c r="E17" s="37">
        <v>617</v>
      </c>
      <c r="F17" s="37">
        <v>177</v>
      </c>
      <c r="G17" s="37">
        <v>28</v>
      </c>
      <c r="H17" s="36">
        <v>42137.53</v>
      </c>
      <c r="Q17" s="34"/>
    </row>
    <row r="18" spans="4:17" x14ac:dyDescent="0.35">
      <c r="D18" t="s">
        <v>30</v>
      </c>
      <c r="E18" s="26">
        <v>1151</v>
      </c>
      <c r="F18" s="26">
        <v>69</v>
      </c>
      <c r="G18" s="26">
        <v>18</v>
      </c>
      <c r="H18" s="10">
        <v>41544.150000000009</v>
      </c>
    </row>
    <row r="19" spans="4:17" x14ac:dyDescent="0.35">
      <c r="D19" t="s">
        <v>9</v>
      </c>
      <c r="E19" s="26">
        <v>783</v>
      </c>
      <c r="F19" s="26">
        <v>181</v>
      </c>
      <c r="G19" s="26">
        <v>77</v>
      </c>
      <c r="H19" s="10">
        <v>49041</v>
      </c>
    </row>
    <row r="20" spans="4:17" x14ac:dyDescent="0.35">
      <c r="D20" t="s">
        <v>29</v>
      </c>
      <c r="E20" s="26">
        <v>246</v>
      </c>
      <c r="F20" s="26">
        <v>172</v>
      </c>
      <c r="G20" s="26">
        <v>17</v>
      </c>
      <c r="H20" s="10">
        <v>18659.18</v>
      </c>
    </row>
    <row r="21" spans="4:17" x14ac:dyDescent="0.35">
      <c r="D21" t="s">
        <v>22</v>
      </c>
      <c r="E21" s="26">
        <v>379</v>
      </c>
      <c r="F21" s="26">
        <v>87</v>
      </c>
      <c r="G21" s="26">
        <v>18</v>
      </c>
      <c r="H21" s="10">
        <v>45591.429999999993</v>
      </c>
    </row>
    <row r="22" spans="4:17" x14ac:dyDescent="0.35">
      <c r="D22" t="s">
        <v>12</v>
      </c>
      <c r="E22" s="26">
        <v>241</v>
      </c>
      <c r="F22" s="26">
        <v>80</v>
      </c>
      <c r="G22" s="26">
        <v>40</v>
      </c>
      <c r="H22" s="10">
        <v>18368.47</v>
      </c>
    </row>
    <row r="23" spans="4:17" x14ac:dyDescent="0.35">
      <c r="D23" t="s">
        <v>19</v>
      </c>
      <c r="E23" s="26">
        <v>226</v>
      </c>
      <c r="F23" s="26">
        <v>91</v>
      </c>
      <c r="G23" s="26">
        <v>73</v>
      </c>
      <c r="H23" s="10">
        <v>9402.9399999999987</v>
      </c>
    </row>
    <row r="24" spans="4:17" x14ac:dyDescent="0.35">
      <c r="D24" t="s">
        <v>31</v>
      </c>
      <c r="E24" s="26">
        <v>848</v>
      </c>
      <c r="F24" s="26">
        <v>99</v>
      </c>
      <c r="G24" s="26">
        <v>84</v>
      </c>
      <c r="H24" s="10">
        <v>6133.4100000000008</v>
      </c>
    </row>
    <row r="25" spans="4:17" x14ac:dyDescent="0.35">
      <c r="D25" t="s">
        <v>25</v>
      </c>
      <c r="E25" s="26">
        <v>1023</v>
      </c>
      <c r="F25" s="26">
        <v>76</v>
      </c>
      <c r="G25" s="26">
        <v>64</v>
      </c>
      <c r="H25" s="10">
        <v>45365.2</v>
      </c>
    </row>
    <row r="26" spans="4:17" x14ac:dyDescent="0.35">
      <c r="D26" t="s">
        <v>13</v>
      </c>
      <c r="E26" s="26">
        <v>977</v>
      </c>
      <c r="F26" s="26">
        <v>166</v>
      </c>
      <c r="G26" s="26">
        <v>55</v>
      </c>
      <c r="H26" s="10">
        <v>12143.710000000001</v>
      </c>
    </row>
    <row r="27" spans="4:17" x14ac:dyDescent="0.35">
      <c r="D27" t="s">
        <v>23</v>
      </c>
      <c r="E27" s="26">
        <v>747</v>
      </c>
      <c r="F27" s="26">
        <v>97</v>
      </c>
      <c r="G27" s="26">
        <v>31</v>
      </c>
      <c r="H27" s="10">
        <v>7844.18</v>
      </c>
    </row>
    <row r="28" spans="4:17" x14ac:dyDescent="0.35">
      <c r="D28" t="s">
        <v>34</v>
      </c>
      <c r="E28" s="26">
        <v>453</v>
      </c>
      <c r="F28" s="26">
        <v>184</v>
      </c>
      <c r="G28" s="26">
        <v>92</v>
      </c>
      <c r="H28" s="10">
        <v>50524.4</v>
      </c>
    </row>
    <row r="29" spans="4:17" x14ac:dyDescent="0.35">
      <c r="D29" t="s">
        <v>17</v>
      </c>
      <c r="E29" s="26">
        <v>367</v>
      </c>
      <c r="F29" s="26">
        <v>217</v>
      </c>
      <c r="G29" s="26">
        <v>103</v>
      </c>
      <c r="H29" s="10">
        <v>14209.390000000001</v>
      </c>
    </row>
    <row r="30" spans="4:17" x14ac:dyDescent="0.35">
      <c r="D30" t="s">
        <v>21</v>
      </c>
      <c r="E30" s="26">
        <v>882</v>
      </c>
      <c r="F30" s="26">
        <v>225</v>
      </c>
      <c r="G30" s="26">
        <v>30</v>
      </c>
      <c r="H30" s="10">
        <v>4278.2</v>
      </c>
    </row>
    <row r="31" spans="4:17" x14ac:dyDescent="0.35">
      <c r="D31" t="s">
        <v>20</v>
      </c>
      <c r="E31" s="26">
        <v>420</v>
      </c>
      <c r="F31" s="26">
        <v>74</v>
      </c>
      <c r="G31" s="26">
        <v>59</v>
      </c>
      <c r="H31" s="10">
        <v>44146.13</v>
      </c>
    </row>
    <row r="32" spans="4:17" x14ac:dyDescent="0.35">
      <c r="D32" t="s">
        <v>15</v>
      </c>
      <c r="E32" s="26">
        <v>924</v>
      </c>
      <c r="F32" s="26">
        <v>218</v>
      </c>
      <c r="G32" s="26">
        <v>30</v>
      </c>
      <c r="H32" s="10">
        <v>29842.950000000004</v>
      </c>
    </row>
    <row r="33" spans="4:8" x14ac:dyDescent="0.35">
      <c r="D33" t="s">
        <v>28</v>
      </c>
      <c r="E33" s="26">
        <v>831</v>
      </c>
      <c r="F33" s="26">
        <v>154</v>
      </c>
      <c r="G33" s="26">
        <v>4</v>
      </c>
      <c r="H33" s="10">
        <v>14526.439999999999</v>
      </c>
    </row>
    <row r="34" spans="4:8" x14ac:dyDescent="0.35">
      <c r="D34" t="s">
        <v>27</v>
      </c>
      <c r="E34" s="26">
        <v>1087</v>
      </c>
      <c r="F34" s="26">
        <v>212</v>
      </c>
      <c r="G34" s="26">
        <v>54</v>
      </c>
      <c r="H34" s="10">
        <v>5002.7100000000009</v>
      </c>
    </row>
    <row r="35" spans="4:8" x14ac:dyDescent="0.35">
      <c r="D35" t="s">
        <v>37</v>
      </c>
      <c r="E35" s="26">
        <v>18300</v>
      </c>
      <c r="F35" s="26">
        <v>3619</v>
      </c>
      <c r="G35" s="26">
        <v>1309</v>
      </c>
      <c r="H35" s="10">
        <v>706194.8899999999</v>
      </c>
    </row>
    <row r="36" spans="4:8" x14ac:dyDescent="0.35">
      <c r="D36"/>
      <c r="E36"/>
      <c r="F36"/>
    </row>
    <row r="37" spans="4:8" x14ac:dyDescent="0.35">
      <c r="D37"/>
      <c r="E37"/>
      <c r="F37"/>
    </row>
    <row r="38" spans="4:8" x14ac:dyDescent="0.35">
      <c r="D38"/>
      <c r="E38"/>
      <c r="F38"/>
    </row>
    <row r="39" spans="4:8" x14ac:dyDescent="0.35">
      <c r="D39"/>
      <c r="E39"/>
      <c r="F39"/>
    </row>
    <row r="40" spans="4:8" x14ac:dyDescent="0.35">
      <c r="D40"/>
      <c r="E40"/>
      <c r="F40"/>
    </row>
    <row r="41" spans="4:8" x14ac:dyDescent="0.35">
      <c r="D41"/>
      <c r="E41"/>
      <c r="F41"/>
    </row>
    <row r="42" spans="4:8" x14ac:dyDescent="0.35">
      <c r="D42"/>
      <c r="E42"/>
      <c r="F42"/>
    </row>
    <row r="43" spans="4:8" x14ac:dyDescent="0.35">
      <c r="D43"/>
      <c r="E43"/>
      <c r="F43"/>
    </row>
    <row r="44" spans="4:8" x14ac:dyDescent="0.35">
      <c r="D44"/>
      <c r="E44"/>
      <c r="F44"/>
    </row>
    <row r="45" spans="4:8" x14ac:dyDescent="0.35">
      <c r="D45"/>
      <c r="E45"/>
      <c r="F45"/>
    </row>
    <row r="46" spans="4:8" x14ac:dyDescent="0.35">
      <c r="D46"/>
      <c r="E46"/>
      <c r="F46"/>
    </row>
    <row r="47" spans="4:8" x14ac:dyDescent="0.35">
      <c r="D47"/>
      <c r="E47"/>
      <c r="F47"/>
    </row>
    <row r="48" spans="4:8" x14ac:dyDescent="0.35">
      <c r="D48"/>
      <c r="E48"/>
      <c r="F48"/>
    </row>
    <row r="49" spans="4:6" x14ac:dyDescent="0.35">
      <c r="D49"/>
      <c r="E49"/>
      <c r="F49"/>
    </row>
    <row r="50" spans="4:6" x14ac:dyDescent="0.35">
      <c r="D50"/>
      <c r="E50"/>
      <c r="F50"/>
    </row>
    <row r="51" spans="4:6" x14ac:dyDescent="0.35">
      <c r="D51"/>
      <c r="E51"/>
      <c r="F51"/>
    </row>
    <row r="52" spans="4:6" x14ac:dyDescent="0.35">
      <c r="D52"/>
      <c r="E52"/>
      <c r="F52"/>
    </row>
    <row r="53" spans="4:6" x14ac:dyDescent="0.35">
      <c r="D53"/>
      <c r="E53"/>
      <c r="F53"/>
    </row>
    <row r="54" spans="4:6" x14ac:dyDescent="0.35">
      <c r="D54"/>
      <c r="E54"/>
      <c r="F54"/>
    </row>
    <row r="55" spans="4:6" x14ac:dyDescent="0.35">
      <c r="D55"/>
      <c r="E55"/>
      <c r="F55"/>
    </row>
    <row r="56" spans="4:6" x14ac:dyDescent="0.35">
      <c r="D56"/>
      <c r="E56"/>
      <c r="F56"/>
    </row>
    <row r="57" spans="4:6" x14ac:dyDescent="0.35">
      <c r="D57"/>
      <c r="E57"/>
      <c r="F57"/>
    </row>
    <row r="58" spans="4:6" x14ac:dyDescent="0.35">
      <c r="D58"/>
      <c r="E58"/>
      <c r="F58"/>
    </row>
    <row r="59" spans="4:6" x14ac:dyDescent="0.35">
      <c r="D59"/>
      <c r="E59"/>
      <c r="F59"/>
    </row>
    <row r="60" spans="4:6" x14ac:dyDescent="0.35">
      <c r="D60"/>
      <c r="E60"/>
      <c r="F60"/>
    </row>
    <row r="61" spans="4:6" x14ac:dyDescent="0.35">
      <c r="D61"/>
      <c r="E61"/>
      <c r="F61"/>
    </row>
    <row r="62" spans="4:6" x14ac:dyDescent="0.35">
      <c r="D62"/>
      <c r="E62"/>
      <c r="F62"/>
    </row>
    <row r="63" spans="4:6" x14ac:dyDescent="0.35">
      <c r="D63"/>
      <c r="E63"/>
      <c r="F63"/>
    </row>
    <row r="64" spans="4:6" x14ac:dyDescent="0.35">
      <c r="D64"/>
      <c r="E64"/>
      <c r="F64"/>
    </row>
    <row r="65" spans="4:6" x14ac:dyDescent="0.35">
      <c r="D65"/>
      <c r="E65"/>
      <c r="F65"/>
    </row>
    <row r="66" spans="4:6" x14ac:dyDescent="0.35">
      <c r="D66"/>
      <c r="E66"/>
      <c r="F66"/>
    </row>
    <row r="67" spans="4:6" x14ac:dyDescent="0.35">
      <c r="D67"/>
      <c r="E67"/>
      <c r="F67"/>
    </row>
    <row r="68" spans="4:6" x14ac:dyDescent="0.35">
      <c r="D68"/>
      <c r="E68"/>
      <c r="F68"/>
    </row>
    <row r="69" spans="4:6" x14ac:dyDescent="0.35">
      <c r="D69"/>
      <c r="E69"/>
      <c r="F69"/>
    </row>
    <row r="70" spans="4:6" x14ac:dyDescent="0.35">
      <c r="D70"/>
      <c r="E70"/>
      <c r="F70"/>
    </row>
    <row r="71" spans="4:6" x14ac:dyDescent="0.35">
      <c r="D71"/>
      <c r="E71"/>
      <c r="F71"/>
    </row>
    <row r="72" spans="4:6" x14ac:dyDescent="0.35">
      <c r="D72"/>
      <c r="E72"/>
      <c r="F72"/>
    </row>
    <row r="73" spans="4:6" x14ac:dyDescent="0.35">
      <c r="D73"/>
      <c r="E73"/>
      <c r="F73"/>
    </row>
    <row r="74" spans="4:6" x14ac:dyDescent="0.35">
      <c r="D74"/>
      <c r="E74"/>
      <c r="F74"/>
    </row>
    <row r="75" spans="4:6" x14ac:dyDescent="0.35">
      <c r="D75"/>
      <c r="E75"/>
      <c r="F75"/>
    </row>
    <row r="76" spans="4:6" x14ac:dyDescent="0.35">
      <c r="D76"/>
      <c r="E76"/>
      <c r="F76"/>
    </row>
    <row r="77" spans="4:6" x14ac:dyDescent="0.35">
      <c r="D77"/>
      <c r="E77"/>
      <c r="F77"/>
    </row>
    <row r="78" spans="4:6" x14ac:dyDescent="0.35">
      <c r="D78"/>
      <c r="E78"/>
      <c r="F78"/>
    </row>
    <row r="79" spans="4:6" x14ac:dyDescent="0.35">
      <c r="D79"/>
      <c r="E79"/>
      <c r="F79"/>
    </row>
    <row r="80" spans="4:6" x14ac:dyDescent="0.35">
      <c r="D80"/>
      <c r="E80"/>
      <c r="F80"/>
    </row>
    <row r="81" spans="4:6" x14ac:dyDescent="0.35">
      <c r="D81"/>
      <c r="E81"/>
      <c r="F81"/>
    </row>
    <row r="82" spans="4:6" x14ac:dyDescent="0.35">
      <c r="D82"/>
      <c r="E82"/>
      <c r="F82"/>
    </row>
    <row r="83" spans="4:6" x14ac:dyDescent="0.35">
      <c r="D83"/>
      <c r="E83"/>
      <c r="F83"/>
    </row>
    <row r="84" spans="4:6" x14ac:dyDescent="0.35">
      <c r="D84"/>
      <c r="E84"/>
      <c r="F84"/>
    </row>
    <row r="85" spans="4:6" x14ac:dyDescent="0.35">
      <c r="D85"/>
      <c r="E85"/>
      <c r="F85"/>
    </row>
    <row r="86" spans="4:6" x14ac:dyDescent="0.35">
      <c r="D86"/>
      <c r="E86"/>
      <c r="F86"/>
    </row>
    <row r="87" spans="4:6" x14ac:dyDescent="0.35">
      <c r="D87"/>
      <c r="E87"/>
      <c r="F87"/>
    </row>
    <row r="88" spans="4:6" x14ac:dyDescent="0.35">
      <c r="D88"/>
      <c r="E88"/>
      <c r="F88"/>
    </row>
    <row r="89" spans="4:6" x14ac:dyDescent="0.35">
      <c r="D89"/>
      <c r="E89"/>
      <c r="F89"/>
    </row>
    <row r="90" spans="4:6" x14ac:dyDescent="0.35">
      <c r="D90"/>
      <c r="E90"/>
      <c r="F90"/>
    </row>
    <row r="91" spans="4:6" x14ac:dyDescent="0.35">
      <c r="D91"/>
      <c r="E91"/>
      <c r="F91"/>
    </row>
    <row r="92" spans="4:6" x14ac:dyDescent="0.35">
      <c r="D92"/>
      <c r="E92"/>
      <c r="F92"/>
    </row>
    <row r="93" spans="4:6" x14ac:dyDescent="0.35">
      <c r="D93"/>
      <c r="E93"/>
      <c r="F93"/>
    </row>
    <row r="94" spans="4:6" x14ac:dyDescent="0.35">
      <c r="D94"/>
      <c r="E94"/>
      <c r="F94"/>
    </row>
    <row r="95" spans="4:6" x14ac:dyDescent="0.35">
      <c r="D95"/>
      <c r="E95"/>
      <c r="F95"/>
    </row>
    <row r="96" spans="4:6" x14ac:dyDescent="0.35">
      <c r="D96"/>
      <c r="E96"/>
      <c r="F96"/>
    </row>
    <row r="97" spans="4:6" x14ac:dyDescent="0.35">
      <c r="D97"/>
      <c r="E97"/>
      <c r="F97"/>
    </row>
    <row r="98" spans="4:6" x14ac:dyDescent="0.35">
      <c r="D98"/>
      <c r="E98"/>
      <c r="F98"/>
    </row>
    <row r="99" spans="4:6" x14ac:dyDescent="0.35">
      <c r="D99"/>
      <c r="E99"/>
      <c r="F99"/>
    </row>
    <row r="100" spans="4:6" x14ac:dyDescent="0.35">
      <c r="D100"/>
      <c r="E100"/>
      <c r="F100"/>
    </row>
    <row r="101" spans="4:6" x14ac:dyDescent="0.35">
      <c r="D101"/>
      <c r="E101"/>
      <c r="F101"/>
    </row>
    <row r="102" spans="4:6" x14ac:dyDescent="0.35">
      <c r="D102"/>
      <c r="E102"/>
      <c r="F102"/>
    </row>
    <row r="103" spans="4:6" x14ac:dyDescent="0.35">
      <c r="D103"/>
      <c r="E103"/>
      <c r="F103"/>
    </row>
    <row r="104" spans="4:6" x14ac:dyDescent="0.35">
      <c r="D104"/>
      <c r="E104"/>
      <c r="F104"/>
    </row>
    <row r="105" spans="4:6" x14ac:dyDescent="0.35">
      <c r="D105"/>
      <c r="E105"/>
      <c r="F105"/>
    </row>
    <row r="106" spans="4:6" x14ac:dyDescent="0.35">
      <c r="D106"/>
      <c r="E106"/>
      <c r="F106"/>
    </row>
    <row r="107" spans="4:6" x14ac:dyDescent="0.35">
      <c r="D107"/>
      <c r="E107"/>
      <c r="F107"/>
    </row>
    <row r="108" spans="4:6" x14ac:dyDescent="0.35">
      <c r="D108"/>
      <c r="E108"/>
      <c r="F108"/>
    </row>
    <row r="109" spans="4:6" x14ac:dyDescent="0.35">
      <c r="D109"/>
      <c r="E109"/>
      <c r="F109"/>
    </row>
    <row r="110" spans="4:6" x14ac:dyDescent="0.35">
      <c r="D110"/>
      <c r="E110"/>
      <c r="F110"/>
    </row>
    <row r="111" spans="4:6" x14ac:dyDescent="0.35">
      <c r="D111"/>
      <c r="E111"/>
      <c r="F111"/>
    </row>
    <row r="112" spans="4:6" x14ac:dyDescent="0.35">
      <c r="D112"/>
      <c r="E112"/>
      <c r="F112"/>
    </row>
    <row r="113" spans="4:6" x14ac:dyDescent="0.35">
      <c r="D113"/>
      <c r="E113"/>
      <c r="F113"/>
    </row>
    <row r="114" spans="4:6" x14ac:dyDescent="0.35">
      <c r="D114"/>
      <c r="E114"/>
      <c r="F114"/>
    </row>
    <row r="115" spans="4:6" x14ac:dyDescent="0.35">
      <c r="D115"/>
      <c r="E115"/>
      <c r="F115"/>
    </row>
    <row r="116" spans="4:6" x14ac:dyDescent="0.35">
      <c r="D116"/>
      <c r="E116"/>
      <c r="F116"/>
    </row>
    <row r="117" spans="4:6" x14ac:dyDescent="0.35">
      <c r="D117"/>
      <c r="E117"/>
    </row>
    <row r="118" spans="4:6" x14ac:dyDescent="0.35">
      <c r="D118"/>
      <c r="E118"/>
    </row>
    <row r="119" spans="4:6" x14ac:dyDescent="0.35">
      <c r="D119"/>
      <c r="E119"/>
    </row>
    <row r="120" spans="4:6" x14ac:dyDescent="0.35">
      <c r="D120"/>
      <c r="E120"/>
    </row>
    <row r="121" spans="4:6" x14ac:dyDescent="0.35">
      <c r="D121"/>
      <c r="E121"/>
    </row>
    <row r="122" spans="4:6" x14ac:dyDescent="0.35">
      <c r="D122"/>
      <c r="E122"/>
    </row>
    <row r="123" spans="4:6" x14ac:dyDescent="0.35">
      <c r="D123"/>
      <c r="E123"/>
    </row>
    <row r="124" spans="4:6" x14ac:dyDescent="0.35">
      <c r="D124"/>
      <c r="E124"/>
    </row>
    <row r="125" spans="4:6" x14ac:dyDescent="0.35">
      <c r="D125"/>
      <c r="E125"/>
    </row>
    <row r="126" spans="4:6" x14ac:dyDescent="0.35">
      <c r="D126"/>
      <c r="E126"/>
    </row>
    <row r="127" spans="4:6" x14ac:dyDescent="0.35">
      <c r="D127"/>
      <c r="E127"/>
    </row>
    <row r="128" spans="4:6" x14ac:dyDescent="0.35">
      <c r="D128"/>
      <c r="E128"/>
    </row>
    <row r="129" spans="4:5" x14ac:dyDescent="0.35">
      <c r="D129"/>
      <c r="E129"/>
    </row>
    <row r="130" spans="4:5" x14ac:dyDescent="0.35">
      <c r="D130"/>
      <c r="E130"/>
    </row>
    <row r="131" spans="4:5" x14ac:dyDescent="0.35">
      <c r="D131"/>
      <c r="E131"/>
    </row>
    <row r="132" spans="4:5" x14ac:dyDescent="0.35">
      <c r="D132"/>
      <c r="E132"/>
    </row>
    <row r="133" spans="4:5" x14ac:dyDescent="0.35">
      <c r="D133"/>
      <c r="E133"/>
    </row>
    <row r="134" spans="4:5" x14ac:dyDescent="0.35">
      <c r="D134"/>
      <c r="E134"/>
    </row>
    <row r="135" spans="4:5" x14ac:dyDescent="0.35">
      <c r="D135"/>
      <c r="E135"/>
    </row>
    <row r="136" spans="4:5" x14ac:dyDescent="0.35">
      <c r="D136"/>
      <c r="E136"/>
    </row>
    <row r="137" spans="4:5" x14ac:dyDescent="0.35">
      <c r="D137"/>
      <c r="E137"/>
    </row>
    <row r="138" spans="4:5" x14ac:dyDescent="0.35">
      <c r="D138"/>
      <c r="E138"/>
    </row>
    <row r="139" spans="4:5" x14ac:dyDescent="0.35">
      <c r="D139"/>
      <c r="E139"/>
    </row>
    <row r="140" spans="4:5" x14ac:dyDescent="0.35">
      <c r="D140"/>
      <c r="E140"/>
    </row>
    <row r="141" spans="4:5" x14ac:dyDescent="0.35">
      <c r="D141"/>
      <c r="E141"/>
    </row>
    <row r="142" spans="4:5" x14ac:dyDescent="0.35">
      <c r="D142"/>
      <c r="E142"/>
    </row>
  </sheetData>
  <conditionalFormatting pivot="1" sqref="E9:E34">
    <cfRule type="dataBar" priority="4">
      <dataBar>
        <cfvo type="min"/>
        <cfvo type="max"/>
        <color rgb="FFFFB628"/>
      </dataBar>
      <extLst>
        <ext xmlns:x14="http://schemas.microsoft.com/office/spreadsheetml/2009/9/main" uri="{B025F937-C7B1-47D3-B67F-A62EFF666E3E}">
          <x14:id>{18F9FEC8-ED92-444F-8662-46411BF116E9}</x14:id>
        </ext>
      </extLst>
    </cfRule>
  </conditionalFormatting>
  <conditionalFormatting pivot="1" sqref="F9:F34">
    <cfRule type="dataBar" priority="3">
      <dataBar>
        <cfvo type="min"/>
        <cfvo type="max"/>
        <color rgb="FF008AEF"/>
      </dataBar>
      <extLst>
        <ext xmlns:x14="http://schemas.microsoft.com/office/spreadsheetml/2009/9/main" uri="{B025F937-C7B1-47D3-B67F-A62EFF666E3E}">
          <x14:id>{83F45F93-CAEC-47D7-8249-D9DBB2FE3844}</x14:id>
        </ext>
      </extLst>
    </cfRule>
  </conditionalFormatting>
  <conditionalFormatting pivot="1" sqref="G9:G34">
    <cfRule type="dataBar" priority="2">
      <dataBar>
        <cfvo type="min"/>
        <cfvo type="max"/>
        <color rgb="FF63C384"/>
      </dataBar>
      <extLst>
        <ext xmlns:x14="http://schemas.microsoft.com/office/spreadsheetml/2009/9/main" uri="{B025F937-C7B1-47D3-B67F-A62EFF666E3E}">
          <x14:id>{27441EA6-28F9-4F55-8B62-DC1FF362FA6F}</x14:id>
        </ext>
      </extLst>
    </cfRule>
  </conditionalFormatting>
  <conditionalFormatting pivot="1" sqref="H9:H33">
    <cfRule type="dataBar" priority="1">
      <dataBar>
        <cfvo type="min"/>
        <cfvo type="max"/>
        <color rgb="FF638EC6"/>
      </dataBar>
      <extLst>
        <ext xmlns:x14="http://schemas.microsoft.com/office/spreadsheetml/2009/9/main" uri="{B025F937-C7B1-47D3-B67F-A62EFF666E3E}">
          <x14:id>{2BEBFB3C-67CD-4EA6-B4D3-8EB9B508C6FF}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18F9FEC8-ED92-444F-8662-46411BF116E9}">
            <x14:dataBar minLength="0" maxLength="100">
              <x14:cfvo type="autoMin"/>
              <x14:cfvo type="autoMax"/>
              <x14:negativeFillColor rgb="FFFF0000"/>
              <x14:axisColor rgb="FF000000"/>
            </x14:dataBar>
          </x14:cfRule>
          <xm:sqref>E9:E34</xm:sqref>
        </x14:conditionalFormatting>
        <x14:conditionalFormatting xmlns:xm="http://schemas.microsoft.com/office/excel/2006/main" pivot="1">
          <x14:cfRule type="dataBar" id="{83F45F93-CAEC-47D7-8249-D9DBB2FE3844}">
            <x14:dataBar minLength="0" maxLength="100">
              <x14:cfvo type="autoMin"/>
              <x14:cfvo type="autoMax"/>
              <x14:negativeFillColor rgb="FFFF0000"/>
              <x14:axisColor rgb="FF000000"/>
            </x14:dataBar>
          </x14:cfRule>
          <xm:sqref>F9:F34</xm:sqref>
        </x14:conditionalFormatting>
        <x14:conditionalFormatting xmlns:xm="http://schemas.microsoft.com/office/excel/2006/main" pivot="1">
          <x14:cfRule type="dataBar" id="{27441EA6-28F9-4F55-8B62-DC1FF362FA6F}">
            <x14:dataBar minLength="0" maxLength="100">
              <x14:cfvo type="autoMin"/>
              <x14:cfvo type="autoMax"/>
              <x14:negativeFillColor rgb="FFFF0000"/>
              <x14:axisColor rgb="FF000000"/>
            </x14:dataBar>
          </x14:cfRule>
          <xm:sqref>G9:G34</xm:sqref>
        </x14:conditionalFormatting>
        <x14:conditionalFormatting xmlns:xm="http://schemas.microsoft.com/office/excel/2006/main" pivot="1">
          <x14:cfRule type="dataBar" id="{2BEBFB3C-67CD-4EA6-B4D3-8EB9B508C6FF}">
            <x14:dataBar minLength="0" maxLength="100">
              <x14:cfvo type="autoMin"/>
              <x14:cfvo type="autoMax"/>
              <x14:negativeFillColor rgb="FFFF0000"/>
              <x14:axisColor rgb="FF000000"/>
            </x14:dataBar>
          </x14:cfRule>
          <xm:sqref>H9:H33</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D9AE-EF87-4454-9285-3C67149C4C2E}">
  <dimension ref="A3:E39"/>
  <sheetViews>
    <sheetView topLeftCell="A10" workbookViewId="0">
      <selection activeCell="D34" sqref="D34:E38"/>
    </sheetView>
  </sheetViews>
  <sheetFormatPr defaultRowHeight="14.5" x14ac:dyDescent="0.35"/>
  <cols>
    <col min="1" max="1" width="12.453125" bestFit="1" customWidth="1"/>
    <col min="2" max="2" width="20.81640625" bestFit="1" customWidth="1"/>
    <col min="3" max="3" width="18.08984375" bestFit="1" customWidth="1"/>
    <col min="4" max="4" width="18.7265625" bestFit="1" customWidth="1"/>
    <col min="5" max="5" width="15.08984375" bestFit="1" customWidth="1"/>
  </cols>
  <sheetData>
    <row r="3" spans="1:2" x14ac:dyDescent="0.35">
      <c r="A3" s="6" t="s">
        <v>42</v>
      </c>
    </row>
    <row r="4" spans="1:2" x14ac:dyDescent="0.35">
      <c r="A4" s="7" t="s">
        <v>43</v>
      </c>
      <c r="B4" s="9">
        <v>18300</v>
      </c>
    </row>
    <row r="5" spans="1:2" x14ac:dyDescent="0.35">
      <c r="A5" s="7" t="s">
        <v>44</v>
      </c>
      <c r="B5" s="9">
        <v>3619</v>
      </c>
    </row>
    <row r="6" spans="1:2" x14ac:dyDescent="0.35">
      <c r="A6" s="7" t="s">
        <v>45</v>
      </c>
      <c r="B6" s="9">
        <v>1309</v>
      </c>
    </row>
    <row r="7" spans="1:2" x14ac:dyDescent="0.35">
      <c r="A7" s="7" t="s">
        <v>46</v>
      </c>
      <c r="B7" s="32">
        <v>706194.88999999966</v>
      </c>
    </row>
    <row r="13" spans="1:2" x14ac:dyDescent="0.35">
      <c r="A13" s="6" t="s">
        <v>70</v>
      </c>
      <c r="B13" t="s">
        <v>46</v>
      </c>
    </row>
    <row r="14" spans="1:2" x14ac:dyDescent="0.35">
      <c r="A14" s="7" t="s">
        <v>47</v>
      </c>
      <c r="B14" s="32">
        <v>57863.17</v>
      </c>
    </row>
    <row r="15" spans="1:2" x14ac:dyDescent="0.35">
      <c r="A15" s="7" t="s">
        <v>48</v>
      </c>
      <c r="B15" s="32">
        <v>59230.42</v>
      </c>
    </row>
    <row r="16" spans="1:2" x14ac:dyDescent="0.35">
      <c r="A16" s="7" t="s">
        <v>49</v>
      </c>
      <c r="B16" s="32">
        <v>60127</v>
      </c>
    </row>
    <row r="17" spans="1:2" x14ac:dyDescent="0.35">
      <c r="A17" s="7" t="s">
        <v>50</v>
      </c>
      <c r="B17" s="32">
        <v>58604.41</v>
      </c>
    </row>
    <row r="18" spans="1:2" x14ac:dyDescent="0.35">
      <c r="A18" s="7" t="s">
        <v>51</v>
      </c>
      <c r="B18" s="32">
        <v>58564.01999999999</v>
      </c>
    </row>
    <row r="19" spans="1:2" x14ac:dyDescent="0.35">
      <c r="A19" s="7" t="s">
        <v>52</v>
      </c>
      <c r="B19" s="32">
        <v>58260.729999999996</v>
      </c>
    </row>
    <row r="20" spans="1:2" x14ac:dyDescent="0.35">
      <c r="A20" s="7" t="s">
        <v>53</v>
      </c>
      <c r="B20" s="32">
        <v>58845.83</v>
      </c>
    </row>
    <row r="21" spans="1:2" x14ac:dyDescent="0.35">
      <c r="A21" s="7" t="s">
        <v>54</v>
      </c>
      <c r="B21" s="32">
        <v>58668.120000000017</v>
      </c>
    </row>
    <row r="22" spans="1:2" x14ac:dyDescent="0.35">
      <c r="A22" s="7" t="s">
        <v>55</v>
      </c>
      <c r="B22" s="32">
        <v>59025.210000000006</v>
      </c>
    </row>
    <row r="23" spans="1:2" x14ac:dyDescent="0.35">
      <c r="A23" s="7" t="s">
        <v>56</v>
      </c>
      <c r="B23" s="32">
        <v>58653.95</v>
      </c>
    </row>
    <row r="24" spans="1:2" x14ac:dyDescent="0.35">
      <c r="A24" s="7" t="s">
        <v>57</v>
      </c>
      <c r="B24" s="32">
        <v>59136.610000000008</v>
      </c>
    </row>
    <row r="25" spans="1:2" x14ac:dyDescent="0.35">
      <c r="A25" s="7" t="s">
        <v>58</v>
      </c>
      <c r="B25" s="32">
        <v>59215.419999999984</v>
      </c>
    </row>
    <row r="26" spans="1:2" x14ac:dyDescent="0.35">
      <c r="A26" s="7" t="s">
        <v>37</v>
      </c>
      <c r="B26" s="32">
        <v>706194.8899999999</v>
      </c>
    </row>
    <row r="33" spans="1:5" x14ac:dyDescent="0.35">
      <c r="A33" s="6" t="s">
        <v>70</v>
      </c>
      <c r="B33" t="s">
        <v>72</v>
      </c>
      <c r="D33" s="33" t="s">
        <v>74</v>
      </c>
      <c r="E33" s="33" t="s">
        <v>75</v>
      </c>
    </row>
    <row r="34" spans="1:5" x14ac:dyDescent="0.35">
      <c r="A34" s="7" t="s">
        <v>68</v>
      </c>
      <c r="B34" s="10">
        <v>1.9830508474576272</v>
      </c>
      <c r="D34" t="str">
        <f>A34</f>
        <v>Barisal</v>
      </c>
      <c r="E34" s="10">
        <f>B34</f>
        <v>1.9830508474576272</v>
      </c>
    </row>
    <row r="35" spans="1:5" x14ac:dyDescent="0.35">
      <c r="A35" s="7" t="s">
        <v>67</v>
      </c>
      <c r="B35" s="10">
        <v>1.9767441860465116</v>
      </c>
      <c r="D35" t="str">
        <f t="shared" ref="D35:D38" si="0">A35</f>
        <v>Chittagong</v>
      </c>
      <c r="E35" s="10">
        <f t="shared" ref="E35:E38" si="1">B35</f>
        <v>1.9767441860465116</v>
      </c>
    </row>
    <row r="36" spans="1:5" x14ac:dyDescent="0.35">
      <c r="A36" s="7" t="s">
        <v>64</v>
      </c>
      <c r="B36" s="10">
        <v>2</v>
      </c>
      <c r="D36" t="str">
        <f t="shared" si="0"/>
        <v>Dhaka</v>
      </c>
      <c r="E36" s="10">
        <f t="shared" si="1"/>
        <v>2</v>
      </c>
    </row>
    <row r="37" spans="1:5" x14ac:dyDescent="0.35">
      <c r="A37" s="7" t="s">
        <v>65</v>
      </c>
      <c r="B37" s="10">
        <v>1.9787234042553192</v>
      </c>
      <c r="D37" t="str">
        <f t="shared" si="0"/>
        <v>Rangpur</v>
      </c>
      <c r="E37" s="10">
        <f t="shared" si="1"/>
        <v>1.9787234042553192</v>
      </c>
    </row>
    <row r="38" spans="1:5" x14ac:dyDescent="0.35">
      <c r="A38" s="7" t="s">
        <v>66</v>
      </c>
      <c r="B38" s="10">
        <v>1.9545454545454546</v>
      </c>
      <c r="D38" t="str">
        <f t="shared" si="0"/>
        <v>Sylhet</v>
      </c>
      <c r="E38" s="10">
        <f t="shared" si="1"/>
        <v>1.9545454545454546</v>
      </c>
    </row>
    <row r="39" spans="1:5" x14ac:dyDescent="0.35">
      <c r="A39" s="7" t="s">
        <v>37</v>
      </c>
      <c r="B39" s="10">
        <v>1.9807692307692308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15376-A91B-4A57-9E13-20BB9E740A44}">
  <dimension ref="A1:K313"/>
  <sheetViews>
    <sheetView workbookViewId="0"/>
  </sheetViews>
  <sheetFormatPr defaultRowHeight="14.5" x14ac:dyDescent="0.35"/>
  <cols>
    <col min="1" max="1" width="19.36328125" customWidth="1"/>
    <col min="2" max="2" width="13" customWidth="1"/>
    <col min="3" max="3" width="8.08984375" bestFit="1" customWidth="1"/>
    <col min="4" max="4" width="11.81640625" bestFit="1" customWidth="1"/>
    <col min="5" max="5" width="15.1796875" bestFit="1" customWidth="1"/>
    <col min="6" max="6" width="22" bestFit="1" customWidth="1"/>
    <col min="7" max="7" width="14" bestFit="1" customWidth="1"/>
    <col min="8" max="8" width="23.90625" bestFit="1" customWidth="1"/>
    <col min="9" max="9" width="14.6328125" bestFit="1" customWidth="1"/>
    <col min="10" max="10" width="14" bestFit="1" customWidth="1"/>
    <col min="11" max="11" width="18.26953125" bestFit="1" customWidth="1"/>
  </cols>
  <sheetData>
    <row r="1" spans="1:11" x14ac:dyDescent="0.35">
      <c r="A1" t="s">
        <v>0</v>
      </c>
      <c r="B1" t="s">
        <v>62</v>
      </c>
      <c r="C1" s="1" t="s">
        <v>1</v>
      </c>
      <c r="D1" t="s">
        <v>2</v>
      </c>
      <c r="E1" t="s">
        <v>3</v>
      </c>
      <c r="F1" t="s">
        <v>4</v>
      </c>
      <c r="G1" t="s">
        <v>5</v>
      </c>
      <c r="H1" s="2" t="s">
        <v>6</v>
      </c>
      <c r="I1" t="s">
        <v>7</v>
      </c>
      <c r="J1" t="s">
        <v>63</v>
      </c>
      <c r="K1" t="s">
        <v>8</v>
      </c>
    </row>
    <row r="2" spans="1:11" x14ac:dyDescent="0.35">
      <c r="A2" t="s">
        <v>9</v>
      </c>
      <c r="B2" t="s">
        <v>64</v>
      </c>
      <c r="C2" s="1">
        <v>45292</v>
      </c>
      <c r="D2">
        <v>74</v>
      </c>
      <c r="E2">
        <v>12</v>
      </c>
      <c r="F2">
        <v>330.42</v>
      </c>
      <c r="G2">
        <v>7</v>
      </c>
      <c r="H2" s="2">
        <v>0.58333333333333337</v>
      </c>
      <c r="I2">
        <v>4276.3100000000004</v>
      </c>
      <c r="J2">
        <v>3</v>
      </c>
      <c r="K2" s="2">
        <v>2.9500000000000002E-2</v>
      </c>
    </row>
    <row r="3" spans="1:11" x14ac:dyDescent="0.35">
      <c r="A3" t="s">
        <v>10</v>
      </c>
      <c r="B3" t="s">
        <v>64</v>
      </c>
      <c r="C3" s="1">
        <v>45292</v>
      </c>
      <c r="D3">
        <v>78</v>
      </c>
      <c r="E3">
        <v>12</v>
      </c>
      <c r="F3">
        <v>377.5</v>
      </c>
      <c r="G3">
        <v>4</v>
      </c>
      <c r="H3" s="2">
        <v>0.33333333333333331</v>
      </c>
      <c r="I3">
        <v>3880.98</v>
      </c>
      <c r="J3">
        <v>2</v>
      </c>
      <c r="K3" s="2">
        <v>4.3400000000000001E-2</v>
      </c>
    </row>
    <row r="4" spans="1:11" x14ac:dyDescent="0.35">
      <c r="A4" t="s">
        <v>11</v>
      </c>
      <c r="B4" t="s">
        <v>64</v>
      </c>
      <c r="C4" s="1">
        <v>45292</v>
      </c>
      <c r="D4">
        <v>47</v>
      </c>
      <c r="E4">
        <v>14</v>
      </c>
      <c r="F4">
        <v>418.92</v>
      </c>
      <c r="G4">
        <v>2</v>
      </c>
      <c r="H4" s="2">
        <v>0.14285714285714285</v>
      </c>
      <c r="I4">
        <v>3716</v>
      </c>
      <c r="J4">
        <v>1</v>
      </c>
      <c r="K4" s="2">
        <v>4.3899999999999995E-2</v>
      </c>
    </row>
    <row r="5" spans="1:11" x14ac:dyDescent="0.35">
      <c r="A5" t="s">
        <v>12</v>
      </c>
      <c r="B5" t="s">
        <v>64</v>
      </c>
      <c r="C5" s="1">
        <v>45292</v>
      </c>
      <c r="D5">
        <v>24</v>
      </c>
      <c r="E5">
        <v>6</v>
      </c>
      <c r="F5">
        <v>76.930000000000007</v>
      </c>
      <c r="G5">
        <v>4</v>
      </c>
      <c r="H5" s="2">
        <v>0.66666666666666663</v>
      </c>
      <c r="I5">
        <v>1552.35</v>
      </c>
      <c r="J5">
        <v>3</v>
      </c>
      <c r="K5" s="2">
        <v>3.0800000000000001E-2</v>
      </c>
    </row>
    <row r="6" spans="1:11" x14ac:dyDescent="0.35">
      <c r="A6" t="s">
        <v>13</v>
      </c>
      <c r="B6" t="s">
        <v>64</v>
      </c>
      <c r="C6" s="1">
        <v>45292</v>
      </c>
      <c r="D6">
        <v>81</v>
      </c>
      <c r="E6">
        <v>16</v>
      </c>
      <c r="F6">
        <v>516.23</v>
      </c>
      <c r="G6">
        <v>5</v>
      </c>
      <c r="H6" s="2">
        <v>0.3125</v>
      </c>
      <c r="I6">
        <v>1030.68</v>
      </c>
      <c r="J6">
        <v>2</v>
      </c>
      <c r="K6" s="2">
        <v>4.1100000000000005E-2</v>
      </c>
    </row>
    <row r="7" spans="1:11" x14ac:dyDescent="0.35">
      <c r="A7" t="s">
        <v>14</v>
      </c>
      <c r="B7" t="s">
        <v>64</v>
      </c>
      <c r="C7" s="1">
        <v>45292</v>
      </c>
      <c r="D7">
        <v>59</v>
      </c>
      <c r="E7">
        <v>5</v>
      </c>
      <c r="F7">
        <v>520.05999999999995</v>
      </c>
      <c r="G7">
        <v>3</v>
      </c>
      <c r="H7" s="2">
        <v>0.6</v>
      </c>
      <c r="I7">
        <v>3546.72</v>
      </c>
      <c r="J7">
        <v>1</v>
      </c>
      <c r="K7" s="2">
        <v>1.2699999999999999E-2</v>
      </c>
    </row>
    <row r="8" spans="1:11" x14ac:dyDescent="0.35">
      <c r="A8" t="s">
        <v>15</v>
      </c>
      <c r="B8" t="s">
        <v>64</v>
      </c>
      <c r="C8" s="1">
        <v>45292</v>
      </c>
      <c r="D8">
        <v>68</v>
      </c>
      <c r="E8">
        <v>19</v>
      </c>
      <c r="F8">
        <v>290.39</v>
      </c>
      <c r="G8">
        <v>3</v>
      </c>
      <c r="H8" s="2">
        <v>0.15789473684210525</v>
      </c>
      <c r="I8">
        <v>2472.2399999999998</v>
      </c>
      <c r="J8">
        <v>3</v>
      </c>
      <c r="K8" s="2">
        <v>9.5399999999999985E-2</v>
      </c>
    </row>
    <row r="9" spans="1:11" x14ac:dyDescent="0.35">
      <c r="A9" t="s">
        <v>16</v>
      </c>
      <c r="B9" t="s">
        <v>64</v>
      </c>
      <c r="C9" s="1">
        <v>45292</v>
      </c>
      <c r="D9">
        <v>60</v>
      </c>
      <c r="E9">
        <v>7</v>
      </c>
      <c r="F9">
        <v>251.7</v>
      </c>
      <c r="G9">
        <v>5</v>
      </c>
      <c r="H9" s="2">
        <v>0.7142857142857143</v>
      </c>
      <c r="I9">
        <v>3956.69</v>
      </c>
      <c r="J9">
        <v>2</v>
      </c>
      <c r="K9" s="2">
        <v>4.1100000000000005E-2</v>
      </c>
    </row>
    <row r="10" spans="1:11" x14ac:dyDescent="0.35">
      <c r="A10" t="s">
        <v>17</v>
      </c>
      <c r="B10" t="s">
        <v>64</v>
      </c>
      <c r="C10" s="1">
        <v>45292</v>
      </c>
      <c r="D10">
        <v>34</v>
      </c>
      <c r="E10">
        <v>21</v>
      </c>
      <c r="F10">
        <v>362.62</v>
      </c>
      <c r="G10">
        <v>9</v>
      </c>
      <c r="H10" s="2">
        <v>0.42857142857142855</v>
      </c>
      <c r="I10">
        <v>1140.08</v>
      </c>
      <c r="J10">
        <v>1</v>
      </c>
      <c r="K10" s="2">
        <v>5.4600000000000003E-2</v>
      </c>
    </row>
    <row r="11" spans="1:11" x14ac:dyDescent="0.35">
      <c r="A11" t="s">
        <v>18</v>
      </c>
      <c r="B11" t="s">
        <v>64</v>
      </c>
      <c r="C11" s="1">
        <v>45292</v>
      </c>
      <c r="D11">
        <v>59</v>
      </c>
      <c r="E11">
        <v>13</v>
      </c>
      <c r="F11">
        <v>307.49</v>
      </c>
      <c r="G11">
        <v>10</v>
      </c>
      <c r="H11" s="2">
        <v>0.76923076923076927</v>
      </c>
      <c r="I11">
        <v>979.09</v>
      </c>
      <c r="J11">
        <v>3</v>
      </c>
      <c r="K11" s="2">
        <v>3.27E-2</v>
      </c>
    </row>
    <row r="12" spans="1:11" x14ac:dyDescent="0.35">
      <c r="A12" t="s">
        <v>19</v>
      </c>
      <c r="B12" t="s">
        <v>64</v>
      </c>
      <c r="C12" s="1">
        <v>45292</v>
      </c>
      <c r="D12">
        <v>18</v>
      </c>
      <c r="E12">
        <v>8</v>
      </c>
      <c r="F12">
        <v>206.81</v>
      </c>
      <c r="G12">
        <v>7</v>
      </c>
      <c r="H12" s="2">
        <v>0.875</v>
      </c>
      <c r="I12">
        <v>720.56</v>
      </c>
      <c r="J12">
        <v>2</v>
      </c>
      <c r="K12" s="2">
        <v>7.8899999999999998E-2</v>
      </c>
    </row>
    <row r="13" spans="1:11" x14ac:dyDescent="0.35">
      <c r="A13" t="s">
        <v>20</v>
      </c>
      <c r="B13" t="s">
        <v>64</v>
      </c>
      <c r="C13" s="1">
        <v>45292</v>
      </c>
      <c r="D13">
        <v>36</v>
      </c>
      <c r="E13">
        <v>6</v>
      </c>
      <c r="F13">
        <v>547.6</v>
      </c>
      <c r="G13">
        <v>5</v>
      </c>
      <c r="H13" s="2">
        <v>0.83333333333333337</v>
      </c>
      <c r="I13">
        <v>3463.18</v>
      </c>
      <c r="J13">
        <v>1</v>
      </c>
      <c r="K13" s="2">
        <v>3.7599999999999995E-2</v>
      </c>
    </row>
    <row r="14" spans="1:11" x14ac:dyDescent="0.35">
      <c r="A14" t="s">
        <v>21</v>
      </c>
      <c r="B14" t="s">
        <v>64</v>
      </c>
      <c r="C14" s="1">
        <v>45292</v>
      </c>
      <c r="D14">
        <v>67</v>
      </c>
      <c r="E14">
        <v>17</v>
      </c>
      <c r="F14">
        <v>552.54999999999995</v>
      </c>
      <c r="G14">
        <v>2</v>
      </c>
      <c r="H14" s="2">
        <v>0.11764705882352941</v>
      </c>
      <c r="I14">
        <v>330.12</v>
      </c>
      <c r="J14">
        <v>1</v>
      </c>
      <c r="K14" s="2">
        <v>3.7200000000000004E-2</v>
      </c>
    </row>
    <row r="15" spans="1:11" x14ac:dyDescent="0.35">
      <c r="A15" t="s">
        <v>22</v>
      </c>
      <c r="B15" t="s">
        <v>64</v>
      </c>
      <c r="C15" s="1">
        <v>45292</v>
      </c>
      <c r="D15">
        <v>36</v>
      </c>
      <c r="E15">
        <v>9</v>
      </c>
      <c r="F15">
        <v>216.03</v>
      </c>
      <c r="G15">
        <v>2</v>
      </c>
      <c r="H15" s="2">
        <v>0.22222222222222221</v>
      </c>
      <c r="I15">
        <v>4072.07</v>
      </c>
      <c r="J15">
        <v>3</v>
      </c>
      <c r="K15" s="2">
        <v>4.1200000000000001E-2</v>
      </c>
    </row>
    <row r="16" spans="1:11" x14ac:dyDescent="0.35">
      <c r="A16" t="s">
        <v>23</v>
      </c>
      <c r="B16" t="s">
        <v>64</v>
      </c>
      <c r="C16" s="1">
        <v>45292</v>
      </c>
      <c r="D16">
        <v>54</v>
      </c>
      <c r="E16">
        <v>10</v>
      </c>
      <c r="F16">
        <v>208.23</v>
      </c>
      <c r="G16">
        <v>3</v>
      </c>
      <c r="H16" s="2">
        <v>0.3</v>
      </c>
      <c r="I16">
        <v>645.83000000000004</v>
      </c>
      <c r="J16">
        <v>2</v>
      </c>
      <c r="K16" s="2">
        <v>2.7999999999999997E-2</v>
      </c>
    </row>
    <row r="17" spans="1:11" x14ac:dyDescent="0.35">
      <c r="A17" t="s">
        <v>24</v>
      </c>
      <c r="B17" t="s">
        <v>64</v>
      </c>
      <c r="C17" s="1">
        <v>45292</v>
      </c>
      <c r="D17">
        <v>82</v>
      </c>
      <c r="E17">
        <v>4</v>
      </c>
      <c r="F17">
        <v>180.06</v>
      </c>
      <c r="G17">
        <v>4</v>
      </c>
      <c r="H17" s="2">
        <v>1</v>
      </c>
      <c r="I17">
        <v>1207.17</v>
      </c>
      <c r="J17">
        <v>1</v>
      </c>
      <c r="K17" s="2">
        <v>8.4199999999999997E-2</v>
      </c>
    </row>
    <row r="18" spans="1:11" x14ac:dyDescent="0.35">
      <c r="A18" t="s">
        <v>25</v>
      </c>
      <c r="B18" t="s">
        <v>64</v>
      </c>
      <c r="C18" s="1">
        <v>45292</v>
      </c>
      <c r="D18">
        <v>81</v>
      </c>
      <c r="E18">
        <v>7</v>
      </c>
      <c r="F18">
        <v>82.43</v>
      </c>
      <c r="G18">
        <v>7</v>
      </c>
      <c r="H18" s="2">
        <v>1</v>
      </c>
      <c r="I18">
        <v>3463.96</v>
      </c>
      <c r="J18">
        <v>3</v>
      </c>
      <c r="K18" s="2">
        <v>8.4900000000000003E-2</v>
      </c>
    </row>
    <row r="19" spans="1:11" x14ac:dyDescent="0.35">
      <c r="A19" t="s">
        <v>26</v>
      </c>
      <c r="B19" t="s">
        <v>64</v>
      </c>
      <c r="C19" s="1">
        <v>45292</v>
      </c>
      <c r="D19">
        <v>31</v>
      </c>
      <c r="E19">
        <v>17</v>
      </c>
      <c r="F19">
        <v>476.95</v>
      </c>
      <c r="G19">
        <v>7</v>
      </c>
      <c r="H19" s="2">
        <v>0.41176470588235292</v>
      </c>
      <c r="I19">
        <v>3945.43</v>
      </c>
      <c r="J19">
        <v>2</v>
      </c>
      <c r="K19" s="2">
        <v>3.6000000000000004E-2</v>
      </c>
    </row>
    <row r="20" spans="1:11" x14ac:dyDescent="0.35">
      <c r="A20" t="s">
        <v>27</v>
      </c>
      <c r="B20" t="s">
        <v>64</v>
      </c>
      <c r="C20" s="1">
        <v>45292</v>
      </c>
      <c r="D20">
        <v>92</v>
      </c>
      <c r="E20">
        <v>20</v>
      </c>
      <c r="F20">
        <v>161.41999999999999</v>
      </c>
      <c r="G20">
        <v>4</v>
      </c>
      <c r="H20" s="2">
        <v>0.2</v>
      </c>
      <c r="I20">
        <v>425.41</v>
      </c>
      <c r="J20">
        <v>1</v>
      </c>
      <c r="K20" s="2">
        <v>0.1045</v>
      </c>
    </row>
    <row r="21" spans="1:11" x14ac:dyDescent="0.35">
      <c r="A21" t="s">
        <v>28</v>
      </c>
      <c r="B21" t="s">
        <v>64</v>
      </c>
      <c r="C21" s="1">
        <v>45292</v>
      </c>
      <c r="D21">
        <v>73</v>
      </c>
      <c r="E21">
        <v>12</v>
      </c>
      <c r="F21">
        <v>507.45</v>
      </c>
      <c r="G21">
        <v>0</v>
      </c>
      <c r="H21" s="2">
        <v>0</v>
      </c>
      <c r="I21">
        <v>1123.8399999999999</v>
      </c>
      <c r="J21">
        <v>3</v>
      </c>
      <c r="K21" s="2">
        <v>8.9999999999999998E-4</v>
      </c>
    </row>
    <row r="22" spans="1:11" x14ac:dyDescent="0.35">
      <c r="A22" t="s">
        <v>29</v>
      </c>
      <c r="B22" t="s">
        <v>64</v>
      </c>
      <c r="C22" s="1">
        <v>45292</v>
      </c>
      <c r="D22">
        <v>25</v>
      </c>
      <c r="E22">
        <v>14</v>
      </c>
      <c r="F22">
        <v>279.95</v>
      </c>
      <c r="G22">
        <v>2</v>
      </c>
      <c r="H22" s="2">
        <v>0.14285714285714285</v>
      </c>
      <c r="I22">
        <v>1432.23</v>
      </c>
      <c r="J22">
        <v>2</v>
      </c>
      <c r="K22" s="2">
        <v>5.1699999999999996E-2</v>
      </c>
    </row>
    <row r="23" spans="1:11" x14ac:dyDescent="0.35">
      <c r="A23" t="s">
        <v>30</v>
      </c>
      <c r="B23" t="s">
        <v>64</v>
      </c>
      <c r="C23" s="1">
        <v>45292</v>
      </c>
      <c r="D23">
        <v>96</v>
      </c>
      <c r="E23">
        <v>6</v>
      </c>
      <c r="F23">
        <v>532.83000000000004</v>
      </c>
      <c r="G23">
        <v>1</v>
      </c>
      <c r="H23" s="2">
        <v>0.16666666666666666</v>
      </c>
      <c r="I23">
        <v>3173.13</v>
      </c>
      <c r="J23">
        <v>1</v>
      </c>
      <c r="K23" s="2">
        <v>2.8300000000000002E-2</v>
      </c>
    </row>
    <row r="24" spans="1:11" x14ac:dyDescent="0.35">
      <c r="A24" t="s">
        <v>31</v>
      </c>
      <c r="B24" t="s">
        <v>64</v>
      </c>
      <c r="C24" s="1">
        <v>45292</v>
      </c>
      <c r="D24">
        <v>63</v>
      </c>
      <c r="E24">
        <v>8</v>
      </c>
      <c r="F24">
        <v>170.49</v>
      </c>
      <c r="G24">
        <v>7</v>
      </c>
      <c r="H24" s="2">
        <v>0.875</v>
      </c>
      <c r="I24">
        <v>526.12</v>
      </c>
      <c r="J24">
        <v>3</v>
      </c>
      <c r="K24" s="2">
        <v>8.3499999999999991E-2</v>
      </c>
    </row>
    <row r="25" spans="1:11" x14ac:dyDescent="0.35">
      <c r="A25" t="s">
        <v>32</v>
      </c>
      <c r="B25" t="s">
        <v>65</v>
      </c>
      <c r="C25" s="1">
        <v>45292</v>
      </c>
      <c r="D25">
        <v>92</v>
      </c>
      <c r="E25">
        <v>13</v>
      </c>
      <c r="F25">
        <v>422.39</v>
      </c>
      <c r="G25">
        <v>1</v>
      </c>
      <c r="H25" s="2">
        <v>7.6923076923076927E-2</v>
      </c>
      <c r="I25">
        <v>2695.84</v>
      </c>
      <c r="J25">
        <v>2</v>
      </c>
      <c r="K25" s="2">
        <v>2.46E-2</v>
      </c>
    </row>
    <row r="26" spans="1:11" x14ac:dyDescent="0.35">
      <c r="A26" t="s">
        <v>33</v>
      </c>
      <c r="B26" t="s">
        <v>65</v>
      </c>
      <c r="C26" s="1">
        <v>45292</v>
      </c>
      <c r="D26">
        <v>38</v>
      </c>
      <c r="E26">
        <v>10</v>
      </c>
      <c r="F26">
        <v>514.25</v>
      </c>
      <c r="G26">
        <v>4</v>
      </c>
      <c r="H26" s="2">
        <v>0.4</v>
      </c>
      <c r="I26">
        <v>243.62</v>
      </c>
      <c r="J26">
        <v>1</v>
      </c>
      <c r="K26" s="2">
        <v>6.4399999999999999E-2</v>
      </c>
    </row>
    <row r="27" spans="1:11" x14ac:dyDescent="0.35">
      <c r="A27" t="s">
        <v>34</v>
      </c>
      <c r="B27" t="s">
        <v>65</v>
      </c>
      <c r="C27" s="1">
        <v>45292</v>
      </c>
      <c r="D27">
        <v>43</v>
      </c>
      <c r="E27">
        <v>15</v>
      </c>
      <c r="F27">
        <v>363.48</v>
      </c>
      <c r="G27">
        <v>7</v>
      </c>
      <c r="H27" s="2">
        <v>0.46666666666666667</v>
      </c>
      <c r="I27">
        <v>3843.52</v>
      </c>
      <c r="J27">
        <v>3</v>
      </c>
      <c r="K27" s="2">
        <v>8.3400000000000002E-2</v>
      </c>
    </row>
    <row r="28" spans="1:11" x14ac:dyDescent="0.35">
      <c r="A28" t="s">
        <v>9</v>
      </c>
      <c r="B28" t="s">
        <v>65</v>
      </c>
      <c r="C28" s="1">
        <v>45323</v>
      </c>
      <c r="D28">
        <v>62</v>
      </c>
      <c r="E28">
        <v>15</v>
      </c>
      <c r="F28">
        <v>361.38</v>
      </c>
      <c r="G28">
        <v>6</v>
      </c>
      <c r="H28" s="2">
        <v>0.4</v>
      </c>
      <c r="I28">
        <v>4195.1400000000003</v>
      </c>
      <c r="J28">
        <v>2</v>
      </c>
      <c r="K28" s="2">
        <v>2.75E-2</v>
      </c>
    </row>
    <row r="29" spans="1:11" x14ac:dyDescent="0.35">
      <c r="A29" t="s">
        <v>10</v>
      </c>
      <c r="B29" t="s">
        <v>65</v>
      </c>
      <c r="C29" s="1">
        <v>45323</v>
      </c>
      <c r="D29">
        <v>81</v>
      </c>
      <c r="E29">
        <v>14</v>
      </c>
      <c r="F29">
        <v>362.96</v>
      </c>
      <c r="G29">
        <v>5</v>
      </c>
      <c r="H29" s="2">
        <v>0.35714285714285715</v>
      </c>
      <c r="I29">
        <v>3620.19</v>
      </c>
      <c r="J29">
        <v>1</v>
      </c>
      <c r="K29" s="2">
        <v>4.0800000000000003E-2</v>
      </c>
    </row>
    <row r="30" spans="1:11" x14ac:dyDescent="0.35">
      <c r="A30" t="s">
        <v>11</v>
      </c>
      <c r="B30" t="s">
        <v>65</v>
      </c>
      <c r="C30" s="1">
        <v>45323</v>
      </c>
      <c r="D30">
        <v>52</v>
      </c>
      <c r="E30">
        <v>14</v>
      </c>
      <c r="F30">
        <v>382.59</v>
      </c>
      <c r="G30">
        <v>3</v>
      </c>
      <c r="H30" s="2">
        <v>0.21428571428571427</v>
      </c>
      <c r="I30">
        <v>3394.39</v>
      </c>
      <c r="J30">
        <v>3</v>
      </c>
      <c r="K30" s="2">
        <v>4.5599999999999995E-2</v>
      </c>
    </row>
    <row r="31" spans="1:11" x14ac:dyDescent="0.35">
      <c r="A31" t="s">
        <v>12</v>
      </c>
      <c r="B31" t="s">
        <v>65</v>
      </c>
      <c r="C31" s="1">
        <v>45323</v>
      </c>
      <c r="D31">
        <v>22</v>
      </c>
      <c r="E31">
        <v>7</v>
      </c>
      <c r="F31">
        <v>79.459999999999994</v>
      </c>
      <c r="G31">
        <v>3</v>
      </c>
      <c r="H31" s="2">
        <v>0.42857142857142855</v>
      </c>
      <c r="I31">
        <v>1638.74</v>
      </c>
      <c r="J31">
        <v>2</v>
      </c>
      <c r="K31" s="2">
        <v>3.04E-2</v>
      </c>
    </row>
    <row r="32" spans="1:11" x14ac:dyDescent="0.35">
      <c r="A32" t="s">
        <v>13</v>
      </c>
      <c r="B32" t="s">
        <v>65</v>
      </c>
      <c r="C32" s="1">
        <v>45323</v>
      </c>
      <c r="D32">
        <v>93</v>
      </c>
      <c r="E32">
        <v>11</v>
      </c>
      <c r="F32">
        <v>446.3</v>
      </c>
      <c r="G32">
        <v>5</v>
      </c>
      <c r="H32" s="2">
        <v>0.45454545454545453</v>
      </c>
      <c r="I32">
        <v>1057.1400000000001</v>
      </c>
      <c r="J32">
        <v>1</v>
      </c>
      <c r="K32" s="2">
        <v>3.6900000000000002E-2</v>
      </c>
    </row>
    <row r="33" spans="1:11" x14ac:dyDescent="0.35">
      <c r="A33" t="s">
        <v>14</v>
      </c>
      <c r="B33" t="s">
        <v>65</v>
      </c>
      <c r="C33" s="1">
        <v>45323</v>
      </c>
      <c r="D33">
        <v>65</v>
      </c>
      <c r="E33">
        <v>7</v>
      </c>
      <c r="F33">
        <v>461.67</v>
      </c>
      <c r="G33">
        <v>2</v>
      </c>
      <c r="H33" s="2">
        <v>0.2857142857142857</v>
      </c>
      <c r="I33">
        <v>3486.23</v>
      </c>
      <c r="J33">
        <v>3</v>
      </c>
      <c r="K33" s="2">
        <v>1.1200000000000002E-2</v>
      </c>
    </row>
    <row r="34" spans="1:11" x14ac:dyDescent="0.35">
      <c r="A34" t="s">
        <v>15</v>
      </c>
      <c r="B34" t="s">
        <v>65</v>
      </c>
      <c r="C34" s="1">
        <v>45323</v>
      </c>
      <c r="D34">
        <v>90</v>
      </c>
      <c r="E34">
        <v>20</v>
      </c>
      <c r="F34">
        <v>328.63</v>
      </c>
      <c r="G34">
        <v>3</v>
      </c>
      <c r="H34" s="2">
        <v>0.15</v>
      </c>
      <c r="I34">
        <v>2662.44</v>
      </c>
      <c r="J34">
        <v>2</v>
      </c>
      <c r="K34" s="2">
        <v>0.10640000000000001</v>
      </c>
    </row>
    <row r="35" spans="1:11" x14ac:dyDescent="0.35">
      <c r="A35" t="s">
        <v>16</v>
      </c>
      <c r="B35" t="s">
        <v>65</v>
      </c>
      <c r="C35" s="1">
        <v>45323</v>
      </c>
      <c r="D35">
        <v>48</v>
      </c>
      <c r="E35">
        <v>7</v>
      </c>
      <c r="F35">
        <v>247.66</v>
      </c>
      <c r="G35">
        <v>6</v>
      </c>
      <c r="H35" s="2">
        <v>0.8571428571428571</v>
      </c>
      <c r="I35">
        <v>4335.84</v>
      </c>
      <c r="J35">
        <v>1</v>
      </c>
      <c r="K35" s="2">
        <v>3.9900000000000005E-2</v>
      </c>
    </row>
    <row r="36" spans="1:11" x14ac:dyDescent="0.35">
      <c r="A36" t="s">
        <v>17</v>
      </c>
      <c r="B36" t="s">
        <v>65</v>
      </c>
      <c r="C36" s="1">
        <v>45323</v>
      </c>
      <c r="D36">
        <v>37</v>
      </c>
      <c r="E36">
        <v>17</v>
      </c>
      <c r="F36">
        <v>378.61</v>
      </c>
      <c r="G36">
        <v>10</v>
      </c>
      <c r="H36" s="2">
        <v>0.58823529411764708</v>
      </c>
      <c r="I36">
        <v>1295.07</v>
      </c>
      <c r="J36">
        <v>3</v>
      </c>
      <c r="K36" s="2">
        <v>5.6299999999999996E-2</v>
      </c>
    </row>
    <row r="37" spans="1:11" x14ac:dyDescent="0.35">
      <c r="A37" t="s">
        <v>18</v>
      </c>
      <c r="B37" t="s">
        <v>65</v>
      </c>
      <c r="C37" s="1">
        <v>45323</v>
      </c>
      <c r="D37">
        <v>68</v>
      </c>
      <c r="E37">
        <v>16</v>
      </c>
      <c r="F37">
        <v>299.58999999999997</v>
      </c>
      <c r="G37">
        <v>9</v>
      </c>
      <c r="H37" s="2">
        <v>0.5625</v>
      </c>
      <c r="I37">
        <v>979.47</v>
      </c>
      <c r="J37">
        <v>2</v>
      </c>
      <c r="K37" s="2">
        <v>3.6900000000000002E-2</v>
      </c>
    </row>
    <row r="38" spans="1:11" x14ac:dyDescent="0.35">
      <c r="A38" t="s">
        <v>19</v>
      </c>
      <c r="B38" t="s">
        <v>65</v>
      </c>
      <c r="C38" s="1">
        <v>45323</v>
      </c>
      <c r="D38">
        <v>20</v>
      </c>
      <c r="E38">
        <v>9</v>
      </c>
      <c r="F38">
        <v>202.4</v>
      </c>
      <c r="G38">
        <v>7</v>
      </c>
      <c r="H38" s="2">
        <v>0.77777777777777779</v>
      </c>
      <c r="I38">
        <v>732.99</v>
      </c>
      <c r="J38">
        <v>1</v>
      </c>
      <c r="K38" s="2">
        <v>7.9000000000000001E-2</v>
      </c>
    </row>
    <row r="39" spans="1:11" x14ac:dyDescent="0.35">
      <c r="A39" t="s">
        <v>20</v>
      </c>
      <c r="B39" t="s">
        <v>65</v>
      </c>
      <c r="C39" s="1">
        <v>45323</v>
      </c>
      <c r="D39">
        <v>35</v>
      </c>
      <c r="E39">
        <v>6</v>
      </c>
      <c r="F39">
        <v>568.38</v>
      </c>
      <c r="G39">
        <v>6</v>
      </c>
      <c r="H39" s="2">
        <v>1</v>
      </c>
      <c r="I39">
        <v>3949.69</v>
      </c>
      <c r="J39">
        <v>1</v>
      </c>
      <c r="K39" s="2">
        <v>3.7499999999999999E-2</v>
      </c>
    </row>
    <row r="40" spans="1:11" x14ac:dyDescent="0.35">
      <c r="A40" t="s">
        <v>21</v>
      </c>
      <c r="B40" t="s">
        <v>65</v>
      </c>
      <c r="C40" s="1">
        <v>45323</v>
      </c>
      <c r="D40">
        <v>68</v>
      </c>
      <c r="E40">
        <v>21</v>
      </c>
      <c r="F40">
        <v>553.08000000000004</v>
      </c>
      <c r="G40">
        <v>3</v>
      </c>
      <c r="H40" s="2">
        <v>0.14285714285714285</v>
      </c>
      <c r="I40">
        <v>360.7</v>
      </c>
      <c r="J40">
        <v>3</v>
      </c>
      <c r="K40" s="2">
        <v>3.3399999999999999E-2</v>
      </c>
    </row>
    <row r="41" spans="1:11" x14ac:dyDescent="0.35">
      <c r="A41" t="s">
        <v>22</v>
      </c>
      <c r="B41" t="s">
        <v>65</v>
      </c>
      <c r="C41" s="1">
        <v>45323</v>
      </c>
      <c r="D41">
        <v>30</v>
      </c>
      <c r="E41">
        <v>8</v>
      </c>
      <c r="F41">
        <v>223.22</v>
      </c>
      <c r="G41">
        <v>2</v>
      </c>
      <c r="H41" s="2">
        <v>0.25</v>
      </c>
      <c r="I41">
        <v>3595.12</v>
      </c>
      <c r="J41">
        <v>2</v>
      </c>
      <c r="K41" s="2">
        <v>4.3400000000000001E-2</v>
      </c>
    </row>
    <row r="42" spans="1:11" x14ac:dyDescent="0.35">
      <c r="A42" t="s">
        <v>23</v>
      </c>
      <c r="B42" t="s">
        <v>65</v>
      </c>
      <c r="C42" s="1">
        <v>45323</v>
      </c>
      <c r="D42">
        <v>69</v>
      </c>
      <c r="E42">
        <v>8</v>
      </c>
      <c r="F42">
        <v>199.93</v>
      </c>
      <c r="G42">
        <v>2</v>
      </c>
      <c r="H42" s="2">
        <v>0.25</v>
      </c>
      <c r="I42">
        <v>610.66</v>
      </c>
      <c r="J42">
        <v>1</v>
      </c>
      <c r="K42" s="2">
        <v>2.8199999999999999E-2</v>
      </c>
    </row>
    <row r="43" spans="1:11" x14ac:dyDescent="0.35">
      <c r="A43" t="s">
        <v>24</v>
      </c>
      <c r="B43" t="s">
        <v>65</v>
      </c>
      <c r="C43" s="1">
        <v>45323</v>
      </c>
      <c r="D43">
        <v>92</v>
      </c>
      <c r="E43">
        <v>6</v>
      </c>
      <c r="F43">
        <v>180.46</v>
      </c>
      <c r="G43">
        <v>5</v>
      </c>
      <c r="H43" s="2">
        <v>0.83333333333333337</v>
      </c>
      <c r="I43">
        <v>1173.27</v>
      </c>
      <c r="J43">
        <v>3</v>
      </c>
      <c r="K43" s="2">
        <v>7.5300000000000006E-2</v>
      </c>
    </row>
    <row r="44" spans="1:11" x14ac:dyDescent="0.35">
      <c r="A44" t="s">
        <v>25</v>
      </c>
      <c r="B44" t="s">
        <v>65</v>
      </c>
      <c r="C44" s="1">
        <v>45323</v>
      </c>
      <c r="D44">
        <v>92</v>
      </c>
      <c r="E44">
        <v>7</v>
      </c>
      <c r="F44">
        <v>80.12</v>
      </c>
      <c r="G44">
        <v>6</v>
      </c>
      <c r="H44" s="2">
        <v>0.8571428571428571</v>
      </c>
      <c r="I44">
        <v>3794.02</v>
      </c>
      <c r="J44">
        <v>2</v>
      </c>
      <c r="K44" s="2">
        <v>9.5000000000000001E-2</v>
      </c>
    </row>
    <row r="45" spans="1:11" x14ac:dyDescent="0.35">
      <c r="A45" t="s">
        <v>26</v>
      </c>
      <c r="B45" t="s">
        <v>65</v>
      </c>
      <c r="C45" s="1">
        <v>45323</v>
      </c>
      <c r="D45">
        <v>21</v>
      </c>
      <c r="E45">
        <v>14</v>
      </c>
      <c r="F45">
        <v>563.79</v>
      </c>
      <c r="G45">
        <v>8</v>
      </c>
      <c r="H45" s="2">
        <v>0.5714285714285714</v>
      </c>
      <c r="I45">
        <v>3616.21</v>
      </c>
      <c r="J45">
        <v>1</v>
      </c>
      <c r="K45" s="2">
        <v>3.61E-2</v>
      </c>
    </row>
    <row r="46" spans="1:11" x14ac:dyDescent="0.35">
      <c r="A46" t="s">
        <v>27</v>
      </c>
      <c r="B46" t="s">
        <v>65</v>
      </c>
      <c r="C46" s="1">
        <v>45323</v>
      </c>
      <c r="D46">
        <v>83</v>
      </c>
      <c r="E46">
        <v>20</v>
      </c>
      <c r="F46">
        <v>193.39</v>
      </c>
      <c r="G46">
        <v>5</v>
      </c>
      <c r="H46" s="2">
        <v>0.25</v>
      </c>
      <c r="I46">
        <v>402.53</v>
      </c>
      <c r="J46">
        <v>3</v>
      </c>
      <c r="K46" s="2">
        <v>0.1013</v>
      </c>
    </row>
    <row r="47" spans="1:11" x14ac:dyDescent="0.35">
      <c r="A47" t="s">
        <v>28</v>
      </c>
      <c r="B47" t="s">
        <v>65</v>
      </c>
      <c r="C47" s="1">
        <v>45323</v>
      </c>
      <c r="D47">
        <v>57</v>
      </c>
      <c r="E47">
        <v>11</v>
      </c>
      <c r="F47">
        <v>454.77</v>
      </c>
      <c r="G47">
        <v>1</v>
      </c>
      <c r="H47" s="2">
        <v>9.0909090909090912E-2</v>
      </c>
      <c r="I47">
        <v>1152.4100000000001</v>
      </c>
      <c r="J47">
        <v>2</v>
      </c>
      <c r="K47" s="2">
        <v>1E-3</v>
      </c>
    </row>
    <row r="48" spans="1:11" x14ac:dyDescent="0.35">
      <c r="A48" t="s">
        <v>29</v>
      </c>
      <c r="B48" t="s">
        <v>65</v>
      </c>
      <c r="C48" s="1">
        <v>45323</v>
      </c>
      <c r="D48">
        <v>22</v>
      </c>
      <c r="E48">
        <v>17</v>
      </c>
      <c r="F48">
        <v>291.97000000000003</v>
      </c>
      <c r="G48">
        <v>1</v>
      </c>
      <c r="H48" s="2">
        <v>5.8823529411764705E-2</v>
      </c>
      <c r="I48">
        <v>1703.6</v>
      </c>
      <c r="J48">
        <v>1</v>
      </c>
      <c r="K48" s="2">
        <v>5.21E-2</v>
      </c>
    </row>
    <row r="49" spans="1:11" x14ac:dyDescent="0.35">
      <c r="A49" t="s">
        <v>30</v>
      </c>
      <c r="B49" t="s">
        <v>65</v>
      </c>
      <c r="C49" s="1">
        <v>45323</v>
      </c>
      <c r="D49">
        <v>78</v>
      </c>
      <c r="E49">
        <v>5</v>
      </c>
      <c r="F49">
        <v>553.86</v>
      </c>
      <c r="G49">
        <v>1</v>
      </c>
      <c r="H49" s="2">
        <v>0.2</v>
      </c>
      <c r="I49">
        <v>3503.57</v>
      </c>
      <c r="J49">
        <v>3</v>
      </c>
      <c r="K49" s="2">
        <v>3.1300000000000001E-2</v>
      </c>
    </row>
    <row r="50" spans="1:11" x14ac:dyDescent="0.35">
      <c r="A50" t="s">
        <v>31</v>
      </c>
      <c r="B50" t="s">
        <v>65</v>
      </c>
      <c r="C50" s="1">
        <v>45323</v>
      </c>
      <c r="D50">
        <v>68</v>
      </c>
      <c r="E50">
        <v>7</v>
      </c>
      <c r="F50">
        <v>171.76</v>
      </c>
      <c r="G50">
        <v>7</v>
      </c>
      <c r="H50" s="2">
        <v>1</v>
      </c>
      <c r="I50">
        <v>548.36</v>
      </c>
      <c r="J50">
        <v>2</v>
      </c>
      <c r="K50" s="2">
        <v>8.2500000000000004E-2</v>
      </c>
    </row>
    <row r="51" spans="1:11" x14ac:dyDescent="0.35">
      <c r="A51" t="s">
        <v>32</v>
      </c>
      <c r="B51" t="s">
        <v>65</v>
      </c>
      <c r="C51" s="1">
        <v>45323</v>
      </c>
      <c r="D51">
        <v>83</v>
      </c>
      <c r="E51">
        <v>16</v>
      </c>
      <c r="F51">
        <v>382.21</v>
      </c>
      <c r="G51">
        <v>1</v>
      </c>
      <c r="H51" s="2">
        <v>6.25E-2</v>
      </c>
      <c r="I51">
        <v>3017.43</v>
      </c>
      <c r="J51">
        <v>3</v>
      </c>
      <c r="K51" s="2">
        <v>2.4199999999999999E-2</v>
      </c>
    </row>
    <row r="52" spans="1:11" x14ac:dyDescent="0.35">
      <c r="A52" t="s">
        <v>33</v>
      </c>
      <c r="B52" t="s">
        <v>65</v>
      </c>
      <c r="C52" s="1">
        <v>45323</v>
      </c>
      <c r="D52">
        <v>31</v>
      </c>
      <c r="E52">
        <v>11</v>
      </c>
      <c r="F52">
        <v>562.73</v>
      </c>
      <c r="G52">
        <v>4</v>
      </c>
      <c r="H52" s="2">
        <v>0.36363636363636365</v>
      </c>
      <c r="I52">
        <v>221.94</v>
      </c>
      <c r="J52">
        <v>2</v>
      </c>
      <c r="K52" s="2">
        <v>6.7400000000000002E-2</v>
      </c>
    </row>
    <row r="53" spans="1:11" x14ac:dyDescent="0.35">
      <c r="A53" t="s">
        <v>34</v>
      </c>
      <c r="B53" t="s">
        <v>65</v>
      </c>
      <c r="C53" s="1">
        <v>45323</v>
      </c>
      <c r="D53">
        <v>34</v>
      </c>
      <c r="E53">
        <v>17</v>
      </c>
      <c r="F53">
        <v>380.37</v>
      </c>
      <c r="G53">
        <v>7</v>
      </c>
      <c r="H53" s="2">
        <v>0.41176470588235292</v>
      </c>
      <c r="I53">
        <v>4183.2700000000004</v>
      </c>
      <c r="J53">
        <v>1</v>
      </c>
      <c r="K53" s="2">
        <v>8.8699999999999987E-2</v>
      </c>
    </row>
    <row r="54" spans="1:11" x14ac:dyDescent="0.35">
      <c r="A54" t="s">
        <v>9</v>
      </c>
      <c r="B54" t="s">
        <v>65</v>
      </c>
      <c r="C54" s="1">
        <v>45352</v>
      </c>
      <c r="D54">
        <v>55</v>
      </c>
      <c r="E54">
        <v>17</v>
      </c>
      <c r="F54">
        <v>315.62</v>
      </c>
      <c r="G54">
        <v>5</v>
      </c>
      <c r="H54" s="2">
        <v>0.29411764705882354</v>
      </c>
      <c r="I54">
        <v>3890.73</v>
      </c>
      <c r="J54">
        <v>3</v>
      </c>
      <c r="K54" s="2">
        <v>2.8799999999999999E-2</v>
      </c>
    </row>
    <row r="55" spans="1:11" x14ac:dyDescent="0.35">
      <c r="A55" t="s">
        <v>10</v>
      </c>
      <c r="B55" t="s">
        <v>65</v>
      </c>
      <c r="C55" s="1">
        <v>45352</v>
      </c>
      <c r="D55">
        <v>91</v>
      </c>
      <c r="E55">
        <v>10</v>
      </c>
      <c r="F55">
        <v>361.58</v>
      </c>
      <c r="G55">
        <v>4</v>
      </c>
      <c r="H55" s="2">
        <v>0.4</v>
      </c>
      <c r="I55">
        <v>3674.37</v>
      </c>
      <c r="J55">
        <v>2</v>
      </c>
      <c r="K55" s="2">
        <v>4.0800000000000003E-2</v>
      </c>
    </row>
    <row r="56" spans="1:11" x14ac:dyDescent="0.35">
      <c r="A56" t="s">
        <v>11</v>
      </c>
      <c r="B56" t="s">
        <v>65</v>
      </c>
      <c r="C56" s="1">
        <v>45352</v>
      </c>
      <c r="D56">
        <v>59</v>
      </c>
      <c r="E56">
        <v>13</v>
      </c>
      <c r="F56">
        <v>402.9</v>
      </c>
      <c r="G56">
        <v>2</v>
      </c>
      <c r="H56" s="2">
        <v>0.15384615384615385</v>
      </c>
      <c r="I56">
        <v>3357.27</v>
      </c>
      <c r="J56">
        <v>1</v>
      </c>
      <c r="K56" s="2">
        <v>4.2599999999999999E-2</v>
      </c>
    </row>
    <row r="57" spans="1:11" x14ac:dyDescent="0.35">
      <c r="A57" t="s">
        <v>12</v>
      </c>
      <c r="B57" t="s">
        <v>65</v>
      </c>
      <c r="C57" s="1">
        <v>45352</v>
      </c>
      <c r="D57">
        <v>19</v>
      </c>
      <c r="E57">
        <v>6</v>
      </c>
      <c r="F57">
        <v>82.65</v>
      </c>
      <c r="G57">
        <v>3</v>
      </c>
      <c r="H57" s="2">
        <v>0.5</v>
      </c>
      <c r="I57">
        <v>1469.62</v>
      </c>
      <c r="J57">
        <v>3</v>
      </c>
      <c r="K57" s="2">
        <v>3.0699999999999998E-2</v>
      </c>
    </row>
    <row r="58" spans="1:11" x14ac:dyDescent="0.35">
      <c r="A58" t="s">
        <v>13</v>
      </c>
      <c r="B58" t="s">
        <v>65</v>
      </c>
      <c r="C58" s="1">
        <v>45352</v>
      </c>
      <c r="D58">
        <v>77</v>
      </c>
      <c r="E58">
        <v>14</v>
      </c>
      <c r="F58">
        <v>494.43</v>
      </c>
      <c r="G58">
        <v>4</v>
      </c>
      <c r="H58" s="2">
        <v>0.2857142857142857</v>
      </c>
      <c r="I58">
        <v>963.35</v>
      </c>
      <c r="J58">
        <v>2</v>
      </c>
      <c r="K58" s="2">
        <v>3.6699999999999997E-2</v>
      </c>
    </row>
    <row r="59" spans="1:11" x14ac:dyDescent="0.35">
      <c r="A59" t="s">
        <v>14</v>
      </c>
      <c r="B59" t="s">
        <v>65</v>
      </c>
      <c r="C59" s="1">
        <v>45352</v>
      </c>
      <c r="D59">
        <v>50</v>
      </c>
      <c r="E59">
        <v>8</v>
      </c>
      <c r="F59">
        <v>512.92999999999995</v>
      </c>
      <c r="G59">
        <v>3</v>
      </c>
      <c r="H59" s="2">
        <v>0.375</v>
      </c>
      <c r="I59">
        <v>3725.66</v>
      </c>
      <c r="J59">
        <v>1</v>
      </c>
      <c r="K59" s="2">
        <v>1.1599999999999999E-2</v>
      </c>
    </row>
    <row r="60" spans="1:11" x14ac:dyDescent="0.35">
      <c r="A60" t="s">
        <v>15</v>
      </c>
      <c r="B60" t="s">
        <v>65</v>
      </c>
      <c r="C60" s="1">
        <v>45352</v>
      </c>
      <c r="D60">
        <v>88</v>
      </c>
      <c r="E60">
        <v>18</v>
      </c>
      <c r="F60">
        <v>291.04000000000002</v>
      </c>
      <c r="G60">
        <v>2</v>
      </c>
      <c r="H60" s="2">
        <v>0.1111111111111111</v>
      </c>
      <c r="I60">
        <v>2619.84</v>
      </c>
      <c r="J60">
        <v>3</v>
      </c>
      <c r="K60" s="2">
        <v>0.10550000000000001</v>
      </c>
    </row>
    <row r="61" spans="1:11" x14ac:dyDescent="0.35">
      <c r="A61" t="s">
        <v>16</v>
      </c>
      <c r="B61" t="s">
        <v>65</v>
      </c>
      <c r="C61" s="1">
        <v>45352</v>
      </c>
      <c r="D61">
        <v>62</v>
      </c>
      <c r="E61">
        <v>9</v>
      </c>
      <c r="F61">
        <v>252.77</v>
      </c>
      <c r="G61">
        <v>7</v>
      </c>
      <c r="H61" s="2">
        <v>0.77777777777777779</v>
      </c>
      <c r="I61">
        <v>4641.6099999999997</v>
      </c>
      <c r="J61">
        <v>2</v>
      </c>
      <c r="K61" s="2">
        <v>4.0800000000000003E-2</v>
      </c>
    </row>
    <row r="62" spans="1:11" x14ac:dyDescent="0.35">
      <c r="A62" t="s">
        <v>17</v>
      </c>
      <c r="B62" t="s">
        <v>65</v>
      </c>
      <c r="C62" s="1">
        <v>45352</v>
      </c>
      <c r="D62">
        <v>33</v>
      </c>
      <c r="E62">
        <v>18</v>
      </c>
      <c r="F62">
        <v>348.57</v>
      </c>
      <c r="G62">
        <v>8</v>
      </c>
      <c r="H62" s="2">
        <v>0.44444444444444442</v>
      </c>
      <c r="I62">
        <v>1169.6400000000001</v>
      </c>
      <c r="J62">
        <v>1</v>
      </c>
      <c r="K62" s="2">
        <v>5.4800000000000001E-2</v>
      </c>
    </row>
    <row r="63" spans="1:11" x14ac:dyDescent="0.35">
      <c r="A63" t="s">
        <v>18</v>
      </c>
      <c r="B63" t="s">
        <v>65</v>
      </c>
      <c r="C63" s="1">
        <v>45352</v>
      </c>
      <c r="D63">
        <v>54</v>
      </c>
      <c r="E63">
        <v>15</v>
      </c>
      <c r="F63">
        <v>321.99</v>
      </c>
      <c r="G63">
        <v>8</v>
      </c>
      <c r="H63" s="2">
        <v>0.53333333333333333</v>
      </c>
      <c r="I63">
        <v>1080.0899999999999</v>
      </c>
      <c r="J63">
        <v>1</v>
      </c>
      <c r="K63" s="2">
        <v>3.5499999999999997E-2</v>
      </c>
    </row>
    <row r="64" spans="1:11" x14ac:dyDescent="0.35">
      <c r="A64" t="s">
        <v>19</v>
      </c>
      <c r="B64" t="s">
        <v>65</v>
      </c>
      <c r="C64" s="1">
        <v>45352</v>
      </c>
      <c r="D64">
        <v>16</v>
      </c>
      <c r="E64">
        <v>9</v>
      </c>
      <c r="F64">
        <v>199.87</v>
      </c>
      <c r="G64">
        <v>9</v>
      </c>
      <c r="H64" s="2">
        <v>1</v>
      </c>
      <c r="I64">
        <v>818.64</v>
      </c>
      <c r="J64">
        <v>3</v>
      </c>
      <c r="K64" s="2">
        <v>7.46E-2</v>
      </c>
    </row>
    <row r="65" spans="1:11" x14ac:dyDescent="0.35">
      <c r="A65" t="s">
        <v>20</v>
      </c>
      <c r="B65" t="s">
        <v>65</v>
      </c>
      <c r="C65" s="1">
        <v>45352</v>
      </c>
      <c r="D65">
        <v>30</v>
      </c>
      <c r="E65">
        <v>5</v>
      </c>
      <c r="F65">
        <v>565.19000000000005</v>
      </c>
      <c r="G65">
        <v>4</v>
      </c>
      <c r="H65" s="2">
        <v>0.8</v>
      </c>
      <c r="I65">
        <v>3621.51</v>
      </c>
      <c r="J65">
        <v>2</v>
      </c>
      <c r="K65" s="2">
        <v>4.3099999999999999E-2</v>
      </c>
    </row>
    <row r="66" spans="1:11" x14ac:dyDescent="0.35">
      <c r="A66" t="s">
        <v>21</v>
      </c>
      <c r="B66" t="s">
        <v>65</v>
      </c>
      <c r="C66" s="1">
        <v>45352</v>
      </c>
      <c r="D66">
        <v>68</v>
      </c>
      <c r="E66">
        <v>19</v>
      </c>
      <c r="F66">
        <v>623.25</v>
      </c>
      <c r="G66">
        <v>3</v>
      </c>
      <c r="H66" s="2">
        <v>0.15789473684210525</v>
      </c>
      <c r="I66">
        <v>355.96</v>
      </c>
      <c r="J66">
        <v>1</v>
      </c>
      <c r="K66" s="2">
        <v>3.6299999999999999E-2</v>
      </c>
    </row>
    <row r="67" spans="1:11" x14ac:dyDescent="0.35">
      <c r="A67" t="s">
        <v>22</v>
      </c>
      <c r="B67" t="s">
        <v>65</v>
      </c>
      <c r="C67" s="1">
        <v>45352</v>
      </c>
      <c r="D67">
        <v>31</v>
      </c>
      <c r="E67">
        <v>9</v>
      </c>
      <c r="F67">
        <v>209.18</v>
      </c>
      <c r="G67">
        <v>2</v>
      </c>
      <c r="H67" s="2">
        <v>0.22222222222222221</v>
      </c>
      <c r="I67">
        <v>4153.3100000000004</v>
      </c>
      <c r="J67">
        <v>3</v>
      </c>
      <c r="K67" s="2">
        <v>4.0399999999999998E-2</v>
      </c>
    </row>
    <row r="68" spans="1:11" x14ac:dyDescent="0.35">
      <c r="A68" t="s">
        <v>23</v>
      </c>
      <c r="B68" t="s">
        <v>65</v>
      </c>
      <c r="C68" s="1">
        <v>45352</v>
      </c>
      <c r="D68">
        <v>61</v>
      </c>
      <c r="E68">
        <v>7</v>
      </c>
      <c r="F68">
        <v>190.5</v>
      </c>
      <c r="G68">
        <v>3</v>
      </c>
      <c r="H68" s="2">
        <v>0.42857142857142855</v>
      </c>
      <c r="I68">
        <v>661.2</v>
      </c>
      <c r="J68">
        <v>2</v>
      </c>
      <c r="K68" s="2">
        <v>2.7699999999999999E-2</v>
      </c>
    </row>
    <row r="69" spans="1:11" x14ac:dyDescent="0.35">
      <c r="A69" t="s">
        <v>24</v>
      </c>
      <c r="B69" t="s">
        <v>65</v>
      </c>
      <c r="C69" s="1">
        <v>45352</v>
      </c>
      <c r="D69">
        <v>83</v>
      </c>
      <c r="E69">
        <v>5</v>
      </c>
      <c r="F69">
        <v>170.12</v>
      </c>
      <c r="G69">
        <v>3</v>
      </c>
      <c r="H69" s="2">
        <v>0.6</v>
      </c>
      <c r="I69">
        <v>1171.95</v>
      </c>
      <c r="J69">
        <v>1</v>
      </c>
      <c r="K69" s="2">
        <v>7.690000000000001E-2</v>
      </c>
    </row>
    <row r="70" spans="1:11" x14ac:dyDescent="0.35">
      <c r="A70" t="s">
        <v>25</v>
      </c>
      <c r="B70" t="s">
        <v>65</v>
      </c>
      <c r="C70" s="1">
        <v>45352</v>
      </c>
      <c r="D70">
        <v>74</v>
      </c>
      <c r="E70">
        <v>7</v>
      </c>
      <c r="F70">
        <v>87.89</v>
      </c>
      <c r="G70">
        <v>7</v>
      </c>
      <c r="H70" s="2">
        <v>1</v>
      </c>
      <c r="I70">
        <v>3848.14</v>
      </c>
      <c r="J70">
        <v>3</v>
      </c>
      <c r="K70" s="2">
        <v>8.6699999999999999E-2</v>
      </c>
    </row>
    <row r="71" spans="1:11" x14ac:dyDescent="0.35">
      <c r="A71" t="s">
        <v>26</v>
      </c>
      <c r="B71" t="s">
        <v>65</v>
      </c>
      <c r="C71" s="1">
        <v>45352</v>
      </c>
      <c r="D71">
        <v>21</v>
      </c>
      <c r="E71">
        <v>14</v>
      </c>
      <c r="F71">
        <v>498.82</v>
      </c>
      <c r="G71">
        <v>5</v>
      </c>
      <c r="H71" s="2">
        <v>0.35714285714285715</v>
      </c>
      <c r="I71">
        <v>4039.26</v>
      </c>
      <c r="J71">
        <v>2</v>
      </c>
      <c r="K71" s="2">
        <v>3.4000000000000002E-2</v>
      </c>
    </row>
    <row r="72" spans="1:11" x14ac:dyDescent="0.35">
      <c r="A72" t="s">
        <v>27</v>
      </c>
      <c r="B72" t="s">
        <v>66</v>
      </c>
      <c r="C72" s="1">
        <v>45352</v>
      </c>
      <c r="D72">
        <v>84</v>
      </c>
      <c r="E72">
        <v>15</v>
      </c>
      <c r="F72">
        <v>163.21</v>
      </c>
      <c r="G72">
        <v>5</v>
      </c>
      <c r="H72" s="2">
        <v>0.33333333333333331</v>
      </c>
      <c r="I72">
        <v>411.36</v>
      </c>
      <c r="J72">
        <v>1</v>
      </c>
      <c r="K72" s="2">
        <v>0.1014</v>
      </c>
    </row>
    <row r="73" spans="1:11" x14ac:dyDescent="0.35">
      <c r="A73" t="s">
        <v>28</v>
      </c>
      <c r="B73" t="s">
        <v>66</v>
      </c>
      <c r="C73" s="1">
        <v>45352</v>
      </c>
      <c r="D73">
        <v>64</v>
      </c>
      <c r="E73">
        <v>13</v>
      </c>
      <c r="F73">
        <v>496.4</v>
      </c>
      <c r="G73">
        <v>0</v>
      </c>
      <c r="H73" s="2">
        <v>0</v>
      </c>
      <c r="I73">
        <v>1306.3800000000001</v>
      </c>
      <c r="J73">
        <v>3</v>
      </c>
      <c r="K73" s="2">
        <v>1.1000000000000001E-3</v>
      </c>
    </row>
    <row r="74" spans="1:11" x14ac:dyDescent="0.35">
      <c r="A74" t="s">
        <v>29</v>
      </c>
      <c r="B74" t="s">
        <v>66</v>
      </c>
      <c r="C74" s="1">
        <v>45352</v>
      </c>
      <c r="D74">
        <v>21</v>
      </c>
      <c r="E74">
        <v>13</v>
      </c>
      <c r="F74">
        <v>315.41000000000003</v>
      </c>
      <c r="G74">
        <v>1</v>
      </c>
      <c r="H74" s="2">
        <v>7.6923076923076927E-2</v>
      </c>
      <c r="I74">
        <v>1692.59</v>
      </c>
      <c r="J74">
        <v>2</v>
      </c>
      <c r="K74" s="2">
        <v>5.0999999999999997E-2</v>
      </c>
    </row>
    <row r="75" spans="1:11" x14ac:dyDescent="0.35">
      <c r="A75" t="s">
        <v>30</v>
      </c>
      <c r="B75" t="s">
        <v>66</v>
      </c>
      <c r="C75" s="1">
        <v>45352</v>
      </c>
      <c r="D75">
        <v>110</v>
      </c>
      <c r="E75">
        <v>6</v>
      </c>
      <c r="F75">
        <v>535.37</v>
      </c>
      <c r="G75">
        <v>2</v>
      </c>
      <c r="H75" s="2">
        <v>0.33333333333333331</v>
      </c>
      <c r="I75">
        <v>3113.29</v>
      </c>
      <c r="J75">
        <v>1</v>
      </c>
      <c r="K75" s="2">
        <v>3.2099999999999997E-2</v>
      </c>
    </row>
    <row r="76" spans="1:11" x14ac:dyDescent="0.35">
      <c r="A76" t="s">
        <v>31</v>
      </c>
      <c r="B76" t="s">
        <v>66</v>
      </c>
      <c r="C76" s="1">
        <v>45352</v>
      </c>
      <c r="D76">
        <v>62</v>
      </c>
      <c r="E76">
        <v>8</v>
      </c>
      <c r="F76">
        <v>198.84</v>
      </c>
      <c r="G76">
        <v>8</v>
      </c>
      <c r="H76" s="2">
        <v>1</v>
      </c>
      <c r="I76">
        <v>534.58000000000004</v>
      </c>
      <c r="J76">
        <v>3</v>
      </c>
      <c r="K76" s="2">
        <v>8.8000000000000009E-2</v>
      </c>
    </row>
    <row r="77" spans="1:11" x14ac:dyDescent="0.35">
      <c r="A77" t="s">
        <v>32</v>
      </c>
      <c r="B77" t="s">
        <v>66</v>
      </c>
      <c r="C77" s="1">
        <v>45352</v>
      </c>
      <c r="D77">
        <v>108</v>
      </c>
      <c r="E77">
        <v>14</v>
      </c>
      <c r="F77">
        <v>416.78</v>
      </c>
      <c r="G77">
        <v>1</v>
      </c>
      <c r="H77" s="2">
        <v>7.1428571428571425E-2</v>
      </c>
      <c r="I77">
        <v>2989.69</v>
      </c>
      <c r="J77">
        <v>2</v>
      </c>
      <c r="K77" s="2">
        <v>2.5499999999999998E-2</v>
      </c>
    </row>
    <row r="78" spans="1:11" x14ac:dyDescent="0.35">
      <c r="A78" t="s">
        <v>33</v>
      </c>
      <c r="B78" t="s">
        <v>66</v>
      </c>
      <c r="C78" s="1">
        <v>45352</v>
      </c>
      <c r="D78">
        <v>28</v>
      </c>
      <c r="E78">
        <v>12</v>
      </c>
      <c r="F78">
        <v>533.85</v>
      </c>
      <c r="G78">
        <v>5</v>
      </c>
      <c r="H78" s="2">
        <v>0.41666666666666669</v>
      </c>
      <c r="I78">
        <v>224.87</v>
      </c>
      <c r="J78">
        <v>1</v>
      </c>
      <c r="K78" s="2">
        <v>6.480000000000001E-2</v>
      </c>
    </row>
    <row r="79" spans="1:11" x14ac:dyDescent="0.35">
      <c r="A79" t="s">
        <v>34</v>
      </c>
      <c r="B79" t="s">
        <v>66</v>
      </c>
      <c r="C79" s="1">
        <v>45352</v>
      </c>
      <c r="D79">
        <v>39</v>
      </c>
      <c r="E79">
        <v>16</v>
      </c>
      <c r="F79">
        <v>312.8</v>
      </c>
      <c r="G79">
        <v>8</v>
      </c>
      <c r="H79" s="2">
        <v>0.5</v>
      </c>
      <c r="I79">
        <v>4592.09</v>
      </c>
      <c r="J79">
        <v>3</v>
      </c>
      <c r="K79" s="2">
        <v>8.5500000000000007E-2</v>
      </c>
    </row>
    <row r="80" spans="1:11" x14ac:dyDescent="0.35">
      <c r="A80" t="s">
        <v>9</v>
      </c>
      <c r="B80" t="s">
        <v>66</v>
      </c>
      <c r="C80" s="1">
        <v>45383</v>
      </c>
      <c r="D80">
        <v>69</v>
      </c>
      <c r="E80">
        <v>17</v>
      </c>
      <c r="F80">
        <v>342.81</v>
      </c>
      <c r="G80">
        <v>6</v>
      </c>
      <c r="H80" s="2">
        <v>0.35294117647058826</v>
      </c>
      <c r="I80">
        <v>3728.2</v>
      </c>
      <c r="J80">
        <v>2</v>
      </c>
      <c r="K80" s="2">
        <v>2.9600000000000001E-2</v>
      </c>
    </row>
    <row r="81" spans="1:11" x14ac:dyDescent="0.35">
      <c r="A81" t="s">
        <v>10</v>
      </c>
      <c r="B81" t="s">
        <v>66</v>
      </c>
      <c r="C81" s="1">
        <v>45383</v>
      </c>
      <c r="D81">
        <v>83</v>
      </c>
      <c r="E81">
        <v>11</v>
      </c>
      <c r="F81">
        <v>365.12</v>
      </c>
      <c r="G81">
        <v>5</v>
      </c>
      <c r="H81" s="2">
        <v>0.45454545454545453</v>
      </c>
      <c r="I81">
        <v>3682.69</v>
      </c>
      <c r="J81">
        <v>1</v>
      </c>
      <c r="K81" s="2">
        <v>3.8199999999999998E-2</v>
      </c>
    </row>
    <row r="82" spans="1:11" x14ac:dyDescent="0.35">
      <c r="A82" t="s">
        <v>11</v>
      </c>
      <c r="B82" t="s">
        <v>66</v>
      </c>
      <c r="C82" s="1">
        <v>45383</v>
      </c>
      <c r="D82">
        <v>41</v>
      </c>
      <c r="E82">
        <v>14</v>
      </c>
      <c r="F82">
        <v>416.88</v>
      </c>
      <c r="G82">
        <v>2</v>
      </c>
      <c r="H82" s="2">
        <v>0.14285714285714285</v>
      </c>
      <c r="I82">
        <v>3638.83</v>
      </c>
      <c r="J82">
        <v>3</v>
      </c>
      <c r="K82" s="2">
        <v>4.41E-2</v>
      </c>
    </row>
    <row r="83" spans="1:11" x14ac:dyDescent="0.35">
      <c r="A83" t="s">
        <v>12</v>
      </c>
      <c r="B83" t="s">
        <v>66</v>
      </c>
      <c r="C83" s="1">
        <v>45383</v>
      </c>
      <c r="D83">
        <v>17</v>
      </c>
      <c r="E83">
        <v>7</v>
      </c>
      <c r="F83">
        <v>81.14</v>
      </c>
      <c r="G83">
        <v>3</v>
      </c>
      <c r="H83" s="2">
        <v>0.42857142857142855</v>
      </c>
      <c r="I83">
        <v>1419.04</v>
      </c>
      <c r="J83">
        <v>2</v>
      </c>
      <c r="K83" s="2">
        <v>2.9399999999999999E-2</v>
      </c>
    </row>
    <row r="84" spans="1:11" x14ac:dyDescent="0.35">
      <c r="A84" t="s">
        <v>13</v>
      </c>
      <c r="B84" t="s">
        <v>66</v>
      </c>
      <c r="C84" s="1">
        <v>45383</v>
      </c>
      <c r="D84">
        <v>76</v>
      </c>
      <c r="E84">
        <v>16</v>
      </c>
      <c r="F84">
        <v>449.04</v>
      </c>
      <c r="G84">
        <v>4</v>
      </c>
      <c r="H84" s="2">
        <v>0.25</v>
      </c>
      <c r="I84">
        <v>1019.97</v>
      </c>
      <c r="J84">
        <v>1</v>
      </c>
      <c r="K84" s="2">
        <v>3.8100000000000002E-2</v>
      </c>
    </row>
    <row r="85" spans="1:11" x14ac:dyDescent="0.35">
      <c r="A85" t="s">
        <v>14</v>
      </c>
      <c r="B85" t="s">
        <v>66</v>
      </c>
      <c r="C85" s="1">
        <v>45383</v>
      </c>
      <c r="D85">
        <v>72</v>
      </c>
      <c r="E85">
        <v>6</v>
      </c>
      <c r="F85">
        <v>508.55</v>
      </c>
      <c r="G85">
        <v>3</v>
      </c>
      <c r="H85" s="2">
        <v>0.5</v>
      </c>
      <c r="I85">
        <v>3633.75</v>
      </c>
      <c r="J85">
        <v>3</v>
      </c>
      <c r="K85" s="2">
        <v>1.1399999999999999E-2</v>
      </c>
    </row>
    <row r="86" spans="1:11" x14ac:dyDescent="0.35">
      <c r="A86" t="s">
        <v>15</v>
      </c>
      <c r="B86" t="s">
        <v>66</v>
      </c>
      <c r="C86" s="1">
        <v>45383</v>
      </c>
      <c r="D86">
        <v>72</v>
      </c>
      <c r="E86">
        <v>18</v>
      </c>
      <c r="F86">
        <v>299.08999999999997</v>
      </c>
      <c r="G86">
        <v>2</v>
      </c>
      <c r="H86" s="2">
        <v>0.1111111111111111</v>
      </c>
      <c r="I86">
        <v>2378.29</v>
      </c>
      <c r="J86">
        <v>2</v>
      </c>
      <c r="K86" s="2">
        <v>0.1052</v>
      </c>
    </row>
    <row r="87" spans="1:11" x14ac:dyDescent="0.35">
      <c r="A87" t="s">
        <v>16</v>
      </c>
      <c r="B87" t="s">
        <v>66</v>
      </c>
      <c r="C87" s="1">
        <v>45383</v>
      </c>
      <c r="D87">
        <v>44</v>
      </c>
      <c r="E87">
        <v>6</v>
      </c>
      <c r="F87">
        <v>246.21</v>
      </c>
      <c r="G87">
        <v>5</v>
      </c>
      <c r="H87" s="2">
        <v>0.83333333333333337</v>
      </c>
      <c r="I87">
        <v>4155.8</v>
      </c>
      <c r="J87">
        <v>1</v>
      </c>
      <c r="K87" s="2">
        <v>4.3299999999999998E-2</v>
      </c>
    </row>
    <row r="88" spans="1:11" x14ac:dyDescent="0.35">
      <c r="A88" t="s">
        <v>17</v>
      </c>
      <c r="B88" t="s">
        <v>66</v>
      </c>
      <c r="C88" s="1">
        <v>45383</v>
      </c>
      <c r="D88">
        <v>29</v>
      </c>
      <c r="E88">
        <v>16</v>
      </c>
      <c r="F88">
        <v>412.07</v>
      </c>
      <c r="G88">
        <v>10</v>
      </c>
      <c r="H88" s="2">
        <v>0.625</v>
      </c>
      <c r="I88">
        <v>1075.94</v>
      </c>
      <c r="J88">
        <v>1</v>
      </c>
      <c r="K88" s="2">
        <v>6.2400000000000004E-2</v>
      </c>
    </row>
    <row r="89" spans="1:11" x14ac:dyDescent="0.35">
      <c r="A89" t="s">
        <v>18</v>
      </c>
      <c r="B89" t="s">
        <v>66</v>
      </c>
      <c r="C89" s="1">
        <v>45383</v>
      </c>
      <c r="D89">
        <v>64</v>
      </c>
      <c r="E89">
        <v>13</v>
      </c>
      <c r="F89">
        <v>317.58</v>
      </c>
      <c r="G89">
        <v>8</v>
      </c>
      <c r="H89" s="2">
        <v>0.61538461538461542</v>
      </c>
      <c r="I89">
        <v>1088.22</v>
      </c>
      <c r="J89">
        <v>3</v>
      </c>
      <c r="K89" s="2">
        <v>3.49E-2</v>
      </c>
    </row>
    <row r="90" spans="1:11" x14ac:dyDescent="0.35">
      <c r="A90" t="s">
        <v>19</v>
      </c>
      <c r="B90" t="s">
        <v>66</v>
      </c>
      <c r="C90" s="1">
        <v>45383</v>
      </c>
      <c r="D90">
        <v>16</v>
      </c>
      <c r="E90">
        <v>7</v>
      </c>
      <c r="F90">
        <v>181.58</v>
      </c>
      <c r="G90">
        <v>6</v>
      </c>
      <c r="H90" s="2">
        <v>0.8571428571428571</v>
      </c>
      <c r="I90">
        <v>868.4</v>
      </c>
      <c r="J90">
        <v>2</v>
      </c>
      <c r="K90" s="2">
        <v>8.4100000000000008E-2</v>
      </c>
    </row>
    <row r="91" spans="1:11" x14ac:dyDescent="0.35">
      <c r="A91" t="s">
        <v>20</v>
      </c>
      <c r="B91" t="s">
        <v>66</v>
      </c>
      <c r="C91" s="1">
        <v>45383</v>
      </c>
      <c r="D91">
        <v>37</v>
      </c>
      <c r="E91">
        <v>7</v>
      </c>
      <c r="F91">
        <v>470.85</v>
      </c>
      <c r="G91">
        <v>7</v>
      </c>
      <c r="H91" s="2">
        <v>1</v>
      </c>
      <c r="I91">
        <v>3483.6</v>
      </c>
      <c r="J91">
        <v>1</v>
      </c>
      <c r="K91" s="2">
        <v>4.2599999999999999E-2</v>
      </c>
    </row>
    <row r="92" spans="1:11" x14ac:dyDescent="0.35">
      <c r="A92" t="s">
        <v>21</v>
      </c>
      <c r="B92" t="s">
        <v>66</v>
      </c>
      <c r="C92" s="1">
        <v>45383</v>
      </c>
      <c r="D92">
        <v>81</v>
      </c>
      <c r="E92">
        <v>16</v>
      </c>
      <c r="F92">
        <v>584.29999999999995</v>
      </c>
      <c r="G92">
        <v>3</v>
      </c>
      <c r="H92" s="2">
        <v>0.1875</v>
      </c>
      <c r="I92">
        <v>377.45</v>
      </c>
      <c r="J92">
        <v>3</v>
      </c>
      <c r="K92" s="2">
        <v>3.32E-2</v>
      </c>
    </row>
    <row r="93" spans="1:11" x14ac:dyDescent="0.35">
      <c r="A93" t="s">
        <v>22</v>
      </c>
      <c r="B93" t="s">
        <v>66</v>
      </c>
      <c r="C93" s="1">
        <v>45383</v>
      </c>
      <c r="D93">
        <v>26</v>
      </c>
      <c r="E93">
        <v>6</v>
      </c>
      <c r="F93">
        <v>231.59</v>
      </c>
      <c r="G93">
        <v>2</v>
      </c>
      <c r="H93" s="2">
        <v>0.33333333333333331</v>
      </c>
      <c r="I93">
        <v>3988.15</v>
      </c>
      <c r="J93">
        <v>2</v>
      </c>
      <c r="K93" s="2">
        <v>3.8399999999999997E-2</v>
      </c>
    </row>
    <row r="94" spans="1:11" x14ac:dyDescent="0.35">
      <c r="A94" t="s">
        <v>23</v>
      </c>
      <c r="B94" t="s">
        <v>67</v>
      </c>
      <c r="C94" s="1">
        <v>45383</v>
      </c>
      <c r="D94">
        <v>69</v>
      </c>
      <c r="E94">
        <v>9</v>
      </c>
      <c r="F94">
        <v>221.01</v>
      </c>
      <c r="G94">
        <v>3</v>
      </c>
      <c r="H94" s="2">
        <v>0.33333333333333331</v>
      </c>
      <c r="I94">
        <v>643.44000000000005</v>
      </c>
      <c r="J94">
        <v>1</v>
      </c>
      <c r="K94" s="2">
        <v>3.2000000000000001E-2</v>
      </c>
    </row>
    <row r="95" spans="1:11" x14ac:dyDescent="0.35">
      <c r="A95" t="s">
        <v>24</v>
      </c>
      <c r="B95" t="s">
        <v>67</v>
      </c>
      <c r="C95" s="1">
        <v>45383</v>
      </c>
      <c r="D95">
        <v>103</v>
      </c>
      <c r="E95">
        <v>6</v>
      </c>
      <c r="F95">
        <v>165.74</v>
      </c>
      <c r="G95">
        <v>6</v>
      </c>
      <c r="H95" s="2">
        <v>1</v>
      </c>
      <c r="I95">
        <v>1169.3800000000001</v>
      </c>
      <c r="J95">
        <v>3</v>
      </c>
      <c r="K95" s="2">
        <v>7.7699999999999991E-2</v>
      </c>
    </row>
    <row r="96" spans="1:11" x14ac:dyDescent="0.35">
      <c r="A96" t="s">
        <v>25</v>
      </c>
      <c r="B96" t="s">
        <v>67</v>
      </c>
      <c r="C96" s="1">
        <v>45383</v>
      </c>
      <c r="D96">
        <v>100</v>
      </c>
      <c r="E96">
        <v>7</v>
      </c>
      <c r="F96">
        <v>82.62</v>
      </c>
      <c r="G96">
        <v>6</v>
      </c>
      <c r="H96" s="2">
        <v>0.8571428571428571</v>
      </c>
      <c r="I96">
        <v>4085.91</v>
      </c>
      <c r="J96">
        <v>2</v>
      </c>
      <c r="K96" s="2">
        <v>9.0500000000000011E-2</v>
      </c>
    </row>
    <row r="97" spans="1:11" x14ac:dyDescent="0.35">
      <c r="A97" t="s">
        <v>26</v>
      </c>
      <c r="B97" t="s">
        <v>67</v>
      </c>
      <c r="C97" s="1">
        <v>45383</v>
      </c>
      <c r="D97">
        <v>26</v>
      </c>
      <c r="E97">
        <v>17</v>
      </c>
      <c r="F97">
        <v>526.34</v>
      </c>
      <c r="G97">
        <v>6</v>
      </c>
      <c r="H97" s="2">
        <v>0.35294117647058826</v>
      </c>
      <c r="I97">
        <v>3360.11</v>
      </c>
      <c r="J97">
        <v>1</v>
      </c>
      <c r="K97" s="2">
        <v>3.0600000000000002E-2</v>
      </c>
    </row>
    <row r="98" spans="1:11" x14ac:dyDescent="0.35">
      <c r="A98" t="s">
        <v>27</v>
      </c>
      <c r="B98" t="s">
        <v>67</v>
      </c>
      <c r="C98" s="1">
        <v>45383</v>
      </c>
      <c r="D98">
        <v>104</v>
      </c>
      <c r="E98">
        <v>22</v>
      </c>
      <c r="F98">
        <v>190.87</v>
      </c>
      <c r="G98">
        <v>4</v>
      </c>
      <c r="H98" s="2">
        <v>0.18181818181818182</v>
      </c>
      <c r="I98">
        <v>433.41</v>
      </c>
      <c r="J98">
        <v>3</v>
      </c>
      <c r="K98" s="2">
        <v>9.3599999999999989E-2</v>
      </c>
    </row>
    <row r="99" spans="1:11" x14ac:dyDescent="0.35">
      <c r="A99" t="s">
        <v>28</v>
      </c>
      <c r="B99" t="s">
        <v>67</v>
      </c>
      <c r="C99" s="1">
        <v>45383</v>
      </c>
      <c r="D99">
        <v>63</v>
      </c>
      <c r="E99">
        <v>11</v>
      </c>
      <c r="F99">
        <v>554.51</v>
      </c>
      <c r="G99">
        <v>1</v>
      </c>
      <c r="H99" s="2">
        <v>9.0909090909090912E-2</v>
      </c>
      <c r="I99">
        <v>1138.51</v>
      </c>
      <c r="J99">
        <v>2</v>
      </c>
      <c r="K99" s="2">
        <v>1E-3</v>
      </c>
    </row>
    <row r="100" spans="1:11" x14ac:dyDescent="0.35">
      <c r="A100" t="s">
        <v>29</v>
      </c>
      <c r="B100" t="s">
        <v>67</v>
      </c>
      <c r="C100" s="1">
        <v>45383</v>
      </c>
      <c r="D100">
        <v>22</v>
      </c>
      <c r="E100">
        <v>13</v>
      </c>
      <c r="F100">
        <v>302.49</v>
      </c>
      <c r="G100">
        <v>2</v>
      </c>
      <c r="H100" s="2">
        <v>0.15384615384615385</v>
      </c>
      <c r="I100">
        <v>1591.45</v>
      </c>
      <c r="J100">
        <v>3</v>
      </c>
      <c r="K100" s="2">
        <v>4.9599999999999998E-2</v>
      </c>
    </row>
    <row r="101" spans="1:11" x14ac:dyDescent="0.35">
      <c r="A101" t="s">
        <v>30</v>
      </c>
      <c r="B101" t="s">
        <v>67</v>
      </c>
      <c r="C101" s="1">
        <v>45383</v>
      </c>
      <c r="D101">
        <v>91</v>
      </c>
      <c r="E101">
        <v>5</v>
      </c>
      <c r="F101">
        <v>605.11</v>
      </c>
      <c r="G101">
        <v>2</v>
      </c>
      <c r="H101" s="2">
        <v>0.4</v>
      </c>
      <c r="I101">
        <v>3499.88</v>
      </c>
      <c r="J101">
        <v>2</v>
      </c>
      <c r="K101" s="2">
        <v>3.0200000000000001E-2</v>
      </c>
    </row>
    <row r="102" spans="1:11" x14ac:dyDescent="0.35">
      <c r="A102" t="s">
        <v>31</v>
      </c>
      <c r="B102" t="s">
        <v>67</v>
      </c>
      <c r="C102" s="1">
        <v>45383</v>
      </c>
      <c r="D102">
        <v>77</v>
      </c>
      <c r="E102">
        <v>8</v>
      </c>
      <c r="F102">
        <v>173.88</v>
      </c>
      <c r="G102">
        <v>6</v>
      </c>
      <c r="H102" s="2">
        <v>0.75</v>
      </c>
      <c r="I102">
        <v>462.44</v>
      </c>
      <c r="J102">
        <v>1</v>
      </c>
      <c r="K102" s="2">
        <v>7.9899999999999999E-2</v>
      </c>
    </row>
    <row r="103" spans="1:11" x14ac:dyDescent="0.35">
      <c r="A103" t="s">
        <v>32</v>
      </c>
      <c r="B103" t="s">
        <v>67</v>
      </c>
      <c r="C103" s="1">
        <v>45383</v>
      </c>
      <c r="D103">
        <v>90</v>
      </c>
      <c r="E103">
        <v>17</v>
      </c>
      <c r="F103">
        <v>366.84</v>
      </c>
      <c r="G103">
        <v>0</v>
      </c>
      <c r="H103" s="2">
        <v>0</v>
      </c>
      <c r="I103">
        <v>3153.56</v>
      </c>
      <c r="J103">
        <v>3</v>
      </c>
      <c r="K103" s="2">
        <v>2.4500000000000001E-2</v>
      </c>
    </row>
    <row r="104" spans="1:11" x14ac:dyDescent="0.35">
      <c r="A104" t="s">
        <v>33</v>
      </c>
      <c r="B104" t="s">
        <v>67</v>
      </c>
      <c r="C104" s="1">
        <v>45383</v>
      </c>
      <c r="D104">
        <v>33</v>
      </c>
      <c r="E104">
        <v>9</v>
      </c>
      <c r="F104">
        <v>578.41999999999996</v>
      </c>
      <c r="G104">
        <v>4</v>
      </c>
      <c r="H104" s="2">
        <v>0.44444444444444442</v>
      </c>
      <c r="I104">
        <v>229.72</v>
      </c>
      <c r="J104">
        <v>2</v>
      </c>
      <c r="K104" s="2">
        <v>7.46E-2</v>
      </c>
    </row>
    <row r="105" spans="1:11" x14ac:dyDescent="0.35">
      <c r="A105" t="s">
        <v>34</v>
      </c>
      <c r="B105" t="s">
        <v>67</v>
      </c>
      <c r="C105" s="1">
        <v>45383</v>
      </c>
      <c r="D105">
        <v>42</v>
      </c>
      <c r="E105">
        <v>14</v>
      </c>
      <c r="F105">
        <v>321.29000000000002</v>
      </c>
      <c r="G105">
        <v>7</v>
      </c>
      <c r="H105" s="2">
        <v>0.5</v>
      </c>
      <c r="I105">
        <v>4298.2700000000004</v>
      </c>
      <c r="J105">
        <v>1</v>
      </c>
      <c r="K105" s="2">
        <v>7.4499999999999997E-2</v>
      </c>
    </row>
    <row r="106" spans="1:11" x14ac:dyDescent="0.35">
      <c r="A106" t="s">
        <v>9</v>
      </c>
      <c r="B106" t="s">
        <v>67</v>
      </c>
      <c r="C106" s="1">
        <v>45413</v>
      </c>
      <c r="D106">
        <v>69</v>
      </c>
      <c r="E106">
        <v>16</v>
      </c>
      <c r="F106">
        <v>299.22000000000003</v>
      </c>
      <c r="G106">
        <v>6</v>
      </c>
      <c r="H106" s="2">
        <v>0.375</v>
      </c>
      <c r="I106">
        <v>3716.14</v>
      </c>
      <c r="J106">
        <v>3</v>
      </c>
      <c r="K106" s="2">
        <v>2.63E-2</v>
      </c>
    </row>
    <row r="107" spans="1:11" x14ac:dyDescent="0.35">
      <c r="A107" t="s">
        <v>10</v>
      </c>
      <c r="B107" t="s">
        <v>67</v>
      </c>
      <c r="C107" s="1">
        <v>45413</v>
      </c>
      <c r="D107">
        <v>68</v>
      </c>
      <c r="E107">
        <v>11</v>
      </c>
      <c r="F107">
        <v>345.62</v>
      </c>
      <c r="G107">
        <v>4</v>
      </c>
      <c r="H107" s="2">
        <v>0.36363636363636365</v>
      </c>
      <c r="I107">
        <v>3558.13</v>
      </c>
      <c r="J107">
        <v>2</v>
      </c>
      <c r="K107" s="2">
        <v>4.0800000000000003E-2</v>
      </c>
    </row>
    <row r="108" spans="1:11" x14ac:dyDescent="0.35">
      <c r="A108" t="s">
        <v>11</v>
      </c>
      <c r="B108" t="s">
        <v>67</v>
      </c>
      <c r="C108" s="1">
        <v>45413</v>
      </c>
      <c r="D108">
        <v>45</v>
      </c>
      <c r="E108">
        <v>17</v>
      </c>
      <c r="F108">
        <v>416.96</v>
      </c>
      <c r="G108">
        <v>3</v>
      </c>
      <c r="H108" s="2">
        <v>0.17647058823529413</v>
      </c>
      <c r="I108">
        <v>3327.07</v>
      </c>
      <c r="J108">
        <v>1</v>
      </c>
      <c r="K108" s="2">
        <v>4.0999999999999995E-2</v>
      </c>
    </row>
    <row r="109" spans="1:11" x14ac:dyDescent="0.35">
      <c r="A109" t="s">
        <v>12</v>
      </c>
      <c r="B109" t="s">
        <v>67</v>
      </c>
      <c r="C109" s="1">
        <v>45413</v>
      </c>
      <c r="D109">
        <v>17</v>
      </c>
      <c r="E109">
        <v>8</v>
      </c>
      <c r="F109">
        <v>72.05</v>
      </c>
      <c r="G109">
        <v>3</v>
      </c>
      <c r="H109" s="2">
        <v>0.375</v>
      </c>
      <c r="I109">
        <v>1672.82</v>
      </c>
      <c r="J109">
        <v>3</v>
      </c>
      <c r="K109" s="2">
        <v>3.0299999999999997E-2</v>
      </c>
    </row>
    <row r="110" spans="1:11" x14ac:dyDescent="0.35">
      <c r="A110" t="s">
        <v>13</v>
      </c>
      <c r="B110" t="s">
        <v>67</v>
      </c>
      <c r="C110" s="1">
        <v>45413</v>
      </c>
      <c r="D110">
        <v>85</v>
      </c>
      <c r="E110">
        <v>13</v>
      </c>
      <c r="F110">
        <v>475.61</v>
      </c>
      <c r="G110">
        <v>5</v>
      </c>
      <c r="H110" s="2">
        <v>0.38461538461538464</v>
      </c>
      <c r="I110">
        <v>939.32</v>
      </c>
      <c r="J110">
        <v>2</v>
      </c>
      <c r="K110" s="2">
        <v>3.6400000000000002E-2</v>
      </c>
    </row>
    <row r="111" spans="1:11" x14ac:dyDescent="0.35">
      <c r="A111" t="s">
        <v>14</v>
      </c>
      <c r="B111" t="s">
        <v>67</v>
      </c>
      <c r="C111" s="1">
        <v>45413</v>
      </c>
      <c r="D111">
        <v>49</v>
      </c>
      <c r="E111">
        <v>7</v>
      </c>
      <c r="F111">
        <v>469.53</v>
      </c>
      <c r="G111">
        <v>3</v>
      </c>
      <c r="H111" s="2">
        <v>0.42857142857142855</v>
      </c>
      <c r="I111">
        <v>3623.32</v>
      </c>
      <c r="J111">
        <v>1</v>
      </c>
      <c r="K111" s="2">
        <v>1.21E-2</v>
      </c>
    </row>
    <row r="112" spans="1:11" x14ac:dyDescent="0.35">
      <c r="A112" t="s">
        <v>15</v>
      </c>
      <c r="B112" t="s">
        <v>67</v>
      </c>
      <c r="C112" s="1">
        <v>45413</v>
      </c>
      <c r="D112">
        <v>66</v>
      </c>
      <c r="E112">
        <v>15</v>
      </c>
      <c r="F112">
        <v>333.1</v>
      </c>
      <c r="G112">
        <v>2</v>
      </c>
      <c r="H112" s="2">
        <v>0.13333333333333333</v>
      </c>
      <c r="I112">
        <v>2631.58</v>
      </c>
      <c r="J112">
        <v>1</v>
      </c>
      <c r="K112" s="2">
        <v>0.10249999999999999</v>
      </c>
    </row>
    <row r="113" spans="1:11" x14ac:dyDescent="0.35">
      <c r="A113" t="s">
        <v>16</v>
      </c>
      <c r="B113" t="s">
        <v>67</v>
      </c>
      <c r="C113" s="1">
        <v>45413</v>
      </c>
      <c r="D113">
        <v>63</v>
      </c>
      <c r="E113">
        <v>9</v>
      </c>
      <c r="F113">
        <v>258.11</v>
      </c>
      <c r="G113">
        <v>7</v>
      </c>
      <c r="H113" s="2">
        <v>0.77777777777777779</v>
      </c>
      <c r="I113">
        <v>4064.36</v>
      </c>
      <c r="J113">
        <v>3</v>
      </c>
      <c r="K113" s="2">
        <v>4.1599999999999998E-2</v>
      </c>
    </row>
    <row r="114" spans="1:11" x14ac:dyDescent="0.35">
      <c r="A114" t="s">
        <v>17</v>
      </c>
      <c r="B114" t="s">
        <v>67</v>
      </c>
      <c r="C114" s="1">
        <v>45413</v>
      </c>
      <c r="D114">
        <v>31</v>
      </c>
      <c r="E114">
        <v>20</v>
      </c>
      <c r="F114">
        <v>400.8</v>
      </c>
      <c r="G114">
        <v>8</v>
      </c>
      <c r="H114" s="2">
        <v>0.4</v>
      </c>
      <c r="I114">
        <v>1294.3599999999999</v>
      </c>
      <c r="J114">
        <v>2</v>
      </c>
      <c r="K114" s="2">
        <v>5.6399999999999999E-2</v>
      </c>
    </row>
    <row r="115" spans="1:11" x14ac:dyDescent="0.35">
      <c r="A115" t="s">
        <v>18</v>
      </c>
      <c r="B115" t="s">
        <v>67</v>
      </c>
      <c r="C115" s="1">
        <v>45413</v>
      </c>
      <c r="D115">
        <v>75</v>
      </c>
      <c r="E115">
        <v>19</v>
      </c>
      <c r="F115">
        <v>343.28</v>
      </c>
      <c r="G115">
        <v>9</v>
      </c>
      <c r="H115" s="2">
        <v>0.47368421052631576</v>
      </c>
      <c r="I115">
        <v>899.46</v>
      </c>
      <c r="J115">
        <v>1</v>
      </c>
      <c r="K115" s="2">
        <v>3.2199999999999999E-2</v>
      </c>
    </row>
    <row r="116" spans="1:11" x14ac:dyDescent="0.35">
      <c r="A116" t="s">
        <v>19</v>
      </c>
      <c r="B116" t="s">
        <v>67</v>
      </c>
      <c r="C116" s="1">
        <v>45413</v>
      </c>
      <c r="D116">
        <v>18</v>
      </c>
      <c r="E116">
        <v>7</v>
      </c>
      <c r="F116">
        <v>204.63</v>
      </c>
      <c r="G116">
        <v>7</v>
      </c>
      <c r="H116" s="2">
        <v>1</v>
      </c>
      <c r="I116">
        <v>789.77</v>
      </c>
      <c r="J116">
        <v>3</v>
      </c>
      <c r="K116" s="2">
        <v>7.4499999999999997E-2</v>
      </c>
    </row>
    <row r="117" spans="1:11" x14ac:dyDescent="0.35">
      <c r="A117" t="s">
        <v>20</v>
      </c>
      <c r="B117" t="s">
        <v>67</v>
      </c>
      <c r="C117" s="1">
        <v>45413</v>
      </c>
      <c r="D117">
        <v>35</v>
      </c>
      <c r="E117">
        <v>6</v>
      </c>
      <c r="F117">
        <v>553.11</v>
      </c>
      <c r="G117">
        <v>4</v>
      </c>
      <c r="H117" s="2">
        <v>0.66666666666666663</v>
      </c>
      <c r="I117">
        <v>3867.67</v>
      </c>
      <c r="J117">
        <v>2</v>
      </c>
      <c r="K117" s="2">
        <v>3.8300000000000001E-2</v>
      </c>
    </row>
    <row r="118" spans="1:11" x14ac:dyDescent="0.35">
      <c r="A118" t="s">
        <v>21</v>
      </c>
      <c r="B118" t="s">
        <v>67</v>
      </c>
      <c r="C118" s="1">
        <v>45413</v>
      </c>
      <c r="D118">
        <v>74</v>
      </c>
      <c r="E118">
        <v>20</v>
      </c>
      <c r="F118">
        <v>623.33000000000004</v>
      </c>
      <c r="G118">
        <v>2</v>
      </c>
      <c r="H118" s="2">
        <v>0.1</v>
      </c>
      <c r="I118">
        <v>359.97</v>
      </c>
      <c r="J118">
        <v>1</v>
      </c>
      <c r="K118" s="2">
        <v>3.8399999999999997E-2</v>
      </c>
    </row>
    <row r="119" spans="1:11" x14ac:dyDescent="0.35">
      <c r="A119" t="s">
        <v>22</v>
      </c>
      <c r="B119" t="s">
        <v>67</v>
      </c>
      <c r="C119" s="1">
        <v>45413</v>
      </c>
      <c r="D119">
        <v>26</v>
      </c>
      <c r="E119">
        <v>7</v>
      </c>
      <c r="F119">
        <v>200.45</v>
      </c>
      <c r="G119">
        <v>1</v>
      </c>
      <c r="H119" s="2">
        <v>0.14285714285714285</v>
      </c>
      <c r="I119">
        <v>3797.35</v>
      </c>
      <c r="J119">
        <v>3</v>
      </c>
      <c r="K119" s="2">
        <v>4.1399999999999999E-2</v>
      </c>
    </row>
    <row r="120" spans="1:11" x14ac:dyDescent="0.35">
      <c r="A120" t="s">
        <v>23</v>
      </c>
      <c r="B120" t="s">
        <v>67</v>
      </c>
      <c r="C120" s="1">
        <v>45413</v>
      </c>
      <c r="D120">
        <v>50</v>
      </c>
      <c r="E120">
        <v>7</v>
      </c>
      <c r="F120">
        <v>196.2</v>
      </c>
      <c r="G120">
        <v>2</v>
      </c>
      <c r="H120" s="2">
        <v>0.2857142857142857</v>
      </c>
      <c r="I120">
        <v>592.71</v>
      </c>
      <c r="J120">
        <v>2</v>
      </c>
      <c r="K120" s="2">
        <v>2.76E-2</v>
      </c>
    </row>
    <row r="121" spans="1:11" x14ac:dyDescent="0.35">
      <c r="A121" t="s">
        <v>24</v>
      </c>
      <c r="B121" t="s">
        <v>67</v>
      </c>
      <c r="C121" s="1">
        <v>45413</v>
      </c>
      <c r="D121">
        <v>97</v>
      </c>
      <c r="E121">
        <v>5</v>
      </c>
      <c r="F121">
        <v>185.62</v>
      </c>
      <c r="G121">
        <v>4</v>
      </c>
      <c r="H121" s="2">
        <v>0.8</v>
      </c>
      <c r="I121">
        <v>1282.81</v>
      </c>
      <c r="J121">
        <v>1</v>
      </c>
      <c r="K121" s="2">
        <v>7.22E-2</v>
      </c>
    </row>
    <row r="122" spans="1:11" x14ac:dyDescent="0.35">
      <c r="A122" t="s">
        <v>25</v>
      </c>
      <c r="B122" t="s">
        <v>67</v>
      </c>
      <c r="C122" s="1">
        <v>45413</v>
      </c>
      <c r="D122">
        <v>91</v>
      </c>
      <c r="E122">
        <v>7</v>
      </c>
      <c r="F122">
        <v>89.39</v>
      </c>
      <c r="G122">
        <v>6</v>
      </c>
      <c r="H122" s="2">
        <v>0.8571428571428571</v>
      </c>
      <c r="I122">
        <v>3971.59</v>
      </c>
      <c r="J122">
        <v>3</v>
      </c>
      <c r="K122" s="2">
        <v>9.0700000000000003E-2</v>
      </c>
    </row>
    <row r="123" spans="1:11" x14ac:dyDescent="0.35">
      <c r="A123" t="s">
        <v>26</v>
      </c>
      <c r="B123" t="s">
        <v>67</v>
      </c>
      <c r="C123" s="1">
        <v>45413</v>
      </c>
      <c r="D123">
        <v>21</v>
      </c>
      <c r="E123">
        <v>14</v>
      </c>
      <c r="F123">
        <v>472.79</v>
      </c>
      <c r="G123">
        <v>8</v>
      </c>
      <c r="H123" s="2">
        <v>0.5714285714285714</v>
      </c>
      <c r="I123">
        <v>3830.32</v>
      </c>
      <c r="J123">
        <v>2</v>
      </c>
      <c r="K123" s="2">
        <v>3.5200000000000002E-2</v>
      </c>
    </row>
    <row r="124" spans="1:11" x14ac:dyDescent="0.35">
      <c r="A124" t="s">
        <v>27</v>
      </c>
      <c r="B124" t="s">
        <v>67</v>
      </c>
      <c r="C124" s="1">
        <v>45413</v>
      </c>
      <c r="D124">
        <v>91</v>
      </c>
      <c r="E124">
        <v>15</v>
      </c>
      <c r="F124">
        <v>173.03</v>
      </c>
      <c r="G124">
        <v>4</v>
      </c>
      <c r="H124" s="2">
        <v>0.26666666666666666</v>
      </c>
      <c r="I124">
        <v>386.08</v>
      </c>
      <c r="J124">
        <v>1</v>
      </c>
      <c r="K124" s="2">
        <v>9.820000000000001E-2</v>
      </c>
    </row>
    <row r="125" spans="1:11" x14ac:dyDescent="0.35">
      <c r="A125" t="s">
        <v>28</v>
      </c>
      <c r="B125" t="s">
        <v>67</v>
      </c>
      <c r="C125" s="1">
        <v>45413</v>
      </c>
      <c r="D125">
        <v>67</v>
      </c>
      <c r="E125">
        <v>15</v>
      </c>
      <c r="F125">
        <v>499.68</v>
      </c>
      <c r="G125">
        <v>0</v>
      </c>
      <c r="H125" s="2">
        <v>0</v>
      </c>
      <c r="I125">
        <v>1287.1300000000001</v>
      </c>
      <c r="J125">
        <v>3</v>
      </c>
      <c r="K125" s="2">
        <v>1E-3</v>
      </c>
    </row>
    <row r="126" spans="1:11" x14ac:dyDescent="0.35">
      <c r="A126" t="s">
        <v>29</v>
      </c>
      <c r="B126" t="s">
        <v>67</v>
      </c>
      <c r="C126" s="1">
        <v>45413</v>
      </c>
      <c r="D126">
        <v>19</v>
      </c>
      <c r="E126">
        <v>13</v>
      </c>
      <c r="F126">
        <v>316.23</v>
      </c>
      <c r="G126">
        <v>1</v>
      </c>
      <c r="H126" s="2">
        <v>7.6923076923076927E-2</v>
      </c>
      <c r="I126">
        <v>1598.49</v>
      </c>
      <c r="J126">
        <v>2</v>
      </c>
      <c r="K126" s="2">
        <v>5.8299999999999998E-2</v>
      </c>
    </row>
    <row r="127" spans="1:11" x14ac:dyDescent="0.35">
      <c r="A127" t="s">
        <v>30</v>
      </c>
      <c r="B127" t="s">
        <v>67</v>
      </c>
      <c r="C127" s="1">
        <v>45413</v>
      </c>
      <c r="D127">
        <v>105</v>
      </c>
      <c r="E127">
        <v>6</v>
      </c>
      <c r="F127">
        <v>567.03</v>
      </c>
      <c r="G127">
        <v>1</v>
      </c>
      <c r="H127" s="2">
        <v>0.16666666666666666</v>
      </c>
      <c r="I127">
        <v>3496.65</v>
      </c>
      <c r="J127">
        <v>1</v>
      </c>
      <c r="K127" s="2">
        <v>3.0600000000000002E-2</v>
      </c>
    </row>
    <row r="128" spans="1:11" x14ac:dyDescent="0.35">
      <c r="A128" t="s">
        <v>31</v>
      </c>
      <c r="B128" t="s">
        <v>67</v>
      </c>
      <c r="C128" s="1">
        <v>45413</v>
      </c>
      <c r="D128">
        <v>73</v>
      </c>
      <c r="E128">
        <v>8</v>
      </c>
      <c r="F128">
        <v>175.52</v>
      </c>
      <c r="G128">
        <v>7</v>
      </c>
      <c r="H128" s="2">
        <v>0.875</v>
      </c>
      <c r="I128">
        <v>455.32</v>
      </c>
      <c r="J128">
        <v>3</v>
      </c>
      <c r="K128" s="2">
        <v>9.35E-2</v>
      </c>
    </row>
    <row r="129" spans="1:11" x14ac:dyDescent="0.35">
      <c r="A129" t="s">
        <v>32</v>
      </c>
      <c r="B129" t="s">
        <v>67</v>
      </c>
      <c r="C129" s="1">
        <v>45413</v>
      </c>
      <c r="D129">
        <v>111</v>
      </c>
      <c r="E129">
        <v>13</v>
      </c>
      <c r="F129">
        <v>358.31</v>
      </c>
      <c r="G129">
        <v>0</v>
      </c>
      <c r="H129" s="2">
        <v>0</v>
      </c>
      <c r="I129">
        <v>2811.77</v>
      </c>
      <c r="J129">
        <v>2</v>
      </c>
      <c r="K129" s="2">
        <v>2.7099999999999999E-2</v>
      </c>
    </row>
    <row r="130" spans="1:11" x14ac:dyDescent="0.35">
      <c r="A130" t="s">
        <v>33</v>
      </c>
      <c r="B130" t="s">
        <v>67</v>
      </c>
      <c r="C130" s="1">
        <v>45413</v>
      </c>
      <c r="D130">
        <v>38</v>
      </c>
      <c r="E130">
        <v>12</v>
      </c>
      <c r="F130">
        <v>556.33000000000004</v>
      </c>
      <c r="G130">
        <v>4</v>
      </c>
      <c r="H130" s="2">
        <v>0.33333333333333331</v>
      </c>
      <c r="I130">
        <v>241.08</v>
      </c>
      <c r="J130">
        <v>1</v>
      </c>
      <c r="K130" s="2">
        <v>7.0599999999999996E-2</v>
      </c>
    </row>
    <row r="131" spans="1:11" x14ac:dyDescent="0.35">
      <c r="A131" t="s">
        <v>34</v>
      </c>
      <c r="B131" t="s">
        <v>67</v>
      </c>
      <c r="C131" s="1">
        <v>45413</v>
      </c>
      <c r="D131">
        <v>33</v>
      </c>
      <c r="E131">
        <v>17</v>
      </c>
      <c r="F131">
        <v>371.65</v>
      </c>
      <c r="G131">
        <v>9</v>
      </c>
      <c r="H131" s="2">
        <v>0.52941176470588236</v>
      </c>
      <c r="I131">
        <v>4068.75</v>
      </c>
      <c r="J131">
        <v>3</v>
      </c>
      <c r="K131" s="2">
        <v>8.5500000000000007E-2</v>
      </c>
    </row>
    <row r="132" spans="1:11" x14ac:dyDescent="0.35">
      <c r="A132" t="s">
        <v>9</v>
      </c>
      <c r="B132" t="s">
        <v>67</v>
      </c>
      <c r="C132" s="1">
        <v>45444</v>
      </c>
      <c r="D132">
        <v>59</v>
      </c>
      <c r="E132">
        <v>16</v>
      </c>
      <c r="F132">
        <v>359.47</v>
      </c>
      <c r="G132">
        <v>7</v>
      </c>
      <c r="H132" s="2">
        <v>0.4375</v>
      </c>
      <c r="I132">
        <v>3958.94</v>
      </c>
      <c r="J132">
        <v>2</v>
      </c>
      <c r="K132" s="2">
        <v>2.46E-2</v>
      </c>
    </row>
    <row r="133" spans="1:11" x14ac:dyDescent="0.35">
      <c r="A133" t="s">
        <v>10</v>
      </c>
      <c r="B133" t="s">
        <v>67</v>
      </c>
      <c r="C133" s="1">
        <v>45444</v>
      </c>
      <c r="D133">
        <v>71</v>
      </c>
      <c r="E133">
        <v>11</v>
      </c>
      <c r="F133">
        <v>379.33</v>
      </c>
      <c r="G133">
        <v>4</v>
      </c>
      <c r="H133" s="2">
        <v>0.36363636363636365</v>
      </c>
      <c r="I133">
        <v>4003.52</v>
      </c>
      <c r="J133">
        <v>1</v>
      </c>
      <c r="K133" s="2">
        <v>4.2900000000000001E-2</v>
      </c>
    </row>
    <row r="134" spans="1:11" x14ac:dyDescent="0.35">
      <c r="A134" t="s">
        <v>11</v>
      </c>
      <c r="B134" t="s">
        <v>67</v>
      </c>
      <c r="C134" s="1">
        <v>45444</v>
      </c>
      <c r="D134">
        <v>48</v>
      </c>
      <c r="E134">
        <v>14</v>
      </c>
      <c r="F134">
        <v>383.94</v>
      </c>
      <c r="G134">
        <v>3</v>
      </c>
      <c r="H134" s="2">
        <v>0.21428571428571427</v>
      </c>
      <c r="I134">
        <v>3173.36</v>
      </c>
      <c r="J134">
        <v>3</v>
      </c>
      <c r="K134" s="2">
        <v>4.0999999999999995E-2</v>
      </c>
    </row>
    <row r="135" spans="1:11" x14ac:dyDescent="0.35">
      <c r="A135" t="s">
        <v>12</v>
      </c>
      <c r="B135" t="s">
        <v>67</v>
      </c>
      <c r="C135" s="1">
        <v>45444</v>
      </c>
      <c r="D135">
        <v>18</v>
      </c>
      <c r="E135">
        <v>7</v>
      </c>
      <c r="F135">
        <v>85.32</v>
      </c>
      <c r="G135">
        <v>3</v>
      </c>
      <c r="H135" s="2">
        <v>0.42857142857142855</v>
      </c>
      <c r="I135">
        <v>1431.69</v>
      </c>
      <c r="J135">
        <v>2</v>
      </c>
      <c r="K135" s="2">
        <v>3.1600000000000003E-2</v>
      </c>
    </row>
    <row r="136" spans="1:11" x14ac:dyDescent="0.35">
      <c r="A136" t="s">
        <v>13</v>
      </c>
      <c r="B136" t="s">
        <v>67</v>
      </c>
      <c r="C136" s="1">
        <v>45444</v>
      </c>
      <c r="D136">
        <v>93</v>
      </c>
      <c r="E136">
        <v>14</v>
      </c>
      <c r="F136">
        <v>466.81</v>
      </c>
      <c r="G136">
        <v>5</v>
      </c>
      <c r="H136" s="2">
        <v>0.35714285714285715</v>
      </c>
      <c r="I136">
        <v>988.98</v>
      </c>
      <c r="J136">
        <v>1</v>
      </c>
      <c r="K136" s="2">
        <v>4.2300000000000004E-2</v>
      </c>
    </row>
    <row r="137" spans="1:11" x14ac:dyDescent="0.35">
      <c r="A137" t="s">
        <v>14</v>
      </c>
      <c r="B137" t="s">
        <v>68</v>
      </c>
      <c r="C137" s="1">
        <v>45444</v>
      </c>
      <c r="D137">
        <v>49</v>
      </c>
      <c r="E137">
        <v>7</v>
      </c>
      <c r="F137">
        <v>512.88</v>
      </c>
      <c r="G137">
        <v>2</v>
      </c>
      <c r="H137" s="2">
        <v>0.2857142857142857</v>
      </c>
      <c r="I137">
        <v>3545.66</v>
      </c>
      <c r="J137">
        <v>1</v>
      </c>
      <c r="K137" s="2">
        <v>1.2699999999999999E-2</v>
      </c>
    </row>
    <row r="138" spans="1:11" x14ac:dyDescent="0.35">
      <c r="A138" t="s">
        <v>15</v>
      </c>
      <c r="B138" t="s">
        <v>68</v>
      </c>
      <c r="C138" s="1">
        <v>45444</v>
      </c>
      <c r="D138">
        <v>85</v>
      </c>
      <c r="E138">
        <v>17</v>
      </c>
      <c r="F138">
        <v>324.56</v>
      </c>
      <c r="G138">
        <v>3</v>
      </c>
      <c r="H138" s="2">
        <v>0.17647058823529413</v>
      </c>
      <c r="I138">
        <v>2420.5300000000002</v>
      </c>
      <c r="J138">
        <v>3</v>
      </c>
      <c r="K138" s="2">
        <v>8.929999999999999E-2</v>
      </c>
    </row>
    <row r="139" spans="1:11" x14ac:dyDescent="0.35">
      <c r="A139" t="s">
        <v>16</v>
      </c>
      <c r="B139" t="s">
        <v>68</v>
      </c>
      <c r="C139" s="1">
        <v>45444</v>
      </c>
      <c r="D139">
        <v>61</v>
      </c>
      <c r="E139">
        <v>7</v>
      </c>
      <c r="F139">
        <v>219.53</v>
      </c>
      <c r="G139">
        <v>7</v>
      </c>
      <c r="H139" s="2">
        <v>1</v>
      </c>
      <c r="I139">
        <v>3860.12</v>
      </c>
      <c r="J139">
        <v>2</v>
      </c>
      <c r="K139" s="2">
        <v>4.3499999999999997E-2</v>
      </c>
    </row>
    <row r="140" spans="1:11" x14ac:dyDescent="0.35">
      <c r="A140" t="s">
        <v>17</v>
      </c>
      <c r="B140" t="s">
        <v>68</v>
      </c>
      <c r="C140" s="1">
        <v>45444</v>
      </c>
      <c r="D140">
        <v>30</v>
      </c>
      <c r="E140">
        <v>16</v>
      </c>
      <c r="F140">
        <v>353.65</v>
      </c>
      <c r="G140">
        <v>9</v>
      </c>
      <c r="H140" s="2">
        <v>0.5625</v>
      </c>
      <c r="I140">
        <v>1213.5899999999999</v>
      </c>
      <c r="J140">
        <v>1</v>
      </c>
      <c r="K140" s="2">
        <v>6.2E-2</v>
      </c>
    </row>
    <row r="141" spans="1:11" x14ac:dyDescent="0.35">
      <c r="A141" t="s">
        <v>18</v>
      </c>
      <c r="B141" t="s">
        <v>68</v>
      </c>
      <c r="C141" s="1">
        <v>45444</v>
      </c>
      <c r="D141">
        <v>54</v>
      </c>
      <c r="E141">
        <v>16</v>
      </c>
      <c r="F141">
        <v>334.41</v>
      </c>
      <c r="G141">
        <v>9</v>
      </c>
      <c r="H141" s="2">
        <v>0.5625</v>
      </c>
      <c r="I141">
        <v>1056.98</v>
      </c>
      <c r="J141">
        <v>3</v>
      </c>
      <c r="K141" s="2">
        <v>3.5200000000000002E-2</v>
      </c>
    </row>
    <row r="142" spans="1:11" x14ac:dyDescent="0.35">
      <c r="A142" t="s">
        <v>19</v>
      </c>
      <c r="B142" t="s">
        <v>68</v>
      </c>
      <c r="C142" s="1">
        <v>45444</v>
      </c>
      <c r="D142">
        <v>19</v>
      </c>
      <c r="E142">
        <v>7</v>
      </c>
      <c r="F142">
        <v>199.46</v>
      </c>
      <c r="G142">
        <v>7</v>
      </c>
      <c r="H142" s="2">
        <v>1</v>
      </c>
      <c r="I142">
        <v>809.56</v>
      </c>
      <c r="J142">
        <v>2</v>
      </c>
      <c r="K142" s="2">
        <v>7.1399999999999991E-2</v>
      </c>
    </row>
    <row r="143" spans="1:11" x14ac:dyDescent="0.35">
      <c r="A143" t="s">
        <v>20</v>
      </c>
      <c r="B143" t="s">
        <v>68</v>
      </c>
      <c r="C143" s="1">
        <v>45444</v>
      </c>
      <c r="D143">
        <v>40</v>
      </c>
      <c r="E143">
        <v>6</v>
      </c>
      <c r="F143">
        <v>509.67</v>
      </c>
      <c r="G143">
        <v>4</v>
      </c>
      <c r="H143" s="2">
        <v>0.66666666666666663</v>
      </c>
      <c r="I143">
        <v>3330.44</v>
      </c>
      <c r="J143">
        <v>1</v>
      </c>
      <c r="K143" s="2">
        <v>3.8300000000000001E-2</v>
      </c>
    </row>
    <row r="144" spans="1:11" x14ac:dyDescent="0.35">
      <c r="A144" t="s">
        <v>21</v>
      </c>
      <c r="B144" t="s">
        <v>68</v>
      </c>
      <c r="C144" s="1">
        <v>45444</v>
      </c>
      <c r="D144">
        <v>73</v>
      </c>
      <c r="E144">
        <v>21</v>
      </c>
      <c r="F144">
        <v>601.02</v>
      </c>
      <c r="G144">
        <v>2</v>
      </c>
      <c r="H144" s="2">
        <v>9.5238095238095233E-2</v>
      </c>
      <c r="I144">
        <v>364.56</v>
      </c>
      <c r="J144">
        <v>3</v>
      </c>
      <c r="K144" s="2">
        <v>3.4300000000000004E-2</v>
      </c>
    </row>
    <row r="145" spans="1:11" x14ac:dyDescent="0.35">
      <c r="A145" t="s">
        <v>22</v>
      </c>
      <c r="B145" t="s">
        <v>68</v>
      </c>
      <c r="C145" s="1">
        <v>45444</v>
      </c>
      <c r="D145">
        <v>36</v>
      </c>
      <c r="E145">
        <v>9</v>
      </c>
      <c r="F145">
        <v>196.74</v>
      </c>
      <c r="G145">
        <v>1</v>
      </c>
      <c r="H145" s="2">
        <v>0.1111111111111111</v>
      </c>
      <c r="I145">
        <v>3760.57</v>
      </c>
      <c r="J145">
        <v>2</v>
      </c>
      <c r="K145" s="2">
        <v>3.9800000000000002E-2</v>
      </c>
    </row>
    <row r="146" spans="1:11" x14ac:dyDescent="0.35">
      <c r="A146" t="s">
        <v>23</v>
      </c>
      <c r="B146" t="s">
        <v>68</v>
      </c>
      <c r="C146" s="1">
        <v>45444</v>
      </c>
      <c r="D146">
        <v>58</v>
      </c>
      <c r="E146">
        <v>8</v>
      </c>
      <c r="F146">
        <v>196.58</v>
      </c>
      <c r="G146">
        <v>3</v>
      </c>
      <c r="H146" s="2">
        <v>0.375</v>
      </c>
      <c r="I146">
        <v>692.47</v>
      </c>
      <c r="J146">
        <v>1</v>
      </c>
      <c r="K146" s="2">
        <v>3.27E-2</v>
      </c>
    </row>
    <row r="147" spans="1:11" x14ac:dyDescent="0.35">
      <c r="A147" t="s">
        <v>24</v>
      </c>
      <c r="B147" t="s">
        <v>68</v>
      </c>
      <c r="C147" s="1">
        <v>45444</v>
      </c>
      <c r="D147">
        <v>100</v>
      </c>
      <c r="E147">
        <v>5</v>
      </c>
      <c r="F147">
        <v>153.87</v>
      </c>
      <c r="G147">
        <v>2</v>
      </c>
      <c r="H147" s="2">
        <v>0.4</v>
      </c>
      <c r="I147">
        <v>1190.24</v>
      </c>
      <c r="J147">
        <v>3</v>
      </c>
      <c r="K147" s="2">
        <v>8.0600000000000005E-2</v>
      </c>
    </row>
    <row r="148" spans="1:11" x14ac:dyDescent="0.35">
      <c r="A148" t="s">
        <v>25</v>
      </c>
      <c r="B148" t="s">
        <v>68</v>
      </c>
      <c r="C148" s="1">
        <v>45444</v>
      </c>
      <c r="D148">
        <v>93</v>
      </c>
      <c r="E148">
        <v>5</v>
      </c>
      <c r="F148">
        <v>85.65</v>
      </c>
      <c r="G148">
        <v>5</v>
      </c>
      <c r="H148" s="2">
        <v>1</v>
      </c>
      <c r="I148">
        <v>3913.17</v>
      </c>
      <c r="J148">
        <v>2</v>
      </c>
      <c r="K148" s="2">
        <v>9.5700000000000007E-2</v>
      </c>
    </row>
    <row r="149" spans="1:11" x14ac:dyDescent="0.35">
      <c r="A149" t="s">
        <v>26</v>
      </c>
      <c r="B149" t="s">
        <v>68</v>
      </c>
      <c r="C149" s="1">
        <v>45444</v>
      </c>
      <c r="D149">
        <v>28</v>
      </c>
      <c r="E149">
        <v>16</v>
      </c>
      <c r="F149">
        <v>506.95</v>
      </c>
      <c r="G149">
        <v>6</v>
      </c>
      <c r="H149" s="2">
        <v>0.375</v>
      </c>
      <c r="I149">
        <v>3993.03</v>
      </c>
      <c r="J149">
        <v>3</v>
      </c>
      <c r="K149" s="2">
        <v>3.0600000000000002E-2</v>
      </c>
    </row>
    <row r="150" spans="1:11" x14ac:dyDescent="0.35">
      <c r="A150" t="s">
        <v>27</v>
      </c>
      <c r="B150" t="s">
        <v>68</v>
      </c>
      <c r="C150" s="1">
        <v>45444</v>
      </c>
      <c r="D150">
        <v>88</v>
      </c>
      <c r="E150">
        <v>18</v>
      </c>
      <c r="F150">
        <v>181.21</v>
      </c>
      <c r="G150">
        <v>4</v>
      </c>
      <c r="H150" s="2">
        <v>0.22222222222222221</v>
      </c>
      <c r="I150">
        <v>377.13</v>
      </c>
      <c r="J150">
        <v>2</v>
      </c>
      <c r="K150" s="2">
        <v>0.10009999999999999</v>
      </c>
    </row>
    <row r="151" spans="1:11" x14ac:dyDescent="0.35">
      <c r="A151" t="s">
        <v>28</v>
      </c>
      <c r="B151" t="s">
        <v>68</v>
      </c>
      <c r="C151" s="1">
        <v>45444</v>
      </c>
      <c r="D151">
        <v>69</v>
      </c>
      <c r="E151">
        <v>16</v>
      </c>
      <c r="F151">
        <v>495.32</v>
      </c>
      <c r="G151">
        <v>0</v>
      </c>
      <c r="H151" s="2">
        <v>0</v>
      </c>
      <c r="I151">
        <v>1262.99</v>
      </c>
      <c r="J151">
        <v>1</v>
      </c>
      <c r="K151" s="2">
        <v>1E-3</v>
      </c>
    </row>
    <row r="152" spans="1:11" x14ac:dyDescent="0.35">
      <c r="A152" t="s">
        <v>29</v>
      </c>
      <c r="B152" t="s">
        <v>68</v>
      </c>
      <c r="C152" s="1">
        <v>45444</v>
      </c>
      <c r="D152">
        <v>21</v>
      </c>
      <c r="E152">
        <v>16</v>
      </c>
      <c r="F152">
        <v>315.91000000000003</v>
      </c>
      <c r="G152">
        <v>1</v>
      </c>
      <c r="H152" s="2">
        <v>6.25E-2</v>
      </c>
      <c r="I152">
        <v>1455.83</v>
      </c>
      <c r="J152">
        <v>3</v>
      </c>
      <c r="K152" s="2">
        <v>5.1299999999999998E-2</v>
      </c>
    </row>
    <row r="153" spans="1:11" x14ac:dyDescent="0.35">
      <c r="A153" t="s">
        <v>30</v>
      </c>
      <c r="B153" t="s">
        <v>68</v>
      </c>
      <c r="C153" s="1">
        <v>45444</v>
      </c>
      <c r="D153">
        <v>92</v>
      </c>
      <c r="E153">
        <v>5</v>
      </c>
      <c r="F153">
        <v>569.75</v>
      </c>
      <c r="G153">
        <v>2</v>
      </c>
      <c r="H153" s="2">
        <v>0.4</v>
      </c>
      <c r="I153">
        <v>3734.43</v>
      </c>
      <c r="J153">
        <v>2</v>
      </c>
      <c r="K153" s="2">
        <v>2.76E-2</v>
      </c>
    </row>
    <row r="154" spans="1:11" x14ac:dyDescent="0.35">
      <c r="A154" t="s">
        <v>31</v>
      </c>
      <c r="B154" t="s">
        <v>68</v>
      </c>
      <c r="C154" s="1">
        <v>45444</v>
      </c>
      <c r="D154">
        <v>58</v>
      </c>
      <c r="E154">
        <v>7</v>
      </c>
      <c r="F154">
        <v>173.24</v>
      </c>
      <c r="G154">
        <v>7</v>
      </c>
      <c r="H154" s="2">
        <v>1</v>
      </c>
      <c r="I154">
        <v>525.73</v>
      </c>
      <c r="J154">
        <v>1</v>
      </c>
      <c r="K154" s="2">
        <v>8.2299999999999998E-2</v>
      </c>
    </row>
    <row r="155" spans="1:11" x14ac:dyDescent="0.35">
      <c r="A155" t="s">
        <v>32</v>
      </c>
      <c r="B155" t="s">
        <v>68</v>
      </c>
      <c r="C155" s="1">
        <v>45444</v>
      </c>
      <c r="D155">
        <v>114</v>
      </c>
      <c r="E155">
        <v>13</v>
      </c>
      <c r="F155">
        <v>364.35</v>
      </c>
      <c r="G155">
        <v>0</v>
      </c>
      <c r="H155" s="2">
        <v>0</v>
      </c>
      <c r="I155">
        <v>2988.28</v>
      </c>
      <c r="J155">
        <v>3</v>
      </c>
      <c r="K155" s="2">
        <v>2.58E-2</v>
      </c>
    </row>
    <row r="156" spans="1:11" x14ac:dyDescent="0.35">
      <c r="A156" t="s">
        <v>33</v>
      </c>
      <c r="B156" t="s">
        <v>68</v>
      </c>
      <c r="C156" s="1">
        <v>45444</v>
      </c>
      <c r="D156">
        <v>35</v>
      </c>
      <c r="E156">
        <v>12</v>
      </c>
      <c r="F156">
        <v>515.24</v>
      </c>
      <c r="G156">
        <v>5</v>
      </c>
      <c r="H156" s="2">
        <v>0.41666666666666669</v>
      </c>
      <c r="I156">
        <v>224.24</v>
      </c>
      <c r="J156">
        <v>2</v>
      </c>
      <c r="K156" s="2">
        <v>6.9800000000000001E-2</v>
      </c>
    </row>
    <row r="157" spans="1:11" x14ac:dyDescent="0.35">
      <c r="A157" t="s">
        <v>34</v>
      </c>
      <c r="B157" t="s">
        <v>68</v>
      </c>
      <c r="C157" s="1">
        <v>45444</v>
      </c>
      <c r="D157">
        <v>35</v>
      </c>
      <c r="E157">
        <v>16</v>
      </c>
      <c r="F157">
        <v>351.71</v>
      </c>
      <c r="G157">
        <v>9</v>
      </c>
      <c r="H157" s="2">
        <v>0.5625</v>
      </c>
      <c r="I157">
        <v>3984.69</v>
      </c>
      <c r="J157">
        <v>1</v>
      </c>
      <c r="K157" s="2">
        <v>7.4099999999999999E-2</v>
      </c>
    </row>
    <row r="158" spans="1:11" x14ac:dyDescent="0.35">
      <c r="A158" t="s">
        <v>9</v>
      </c>
      <c r="B158" t="s">
        <v>68</v>
      </c>
      <c r="C158" s="1">
        <v>45474</v>
      </c>
      <c r="D158">
        <v>71</v>
      </c>
      <c r="E158">
        <v>17</v>
      </c>
      <c r="F158">
        <v>360.1</v>
      </c>
      <c r="G158">
        <v>6</v>
      </c>
      <c r="H158" s="2">
        <v>0.35294117647058826</v>
      </c>
      <c r="I158">
        <v>4444.83</v>
      </c>
      <c r="J158">
        <v>3</v>
      </c>
      <c r="K158" s="2">
        <v>2.9500000000000002E-2</v>
      </c>
    </row>
    <row r="159" spans="1:11" x14ac:dyDescent="0.35">
      <c r="A159" t="s">
        <v>10</v>
      </c>
      <c r="B159" t="s">
        <v>68</v>
      </c>
      <c r="C159" s="1">
        <v>45474</v>
      </c>
      <c r="D159">
        <v>62</v>
      </c>
      <c r="E159">
        <v>13</v>
      </c>
      <c r="F159">
        <v>364.64</v>
      </c>
      <c r="G159">
        <v>4</v>
      </c>
      <c r="H159" s="2">
        <v>0.30769230769230771</v>
      </c>
      <c r="I159">
        <v>3704.33</v>
      </c>
      <c r="J159">
        <v>2</v>
      </c>
      <c r="K159" s="2">
        <v>3.7499999999999999E-2</v>
      </c>
    </row>
    <row r="160" spans="1:11" x14ac:dyDescent="0.35">
      <c r="A160" t="s">
        <v>11</v>
      </c>
      <c r="B160" t="s">
        <v>68</v>
      </c>
      <c r="C160" s="1">
        <v>45474</v>
      </c>
      <c r="D160">
        <v>53</v>
      </c>
      <c r="E160">
        <v>14</v>
      </c>
      <c r="F160">
        <v>367.56</v>
      </c>
      <c r="G160">
        <v>2</v>
      </c>
      <c r="H160" s="2">
        <v>0.14285714285714285</v>
      </c>
      <c r="I160">
        <v>3514.07</v>
      </c>
      <c r="J160">
        <v>1</v>
      </c>
      <c r="K160" s="2">
        <v>4.0099999999999997E-2</v>
      </c>
    </row>
    <row r="161" spans="1:11" x14ac:dyDescent="0.35">
      <c r="A161" t="s">
        <v>12</v>
      </c>
      <c r="B161" t="s">
        <v>68</v>
      </c>
      <c r="C161" s="1">
        <v>45474</v>
      </c>
      <c r="D161">
        <v>18</v>
      </c>
      <c r="E161">
        <v>6</v>
      </c>
      <c r="F161">
        <v>76.27</v>
      </c>
      <c r="G161">
        <v>4</v>
      </c>
      <c r="H161" s="2">
        <v>0.66666666666666663</v>
      </c>
      <c r="I161">
        <v>1597.98</v>
      </c>
      <c r="J161">
        <v>1</v>
      </c>
      <c r="K161" s="2">
        <v>2.81E-2</v>
      </c>
    </row>
    <row r="162" spans="1:11" x14ac:dyDescent="0.35">
      <c r="A162" t="s">
        <v>13</v>
      </c>
      <c r="B162" t="s">
        <v>68</v>
      </c>
      <c r="C162" s="1">
        <v>45474</v>
      </c>
      <c r="D162">
        <v>71</v>
      </c>
      <c r="E162">
        <v>12</v>
      </c>
      <c r="F162">
        <v>487.04</v>
      </c>
      <c r="G162">
        <v>5</v>
      </c>
      <c r="H162" s="2">
        <v>0.41666666666666669</v>
      </c>
      <c r="I162">
        <v>1004.9</v>
      </c>
      <c r="J162">
        <v>3</v>
      </c>
      <c r="K162" s="2">
        <v>4.2099999999999999E-2</v>
      </c>
    </row>
    <row r="163" spans="1:11" x14ac:dyDescent="0.35">
      <c r="A163" t="s">
        <v>14</v>
      </c>
      <c r="B163" t="s">
        <v>68</v>
      </c>
      <c r="C163" s="1">
        <v>45474</v>
      </c>
      <c r="D163">
        <v>70</v>
      </c>
      <c r="E163">
        <v>5</v>
      </c>
      <c r="F163">
        <v>491.31</v>
      </c>
      <c r="G163">
        <v>3</v>
      </c>
      <c r="H163" s="2">
        <v>0.6</v>
      </c>
      <c r="I163">
        <v>3289.06</v>
      </c>
      <c r="J163">
        <v>2</v>
      </c>
      <c r="K163" s="2">
        <v>1.1299999999999999E-2</v>
      </c>
    </row>
    <row r="164" spans="1:11" x14ac:dyDescent="0.35">
      <c r="A164" t="s">
        <v>15</v>
      </c>
      <c r="B164" t="s">
        <v>68</v>
      </c>
      <c r="C164" s="1">
        <v>45474</v>
      </c>
      <c r="D164">
        <v>77</v>
      </c>
      <c r="E164">
        <v>15</v>
      </c>
      <c r="F164">
        <v>282.58999999999997</v>
      </c>
      <c r="G164">
        <v>2</v>
      </c>
      <c r="H164" s="2">
        <v>0.13333333333333333</v>
      </c>
      <c r="I164">
        <v>2296.14</v>
      </c>
      <c r="J164">
        <v>1</v>
      </c>
      <c r="K164" s="2">
        <v>9.5799999999999996E-2</v>
      </c>
    </row>
    <row r="165" spans="1:11" x14ac:dyDescent="0.35">
      <c r="A165" t="s">
        <v>16</v>
      </c>
      <c r="B165" t="s">
        <v>68</v>
      </c>
      <c r="C165" s="1">
        <v>45474</v>
      </c>
      <c r="D165">
        <v>50</v>
      </c>
      <c r="E165">
        <v>9</v>
      </c>
      <c r="F165">
        <v>246.06</v>
      </c>
      <c r="G165">
        <v>5</v>
      </c>
      <c r="H165" s="2">
        <v>0.55555555555555558</v>
      </c>
      <c r="I165">
        <v>4227.22</v>
      </c>
      <c r="J165">
        <v>3</v>
      </c>
      <c r="K165" s="2">
        <v>3.7200000000000004E-2</v>
      </c>
    </row>
    <row r="166" spans="1:11" x14ac:dyDescent="0.35">
      <c r="A166" t="s">
        <v>17</v>
      </c>
      <c r="B166" t="s">
        <v>68</v>
      </c>
      <c r="C166" s="1">
        <v>45474</v>
      </c>
      <c r="D166">
        <v>31</v>
      </c>
      <c r="E166">
        <v>15</v>
      </c>
      <c r="F166">
        <v>347.38</v>
      </c>
      <c r="G166">
        <v>10</v>
      </c>
      <c r="H166" s="2">
        <v>0.66666666666666663</v>
      </c>
      <c r="I166">
        <v>1101.06</v>
      </c>
      <c r="J166">
        <v>2</v>
      </c>
      <c r="K166" s="2">
        <v>6.0100000000000001E-2</v>
      </c>
    </row>
    <row r="167" spans="1:11" x14ac:dyDescent="0.35">
      <c r="A167" t="s">
        <v>18</v>
      </c>
      <c r="B167" t="s">
        <v>68</v>
      </c>
      <c r="C167" s="1">
        <v>45474</v>
      </c>
      <c r="D167">
        <v>77</v>
      </c>
      <c r="E167">
        <v>16</v>
      </c>
      <c r="F167">
        <v>335.59</v>
      </c>
      <c r="G167">
        <v>7</v>
      </c>
      <c r="H167" s="2">
        <v>0.4375</v>
      </c>
      <c r="I167">
        <v>1087.4100000000001</v>
      </c>
      <c r="J167">
        <v>1</v>
      </c>
      <c r="K167" s="2">
        <v>3.6900000000000002E-2</v>
      </c>
    </row>
    <row r="168" spans="1:11" x14ac:dyDescent="0.35">
      <c r="A168" t="s">
        <v>19</v>
      </c>
      <c r="B168" t="s">
        <v>68</v>
      </c>
      <c r="C168" s="1">
        <v>45474</v>
      </c>
      <c r="D168">
        <v>17</v>
      </c>
      <c r="E168">
        <v>8</v>
      </c>
      <c r="F168">
        <v>208.21</v>
      </c>
      <c r="G168">
        <v>4</v>
      </c>
      <c r="H168" s="2">
        <v>0.5</v>
      </c>
      <c r="I168">
        <v>828.73</v>
      </c>
      <c r="J168">
        <v>3</v>
      </c>
      <c r="K168" s="2">
        <v>7.4200000000000002E-2</v>
      </c>
    </row>
    <row r="169" spans="1:11" x14ac:dyDescent="0.35">
      <c r="A169" t="s">
        <v>20</v>
      </c>
      <c r="B169" t="s">
        <v>68</v>
      </c>
      <c r="C169" s="1">
        <v>45474</v>
      </c>
      <c r="D169">
        <v>32</v>
      </c>
      <c r="E169">
        <v>6</v>
      </c>
      <c r="F169">
        <v>553.58000000000004</v>
      </c>
      <c r="G169">
        <v>3</v>
      </c>
      <c r="H169" s="2">
        <v>0.5</v>
      </c>
      <c r="I169">
        <v>3939.56</v>
      </c>
      <c r="J169">
        <v>2</v>
      </c>
      <c r="K169" s="2">
        <v>3.78E-2</v>
      </c>
    </row>
    <row r="170" spans="1:11" x14ac:dyDescent="0.35">
      <c r="A170" t="s">
        <v>21</v>
      </c>
      <c r="B170" t="s">
        <v>68</v>
      </c>
      <c r="C170" s="1">
        <v>45474</v>
      </c>
      <c r="D170">
        <v>72</v>
      </c>
      <c r="E170">
        <v>21</v>
      </c>
      <c r="F170">
        <v>604.57000000000005</v>
      </c>
      <c r="G170">
        <v>2</v>
      </c>
      <c r="H170" s="2">
        <v>9.5238095238095233E-2</v>
      </c>
      <c r="I170">
        <v>327.82</v>
      </c>
      <c r="J170">
        <v>1</v>
      </c>
      <c r="K170" s="2">
        <v>3.6699999999999997E-2</v>
      </c>
    </row>
    <row r="171" spans="1:11" x14ac:dyDescent="0.35">
      <c r="A171" t="s">
        <v>22</v>
      </c>
      <c r="B171" t="s">
        <v>68</v>
      </c>
      <c r="C171" s="1">
        <v>45474</v>
      </c>
      <c r="D171">
        <v>34</v>
      </c>
      <c r="E171">
        <v>7</v>
      </c>
      <c r="F171">
        <v>199.39</v>
      </c>
      <c r="G171">
        <v>1</v>
      </c>
      <c r="H171" s="2">
        <v>0.14285714285714285</v>
      </c>
      <c r="I171">
        <v>3767.74</v>
      </c>
      <c r="J171">
        <v>3</v>
      </c>
      <c r="K171" s="2">
        <v>3.85E-2</v>
      </c>
    </row>
    <row r="172" spans="1:11" x14ac:dyDescent="0.35">
      <c r="A172" t="s">
        <v>23</v>
      </c>
      <c r="B172" t="s">
        <v>68</v>
      </c>
      <c r="C172" s="1">
        <v>45474</v>
      </c>
      <c r="D172">
        <v>71</v>
      </c>
      <c r="E172">
        <v>9</v>
      </c>
      <c r="F172">
        <v>220.4</v>
      </c>
      <c r="G172">
        <v>2</v>
      </c>
      <c r="H172" s="2">
        <v>0.22222222222222221</v>
      </c>
      <c r="I172">
        <v>692.29</v>
      </c>
      <c r="J172">
        <v>2</v>
      </c>
      <c r="K172" s="2">
        <v>2.8999999999999998E-2</v>
      </c>
    </row>
    <row r="173" spans="1:11" x14ac:dyDescent="0.35">
      <c r="A173" t="s">
        <v>24</v>
      </c>
      <c r="B173" t="s">
        <v>68</v>
      </c>
      <c r="C173" s="1">
        <v>45474</v>
      </c>
      <c r="D173">
        <v>83</v>
      </c>
      <c r="E173">
        <v>5</v>
      </c>
      <c r="F173">
        <v>166.85</v>
      </c>
      <c r="G173">
        <v>4</v>
      </c>
      <c r="H173" s="2">
        <v>0.8</v>
      </c>
      <c r="I173">
        <v>1364.24</v>
      </c>
      <c r="J173">
        <v>1</v>
      </c>
      <c r="K173" s="2">
        <v>8.3100000000000007E-2</v>
      </c>
    </row>
    <row r="174" spans="1:11" x14ac:dyDescent="0.35">
      <c r="A174" t="s">
        <v>25</v>
      </c>
      <c r="B174" t="s">
        <v>68</v>
      </c>
      <c r="C174" s="1">
        <v>45474</v>
      </c>
      <c r="D174">
        <v>71</v>
      </c>
      <c r="E174">
        <v>7</v>
      </c>
      <c r="F174">
        <v>78.53</v>
      </c>
      <c r="G174">
        <v>4</v>
      </c>
      <c r="H174" s="2">
        <v>0.5714285714285714</v>
      </c>
      <c r="I174">
        <v>3652.64</v>
      </c>
      <c r="J174">
        <v>3</v>
      </c>
      <c r="K174" s="2">
        <v>8.6999999999999994E-2</v>
      </c>
    </row>
    <row r="175" spans="1:11" x14ac:dyDescent="0.35">
      <c r="A175" t="s">
        <v>26</v>
      </c>
      <c r="B175" t="s">
        <v>68</v>
      </c>
      <c r="C175" s="1">
        <v>45474</v>
      </c>
      <c r="D175">
        <v>24</v>
      </c>
      <c r="E175">
        <v>13</v>
      </c>
      <c r="F175">
        <v>471.72</v>
      </c>
      <c r="G175">
        <v>7</v>
      </c>
      <c r="H175" s="2">
        <v>0.53846153846153844</v>
      </c>
      <c r="I175">
        <v>3588.89</v>
      </c>
      <c r="J175">
        <v>2</v>
      </c>
      <c r="K175" s="2">
        <v>3.5400000000000001E-2</v>
      </c>
    </row>
    <row r="176" spans="1:11" x14ac:dyDescent="0.35">
      <c r="A176" t="s">
        <v>27</v>
      </c>
      <c r="B176" t="s">
        <v>68</v>
      </c>
      <c r="C176" s="1">
        <v>45474</v>
      </c>
      <c r="D176">
        <v>75</v>
      </c>
      <c r="E176">
        <v>17</v>
      </c>
      <c r="F176">
        <v>176.07</v>
      </c>
      <c r="G176">
        <v>5</v>
      </c>
      <c r="H176" s="2">
        <v>0.29411764705882354</v>
      </c>
      <c r="I176">
        <v>458.18</v>
      </c>
      <c r="J176">
        <v>1</v>
      </c>
      <c r="K176" s="2">
        <v>9.9399999999999988E-2</v>
      </c>
    </row>
    <row r="177" spans="1:11" x14ac:dyDescent="0.35">
      <c r="A177" t="s">
        <v>28</v>
      </c>
      <c r="B177" t="s">
        <v>68</v>
      </c>
      <c r="C177" s="1">
        <v>45474</v>
      </c>
      <c r="D177">
        <v>76</v>
      </c>
      <c r="E177">
        <v>11</v>
      </c>
      <c r="F177">
        <v>486.93</v>
      </c>
      <c r="G177">
        <v>0</v>
      </c>
      <c r="H177" s="2">
        <v>0</v>
      </c>
      <c r="I177">
        <v>1219.29</v>
      </c>
      <c r="J177">
        <v>3</v>
      </c>
      <c r="K177" s="2">
        <v>1E-3</v>
      </c>
    </row>
    <row r="178" spans="1:11" x14ac:dyDescent="0.35">
      <c r="A178" t="s">
        <v>29</v>
      </c>
      <c r="B178" t="s">
        <v>68</v>
      </c>
      <c r="C178" s="1">
        <v>45474</v>
      </c>
      <c r="D178">
        <v>20</v>
      </c>
      <c r="E178">
        <v>14</v>
      </c>
      <c r="F178">
        <v>283.66000000000003</v>
      </c>
      <c r="G178">
        <v>2</v>
      </c>
      <c r="H178" s="2">
        <v>0.14285714285714285</v>
      </c>
      <c r="I178">
        <v>1494.14</v>
      </c>
      <c r="J178">
        <v>2</v>
      </c>
      <c r="K178" s="2">
        <v>5.7800000000000004E-2</v>
      </c>
    </row>
    <row r="179" spans="1:11" x14ac:dyDescent="0.35">
      <c r="A179" t="s">
        <v>30</v>
      </c>
      <c r="B179" t="s">
        <v>68</v>
      </c>
      <c r="C179" s="1">
        <v>45474</v>
      </c>
      <c r="D179">
        <v>79</v>
      </c>
      <c r="E179">
        <v>6</v>
      </c>
      <c r="F179">
        <v>536.04999999999995</v>
      </c>
      <c r="G179">
        <v>1</v>
      </c>
      <c r="H179" s="2">
        <v>0.16666666666666666</v>
      </c>
      <c r="I179">
        <v>3682.29</v>
      </c>
      <c r="J179">
        <v>1</v>
      </c>
      <c r="K179" s="2">
        <v>3.2099999999999997E-2</v>
      </c>
    </row>
    <row r="180" spans="1:11" x14ac:dyDescent="0.35">
      <c r="A180" t="s">
        <v>31</v>
      </c>
      <c r="B180" t="s">
        <v>68</v>
      </c>
      <c r="C180" s="1">
        <v>45474</v>
      </c>
      <c r="D180">
        <v>82</v>
      </c>
      <c r="E180">
        <v>9</v>
      </c>
      <c r="F180">
        <v>171.86</v>
      </c>
      <c r="G180">
        <v>7</v>
      </c>
      <c r="H180" s="2">
        <v>0.77777777777777779</v>
      </c>
      <c r="I180">
        <v>506.88</v>
      </c>
      <c r="J180">
        <v>3</v>
      </c>
      <c r="K180" s="2">
        <v>9.4100000000000003E-2</v>
      </c>
    </row>
    <row r="181" spans="1:11" x14ac:dyDescent="0.35">
      <c r="A181" t="s">
        <v>32</v>
      </c>
      <c r="B181" t="s">
        <v>68</v>
      </c>
      <c r="C181" s="1">
        <v>45474</v>
      </c>
      <c r="D181">
        <v>103</v>
      </c>
      <c r="E181">
        <v>15</v>
      </c>
      <c r="F181">
        <v>359.16</v>
      </c>
      <c r="G181">
        <v>1</v>
      </c>
      <c r="H181" s="2">
        <v>6.6666666666666666E-2</v>
      </c>
      <c r="I181">
        <v>2949.94</v>
      </c>
      <c r="J181">
        <v>2</v>
      </c>
      <c r="K181" s="2">
        <v>2.3599999999999999E-2</v>
      </c>
    </row>
    <row r="182" spans="1:11" x14ac:dyDescent="0.35">
      <c r="A182" t="s">
        <v>33</v>
      </c>
      <c r="B182" t="s">
        <v>68</v>
      </c>
      <c r="C182" s="1">
        <v>45474</v>
      </c>
      <c r="D182">
        <v>41</v>
      </c>
      <c r="E182">
        <v>9</v>
      </c>
      <c r="F182">
        <v>569.97</v>
      </c>
      <c r="G182">
        <v>5</v>
      </c>
      <c r="H182" s="2">
        <v>0.55555555555555558</v>
      </c>
      <c r="I182">
        <v>259.86</v>
      </c>
      <c r="J182">
        <v>1</v>
      </c>
      <c r="K182" s="2">
        <v>6.3299999999999995E-2</v>
      </c>
    </row>
    <row r="183" spans="1:11" x14ac:dyDescent="0.35">
      <c r="A183" t="s">
        <v>34</v>
      </c>
      <c r="B183" t="s">
        <v>68</v>
      </c>
      <c r="C183" s="1">
        <v>45474</v>
      </c>
      <c r="D183">
        <v>38</v>
      </c>
      <c r="E183">
        <v>14</v>
      </c>
      <c r="F183">
        <v>359.22</v>
      </c>
      <c r="G183">
        <v>8</v>
      </c>
      <c r="H183" s="2">
        <v>0.5714285714285714</v>
      </c>
      <c r="I183">
        <v>3846.34</v>
      </c>
      <c r="J183">
        <v>3</v>
      </c>
      <c r="K183" s="2">
        <v>8.5900000000000004E-2</v>
      </c>
    </row>
    <row r="184" spans="1:11" x14ac:dyDescent="0.35">
      <c r="A184" t="s">
        <v>9</v>
      </c>
      <c r="B184" t="s">
        <v>68</v>
      </c>
      <c r="C184" s="1">
        <v>45505</v>
      </c>
      <c r="D184">
        <v>71</v>
      </c>
      <c r="E184">
        <v>15</v>
      </c>
      <c r="F184">
        <v>297.05</v>
      </c>
      <c r="G184">
        <v>6</v>
      </c>
      <c r="H184" s="2">
        <v>0.4</v>
      </c>
      <c r="I184">
        <v>4043.62</v>
      </c>
      <c r="J184">
        <v>2</v>
      </c>
      <c r="K184" s="2">
        <v>2.7200000000000002E-2</v>
      </c>
    </row>
    <row r="185" spans="1:11" x14ac:dyDescent="0.35">
      <c r="A185" t="s">
        <v>10</v>
      </c>
      <c r="B185" t="s">
        <v>68</v>
      </c>
      <c r="C185" s="1">
        <v>45505</v>
      </c>
      <c r="D185">
        <v>66</v>
      </c>
      <c r="E185">
        <v>13</v>
      </c>
      <c r="F185">
        <v>376.76</v>
      </c>
      <c r="G185">
        <v>5</v>
      </c>
      <c r="H185" s="2">
        <v>0.38461538461538464</v>
      </c>
      <c r="I185">
        <v>3819.73</v>
      </c>
      <c r="J185">
        <v>1</v>
      </c>
      <c r="K185" s="2">
        <v>4.4900000000000002E-2</v>
      </c>
    </row>
    <row r="186" spans="1:11" x14ac:dyDescent="0.35">
      <c r="A186" t="s">
        <v>11</v>
      </c>
      <c r="B186" t="s">
        <v>68</v>
      </c>
      <c r="C186" s="1">
        <v>45505</v>
      </c>
      <c r="D186">
        <v>53</v>
      </c>
      <c r="E186">
        <v>15</v>
      </c>
      <c r="F186">
        <v>379.29</v>
      </c>
      <c r="G186">
        <v>2</v>
      </c>
      <c r="H186" s="2">
        <v>0.13333333333333333</v>
      </c>
      <c r="I186">
        <v>3409.69</v>
      </c>
      <c r="J186">
        <v>1</v>
      </c>
      <c r="K186" s="2">
        <v>4.41E-2</v>
      </c>
    </row>
    <row r="187" spans="1:11" x14ac:dyDescent="0.35">
      <c r="A187" t="s">
        <v>12</v>
      </c>
      <c r="B187" t="s">
        <v>68</v>
      </c>
      <c r="C187" s="1">
        <v>45505</v>
      </c>
      <c r="D187">
        <v>18</v>
      </c>
      <c r="E187">
        <v>8</v>
      </c>
      <c r="F187">
        <v>82.91</v>
      </c>
      <c r="G187">
        <v>3</v>
      </c>
      <c r="H187" s="2">
        <v>0.375</v>
      </c>
      <c r="I187">
        <v>1387.86</v>
      </c>
      <c r="J187">
        <v>3</v>
      </c>
      <c r="K187" s="2">
        <v>3.0099999999999998E-2</v>
      </c>
    </row>
    <row r="188" spans="1:11" x14ac:dyDescent="0.35">
      <c r="A188" t="s">
        <v>13</v>
      </c>
      <c r="B188" t="s">
        <v>68</v>
      </c>
      <c r="C188" s="1">
        <v>45505</v>
      </c>
      <c r="D188">
        <v>72</v>
      </c>
      <c r="E188">
        <v>14</v>
      </c>
      <c r="F188">
        <v>437.47</v>
      </c>
      <c r="G188">
        <v>4</v>
      </c>
      <c r="H188" s="2">
        <v>0.2857142857142857</v>
      </c>
      <c r="I188">
        <v>958.02</v>
      </c>
      <c r="J188">
        <v>2</v>
      </c>
      <c r="K188" s="2">
        <v>3.9100000000000003E-2</v>
      </c>
    </row>
    <row r="189" spans="1:11" x14ac:dyDescent="0.35">
      <c r="A189" t="s">
        <v>14</v>
      </c>
      <c r="B189" t="s">
        <v>68</v>
      </c>
      <c r="C189" s="1">
        <v>45505</v>
      </c>
      <c r="D189">
        <v>64</v>
      </c>
      <c r="E189">
        <v>7</v>
      </c>
      <c r="F189">
        <v>554.20000000000005</v>
      </c>
      <c r="G189">
        <v>2</v>
      </c>
      <c r="H189" s="2">
        <v>0.2857142857142857</v>
      </c>
      <c r="I189">
        <v>3620.9</v>
      </c>
      <c r="J189">
        <v>1</v>
      </c>
      <c r="K189" s="2">
        <v>1.23E-2</v>
      </c>
    </row>
    <row r="190" spans="1:11" x14ac:dyDescent="0.35">
      <c r="A190" t="s">
        <v>15</v>
      </c>
      <c r="B190" t="s">
        <v>68</v>
      </c>
      <c r="C190" s="1">
        <v>45505</v>
      </c>
      <c r="D190">
        <v>76</v>
      </c>
      <c r="E190">
        <v>21</v>
      </c>
      <c r="F190">
        <v>293.93</v>
      </c>
      <c r="G190">
        <v>2</v>
      </c>
      <c r="H190" s="2">
        <v>9.5238095238095233E-2</v>
      </c>
      <c r="I190">
        <v>2531.4</v>
      </c>
      <c r="J190">
        <v>3</v>
      </c>
      <c r="K190" s="2">
        <v>0.1012</v>
      </c>
    </row>
    <row r="191" spans="1:11" x14ac:dyDescent="0.35">
      <c r="A191" t="s">
        <v>16</v>
      </c>
      <c r="B191" t="s">
        <v>68</v>
      </c>
      <c r="C191" s="1">
        <v>45505</v>
      </c>
      <c r="D191">
        <v>64</v>
      </c>
      <c r="E191">
        <v>9</v>
      </c>
      <c r="F191">
        <v>255.17</v>
      </c>
      <c r="G191">
        <v>6</v>
      </c>
      <c r="H191" s="2">
        <v>0.66666666666666663</v>
      </c>
      <c r="I191">
        <v>4136.6899999999996</v>
      </c>
      <c r="J191">
        <v>2</v>
      </c>
      <c r="K191" s="2">
        <v>3.8199999999999998E-2</v>
      </c>
    </row>
    <row r="192" spans="1:11" x14ac:dyDescent="0.35">
      <c r="A192" t="s">
        <v>17</v>
      </c>
      <c r="B192" t="s">
        <v>68</v>
      </c>
      <c r="C192" s="1">
        <v>45505</v>
      </c>
      <c r="D192">
        <v>26</v>
      </c>
      <c r="E192">
        <v>17</v>
      </c>
      <c r="F192">
        <v>391.73</v>
      </c>
      <c r="G192">
        <v>7</v>
      </c>
      <c r="H192" s="2">
        <v>0.41176470588235292</v>
      </c>
      <c r="I192">
        <v>1166.55</v>
      </c>
      <c r="J192">
        <v>1</v>
      </c>
      <c r="K192" s="2">
        <v>6.1200000000000004E-2</v>
      </c>
    </row>
    <row r="193" spans="1:11" x14ac:dyDescent="0.35">
      <c r="A193" t="s">
        <v>18</v>
      </c>
      <c r="B193" t="s">
        <v>68</v>
      </c>
      <c r="C193" s="1">
        <v>45505</v>
      </c>
      <c r="D193">
        <v>65</v>
      </c>
      <c r="E193">
        <v>13</v>
      </c>
      <c r="F193">
        <v>324.26</v>
      </c>
      <c r="G193">
        <v>7</v>
      </c>
      <c r="H193" s="2">
        <v>0.53846153846153844</v>
      </c>
      <c r="I193">
        <v>1044.8599999999999</v>
      </c>
      <c r="J193">
        <v>3</v>
      </c>
      <c r="K193" s="2">
        <v>3.5200000000000002E-2</v>
      </c>
    </row>
    <row r="194" spans="1:11" x14ac:dyDescent="0.35">
      <c r="A194" t="s">
        <v>19</v>
      </c>
      <c r="B194" t="s">
        <v>68</v>
      </c>
      <c r="C194" s="1">
        <v>45505</v>
      </c>
      <c r="D194">
        <v>22</v>
      </c>
      <c r="E194">
        <v>9</v>
      </c>
      <c r="F194">
        <v>211.28</v>
      </c>
      <c r="G194">
        <v>8</v>
      </c>
      <c r="H194" s="2">
        <v>0.88888888888888884</v>
      </c>
      <c r="I194">
        <v>772.77</v>
      </c>
      <c r="J194">
        <v>2</v>
      </c>
      <c r="K194" s="2">
        <v>8.0600000000000005E-2</v>
      </c>
    </row>
    <row r="195" spans="1:11" x14ac:dyDescent="0.35">
      <c r="A195" t="s">
        <v>20</v>
      </c>
      <c r="B195" t="s">
        <v>68</v>
      </c>
      <c r="C195" s="1">
        <v>45505</v>
      </c>
      <c r="D195">
        <v>30</v>
      </c>
      <c r="E195">
        <v>6</v>
      </c>
      <c r="F195">
        <v>549.26</v>
      </c>
      <c r="G195">
        <v>2</v>
      </c>
      <c r="H195" s="2">
        <v>0.33333333333333331</v>
      </c>
      <c r="I195">
        <v>3868.36</v>
      </c>
      <c r="J195">
        <v>1</v>
      </c>
      <c r="K195" s="2">
        <v>4.2800000000000005E-2</v>
      </c>
    </row>
    <row r="196" spans="1:11" x14ac:dyDescent="0.35">
      <c r="A196" t="s">
        <v>21</v>
      </c>
      <c r="B196" t="s">
        <v>68</v>
      </c>
      <c r="C196" s="1">
        <v>45505</v>
      </c>
      <c r="D196">
        <v>83</v>
      </c>
      <c r="E196">
        <v>15</v>
      </c>
      <c r="F196">
        <v>601.05999999999995</v>
      </c>
      <c r="G196">
        <v>3</v>
      </c>
      <c r="H196" s="2">
        <v>0.2</v>
      </c>
      <c r="I196">
        <v>350.62</v>
      </c>
      <c r="J196">
        <v>3</v>
      </c>
      <c r="K196" s="2">
        <v>3.6600000000000001E-2</v>
      </c>
    </row>
    <row r="197" spans="1:11" x14ac:dyDescent="0.35">
      <c r="A197" t="s">
        <v>22</v>
      </c>
      <c r="B197" t="s">
        <v>68</v>
      </c>
      <c r="C197" s="1">
        <v>45505</v>
      </c>
      <c r="D197">
        <v>35</v>
      </c>
      <c r="E197">
        <v>6</v>
      </c>
      <c r="F197">
        <v>192.19</v>
      </c>
      <c r="G197">
        <v>1</v>
      </c>
      <c r="H197" s="2">
        <v>0.16666666666666666</v>
      </c>
      <c r="I197">
        <v>3963.32</v>
      </c>
      <c r="J197">
        <v>2</v>
      </c>
      <c r="K197" s="2">
        <v>3.9800000000000002E-2</v>
      </c>
    </row>
    <row r="198" spans="1:11" x14ac:dyDescent="0.35">
      <c r="A198" t="s">
        <v>23</v>
      </c>
      <c r="B198" t="s">
        <v>68</v>
      </c>
      <c r="C198" s="1">
        <v>45505</v>
      </c>
      <c r="D198">
        <v>73</v>
      </c>
      <c r="E198">
        <v>8</v>
      </c>
      <c r="F198">
        <v>191.76</v>
      </c>
      <c r="G198">
        <v>3</v>
      </c>
      <c r="H198" s="2">
        <v>0.375</v>
      </c>
      <c r="I198">
        <v>675.97</v>
      </c>
      <c r="J198">
        <v>3</v>
      </c>
      <c r="K198" s="2">
        <v>3.0200000000000001E-2</v>
      </c>
    </row>
    <row r="199" spans="1:11" x14ac:dyDescent="0.35">
      <c r="A199" t="s">
        <v>24</v>
      </c>
      <c r="B199" t="s">
        <v>68</v>
      </c>
      <c r="C199" s="1">
        <v>45505</v>
      </c>
      <c r="D199">
        <v>104</v>
      </c>
      <c r="E199">
        <v>4</v>
      </c>
      <c r="F199">
        <v>169.75</v>
      </c>
      <c r="G199">
        <v>3</v>
      </c>
      <c r="H199" s="2">
        <v>0.75</v>
      </c>
      <c r="I199">
        <v>1255.83</v>
      </c>
      <c r="J199">
        <v>2</v>
      </c>
      <c r="K199" s="2">
        <v>7.7600000000000002E-2</v>
      </c>
    </row>
    <row r="200" spans="1:11" x14ac:dyDescent="0.35">
      <c r="A200" t="s">
        <v>25</v>
      </c>
      <c r="B200" t="s">
        <v>68</v>
      </c>
      <c r="C200" s="1">
        <v>45505</v>
      </c>
      <c r="D200">
        <v>71</v>
      </c>
      <c r="E200">
        <v>6</v>
      </c>
      <c r="F200">
        <v>87.5</v>
      </c>
      <c r="G200">
        <v>3</v>
      </c>
      <c r="H200" s="2">
        <v>0.5</v>
      </c>
      <c r="I200">
        <v>3666.64</v>
      </c>
      <c r="J200">
        <v>1</v>
      </c>
      <c r="K200" s="2">
        <v>9.1300000000000006E-2</v>
      </c>
    </row>
    <row r="201" spans="1:11" x14ac:dyDescent="0.35">
      <c r="A201" t="s">
        <v>26</v>
      </c>
      <c r="B201" t="s">
        <v>68</v>
      </c>
      <c r="C201" s="1">
        <v>45505</v>
      </c>
      <c r="D201">
        <v>22</v>
      </c>
      <c r="E201">
        <v>14</v>
      </c>
      <c r="F201">
        <v>477.3</v>
      </c>
      <c r="G201">
        <v>6</v>
      </c>
      <c r="H201" s="2">
        <v>0.42857142857142855</v>
      </c>
      <c r="I201">
        <v>3790.05</v>
      </c>
      <c r="J201">
        <v>3</v>
      </c>
      <c r="K201" s="2">
        <v>3.32E-2</v>
      </c>
    </row>
    <row r="202" spans="1:11" x14ac:dyDescent="0.35">
      <c r="A202" t="s">
        <v>27</v>
      </c>
      <c r="B202" t="s">
        <v>68</v>
      </c>
      <c r="C202" s="1">
        <v>45505</v>
      </c>
      <c r="D202">
        <v>85</v>
      </c>
      <c r="E202">
        <v>17</v>
      </c>
      <c r="F202">
        <v>187.72</v>
      </c>
      <c r="G202">
        <v>5</v>
      </c>
      <c r="H202" s="2">
        <v>0.29411764705882354</v>
      </c>
      <c r="I202">
        <v>443.22</v>
      </c>
      <c r="J202">
        <v>2</v>
      </c>
      <c r="K202" s="2">
        <v>0.1016</v>
      </c>
    </row>
    <row r="203" spans="1:11" x14ac:dyDescent="0.35">
      <c r="A203" t="s">
        <v>28</v>
      </c>
      <c r="B203" t="s">
        <v>68</v>
      </c>
      <c r="C203" s="1">
        <v>45505</v>
      </c>
      <c r="D203">
        <v>80</v>
      </c>
      <c r="E203">
        <v>13</v>
      </c>
      <c r="F203">
        <v>504.59</v>
      </c>
      <c r="G203">
        <v>0</v>
      </c>
      <c r="H203" s="2">
        <v>0</v>
      </c>
      <c r="I203">
        <v>1265.47</v>
      </c>
      <c r="J203">
        <v>1</v>
      </c>
      <c r="K203" s="2">
        <v>1E-3</v>
      </c>
    </row>
    <row r="204" spans="1:11" x14ac:dyDescent="0.35">
      <c r="A204" t="s">
        <v>29</v>
      </c>
      <c r="B204" t="s">
        <v>68</v>
      </c>
      <c r="C204" s="1">
        <v>45505</v>
      </c>
      <c r="D204">
        <v>18</v>
      </c>
      <c r="E204">
        <v>12</v>
      </c>
      <c r="F204">
        <v>262.26</v>
      </c>
      <c r="G204">
        <v>1</v>
      </c>
      <c r="H204" s="2">
        <v>8.3333333333333329E-2</v>
      </c>
      <c r="I204">
        <v>1573.7</v>
      </c>
      <c r="J204">
        <v>3</v>
      </c>
      <c r="K204" s="2">
        <v>5.1299999999999998E-2</v>
      </c>
    </row>
    <row r="205" spans="1:11" x14ac:dyDescent="0.35">
      <c r="A205" t="s">
        <v>30</v>
      </c>
      <c r="B205" t="s">
        <v>68</v>
      </c>
      <c r="C205" s="1">
        <v>45505</v>
      </c>
      <c r="D205">
        <v>106</v>
      </c>
      <c r="E205">
        <v>6</v>
      </c>
      <c r="F205">
        <v>572.16</v>
      </c>
      <c r="G205">
        <v>2</v>
      </c>
      <c r="H205" s="2">
        <v>0.33333333333333331</v>
      </c>
      <c r="I205">
        <v>3398.37</v>
      </c>
      <c r="J205">
        <v>2</v>
      </c>
      <c r="K205" s="2">
        <v>2.87E-2</v>
      </c>
    </row>
    <row r="206" spans="1:11" x14ac:dyDescent="0.35">
      <c r="A206" t="s">
        <v>31</v>
      </c>
      <c r="B206" t="s">
        <v>68</v>
      </c>
      <c r="C206" s="1">
        <v>45505</v>
      </c>
      <c r="D206">
        <v>71</v>
      </c>
      <c r="E206">
        <v>9</v>
      </c>
      <c r="F206">
        <v>172.96</v>
      </c>
      <c r="G206">
        <v>6</v>
      </c>
      <c r="H206" s="2">
        <v>0.66666666666666663</v>
      </c>
      <c r="I206">
        <v>464.49</v>
      </c>
      <c r="J206">
        <v>1</v>
      </c>
      <c r="K206" s="2">
        <v>8.2699999999999996E-2</v>
      </c>
    </row>
    <row r="207" spans="1:11" x14ac:dyDescent="0.35">
      <c r="A207" t="s">
        <v>32</v>
      </c>
      <c r="B207" t="s">
        <v>68</v>
      </c>
      <c r="C207" s="1">
        <v>45505</v>
      </c>
      <c r="D207">
        <v>115</v>
      </c>
      <c r="E207">
        <v>17</v>
      </c>
      <c r="F207">
        <v>422.48</v>
      </c>
      <c r="G207">
        <v>0</v>
      </c>
      <c r="H207" s="2">
        <v>0</v>
      </c>
      <c r="I207">
        <v>2681.51</v>
      </c>
      <c r="J207">
        <v>3</v>
      </c>
      <c r="K207" s="2">
        <v>2.5000000000000001E-2</v>
      </c>
    </row>
    <row r="208" spans="1:11" x14ac:dyDescent="0.35">
      <c r="A208" t="s">
        <v>33</v>
      </c>
      <c r="B208" t="s">
        <v>68</v>
      </c>
      <c r="C208" s="1">
        <v>45505</v>
      </c>
      <c r="D208">
        <v>34</v>
      </c>
      <c r="E208">
        <v>10</v>
      </c>
      <c r="F208">
        <v>565.11</v>
      </c>
      <c r="G208">
        <v>5</v>
      </c>
      <c r="H208" s="2">
        <v>0.5</v>
      </c>
      <c r="I208">
        <v>222.62</v>
      </c>
      <c r="J208">
        <v>2</v>
      </c>
      <c r="K208" s="2">
        <v>7.1800000000000003E-2</v>
      </c>
    </row>
    <row r="209" spans="1:11" x14ac:dyDescent="0.35">
      <c r="A209" t="s">
        <v>34</v>
      </c>
      <c r="B209" t="s">
        <v>68</v>
      </c>
      <c r="C209" s="1">
        <v>45505</v>
      </c>
      <c r="D209">
        <v>40</v>
      </c>
      <c r="E209">
        <v>17</v>
      </c>
      <c r="F209">
        <v>355.83</v>
      </c>
      <c r="G209">
        <v>6</v>
      </c>
      <c r="H209" s="2">
        <v>0.35294117647058826</v>
      </c>
      <c r="I209">
        <v>4155.8599999999997</v>
      </c>
      <c r="J209">
        <v>1</v>
      </c>
      <c r="K209" s="2">
        <v>8.8000000000000009E-2</v>
      </c>
    </row>
    <row r="210" spans="1:11" x14ac:dyDescent="0.35">
      <c r="A210" t="s">
        <v>9</v>
      </c>
      <c r="B210" t="s">
        <v>68</v>
      </c>
      <c r="C210" s="1">
        <v>45536</v>
      </c>
      <c r="D210">
        <v>51</v>
      </c>
      <c r="E210">
        <v>15</v>
      </c>
      <c r="F210">
        <v>349.71</v>
      </c>
      <c r="G210">
        <v>8</v>
      </c>
      <c r="H210" s="2">
        <v>0.53333333333333333</v>
      </c>
      <c r="I210">
        <v>4017.54</v>
      </c>
      <c r="J210">
        <v>1</v>
      </c>
      <c r="K210" s="2">
        <v>2.92E-2</v>
      </c>
    </row>
    <row r="211" spans="1:11" x14ac:dyDescent="0.35">
      <c r="A211" t="s">
        <v>10</v>
      </c>
      <c r="B211" t="s">
        <v>68</v>
      </c>
      <c r="C211" s="1">
        <v>45536</v>
      </c>
      <c r="D211">
        <v>79</v>
      </c>
      <c r="E211">
        <v>9</v>
      </c>
      <c r="F211">
        <v>358.67</v>
      </c>
      <c r="G211">
        <v>5</v>
      </c>
      <c r="H211" s="2">
        <v>0.55555555555555558</v>
      </c>
      <c r="I211">
        <v>3658.64</v>
      </c>
      <c r="J211">
        <v>3</v>
      </c>
      <c r="K211" s="2">
        <v>3.7499999999999999E-2</v>
      </c>
    </row>
    <row r="212" spans="1:11" x14ac:dyDescent="0.35">
      <c r="A212" t="s">
        <v>11</v>
      </c>
      <c r="B212" t="s">
        <v>68</v>
      </c>
      <c r="C212" s="1">
        <v>45536</v>
      </c>
      <c r="D212">
        <v>57</v>
      </c>
      <c r="E212">
        <v>18</v>
      </c>
      <c r="F212">
        <v>403.41</v>
      </c>
      <c r="G212">
        <v>3</v>
      </c>
      <c r="H212" s="2">
        <v>0.16666666666666666</v>
      </c>
      <c r="I212">
        <v>3767.63</v>
      </c>
      <c r="J212">
        <v>2</v>
      </c>
      <c r="K212" s="2">
        <v>4.24E-2</v>
      </c>
    </row>
    <row r="213" spans="1:11" x14ac:dyDescent="0.35">
      <c r="A213" t="s">
        <v>12</v>
      </c>
      <c r="B213" t="s">
        <v>68</v>
      </c>
      <c r="C213" s="1">
        <v>45536</v>
      </c>
      <c r="D213">
        <v>24</v>
      </c>
      <c r="E213">
        <v>7</v>
      </c>
      <c r="F213">
        <v>79.62</v>
      </c>
      <c r="G213">
        <v>4</v>
      </c>
      <c r="H213" s="2">
        <v>0.5714285714285714</v>
      </c>
      <c r="I213">
        <v>1650.69</v>
      </c>
      <c r="J213">
        <v>1</v>
      </c>
      <c r="K213" s="2">
        <v>3.0600000000000002E-2</v>
      </c>
    </row>
    <row r="214" spans="1:11" x14ac:dyDescent="0.35">
      <c r="A214" t="s">
        <v>13</v>
      </c>
      <c r="B214" t="s">
        <v>68</v>
      </c>
      <c r="C214" s="1">
        <v>45536</v>
      </c>
      <c r="D214">
        <v>77</v>
      </c>
      <c r="E214">
        <v>11</v>
      </c>
      <c r="F214">
        <v>487.47</v>
      </c>
      <c r="G214">
        <v>4</v>
      </c>
      <c r="H214" s="2">
        <v>0.36363636363636365</v>
      </c>
      <c r="I214">
        <v>990.89</v>
      </c>
      <c r="J214">
        <v>3</v>
      </c>
      <c r="K214" s="2">
        <v>4.3299999999999998E-2</v>
      </c>
    </row>
    <row r="215" spans="1:11" x14ac:dyDescent="0.35">
      <c r="A215" t="s">
        <v>14</v>
      </c>
      <c r="B215" t="s">
        <v>68</v>
      </c>
      <c r="C215" s="1">
        <v>45536</v>
      </c>
      <c r="D215">
        <v>69</v>
      </c>
      <c r="E215">
        <v>7</v>
      </c>
      <c r="F215">
        <v>549.77</v>
      </c>
      <c r="G215">
        <v>2</v>
      </c>
      <c r="H215" s="2">
        <v>0.2857142857142857</v>
      </c>
      <c r="I215">
        <v>3916.58</v>
      </c>
      <c r="J215">
        <v>2</v>
      </c>
      <c r="K215" s="2">
        <v>1.2E-2</v>
      </c>
    </row>
    <row r="216" spans="1:11" x14ac:dyDescent="0.35">
      <c r="A216" t="s">
        <v>15</v>
      </c>
      <c r="B216" t="s">
        <v>68</v>
      </c>
      <c r="C216" s="1">
        <v>45536</v>
      </c>
      <c r="D216">
        <v>74</v>
      </c>
      <c r="E216">
        <v>18</v>
      </c>
      <c r="F216">
        <v>306.89999999999998</v>
      </c>
      <c r="G216">
        <v>3</v>
      </c>
      <c r="H216" s="2">
        <v>0.16666666666666666</v>
      </c>
      <c r="I216">
        <v>2254.16</v>
      </c>
      <c r="J216">
        <v>1</v>
      </c>
      <c r="K216" s="2">
        <v>9.64E-2</v>
      </c>
    </row>
    <row r="217" spans="1:11" x14ac:dyDescent="0.35">
      <c r="A217" t="s">
        <v>16</v>
      </c>
      <c r="B217" t="s">
        <v>68</v>
      </c>
      <c r="C217" s="1">
        <v>45536</v>
      </c>
      <c r="D217">
        <v>57</v>
      </c>
      <c r="E217">
        <v>7</v>
      </c>
      <c r="F217">
        <v>262.27999999999997</v>
      </c>
      <c r="G217">
        <v>7</v>
      </c>
      <c r="H217" s="2">
        <v>1</v>
      </c>
      <c r="I217">
        <v>3929.11</v>
      </c>
      <c r="J217">
        <v>3</v>
      </c>
      <c r="K217" s="2">
        <v>4.4299999999999999E-2</v>
      </c>
    </row>
    <row r="218" spans="1:11" x14ac:dyDescent="0.35">
      <c r="A218" t="s">
        <v>17</v>
      </c>
      <c r="B218" t="s">
        <v>68</v>
      </c>
      <c r="C218" s="1">
        <v>45536</v>
      </c>
      <c r="D218">
        <v>26</v>
      </c>
      <c r="E218">
        <v>21</v>
      </c>
      <c r="F218">
        <v>359.51</v>
      </c>
      <c r="G218">
        <v>9</v>
      </c>
      <c r="H218" s="2">
        <v>0.42857142857142855</v>
      </c>
      <c r="I218">
        <v>1187.3699999999999</v>
      </c>
      <c r="J218">
        <v>2</v>
      </c>
      <c r="K218" s="2">
        <v>5.33E-2</v>
      </c>
    </row>
    <row r="219" spans="1:11" x14ac:dyDescent="0.35">
      <c r="A219" t="s">
        <v>18</v>
      </c>
      <c r="B219" t="s">
        <v>68</v>
      </c>
      <c r="C219" s="1">
        <v>45536</v>
      </c>
      <c r="D219">
        <v>76</v>
      </c>
      <c r="E219">
        <v>18</v>
      </c>
      <c r="F219">
        <v>339.1</v>
      </c>
      <c r="G219">
        <v>8</v>
      </c>
      <c r="H219" s="2">
        <v>0.44444444444444442</v>
      </c>
      <c r="I219">
        <v>924.79</v>
      </c>
      <c r="J219">
        <v>1</v>
      </c>
      <c r="K219" s="2">
        <v>3.6000000000000004E-2</v>
      </c>
    </row>
    <row r="220" spans="1:11" x14ac:dyDescent="0.35">
      <c r="A220" t="s">
        <v>19</v>
      </c>
      <c r="B220" t="s">
        <v>68</v>
      </c>
      <c r="C220" s="1">
        <v>45536</v>
      </c>
      <c r="D220">
        <v>22</v>
      </c>
      <c r="E220">
        <v>7</v>
      </c>
      <c r="F220">
        <v>182.47</v>
      </c>
      <c r="G220">
        <v>7</v>
      </c>
      <c r="H220" s="2">
        <v>1</v>
      </c>
      <c r="I220">
        <v>779.86</v>
      </c>
      <c r="J220">
        <v>3</v>
      </c>
      <c r="K220" s="2">
        <v>7.2700000000000001E-2</v>
      </c>
    </row>
    <row r="221" spans="1:11" x14ac:dyDescent="0.35">
      <c r="A221" t="s">
        <v>20</v>
      </c>
      <c r="B221" t="s">
        <v>68</v>
      </c>
      <c r="C221" s="1">
        <v>45536</v>
      </c>
      <c r="D221">
        <v>38</v>
      </c>
      <c r="E221">
        <v>6</v>
      </c>
      <c r="F221">
        <v>553.89</v>
      </c>
      <c r="G221">
        <v>6</v>
      </c>
      <c r="H221" s="2">
        <v>1</v>
      </c>
      <c r="I221">
        <v>4013.79</v>
      </c>
      <c r="J221">
        <v>2</v>
      </c>
      <c r="K221" s="2">
        <v>4.3200000000000002E-2</v>
      </c>
    </row>
    <row r="222" spans="1:11" x14ac:dyDescent="0.35">
      <c r="A222" t="s">
        <v>21</v>
      </c>
      <c r="B222" t="s">
        <v>68</v>
      </c>
      <c r="C222" s="1">
        <v>45536</v>
      </c>
      <c r="D222">
        <v>87</v>
      </c>
      <c r="E222">
        <v>21</v>
      </c>
      <c r="F222">
        <v>633.13</v>
      </c>
      <c r="G222">
        <v>2</v>
      </c>
      <c r="H222" s="2">
        <v>9.5238095238095233E-2</v>
      </c>
      <c r="I222">
        <v>336.22</v>
      </c>
      <c r="J222">
        <v>1</v>
      </c>
      <c r="K222" s="2">
        <v>3.4500000000000003E-2</v>
      </c>
    </row>
    <row r="223" spans="1:11" x14ac:dyDescent="0.35">
      <c r="A223" t="s">
        <v>22</v>
      </c>
      <c r="B223" t="s">
        <v>68</v>
      </c>
      <c r="C223" s="1">
        <v>45536</v>
      </c>
      <c r="D223">
        <v>37</v>
      </c>
      <c r="E223">
        <v>8</v>
      </c>
      <c r="F223">
        <v>215.09</v>
      </c>
      <c r="G223">
        <v>2</v>
      </c>
      <c r="H223" s="2">
        <v>0.25</v>
      </c>
      <c r="I223">
        <v>3424.83</v>
      </c>
      <c r="J223">
        <v>3</v>
      </c>
      <c r="K223" s="2">
        <v>4.07E-2</v>
      </c>
    </row>
    <row r="224" spans="1:11" x14ac:dyDescent="0.35">
      <c r="A224" t="s">
        <v>23</v>
      </c>
      <c r="B224" t="s">
        <v>68</v>
      </c>
      <c r="C224" s="1">
        <v>45536</v>
      </c>
      <c r="D224">
        <v>71</v>
      </c>
      <c r="E224">
        <v>8</v>
      </c>
      <c r="F224">
        <v>199.19</v>
      </c>
      <c r="G224">
        <v>2</v>
      </c>
      <c r="H224" s="2">
        <v>0.25</v>
      </c>
      <c r="I224">
        <v>635.24</v>
      </c>
      <c r="J224">
        <v>2</v>
      </c>
      <c r="K224" s="2">
        <v>2.9500000000000002E-2</v>
      </c>
    </row>
    <row r="225" spans="1:11" x14ac:dyDescent="0.35">
      <c r="A225" t="s">
        <v>24</v>
      </c>
      <c r="B225" t="s">
        <v>68</v>
      </c>
      <c r="C225" s="1">
        <v>45536</v>
      </c>
      <c r="D225">
        <v>81</v>
      </c>
      <c r="E225">
        <v>5</v>
      </c>
      <c r="F225">
        <v>153.5</v>
      </c>
      <c r="G225">
        <v>2</v>
      </c>
      <c r="H225" s="2">
        <v>0.4</v>
      </c>
      <c r="I225">
        <v>1307.47</v>
      </c>
      <c r="J225">
        <v>1</v>
      </c>
      <c r="K225" s="2">
        <v>7.3300000000000004E-2</v>
      </c>
    </row>
    <row r="226" spans="1:11" x14ac:dyDescent="0.35">
      <c r="A226" t="s">
        <v>25</v>
      </c>
      <c r="B226" t="s">
        <v>68</v>
      </c>
      <c r="C226" s="1">
        <v>45536</v>
      </c>
      <c r="D226">
        <v>93</v>
      </c>
      <c r="E226">
        <v>5</v>
      </c>
      <c r="F226">
        <v>77.12</v>
      </c>
      <c r="G226">
        <v>2</v>
      </c>
      <c r="H226" s="2">
        <v>0.4</v>
      </c>
      <c r="I226">
        <v>3483.91</v>
      </c>
      <c r="J226">
        <v>3</v>
      </c>
      <c r="K226" s="2">
        <v>9.9000000000000005E-2</v>
      </c>
    </row>
    <row r="227" spans="1:11" x14ac:dyDescent="0.35">
      <c r="A227" t="s">
        <v>26</v>
      </c>
      <c r="B227" t="s">
        <v>68</v>
      </c>
      <c r="C227" s="1">
        <v>45536</v>
      </c>
      <c r="D227">
        <v>21</v>
      </c>
      <c r="E227">
        <v>17</v>
      </c>
      <c r="F227">
        <v>533.41999999999996</v>
      </c>
      <c r="G227">
        <v>7</v>
      </c>
      <c r="H227" s="2">
        <v>0.41176470588235292</v>
      </c>
      <c r="I227">
        <v>3895.32</v>
      </c>
      <c r="J227">
        <v>2</v>
      </c>
      <c r="K227" s="2">
        <v>3.4000000000000002E-2</v>
      </c>
    </row>
    <row r="228" spans="1:11" x14ac:dyDescent="0.35">
      <c r="A228" t="s">
        <v>27</v>
      </c>
      <c r="B228" t="s">
        <v>68</v>
      </c>
      <c r="C228" s="1">
        <v>45536</v>
      </c>
      <c r="D228">
        <v>86</v>
      </c>
      <c r="E228">
        <v>17</v>
      </c>
      <c r="F228">
        <v>160.88999999999999</v>
      </c>
      <c r="G228">
        <v>4</v>
      </c>
      <c r="H228" s="2">
        <v>0.23529411764705882</v>
      </c>
      <c r="I228">
        <v>418.33</v>
      </c>
      <c r="J228">
        <v>1</v>
      </c>
      <c r="K228" s="2">
        <v>8.8100000000000012E-2</v>
      </c>
    </row>
    <row r="229" spans="1:11" x14ac:dyDescent="0.35">
      <c r="A229" t="s">
        <v>28</v>
      </c>
      <c r="B229" t="s">
        <v>68</v>
      </c>
      <c r="C229" s="1">
        <v>45536</v>
      </c>
      <c r="D229">
        <v>72</v>
      </c>
      <c r="E229">
        <v>11</v>
      </c>
      <c r="F229">
        <v>459.86</v>
      </c>
      <c r="G229">
        <v>0</v>
      </c>
      <c r="H229" s="2">
        <v>0</v>
      </c>
      <c r="I229">
        <v>1269.5999999999999</v>
      </c>
      <c r="J229">
        <v>3</v>
      </c>
      <c r="K229" s="2">
        <v>1E-3</v>
      </c>
    </row>
    <row r="230" spans="1:11" x14ac:dyDescent="0.35">
      <c r="A230" t="s">
        <v>29</v>
      </c>
      <c r="B230" t="s">
        <v>68</v>
      </c>
      <c r="C230" s="1">
        <v>45536</v>
      </c>
      <c r="D230">
        <v>18</v>
      </c>
      <c r="E230">
        <v>13</v>
      </c>
      <c r="F230">
        <v>290.14</v>
      </c>
      <c r="G230">
        <v>2</v>
      </c>
      <c r="H230" s="2">
        <v>0.15384615384615385</v>
      </c>
      <c r="I230">
        <v>1444.65</v>
      </c>
      <c r="J230">
        <v>2</v>
      </c>
      <c r="K230" s="2">
        <v>5.4699999999999999E-2</v>
      </c>
    </row>
    <row r="231" spans="1:11" x14ac:dyDescent="0.35">
      <c r="A231" t="s">
        <v>30</v>
      </c>
      <c r="B231" t="s">
        <v>68</v>
      </c>
      <c r="C231" s="1">
        <v>45536</v>
      </c>
      <c r="D231">
        <v>105</v>
      </c>
      <c r="E231">
        <v>7</v>
      </c>
      <c r="F231">
        <v>587.83000000000004</v>
      </c>
      <c r="G231">
        <v>1</v>
      </c>
      <c r="H231" s="2">
        <v>0.14285714285714285</v>
      </c>
      <c r="I231">
        <v>3601.93</v>
      </c>
      <c r="J231">
        <v>1</v>
      </c>
      <c r="K231" s="2">
        <v>3.2199999999999999E-2</v>
      </c>
    </row>
    <row r="232" spans="1:11" x14ac:dyDescent="0.35">
      <c r="A232" t="s">
        <v>31</v>
      </c>
      <c r="B232" t="s">
        <v>68</v>
      </c>
      <c r="C232" s="1">
        <v>45536</v>
      </c>
      <c r="D232">
        <v>75</v>
      </c>
      <c r="E232">
        <v>8</v>
      </c>
      <c r="F232">
        <v>177.88</v>
      </c>
      <c r="G232">
        <v>7</v>
      </c>
      <c r="H232" s="2">
        <v>0.875</v>
      </c>
      <c r="I232">
        <v>507.1</v>
      </c>
      <c r="J232">
        <v>3</v>
      </c>
      <c r="K232" s="2">
        <v>9.5199999999999993E-2</v>
      </c>
    </row>
    <row r="233" spans="1:11" x14ac:dyDescent="0.35">
      <c r="A233" t="s">
        <v>32</v>
      </c>
      <c r="B233" t="s">
        <v>68</v>
      </c>
      <c r="C233" s="1">
        <v>45536</v>
      </c>
      <c r="D233">
        <v>98</v>
      </c>
      <c r="E233">
        <v>12</v>
      </c>
      <c r="F233">
        <v>406.95</v>
      </c>
      <c r="G233">
        <v>0</v>
      </c>
      <c r="H233" s="2">
        <v>0</v>
      </c>
      <c r="I233">
        <v>2978.09</v>
      </c>
      <c r="J233">
        <v>2</v>
      </c>
      <c r="K233" s="2">
        <v>2.3700000000000002E-2</v>
      </c>
    </row>
    <row r="234" spans="1:11" x14ac:dyDescent="0.35">
      <c r="A234" t="s">
        <v>33</v>
      </c>
      <c r="B234" t="s">
        <v>68</v>
      </c>
      <c r="C234" s="1">
        <v>45536</v>
      </c>
      <c r="D234">
        <v>33</v>
      </c>
      <c r="E234">
        <v>13</v>
      </c>
      <c r="F234">
        <v>517.1</v>
      </c>
      <c r="G234">
        <v>4</v>
      </c>
      <c r="H234" s="2">
        <v>0.30769230769230771</v>
      </c>
      <c r="I234">
        <v>250.08</v>
      </c>
      <c r="J234">
        <v>1</v>
      </c>
      <c r="K234" s="2">
        <v>6.5299999999999997E-2</v>
      </c>
    </row>
    <row r="235" spans="1:11" x14ac:dyDescent="0.35">
      <c r="A235" t="s">
        <v>34</v>
      </c>
      <c r="B235" t="s">
        <v>68</v>
      </c>
      <c r="C235" s="1">
        <v>45536</v>
      </c>
      <c r="D235">
        <v>35</v>
      </c>
      <c r="E235">
        <v>18</v>
      </c>
      <c r="F235">
        <v>348.92</v>
      </c>
      <c r="G235">
        <v>7</v>
      </c>
      <c r="H235" s="2">
        <v>0.3888888888888889</v>
      </c>
      <c r="I235">
        <v>4381.3900000000003</v>
      </c>
      <c r="J235">
        <v>1</v>
      </c>
      <c r="K235" s="2">
        <v>8.8599999999999998E-2</v>
      </c>
    </row>
    <row r="236" spans="1:11" x14ac:dyDescent="0.35">
      <c r="A236" t="s">
        <v>9</v>
      </c>
      <c r="B236" t="s">
        <v>68</v>
      </c>
      <c r="C236" s="1">
        <v>45566</v>
      </c>
      <c r="D236">
        <v>74</v>
      </c>
      <c r="E236">
        <v>16</v>
      </c>
      <c r="F236">
        <v>308.51</v>
      </c>
      <c r="G236">
        <v>7</v>
      </c>
      <c r="H236" s="2">
        <v>0.4375</v>
      </c>
      <c r="I236">
        <v>4267.5</v>
      </c>
      <c r="J236">
        <v>3</v>
      </c>
      <c r="K236" s="2">
        <v>2.9399999999999999E-2</v>
      </c>
    </row>
    <row r="237" spans="1:11" x14ac:dyDescent="0.35">
      <c r="A237" t="s">
        <v>10</v>
      </c>
      <c r="B237" t="s">
        <v>68</v>
      </c>
      <c r="C237" s="1">
        <v>45566</v>
      </c>
      <c r="D237">
        <v>72</v>
      </c>
      <c r="E237">
        <v>10</v>
      </c>
      <c r="F237">
        <v>362.58</v>
      </c>
      <c r="G237">
        <v>5</v>
      </c>
      <c r="H237" s="2">
        <v>0.5</v>
      </c>
      <c r="I237">
        <v>3679.65</v>
      </c>
      <c r="J237">
        <v>2</v>
      </c>
      <c r="K237" s="2">
        <v>3.8599999999999995E-2</v>
      </c>
    </row>
    <row r="238" spans="1:11" x14ac:dyDescent="0.35">
      <c r="A238" t="s">
        <v>11</v>
      </c>
      <c r="B238" t="s">
        <v>68</v>
      </c>
      <c r="C238" s="1">
        <v>45566</v>
      </c>
      <c r="D238">
        <v>58</v>
      </c>
      <c r="E238">
        <v>13</v>
      </c>
      <c r="F238">
        <v>368.06</v>
      </c>
      <c r="G238">
        <v>2</v>
      </c>
      <c r="H238" s="2">
        <v>0.15384615384615385</v>
      </c>
      <c r="I238">
        <v>3626.22</v>
      </c>
      <c r="J238">
        <v>1</v>
      </c>
      <c r="K238" s="2">
        <v>4.1399999999999999E-2</v>
      </c>
    </row>
    <row r="239" spans="1:11" x14ac:dyDescent="0.35">
      <c r="A239" t="s">
        <v>12</v>
      </c>
      <c r="B239" t="s">
        <v>68</v>
      </c>
      <c r="C239" s="1">
        <v>45566</v>
      </c>
      <c r="D239">
        <v>22</v>
      </c>
      <c r="E239">
        <v>7</v>
      </c>
      <c r="F239">
        <v>74.680000000000007</v>
      </c>
      <c r="G239">
        <v>4</v>
      </c>
      <c r="H239" s="2">
        <v>0.5714285714285714</v>
      </c>
      <c r="I239">
        <v>1543.72</v>
      </c>
      <c r="J239">
        <v>3</v>
      </c>
      <c r="K239" s="2">
        <v>2.75E-2</v>
      </c>
    </row>
    <row r="240" spans="1:11" x14ac:dyDescent="0.35">
      <c r="A240" t="s">
        <v>13</v>
      </c>
      <c r="B240" t="s">
        <v>68</v>
      </c>
      <c r="C240" s="1">
        <v>45566</v>
      </c>
      <c r="D240">
        <v>74</v>
      </c>
      <c r="E240">
        <v>15</v>
      </c>
      <c r="F240">
        <v>460.2</v>
      </c>
      <c r="G240">
        <v>4</v>
      </c>
      <c r="H240" s="2">
        <v>0.26666666666666666</v>
      </c>
      <c r="I240">
        <v>980.1</v>
      </c>
      <c r="J240">
        <v>2</v>
      </c>
      <c r="K240" s="2">
        <v>3.7900000000000003E-2</v>
      </c>
    </row>
    <row r="241" spans="1:11" x14ac:dyDescent="0.35">
      <c r="A241" t="s">
        <v>14</v>
      </c>
      <c r="B241" t="s">
        <v>68</v>
      </c>
      <c r="C241" s="1">
        <v>45566</v>
      </c>
      <c r="D241">
        <v>62</v>
      </c>
      <c r="E241">
        <v>8</v>
      </c>
      <c r="F241">
        <v>540.79999999999995</v>
      </c>
      <c r="G241">
        <v>3</v>
      </c>
      <c r="H241" s="2">
        <v>0.375</v>
      </c>
      <c r="I241">
        <v>3928.71</v>
      </c>
      <c r="J241">
        <v>1</v>
      </c>
      <c r="K241" s="2">
        <v>1.09E-2</v>
      </c>
    </row>
    <row r="242" spans="1:11" x14ac:dyDescent="0.35">
      <c r="A242" t="s">
        <v>15</v>
      </c>
      <c r="B242" t="s">
        <v>68</v>
      </c>
      <c r="C242" s="1">
        <v>45566</v>
      </c>
      <c r="D242">
        <v>70</v>
      </c>
      <c r="E242">
        <v>21</v>
      </c>
      <c r="F242">
        <v>319.62</v>
      </c>
      <c r="G242">
        <v>3</v>
      </c>
      <c r="H242" s="2">
        <v>0.14285714285714285</v>
      </c>
      <c r="I242">
        <v>2486.2199999999998</v>
      </c>
      <c r="J242">
        <v>3</v>
      </c>
      <c r="K242" s="2">
        <v>0.1036</v>
      </c>
    </row>
    <row r="243" spans="1:11" x14ac:dyDescent="0.35">
      <c r="A243" t="s">
        <v>16</v>
      </c>
      <c r="B243" t="s">
        <v>68</v>
      </c>
      <c r="C243" s="1">
        <v>45566</v>
      </c>
      <c r="D243">
        <v>51</v>
      </c>
      <c r="E243">
        <v>7</v>
      </c>
      <c r="F243">
        <v>248.37</v>
      </c>
      <c r="G243">
        <v>7</v>
      </c>
      <c r="H243" s="2">
        <v>1</v>
      </c>
      <c r="I243">
        <v>3946.23</v>
      </c>
      <c r="J243">
        <v>2</v>
      </c>
      <c r="K243" s="2">
        <v>4.2699999999999995E-2</v>
      </c>
    </row>
    <row r="244" spans="1:11" x14ac:dyDescent="0.35">
      <c r="A244" t="s">
        <v>17</v>
      </c>
      <c r="B244" t="s">
        <v>68</v>
      </c>
      <c r="C244" s="1">
        <v>45566</v>
      </c>
      <c r="D244">
        <v>32</v>
      </c>
      <c r="E244">
        <v>16</v>
      </c>
      <c r="F244">
        <v>393.04</v>
      </c>
      <c r="G244">
        <v>7</v>
      </c>
      <c r="H244" s="2">
        <v>0.4375</v>
      </c>
      <c r="I244">
        <v>1286.18</v>
      </c>
      <c r="J244">
        <v>1</v>
      </c>
      <c r="K244" s="2">
        <v>5.6399999999999999E-2</v>
      </c>
    </row>
    <row r="245" spans="1:11" x14ac:dyDescent="0.35">
      <c r="A245" t="s">
        <v>18</v>
      </c>
      <c r="B245" t="s">
        <v>68</v>
      </c>
      <c r="C245" s="1">
        <v>45566</v>
      </c>
      <c r="D245">
        <v>71</v>
      </c>
      <c r="E245">
        <v>16</v>
      </c>
      <c r="F245">
        <v>323.56</v>
      </c>
      <c r="G245">
        <v>9</v>
      </c>
      <c r="H245" s="2">
        <v>0.5625</v>
      </c>
      <c r="I245">
        <v>957.05</v>
      </c>
      <c r="J245">
        <v>3</v>
      </c>
      <c r="K245" s="2">
        <v>3.1099999999999999E-2</v>
      </c>
    </row>
    <row r="246" spans="1:11" x14ac:dyDescent="0.35">
      <c r="A246" t="s">
        <v>19</v>
      </c>
      <c r="B246" t="s">
        <v>68</v>
      </c>
      <c r="C246" s="1">
        <v>45566</v>
      </c>
      <c r="D246">
        <v>17</v>
      </c>
      <c r="E246">
        <v>7</v>
      </c>
      <c r="F246">
        <v>205.3</v>
      </c>
      <c r="G246">
        <v>4</v>
      </c>
      <c r="H246" s="2">
        <v>0.5714285714285714</v>
      </c>
      <c r="I246">
        <v>762.2</v>
      </c>
      <c r="J246">
        <v>2</v>
      </c>
      <c r="K246" s="2">
        <v>7.2300000000000003E-2</v>
      </c>
    </row>
    <row r="247" spans="1:11" x14ac:dyDescent="0.35">
      <c r="A247" t="s">
        <v>20</v>
      </c>
      <c r="B247" t="s">
        <v>68</v>
      </c>
      <c r="C247" s="1">
        <v>45566</v>
      </c>
      <c r="D247">
        <v>35</v>
      </c>
      <c r="E247">
        <v>6</v>
      </c>
      <c r="F247">
        <v>544.78</v>
      </c>
      <c r="G247">
        <v>5</v>
      </c>
      <c r="H247" s="2">
        <v>0.83333333333333337</v>
      </c>
      <c r="I247">
        <v>3420.99</v>
      </c>
      <c r="J247">
        <v>3</v>
      </c>
      <c r="K247" s="2">
        <v>4.0500000000000001E-2</v>
      </c>
    </row>
    <row r="248" spans="1:11" x14ac:dyDescent="0.35">
      <c r="A248" t="s">
        <v>21</v>
      </c>
      <c r="B248" t="s">
        <v>68</v>
      </c>
      <c r="C248" s="1">
        <v>45566</v>
      </c>
      <c r="D248">
        <v>73</v>
      </c>
      <c r="E248">
        <v>17</v>
      </c>
      <c r="F248">
        <v>557.29999999999995</v>
      </c>
      <c r="G248">
        <v>3</v>
      </c>
      <c r="H248" s="2">
        <v>0.17647058823529413</v>
      </c>
      <c r="I248">
        <v>376.66</v>
      </c>
      <c r="J248">
        <v>2</v>
      </c>
      <c r="K248" s="2">
        <v>3.4700000000000002E-2</v>
      </c>
    </row>
    <row r="249" spans="1:11" x14ac:dyDescent="0.35">
      <c r="A249" t="s">
        <v>22</v>
      </c>
      <c r="B249" t="s">
        <v>68</v>
      </c>
      <c r="C249" s="1">
        <v>45566</v>
      </c>
      <c r="D249">
        <v>27</v>
      </c>
      <c r="E249">
        <v>6</v>
      </c>
      <c r="F249">
        <v>202.37</v>
      </c>
      <c r="G249">
        <v>1</v>
      </c>
      <c r="H249" s="2">
        <v>0.16666666666666666</v>
      </c>
      <c r="I249">
        <v>3781.81</v>
      </c>
      <c r="J249">
        <v>1</v>
      </c>
      <c r="K249" s="2">
        <v>4.3099999999999999E-2</v>
      </c>
    </row>
    <row r="250" spans="1:11" x14ac:dyDescent="0.35">
      <c r="A250" t="s">
        <v>23</v>
      </c>
      <c r="B250" t="s">
        <v>68</v>
      </c>
      <c r="C250" s="1">
        <v>45566</v>
      </c>
      <c r="D250">
        <v>49</v>
      </c>
      <c r="E250">
        <v>7</v>
      </c>
      <c r="F250">
        <v>204.14</v>
      </c>
      <c r="G250">
        <v>3</v>
      </c>
      <c r="H250" s="2">
        <v>0.42857142857142855</v>
      </c>
      <c r="I250">
        <v>636.65</v>
      </c>
      <c r="J250">
        <v>3</v>
      </c>
      <c r="K250" s="2">
        <v>2.9500000000000002E-2</v>
      </c>
    </row>
    <row r="251" spans="1:11" x14ac:dyDescent="0.35">
      <c r="A251" t="s">
        <v>24</v>
      </c>
      <c r="B251" t="s">
        <v>68</v>
      </c>
      <c r="C251" s="1">
        <v>45566</v>
      </c>
      <c r="D251">
        <v>106</v>
      </c>
      <c r="E251">
        <v>5</v>
      </c>
      <c r="F251">
        <v>163.38</v>
      </c>
      <c r="G251">
        <v>1</v>
      </c>
      <c r="H251" s="2">
        <v>0.2</v>
      </c>
      <c r="I251">
        <v>1148.1400000000001</v>
      </c>
      <c r="J251">
        <v>2</v>
      </c>
      <c r="K251" s="2">
        <v>7.8799999999999995E-2</v>
      </c>
    </row>
    <row r="252" spans="1:11" x14ac:dyDescent="0.35">
      <c r="A252" t="s">
        <v>25</v>
      </c>
      <c r="B252" t="s">
        <v>68</v>
      </c>
      <c r="C252" s="1">
        <v>45566</v>
      </c>
      <c r="D252">
        <v>102</v>
      </c>
      <c r="E252">
        <v>5</v>
      </c>
      <c r="F252">
        <v>86.37</v>
      </c>
      <c r="G252">
        <v>5</v>
      </c>
      <c r="H252" s="2">
        <v>1</v>
      </c>
      <c r="I252">
        <v>3851.19</v>
      </c>
      <c r="J252">
        <v>1</v>
      </c>
      <c r="K252" s="2">
        <v>8.3800000000000013E-2</v>
      </c>
    </row>
    <row r="253" spans="1:11" x14ac:dyDescent="0.35">
      <c r="A253" t="s">
        <v>26</v>
      </c>
      <c r="B253" t="s">
        <v>68</v>
      </c>
      <c r="C253" s="1">
        <v>45566</v>
      </c>
      <c r="D253">
        <v>21</v>
      </c>
      <c r="E253">
        <v>14</v>
      </c>
      <c r="F253">
        <v>537.36</v>
      </c>
      <c r="G253">
        <v>7</v>
      </c>
      <c r="H253" s="2">
        <v>0.5</v>
      </c>
      <c r="I253">
        <v>3767.78</v>
      </c>
      <c r="J253">
        <v>3</v>
      </c>
      <c r="K253" s="2">
        <v>3.44E-2</v>
      </c>
    </row>
    <row r="254" spans="1:11" x14ac:dyDescent="0.35">
      <c r="A254" t="s">
        <v>27</v>
      </c>
      <c r="B254" t="s">
        <v>68</v>
      </c>
      <c r="C254" s="1">
        <v>45566</v>
      </c>
      <c r="D254">
        <v>104</v>
      </c>
      <c r="E254">
        <v>20</v>
      </c>
      <c r="F254">
        <v>181.9</v>
      </c>
      <c r="G254">
        <v>4</v>
      </c>
      <c r="H254" s="2">
        <v>0.2</v>
      </c>
      <c r="I254">
        <v>400.92</v>
      </c>
      <c r="J254">
        <v>2</v>
      </c>
      <c r="K254" s="2">
        <v>0.10009999999999999</v>
      </c>
    </row>
    <row r="255" spans="1:11" x14ac:dyDescent="0.35">
      <c r="A255" t="s">
        <v>28</v>
      </c>
      <c r="B255" t="s">
        <v>68</v>
      </c>
      <c r="C255" s="1">
        <v>45566</v>
      </c>
      <c r="D255">
        <v>64</v>
      </c>
      <c r="E255">
        <v>15</v>
      </c>
      <c r="F255">
        <v>514.38</v>
      </c>
      <c r="G255">
        <v>0</v>
      </c>
      <c r="H255" s="2">
        <v>0</v>
      </c>
      <c r="I255">
        <v>1220.5899999999999</v>
      </c>
      <c r="J255">
        <v>1</v>
      </c>
      <c r="K255" s="2">
        <v>1E-3</v>
      </c>
    </row>
    <row r="256" spans="1:11" x14ac:dyDescent="0.35">
      <c r="A256" t="s">
        <v>29</v>
      </c>
      <c r="B256" t="s">
        <v>68</v>
      </c>
      <c r="C256" s="1">
        <v>45566</v>
      </c>
      <c r="D256">
        <v>21</v>
      </c>
      <c r="E256">
        <v>15</v>
      </c>
      <c r="F256">
        <v>309.75</v>
      </c>
      <c r="G256">
        <v>2</v>
      </c>
      <c r="H256" s="2">
        <v>0.13333333333333333</v>
      </c>
      <c r="I256">
        <v>1649.09</v>
      </c>
      <c r="J256">
        <v>3</v>
      </c>
      <c r="K256" s="2">
        <v>5.0999999999999997E-2</v>
      </c>
    </row>
    <row r="257" spans="1:11" x14ac:dyDescent="0.35">
      <c r="A257" t="s">
        <v>30</v>
      </c>
      <c r="B257" t="s">
        <v>68</v>
      </c>
      <c r="C257" s="1">
        <v>45566</v>
      </c>
      <c r="D257">
        <v>108</v>
      </c>
      <c r="E257">
        <v>6</v>
      </c>
      <c r="F257">
        <v>515.27</v>
      </c>
      <c r="G257">
        <v>2</v>
      </c>
      <c r="H257" s="2">
        <v>0.33333333333333331</v>
      </c>
      <c r="I257">
        <v>3183.87</v>
      </c>
      <c r="J257">
        <v>2</v>
      </c>
      <c r="K257" s="2">
        <v>3.04E-2</v>
      </c>
    </row>
    <row r="258" spans="1:11" x14ac:dyDescent="0.35">
      <c r="A258" t="s">
        <v>31</v>
      </c>
      <c r="B258" t="s">
        <v>68</v>
      </c>
      <c r="C258" s="1">
        <v>45566</v>
      </c>
      <c r="D258">
        <v>63</v>
      </c>
      <c r="E258">
        <v>10</v>
      </c>
      <c r="F258">
        <v>194.21</v>
      </c>
      <c r="G258">
        <v>7</v>
      </c>
      <c r="H258" s="2">
        <v>0.7</v>
      </c>
      <c r="I258">
        <v>508.84</v>
      </c>
      <c r="J258">
        <v>1</v>
      </c>
      <c r="K258" s="2">
        <v>9.3900000000000011E-2</v>
      </c>
    </row>
    <row r="259" spans="1:11" x14ac:dyDescent="0.35">
      <c r="A259" t="s">
        <v>32</v>
      </c>
      <c r="B259" t="s">
        <v>68</v>
      </c>
      <c r="C259" s="1">
        <v>45566</v>
      </c>
      <c r="D259">
        <v>85</v>
      </c>
      <c r="E259">
        <v>15</v>
      </c>
      <c r="F259">
        <v>400.65</v>
      </c>
      <c r="G259">
        <v>0</v>
      </c>
      <c r="H259" s="2">
        <v>0</v>
      </c>
      <c r="I259">
        <v>2890.62</v>
      </c>
      <c r="J259">
        <v>1</v>
      </c>
      <c r="K259" s="2">
        <v>2.4700000000000003E-2</v>
      </c>
    </row>
    <row r="260" spans="1:11" x14ac:dyDescent="0.35">
      <c r="A260" t="s">
        <v>33</v>
      </c>
      <c r="B260" t="s">
        <v>68</v>
      </c>
      <c r="C260" s="1">
        <v>45566</v>
      </c>
      <c r="D260">
        <v>36</v>
      </c>
      <c r="E260">
        <v>10</v>
      </c>
      <c r="F260">
        <v>535.44000000000005</v>
      </c>
      <c r="G260">
        <v>4</v>
      </c>
      <c r="H260" s="2">
        <v>0.4</v>
      </c>
      <c r="I260">
        <v>241.26</v>
      </c>
      <c r="J260">
        <v>3</v>
      </c>
      <c r="K260" s="2">
        <v>6.3E-2</v>
      </c>
    </row>
    <row r="261" spans="1:11" x14ac:dyDescent="0.35">
      <c r="A261" t="s">
        <v>34</v>
      </c>
      <c r="B261" t="s">
        <v>68</v>
      </c>
      <c r="C261" s="1">
        <v>45566</v>
      </c>
      <c r="D261">
        <v>34</v>
      </c>
      <c r="E261">
        <v>12</v>
      </c>
      <c r="F261">
        <v>356.4</v>
      </c>
      <c r="G261">
        <v>8</v>
      </c>
      <c r="H261" s="2">
        <v>0.66666666666666663</v>
      </c>
      <c r="I261">
        <v>4111.76</v>
      </c>
      <c r="J261">
        <v>2</v>
      </c>
      <c r="K261" s="2">
        <v>8.4700000000000011E-2</v>
      </c>
    </row>
    <row r="262" spans="1:11" x14ac:dyDescent="0.35">
      <c r="A262" t="s">
        <v>9</v>
      </c>
      <c r="B262" t="s">
        <v>68</v>
      </c>
      <c r="C262" s="1">
        <v>45597</v>
      </c>
      <c r="D262">
        <v>67</v>
      </c>
      <c r="E262">
        <v>12</v>
      </c>
      <c r="F262">
        <v>352.6</v>
      </c>
      <c r="G262">
        <v>6</v>
      </c>
      <c r="H262" s="2">
        <v>0.5</v>
      </c>
      <c r="I262">
        <v>4402.41</v>
      </c>
      <c r="J262">
        <v>1</v>
      </c>
      <c r="K262" s="2">
        <v>2.8999999999999998E-2</v>
      </c>
    </row>
    <row r="263" spans="1:11" x14ac:dyDescent="0.35">
      <c r="A263" t="s">
        <v>10</v>
      </c>
      <c r="B263" t="s">
        <v>68</v>
      </c>
      <c r="C263" s="1">
        <v>45597</v>
      </c>
      <c r="D263">
        <v>76</v>
      </c>
      <c r="E263">
        <v>14</v>
      </c>
      <c r="F263">
        <v>351.42</v>
      </c>
      <c r="G263">
        <v>4</v>
      </c>
      <c r="H263" s="2">
        <v>0.2857142857142857</v>
      </c>
      <c r="I263">
        <v>3917.99</v>
      </c>
      <c r="J263">
        <v>3</v>
      </c>
      <c r="K263" s="2">
        <v>4.2999999999999997E-2</v>
      </c>
    </row>
    <row r="264" spans="1:11" x14ac:dyDescent="0.35">
      <c r="A264" t="s">
        <v>11</v>
      </c>
      <c r="B264" t="s">
        <v>68</v>
      </c>
      <c r="C264" s="1">
        <v>45597</v>
      </c>
      <c r="D264">
        <v>53</v>
      </c>
      <c r="E264">
        <v>17</v>
      </c>
      <c r="F264">
        <v>404.22</v>
      </c>
      <c r="G264">
        <v>2</v>
      </c>
      <c r="H264" s="2">
        <v>0.11764705882352941</v>
      </c>
      <c r="I264">
        <v>3669.4</v>
      </c>
      <c r="J264">
        <v>2</v>
      </c>
      <c r="K264" s="2">
        <v>4.4500000000000005E-2</v>
      </c>
    </row>
    <row r="265" spans="1:11" x14ac:dyDescent="0.35">
      <c r="A265" t="s">
        <v>12</v>
      </c>
      <c r="B265" t="s">
        <v>68</v>
      </c>
      <c r="C265" s="1">
        <v>45597</v>
      </c>
      <c r="D265">
        <v>22</v>
      </c>
      <c r="E265">
        <v>6</v>
      </c>
      <c r="F265">
        <v>80.02</v>
      </c>
      <c r="G265">
        <v>3</v>
      </c>
      <c r="H265" s="2">
        <v>0.5</v>
      </c>
      <c r="I265">
        <v>1476.69</v>
      </c>
      <c r="J265">
        <v>1</v>
      </c>
      <c r="K265" s="2">
        <v>2.9300000000000003E-2</v>
      </c>
    </row>
    <row r="266" spans="1:11" x14ac:dyDescent="0.35">
      <c r="A266" t="s">
        <v>13</v>
      </c>
      <c r="B266" t="s">
        <v>68</v>
      </c>
      <c r="C266" s="1">
        <v>45597</v>
      </c>
      <c r="D266">
        <v>77</v>
      </c>
      <c r="E266">
        <v>16</v>
      </c>
      <c r="F266">
        <v>502.41</v>
      </c>
      <c r="G266">
        <v>5</v>
      </c>
      <c r="H266" s="2">
        <v>0.3125</v>
      </c>
      <c r="I266">
        <v>1093.75</v>
      </c>
      <c r="J266">
        <v>3</v>
      </c>
      <c r="K266" s="2">
        <v>3.8399999999999997E-2</v>
      </c>
    </row>
    <row r="267" spans="1:11" x14ac:dyDescent="0.35">
      <c r="A267" t="s">
        <v>14</v>
      </c>
      <c r="B267" t="s">
        <v>68</v>
      </c>
      <c r="C267" s="1">
        <v>45597</v>
      </c>
      <c r="D267">
        <v>52</v>
      </c>
      <c r="E267">
        <v>6</v>
      </c>
      <c r="F267">
        <v>492.23</v>
      </c>
      <c r="G267">
        <v>2</v>
      </c>
      <c r="H267" s="2">
        <v>0.33333333333333331</v>
      </c>
      <c r="I267">
        <v>3775.84</v>
      </c>
      <c r="J267">
        <v>2</v>
      </c>
      <c r="K267" s="2">
        <v>1.1000000000000001E-2</v>
      </c>
    </row>
    <row r="268" spans="1:11" x14ac:dyDescent="0.35">
      <c r="A268" t="s">
        <v>15</v>
      </c>
      <c r="B268" t="s">
        <v>68</v>
      </c>
      <c r="C268" s="1">
        <v>45597</v>
      </c>
      <c r="D268">
        <v>74</v>
      </c>
      <c r="E268">
        <v>17</v>
      </c>
      <c r="F268">
        <v>284.91000000000003</v>
      </c>
      <c r="G268">
        <v>3</v>
      </c>
      <c r="H268" s="2">
        <v>0.17647058823529413</v>
      </c>
      <c r="I268">
        <v>2481.64</v>
      </c>
      <c r="J268">
        <v>1</v>
      </c>
      <c r="K268" s="2">
        <v>9.0500000000000011E-2</v>
      </c>
    </row>
    <row r="269" spans="1:11" x14ac:dyDescent="0.35">
      <c r="A269" t="s">
        <v>16</v>
      </c>
      <c r="B269" t="s">
        <v>68</v>
      </c>
      <c r="C269" s="1">
        <v>45597</v>
      </c>
      <c r="D269">
        <v>50</v>
      </c>
      <c r="E269">
        <v>9</v>
      </c>
      <c r="F269">
        <v>237.95</v>
      </c>
      <c r="G269">
        <v>5</v>
      </c>
      <c r="H269" s="2">
        <v>0.55555555555555558</v>
      </c>
      <c r="I269">
        <v>3982.36</v>
      </c>
      <c r="J269">
        <v>3</v>
      </c>
      <c r="K269" s="2">
        <v>4.4299999999999999E-2</v>
      </c>
    </row>
    <row r="270" spans="1:11" x14ac:dyDescent="0.35">
      <c r="A270" t="s">
        <v>17</v>
      </c>
      <c r="B270" t="s">
        <v>68</v>
      </c>
      <c r="C270" s="1">
        <v>45597</v>
      </c>
      <c r="D270">
        <v>30</v>
      </c>
      <c r="E270">
        <v>21</v>
      </c>
      <c r="F270">
        <v>372.34</v>
      </c>
      <c r="G270">
        <v>7</v>
      </c>
      <c r="H270" s="2">
        <v>0.33333333333333331</v>
      </c>
      <c r="I270">
        <v>1172.04</v>
      </c>
      <c r="J270">
        <v>2</v>
      </c>
      <c r="K270" s="2">
        <v>5.4800000000000001E-2</v>
      </c>
    </row>
    <row r="271" spans="1:11" x14ac:dyDescent="0.35">
      <c r="A271" t="s">
        <v>18</v>
      </c>
      <c r="B271" t="s">
        <v>68</v>
      </c>
      <c r="C271" s="1">
        <v>45597</v>
      </c>
      <c r="D271">
        <v>74</v>
      </c>
      <c r="E271">
        <v>13</v>
      </c>
      <c r="F271">
        <v>324.77999999999997</v>
      </c>
      <c r="G271">
        <v>7</v>
      </c>
      <c r="H271" s="2">
        <v>0.53846153846153844</v>
      </c>
      <c r="I271">
        <v>995.6</v>
      </c>
      <c r="J271">
        <v>1</v>
      </c>
      <c r="K271" s="2">
        <v>3.0699999999999998E-2</v>
      </c>
    </row>
    <row r="272" spans="1:11" x14ac:dyDescent="0.35">
      <c r="A272" t="s">
        <v>19</v>
      </c>
      <c r="B272" t="s">
        <v>68</v>
      </c>
      <c r="C272" s="1">
        <v>45597</v>
      </c>
      <c r="D272">
        <v>23</v>
      </c>
      <c r="E272">
        <v>7</v>
      </c>
      <c r="F272">
        <v>190.12</v>
      </c>
      <c r="G272">
        <v>4</v>
      </c>
      <c r="H272" s="2">
        <v>0.5714285714285714</v>
      </c>
      <c r="I272">
        <v>788.65</v>
      </c>
      <c r="J272">
        <v>3</v>
      </c>
      <c r="K272" s="2">
        <v>7.2000000000000008E-2</v>
      </c>
    </row>
    <row r="273" spans="1:11" x14ac:dyDescent="0.35">
      <c r="A273" t="s">
        <v>20</v>
      </c>
      <c r="B273" t="s">
        <v>68</v>
      </c>
      <c r="C273" s="1">
        <v>45597</v>
      </c>
      <c r="D273">
        <v>32</v>
      </c>
      <c r="E273">
        <v>7</v>
      </c>
      <c r="F273">
        <v>563.41999999999996</v>
      </c>
      <c r="G273">
        <v>6</v>
      </c>
      <c r="H273" s="2">
        <v>0.8571428571428571</v>
      </c>
      <c r="I273">
        <v>3543.71</v>
      </c>
      <c r="J273">
        <v>2</v>
      </c>
      <c r="K273" s="2">
        <v>4.3799999999999999E-2</v>
      </c>
    </row>
    <row r="274" spans="1:11" x14ac:dyDescent="0.35">
      <c r="A274" t="s">
        <v>21</v>
      </c>
      <c r="B274" t="s">
        <v>68</v>
      </c>
      <c r="C274" s="1">
        <v>45597</v>
      </c>
      <c r="D274">
        <v>59</v>
      </c>
      <c r="E274">
        <v>21</v>
      </c>
      <c r="F274">
        <v>633.37</v>
      </c>
      <c r="G274">
        <v>2</v>
      </c>
      <c r="H274" s="2">
        <v>9.5238095238095233E-2</v>
      </c>
      <c r="I274">
        <v>358.29</v>
      </c>
      <c r="J274">
        <v>1</v>
      </c>
      <c r="K274" s="2">
        <v>3.27E-2</v>
      </c>
    </row>
    <row r="275" spans="1:11" x14ac:dyDescent="0.35">
      <c r="A275" t="s">
        <v>22</v>
      </c>
      <c r="B275" t="s">
        <v>68</v>
      </c>
      <c r="C275" s="1">
        <v>45597</v>
      </c>
      <c r="D275">
        <v>30</v>
      </c>
      <c r="E275">
        <v>6</v>
      </c>
      <c r="F275">
        <v>209.84</v>
      </c>
      <c r="G275">
        <v>1</v>
      </c>
      <c r="H275" s="2">
        <v>0.16666666666666666</v>
      </c>
      <c r="I275">
        <v>3534.1</v>
      </c>
      <c r="J275">
        <v>3</v>
      </c>
      <c r="K275" s="2">
        <v>4.2000000000000003E-2</v>
      </c>
    </row>
    <row r="276" spans="1:11" x14ac:dyDescent="0.35">
      <c r="A276" t="s">
        <v>23</v>
      </c>
      <c r="B276" t="s">
        <v>68</v>
      </c>
      <c r="C276" s="1">
        <v>45597</v>
      </c>
      <c r="D276">
        <v>65</v>
      </c>
      <c r="E276">
        <v>9</v>
      </c>
      <c r="F276">
        <v>220.46</v>
      </c>
      <c r="G276">
        <v>3</v>
      </c>
      <c r="H276" s="2">
        <v>0.33333333333333331</v>
      </c>
      <c r="I276">
        <v>707.75</v>
      </c>
      <c r="J276">
        <v>2</v>
      </c>
      <c r="K276" s="2">
        <v>2.76E-2</v>
      </c>
    </row>
    <row r="277" spans="1:11" x14ac:dyDescent="0.35">
      <c r="A277" t="s">
        <v>24</v>
      </c>
      <c r="B277" t="s">
        <v>68</v>
      </c>
      <c r="C277" s="1">
        <v>45597</v>
      </c>
      <c r="D277">
        <v>100</v>
      </c>
      <c r="E277">
        <v>6</v>
      </c>
      <c r="F277">
        <v>153.34</v>
      </c>
      <c r="G277">
        <v>3</v>
      </c>
      <c r="H277" s="2">
        <v>0.5</v>
      </c>
      <c r="I277">
        <v>1248.54</v>
      </c>
      <c r="J277">
        <v>1</v>
      </c>
      <c r="K277" s="2">
        <v>7.9000000000000001E-2</v>
      </c>
    </row>
    <row r="278" spans="1:11" x14ac:dyDescent="0.35">
      <c r="A278" t="s">
        <v>25</v>
      </c>
      <c r="B278" t="s">
        <v>68</v>
      </c>
      <c r="C278" s="1">
        <v>45597</v>
      </c>
      <c r="D278">
        <v>81</v>
      </c>
      <c r="E278">
        <v>7</v>
      </c>
      <c r="F278">
        <v>79.62</v>
      </c>
      <c r="G278">
        <v>7</v>
      </c>
      <c r="H278" s="2">
        <v>1</v>
      </c>
      <c r="I278">
        <v>3892.76</v>
      </c>
      <c r="J278">
        <v>3</v>
      </c>
      <c r="K278" s="2">
        <v>9.74E-2</v>
      </c>
    </row>
    <row r="279" spans="1:11" x14ac:dyDescent="0.35">
      <c r="A279" t="s">
        <v>26</v>
      </c>
      <c r="B279" t="s">
        <v>68</v>
      </c>
      <c r="C279" s="1">
        <v>45597</v>
      </c>
      <c r="D279">
        <v>26</v>
      </c>
      <c r="E279">
        <v>17</v>
      </c>
      <c r="F279">
        <v>504.54</v>
      </c>
      <c r="G279">
        <v>8</v>
      </c>
      <c r="H279" s="2">
        <v>0.47058823529411764</v>
      </c>
      <c r="I279">
        <v>3359.77</v>
      </c>
      <c r="J279">
        <v>2</v>
      </c>
      <c r="K279" s="2">
        <v>3.2000000000000001E-2</v>
      </c>
    </row>
    <row r="280" spans="1:11" x14ac:dyDescent="0.35">
      <c r="A280" t="s">
        <v>27</v>
      </c>
      <c r="B280" t="s">
        <v>68</v>
      </c>
      <c r="C280" s="1">
        <v>45597</v>
      </c>
      <c r="D280">
        <v>96</v>
      </c>
      <c r="E280">
        <v>16</v>
      </c>
      <c r="F280">
        <v>161.69</v>
      </c>
      <c r="G280">
        <v>5</v>
      </c>
      <c r="H280" s="2">
        <v>0.3125</v>
      </c>
      <c r="I280">
        <v>392.05</v>
      </c>
      <c r="J280">
        <v>1</v>
      </c>
      <c r="K280" s="2">
        <v>9.5700000000000007E-2</v>
      </c>
    </row>
    <row r="281" spans="1:11" x14ac:dyDescent="0.35">
      <c r="A281" t="s">
        <v>28</v>
      </c>
      <c r="B281" t="s">
        <v>68</v>
      </c>
      <c r="C281" s="1">
        <v>45597</v>
      </c>
      <c r="D281">
        <v>72</v>
      </c>
      <c r="E281">
        <v>12</v>
      </c>
      <c r="F281">
        <v>474.28</v>
      </c>
      <c r="G281">
        <v>1</v>
      </c>
      <c r="H281" s="2">
        <v>8.3333333333333329E-2</v>
      </c>
      <c r="I281">
        <v>1097.5999999999999</v>
      </c>
      <c r="J281">
        <v>3</v>
      </c>
      <c r="K281" s="2">
        <v>1E-3</v>
      </c>
    </row>
    <row r="282" spans="1:11" x14ac:dyDescent="0.35">
      <c r="A282" t="s">
        <v>29</v>
      </c>
      <c r="B282" t="s">
        <v>68</v>
      </c>
      <c r="C282" s="1">
        <v>45597</v>
      </c>
      <c r="D282">
        <v>18</v>
      </c>
      <c r="E282">
        <v>15</v>
      </c>
      <c r="F282">
        <v>268.94</v>
      </c>
      <c r="G282">
        <v>1</v>
      </c>
      <c r="H282" s="2">
        <v>6.6666666666666666E-2</v>
      </c>
      <c r="I282">
        <v>1469.71</v>
      </c>
      <c r="J282">
        <v>2</v>
      </c>
      <c r="K282" s="2">
        <v>5.0900000000000001E-2</v>
      </c>
    </row>
    <row r="283" spans="1:11" x14ac:dyDescent="0.35">
      <c r="A283" t="s">
        <v>30</v>
      </c>
      <c r="B283" t="s">
        <v>68</v>
      </c>
      <c r="C283" s="1">
        <v>45597</v>
      </c>
      <c r="D283">
        <v>87</v>
      </c>
      <c r="E283">
        <v>5</v>
      </c>
      <c r="F283">
        <v>601.28</v>
      </c>
      <c r="G283">
        <v>2</v>
      </c>
      <c r="H283" s="2">
        <v>0.4</v>
      </c>
      <c r="I283">
        <v>3491.19</v>
      </c>
      <c r="J283">
        <v>1</v>
      </c>
      <c r="K283" s="2">
        <v>2.9700000000000001E-2</v>
      </c>
    </row>
    <row r="284" spans="1:11" x14ac:dyDescent="0.35">
      <c r="A284" t="s">
        <v>31</v>
      </c>
      <c r="B284" t="s">
        <v>68</v>
      </c>
      <c r="C284" s="1">
        <v>45597</v>
      </c>
      <c r="D284">
        <v>73</v>
      </c>
      <c r="E284">
        <v>8</v>
      </c>
      <c r="F284">
        <v>182.48</v>
      </c>
      <c r="G284">
        <v>8</v>
      </c>
      <c r="H284" s="2">
        <v>1</v>
      </c>
      <c r="I284">
        <v>548.46</v>
      </c>
      <c r="J284">
        <v>1</v>
      </c>
      <c r="K284" s="2">
        <v>8.8200000000000001E-2</v>
      </c>
    </row>
    <row r="285" spans="1:11" x14ac:dyDescent="0.35">
      <c r="A285" t="s">
        <v>32</v>
      </c>
      <c r="B285" t="s">
        <v>68</v>
      </c>
      <c r="C285" s="1">
        <v>45597</v>
      </c>
      <c r="D285">
        <v>97</v>
      </c>
      <c r="E285">
        <v>14</v>
      </c>
      <c r="F285">
        <v>368.16</v>
      </c>
      <c r="G285">
        <v>0</v>
      </c>
      <c r="H285" s="2">
        <v>0</v>
      </c>
      <c r="I285">
        <v>3020.19</v>
      </c>
      <c r="J285">
        <v>3</v>
      </c>
      <c r="K285" s="2">
        <v>2.5099999999999997E-2</v>
      </c>
    </row>
    <row r="286" spans="1:11" x14ac:dyDescent="0.35">
      <c r="A286" t="s">
        <v>33</v>
      </c>
      <c r="B286" t="s">
        <v>68</v>
      </c>
      <c r="C286" s="1">
        <v>45597</v>
      </c>
      <c r="D286">
        <v>28</v>
      </c>
      <c r="E286">
        <v>12</v>
      </c>
      <c r="F286">
        <v>565.51</v>
      </c>
      <c r="G286">
        <v>4</v>
      </c>
      <c r="H286" s="2">
        <v>0.33333333333333331</v>
      </c>
      <c r="I286">
        <v>231.16</v>
      </c>
      <c r="J286">
        <v>2</v>
      </c>
      <c r="K286" s="2">
        <v>6.2699999999999992E-2</v>
      </c>
    </row>
    <row r="287" spans="1:11" x14ac:dyDescent="0.35">
      <c r="A287" t="s">
        <v>34</v>
      </c>
      <c r="B287" t="s">
        <v>68</v>
      </c>
      <c r="C287" s="1">
        <v>45597</v>
      </c>
      <c r="D287">
        <v>41</v>
      </c>
      <c r="E287">
        <v>13</v>
      </c>
      <c r="F287">
        <v>370.44</v>
      </c>
      <c r="G287">
        <v>9</v>
      </c>
      <c r="H287" s="2">
        <v>0.69230769230769229</v>
      </c>
      <c r="I287">
        <v>4484.96</v>
      </c>
      <c r="J287">
        <v>1</v>
      </c>
      <c r="K287" s="2">
        <v>8.5199999999999998E-2</v>
      </c>
    </row>
    <row r="288" spans="1:11" x14ac:dyDescent="0.35">
      <c r="A288" t="s">
        <v>9</v>
      </c>
      <c r="B288" t="s">
        <v>68</v>
      </c>
      <c r="C288" s="1">
        <v>45627</v>
      </c>
      <c r="D288">
        <v>61</v>
      </c>
      <c r="E288">
        <v>13</v>
      </c>
      <c r="F288">
        <v>356.61</v>
      </c>
      <c r="G288">
        <v>7</v>
      </c>
      <c r="H288" s="2">
        <f t="shared" ref="H288:H313" si="0">G288/E288</f>
        <v>0.53846153846153844</v>
      </c>
      <c r="I288">
        <v>4099.6400000000003</v>
      </c>
      <c r="J288">
        <v>3</v>
      </c>
      <c r="K288" s="2">
        <v>2.9600000000000001E-2</v>
      </c>
    </row>
    <row r="289" spans="1:11" x14ac:dyDescent="0.35">
      <c r="A289" t="s">
        <v>10</v>
      </c>
      <c r="B289" t="s">
        <v>68</v>
      </c>
      <c r="C289" s="1">
        <v>45627</v>
      </c>
      <c r="D289">
        <v>80</v>
      </c>
      <c r="E289">
        <v>13</v>
      </c>
      <c r="F289">
        <v>369.46</v>
      </c>
      <c r="G289">
        <v>4</v>
      </c>
      <c r="H289" s="2">
        <f t="shared" si="0"/>
        <v>0.30769230769230771</v>
      </c>
      <c r="I289">
        <v>3996.04</v>
      </c>
      <c r="J289">
        <v>2</v>
      </c>
      <c r="K289" s="2">
        <v>3.7499999999999999E-2</v>
      </c>
    </row>
    <row r="290" spans="1:11" x14ac:dyDescent="0.35">
      <c r="A290" t="s">
        <v>11</v>
      </c>
      <c r="B290" t="s">
        <v>68</v>
      </c>
      <c r="C290" s="1">
        <v>45627</v>
      </c>
      <c r="D290">
        <v>51</v>
      </c>
      <c r="E290">
        <v>14</v>
      </c>
      <c r="F290">
        <v>419.93</v>
      </c>
      <c r="G290">
        <v>2</v>
      </c>
      <c r="H290" s="2">
        <f t="shared" si="0"/>
        <v>0.14285714285714285</v>
      </c>
      <c r="I290">
        <v>3543.6</v>
      </c>
      <c r="J290">
        <v>1</v>
      </c>
      <c r="K290" s="2">
        <v>4.6300000000000001E-2</v>
      </c>
    </row>
    <row r="291" spans="1:11" x14ac:dyDescent="0.35">
      <c r="A291" t="s">
        <v>12</v>
      </c>
      <c r="B291" t="s">
        <v>68</v>
      </c>
      <c r="C291" s="1">
        <v>45627</v>
      </c>
      <c r="D291">
        <v>20</v>
      </c>
      <c r="E291">
        <v>5</v>
      </c>
      <c r="F291">
        <v>71.41</v>
      </c>
      <c r="G291">
        <v>3</v>
      </c>
      <c r="H291" s="2">
        <f t="shared" si="0"/>
        <v>0.6</v>
      </c>
      <c r="I291">
        <v>1527.27</v>
      </c>
      <c r="J291">
        <v>3</v>
      </c>
      <c r="K291" s="2">
        <v>2.7000000000000003E-2</v>
      </c>
    </row>
    <row r="292" spans="1:11" x14ac:dyDescent="0.35">
      <c r="A292" t="s">
        <v>13</v>
      </c>
      <c r="B292" t="s">
        <v>68</v>
      </c>
      <c r="C292" s="1">
        <v>45627</v>
      </c>
      <c r="D292">
        <v>101</v>
      </c>
      <c r="E292">
        <v>14</v>
      </c>
      <c r="F292">
        <v>503.93</v>
      </c>
      <c r="G292">
        <v>5</v>
      </c>
      <c r="H292" s="2">
        <f t="shared" si="0"/>
        <v>0.35714285714285715</v>
      </c>
      <c r="I292">
        <v>1116.6099999999999</v>
      </c>
      <c r="J292">
        <v>2</v>
      </c>
      <c r="K292" s="2">
        <v>3.7000000000000005E-2</v>
      </c>
    </row>
    <row r="293" spans="1:11" x14ac:dyDescent="0.35">
      <c r="A293" t="s">
        <v>14</v>
      </c>
      <c r="B293" t="s">
        <v>68</v>
      </c>
      <c r="C293" s="1">
        <v>45627</v>
      </c>
      <c r="D293">
        <v>70</v>
      </c>
      <c r="E293">
        <v>6</v>
      </c>
      <c r="F293">
        <v>488.97</v>
      </c>
      <c r="G293">
        <v>3</v>
      </c>
      <c r="H293" s="2">
        <f t="shared" si="0"/>
        <v>0.5</v>
      </c>
      <c r="I293">
        <v>3767.09</v>
      </c>
      <c r="J293">
        <v>1</v>
      </c>
      <c r="K293" s="2">
        <v>1.0800000000000001E-2</v>
      </c>
    </row>
    <row r="294" spans="1:11" x14ac:dyDescent="0.35">
      <c r="A294" t="s">
        <v>15</v>
      </c>
      <c r="B294" t="s">
        <v>68</v>
      </c>
      <c r="C294" s="1">
        <v>45627</v>
      </c>
      <c r="D294">
        <v>84</v>
      </c>
      <c r="E294">
        <v>19</v>
      </c>
      <c r="F294">
        <v>301.2</v>
      </c>
      <c r="G294">
        <v>2</v>
      </c>
      <c r="H294" s="2">
        <f t="shared" si="0"/>
        <v>0.10526315789473684</v>
      </c>
      <c r="I294">
        <v>2608.4699999999998</v>
      </c>
      <c r="J294">
        <v>3</v>
      </c>
      <c r="K294" s="2">
        <v>0.1032</v>
      </c>
    </row>
    <row r="295" spans="1:11" x14ac:dyDescent="0.35">
      <c r="A295" t="s">
        <v>16</v>
      </c>
      <c r="B295" t="s">
        <v>68</v>
      </c>
      <c r="C295" s="1">
        <v>45627</v>
      </c>
      <c r="D295">
        <v>50</v>
      </c>
      <c r="E295">
        <v>6</v>
      </c>
      <c r="F295">
        <v>219.19</v>
      </c>
      <c r="G295">
        <v>4</v>
      </c>
      <c r="H295" s="2">
        <f t="shared" si="0"/>
        <v>0.66666666666666663</v>
      </c>
      <c r="I295">
        <v>3836.95</v>
      </c>
      <c r="J295">
        <v>2</v>
      </c>
      <c r="K295" s="2">
        <v>3.8699999999999998E-2</v>
      </c>
    </row>
    <row r="296" spans="1:11" x14ac:dyDescent="0.35">
      <c r="A296" t="s">
        <v>17</v>
      </c>
      <c r="B296" t="s">
        <v>68</v>
      </c>
      <c r="C296" s="1">
        <v>45627</v>
      </c>
      <c r="D296">
        <v>28</v>
      </c>
      <c r="E296">
        <v>19</v>
      </c>
      <c r="F296">
        <v>352.06</v>
      </c>
      <c r="G296">
        <v>9</v>
      </c>
      <c r="H296" s="2">
        <f t="shared" si="0"/>
        <v>0.47368421052631576</v>
      </c>
      <c r="I296">
        <v>1107.51</v>
      </c>
      <c r="J296">
        <v>3</v>
      </c>
      <c r="K296" s="2">
        <v>5.5E-2</v>
      </c>
    </row>
    <row r="297" spans="1:11" x14ac:dyDescent="0.35">
      <c r="A297" t="s">
        <v>18</v>
      </c>
      <c r="B297" t="s">
        <v>68</v>
      </c>
      <c r="C297" s="1">
        <v>45627</v>
      </c>
      <c r="D297">
        <v>69</v>
      </c>
      <c r="E297">
        <v>16</v>
      </c>
      <c r="F297">
        <v>337.7</v>
      </c>
      <c r="G297">
        <v>9</v>
      </c>
      <c r="H297" s="2">
        <f t="shared" si="0"/>
        <v>0.5625</v>
      </c>
      <c r="I297">
        <v>947.47</v>
      </c>
      <c r="J297">
        <v>2</v>
      </c>
      <c r="K297" s="2">
        <v>3.56E-2</v>
      </c>
    </row>
    <row r="298" spans="1:11" x14ac:dyDescent="0.35">
      <c r="A298" t="s">
        <v>19</v>
      </c>
      <c r="B298" t="s">
        <v>68</v>
      </c>
      <c r="C298" s="1">
        <v>45627</v>
      </c>
      <c r="D298">
        <v>18</v>
      </c>
      <c r="E298">
        <v>6</v>
      </c>
      <c r="F298">
        <v>212.39</v>
      </c>
      <c r="G298">
        <v>3</v>
      </c>
      <c r="H298" s="2">
        <f t="shared" si="0"/>
        <v>0.5</v>
      </c>
      <c r="I298">
        <v>730.81</v>
      </c>
      <c r="J298">
        <v>1</v>
      </c>
      <c r="K298" s="2">
        <v>8.6699999999999999E-2</v>
      </c>
    </row>
    <row r="299" spans="1:11" x14ac:dyDescent="0.35">
      <c r="A299" t="s">
        <v>20</v>
      </c>
      <c r="B299" t="s">
        <v>68</v>
      </c>
      <c r="C299" s="1">
        <v>45627</v>
      </c>
      <c r="D299">
        <v>40</v>
      </c>
      <c r="E299">
        <v>7</v>
      </c>
      <c r="F299">
        <v>486.93</v>
      </c>
      <c r="G299">
        <v>7</v>
      </c>
      <c r="H299" s="2">
        <f t="shared" si="0"/>
        <v>1</v>
      </c>
      <c r="I299">
        <v>3643.63</v>
      </c>
      <c r="J299">
        <v>3</v>
      </c>
      <c r="K299" s="2">
        <v>4.0199999999999993E-2</v>
      </c>
    </row>
    <row r="300" spans="1:11" x14ac:dyDescent="0.35">
      <c r="A300" t="s">
        <v>21</v>
      </c>
      <c r="B300" t="s">
        <v>68</v>
      </c>
      <c r="C300" s="1">
        <v>45627</v>
      </c>
      <c r="D300">
        <v>77</v>
      </c>
      <c r="E300">
        <v>16</v>
      </c>
      <c r="F300">
        <v>539.26</v>
      </c>
      <c r="G300">
        <v>3</v>
      </c>
      <c r="H300" s="2">
        <f t="shared" si="0"/>
        <v>0.1875</v>
      </c>
      <c r="I300">
        <v>379.83</v>
      </c>
      <c r="J300">
        <v>2</v>
      </c>
      <c r="K300" s="2">
        <v>3.7999999999999999E-2</v>
      </c>
    </row>
    <row r="301" spans="1:11" x14ac:dyDescent="0.35">
      <c r="A301" t="s">
        <v>22</v>
      </c>
      <c r="B301" t="s">
        <v>68</v>
      </c>
      <c r="C301" s="1">
        <v>45627</v>
      </c>
      <c r="D301">
        <v>31</v>
      </c>
      <c r="E301">
        <v>6</v>
      </c>
      <c r="F301">
        <v>191.66</v>
      </c>
      <c r="G301">
        <v>2</v>
      </c>
      <c r="H301" s="2">
        <f t="shared" si="0"/>
        <v>0.33333333333333331</v>
      </c>
      <c r="I301">
        <v>3753.06</v>
      </c>
      <c r="J301">
        <v>1</v>
      </c>
      <c r="K301" s="2">
        <v>3.8300000000000001E-2</v>
      </c>
    </row>
    <row r="302" spans="1:11" x14ac:dyDescent="0.35">
      <c r="A302" t="s">
        <v>23</v>
      </c>
      <c r="B302" t="s">
        <v>68</v>
      </c>
      <c r="C302" s="1">
        <v>45627</v>
      </c>
      <c r="D302">
        <v>57</v>
      </c>
      <c r="E302">
        <v>7</v>
      </c>
      <c r="F302">
        <v>190.08</v>
      </c>
      <c r="G302">
        <v>2</v>
      </c>
      <c r="H302" s="2">
        <f t="shared" si="0"/>
        <v>0.2857142857142857</v>
      </c>
      <c r="I302">
        <v>649.97</v>
      </c>
      <c r="J302">
        <v>3</v>
      </c>
      <c r="K302" s="2">
        <v>2.8799999999999999E-2</v>
      </c>
    </row>
    <row r="303" spans="1:11" x14ac:dyDescent="0.35">
      <c r="A303" t="s">
        <v>24</v>
      </c>
      <c r="B303" t="s">
        <v>68</v>
      </c>
      <c r="C303" s="1">
        <v>45627</v>
      </c>
      <c r="D303">
        <v>88</v>
      </c>
      <c r="E303">
        <v>5</v>
      </c>
      <c r="F303">
        <v>168.89</v>
      </c>
      <c r="G303">
        <v>3</v>
      </c>
      <c r="H303" s="2">
        <f t="shared" si="0"/>
        <v>0.6</v>
      </c>
      <c r="I303">
        <v>1153.93</v>
      </c>
      <c r="J303">
        <v>2</v>
      </c>
      <c r="K303" s="2">
        <v>8.2500000000000004E-2</v>
      </c>
    </row>
    <row r="304" spans="1:11" x14ac:dyDescent="0.35">
      <c r="A304" t="s">
        <v>25</v>
      </c>
      <c r="B304" t="s">
        <v>68</v>
      </c>
      <c r="C304" s="1">
        <v>45627</v>
      </c>
      <c r="D304">
        <v>74</v>
      </c>
      <c r="E304">
        <v>6</v>
      </c>
      <c r="F304">
        <v>87.83</v>
      </c>
      <c r="G304">
        <v>6</v>
      </c>
      <c r="H304" s="2">
        <f t="shared" si="0"/>
        <v>1</v>
      </c>
      <c r="I304">
        <v>3741.27</v>
      </c>
      <c r="J304">
        <v>1</v>
      </c>
      <c r="K304" s="2">
        <v>9.9700000000000011E-2</v>
      </c>
    </row>
    <row r="305" spans="1:11" x14ac:dyDescent="0.35">
      <c r="A305" t="s">
        <v>26</v>
      </c>
      <c r="B305" t="s">
        <v>68</v>
      </c>
      <c r="C305" s="1">
        <v>45627</v>
      </c>
      <c r="D305">
        <v>26</v>
      </c>
      <c r="E305">
        <v>13</v>
      </c>
      <c r="F305">
        <v>543.15</v>
      </c>
      <c r="G305">
        <v>6</v>
      </c>
      <c r="H305" s="2">
        <f t="shared" si="0"/>
        <v>0.46153846153846156</v>
      </c>
      <c r="I305">
        <v>3793.56</v>
      </c>
      <c r="J305">
        <v>3</v>
      </c>
      <c r="K305" s="2">
        <v>3.56E-2</v>
      </c>
    </row>
    <row r="306" spans="1:11" x14ac:dyDescent="0.35">
      <c r="A306" t="s">
        <v>27</v>
      </c>
      <c r="B306" t="s">
        <v>68</v>
      </c>
      <c r="C306" s="1">
        <v>45627</v>
      </c>
      <c r="D306">
        <v>99</v>
      </c>
      <c r="E306">
        <v>15</v>
      </c>
      <c r="F306">
        <v>181.12</v>
      </c>
      <c r="G306">
        <v>5</v>
      </c>
      <c r="H306" s="2">
        <f t="shared" si="0"/>
        <v>0.33333333333333331</v>
      </c>
      <c r="I306">
        <v>454.09</v>
      </c>
      <c r="J306">
        <v>2</v>
      </c>
      <c r="K306" s="2">
        <v>9.3599999999999989E-2</v>
      </c>
    </row>
    <row r="307" spans="1:11" x14ac:dyDescent="0.35">
      <c r="A307" t="s">
        <v>28</v>
      </c>
      <c r="B307" t="s">
        <v>68</v>
      </c>
      <c r="C307" s="1">
        <v>45627</v>
      </c>
      <c r="D307">
        <v>74</v>
      </c>
      <c r="E307">
        <v>14</v>
      </c>
      <c r="F307">
        <v>508.85</v>
      </c>
      <c r="G307">
        <v>1</v>
      </c>
      <c r="H307" s="2">
        <f t="shared" si="0"/>
        <v>7.1428571428571425E-2</v>
      </c>
      <c r="I307">
        <v>1182.6300000000001</v>
      </c>
      <c r="J307">
        <v>1</v>
      </c>
      <c r="K307" s="2">
        <v>8.9999999999999998E-4</v>
      </c>
    </row>
    <row r="308" spans="1:11" x14ac:dyDescent="0.35">
      <c r="A308" t="s">
        <v>29</v>
      </c>
      <c r="B308" t="s">
        <v>68</v>
      </c>
      <c r="C308" s="1">
        <v>45627</v>
      </c>
      <c r="D308">
        <v>21</v>
      </c>
      <c r="E308">
        <v>17</v>
      </c>
      <c r="F308">
        <v>297.83999999999997</v>
      </c>
      <c r="G308">
        <v>1</v>
      </c>
      <c r="H308" s="2">
        <f t="shared" si="0"/>
        <v>5.8823529411764705E-2</v>
      </c>
      <c r="I308">
        <v>1553.7</v>
      </c>
      <c r="J308">
        <v>1</v>
      </c>
      <c r="K308" s="2">
        <v>5.0700000000000002E-2</v>
      </c>
    </row>
    <row r="309" spans="1:11" x14ac:dyDescent="0.35">
      <c r="A309" t="s">
        <v>30</v>
      </c>
      <c r="B309" t="s">
        <v>68</v>
      </c>
      <c r="C309" s="1">
        <v>45627</v>
      </c>
      <c r="D309">
        <v>94</v>
      </c>
      <c r="E309">
        <v>6</v>
      </c>
      <c r="F309">
        <v>537.26</v>
      </c>
      <c r="G309">
        <v>1</v>
      </c>
      <c r="H309" s="2">
        <f t="shared" si="0"/>
        <v>0.16666666666666666</v>
      </c>
      <c r="I309">
        <v>3665.55</v>
      </c>
      <c r="J309">
        <v>3</v>
      </c>
      <c r="K309" s="2">
        <v>3.0800000000000001E-2</v>
      </c>
    </row>
    <row r="310" spans="1:11" x14ac:dyDescent="0.35">
      <c r="A310" t="s">
        <v>31</v>
      </c>
      <c r="B310" t="s">
        <v>68</v>
      </c>
      <c r="C310" s="1">
        <v>45627</v>
      </c>
      <c r="D310">
        <v>83</v>
      </c>
      <c r="E310">
        <v>9</v>
      </c>
      <c r="F310">
        <v>188.49</v>
      </c>
      <c r="G310">
        <v>7</v>
      </c>
      <c r="H310" s="2">
        <f t="shared" si="0"/>
        <v>0.77777777777777779</v>
      </c>
      <c r="I310">
        <v>545.09</v>
      </c>
      <c r="J310">
        <v>2</v>
      </c>
      <c r="K310" s="2">
        <v>8.5600000000000009E-2</v>
      </c>
    </row>
    <row r="311" spans="1:11" x14ac:dyDescent="0.35">
      <c r="A311" t="s">
        <v>32</v>
      </c>
      <c r="B311" t="s">
        <v>68</v>
      </c>
      <c r="C311" s="1">
        <v>45627</v>
      </c>
      <c r="D311">
        <v>84</v>
      </c>
      <c r="E311">
        <v>14</v>
      </c>
      <c r="F311">
        <v>370.36</v>
      </c>
      <c r="G311">
        <v>0</v>
      </c>
      <c r="H311" s="2">
        <f t="shared" si="0"/>
        <v>0</v>
      </c>
      <c r="I311">
        <v>2605.02</v>
      </c>
      <c r="J311">
        <v>1</v>
      </c>
      <c r="K311" s="2">
        <v>2.5499999999999998E-2</v>
      </c>
    </row>
    <row r="312" spans="1:11" x14ac:dyDescent="0.35">
      <c r="A312" t="s">
        <v>33</v>
      </c>
      <c r="B312" t="s">
        <v>68</v>
      </c>
      <c r="C312" s="1">
        <v>45627</v>
      </c>
      <c r="D312">
        <v>32</v>
      </c>
      <c r="E312">
        <v>10</v>
      </c>
      <c r="F312">
        <v>500.83</v>
      </c>
      <c r="G312">
        <v>4</v>
      </c>
      <c r="H312" s="2">
        <f t="shared" si="0"/>
        <v>0.4</v>
      </c>
      <c r="I312">
        <v>239.13</v>
      </c>
      <c r="J312">
        <v>3</v>
      </c>
      <c r="K312" s="2">
        <v>6.1900000000000004E-2</v>
      </c>
    </row>
    <row r="313" spans="1:11" x14ac:dyDescent="0.35">
      <c r="A313" t="s">
        <v>34</v>
      </c>
      <c r="B313" t="s">
        <v>68</v>
      </c>
      <c r="C313" s="1">
        <v>45627</v>
      </c>
      <c r="D313">
        <v>39</v>
      </c>
      <c r="E313">
        <v>15</v>
      </c>
      <c r="F313">
        <v>319.08999999999997</v>
      </c>
      <c r="G313">
        <v>7</v>
      </c>
      <c r="H313" s="2">
        <f t="shared" si="0"/>
        <v>0.46666666666666667</v>
      </c>
      <c r="I313">
        <v>4573.5</v>
      </c>
      <c r="J313">
        <v>2</v>
      </c>
      <c r="K313" s="2">
        <v>8.0399999999999985E-2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A737B-B1E3-4976-A8C9-A274C1E2340F}">
  <dimension ref="B1:H36"/>
  <sheetViews>
    <sheetView zoomScale="95" zoomScaleNormal="95" workbookViewId="0">
      <selection activeCell="F26" sqref="F26"/>
    </sheetView>
  </sheetViews>
  <sheetFormatPr defaultRowHeight="14.5" x14ac:dyDescent="0.35"/>
  <cols>
    <col min="1" max="1" width="2.1796875" style="15" customWidth="1"/>
    <col min="2" max="3" width="8.7265625" style="15"/>
    <col min="4" max="4" width="10.36328125" style="15" bestFit="1" customWidth="1"/>
    <col min="5" max="5" width="10" style="15" bestFit="1" customWidth="1"/>
    <col min="6" max="6" width="13.26953125" style="15" bestFit="1" customWidth="1"/>
    <col min="7" max="7" width="12.36328125" style="15" bestFit="1" customWidth="1"/>
    <col min="8" max="8" width="12.81640625" style="15" bestFit="1" customWidth="1"/>
    <col min="9" max="9" width="0.81640625" style="15" customWidth="1"/>
    <col min="10" max="10" width="1.7265625" style="15" customWidth="1"/>
    <col min="11" max="16384" width="8.7265625" style="15"/>
  </cols>
  <sheetData>
    <row r="1" spans="2:8" s="20" customFormat="1" x14ac:dyDescent="0.35"/>
    <row r="2" spans="2:8" s="20" customFormat="1" ht="28.5" x14ac:dyDescent="0.35">
      <c r="B2" s="22" t="s">
        <v>35</v>
      </c>
    </row>
    <row r="3" spans="2:8" s="20" customFormat="1" x14ac:dyDescent="0.35">
      <c r="B3" s="21" t="s">
        <v>73</v>
      </c>
    </row>
    <row r="4" spans="2:8" s="20" customFormat="1" x14ac:dyDescent="0.35"/>
    <row r="5" spans="2:8" s="20" customFormat="1" x14ac:dyDescent="0.35"/>
    <row r="6" spans="2:8" s="20" customFormat="1" x14ac:dyDescent="0.35"/>
    <row r="7" spans="2:8" s="20" customFormat="1" x14ac:dyDescent="0.35"/>
    <row r="8" spans="2:8" s="20" customFormat="1" x14ac:dyDescent="0.35"/>
    <row r="9" spans="2:8" x14ac:dyDescent="0.35">
      <c r="D9" s="15" t="s">
        <v>0</v>
      </c>
      <c r="E9" s="15" t="s">
        <v>43</v>
      </c>
      <c r="F9" s="15" t="s">
        <v>44</v>
      </c>
      <c r="G9" s="15" t="s">
        <v>45</v>
      </c>
      <c r="H9" s="15" t="s">
        <v>46</v>
      </c>
    </row>
    <row r="10" spans="2:8" x14ac:dyDescent="0.35">
      <c r="D10" s="23" t="s">
        <v>34</v>
      </c>
      <c r="E10" s="27">
        <v>453</v>
      </c>
      <c r="F10" s="27">
        <v>184</v>
      </c>
      <c r="G10" s="27">
        <v>92</v>
      </c>
      <c r="H10" s="24">
        <v>50524.4</v>
      </c>
    </row>
    <row r="11" spans="2:8" x14ac:dyDescent="0.35">
      <c r="D11" s="23" t="s">
        <v>16</v>
      </c>
      <c r="E11" s="27">
        <v>660</v>
      </c>
      <c r="F11" s="27">
        <v>92</v>
      </c>
      <c r="G11" s="27">
        <v>71</v>
      </c>
      <c r="H11" s="24">
        <v>49072.98</v>
      </c>
    </row>
    <row r="12" spans="2:8" x14ac:dyDescent="0.35">
      <c r="D12" s="23" t="s">
        <v>9</v>
      </c>
      <c r="E12" s="27">
        <v>783</v>
      </c>
      <c r="F12" s="27">
        <v>181</v>
      </c>
      <c r="G12" s="27">
        <v>77</v>
      </c>
      <c r="H12" s="24">
        <v>49041</v>
      </c>
    </row>
    <row r="13" spans="2:8" x14ac:dyDescent="0.35">
      <c r="D13" s="23" t="s">
        <v>22</v>
      </c>
      <c r="E13" s="27">
        <v>379</v>
      </c>
      <c r="F13" s="27">
        <v>87</v>
      </c>
      <c r="G13" s="27">
        <v>18</v>
      </c>
      <c r="H13" s="24">
        <v>45591.429999999993</v>
      </c>
    </row>
    <row r="14" spans="2:8" x14ac:dyDescent="0.35">
      <c r="D14" s="23" t="s">
        <v>25</v>
      </c>
      <c r="E14" s="27">
        <v>1023</v>
      </c>
      <c r="F14" s="27">
        <v>76</v>
      </c>
      <c r="G14" s="27">
        <v>64</v>
      </c>
      <c r="H14" s="24">
        <v>45365.2</v>
      </c>
    </row>
    <row r="15" spans="2:8" x14ac:dyDescent="0.35">
      <c r="D15" s="23" t="s">
        <v>10</v>
      </c>
      <c r="E15" s="27">
        <v>907</v>
      </c>
      <c r="F15" s="27">
        <v>141</v>
      </c>
      <c r="G15" s="27">
        <v>53</v>
      </c>
      <c r="H15" s="24">
        <v>45196.26</v>
      </c>
    </row>
    <row r="16" spans="2:8" x14ac:dyDescent="0.35">
      <c r="D16" s="23" t="s">
        <v>26</v>
      </c>
      <c r="E16" s="27">
        <v>288</v>
      </c>
      <c r="F16" s="27">
        <v>180</v>
      </c>
      <c r="G16" s="27">
        <v>81</v>
      </c>
      <c r="H16" s="24">
        <v>44979.729999999996</v>
      </c>
    </row>
    <row r="17" spans="4:8" x14ac:dyDescent="0.35">
      <c r="D17" s="23" t="s">
        <v>20</v>
      </c>
      <c r="E17" s="27">
        <v>420</v>
      </c>
      <c r="F17" s="27">
        <v>74</v>
      </c>
      <c r="G17" s="27">
        <v>59</v>
      </c>
      <c r="H17" s="24">
        <v>44146.13</v>
      </c>
    </row>
    <row r="18" spans="4:8" x14ac:dyDescent="0.35">
      <c r="D18" s="23" t="s">
        <v>14</v>
      </c>
      <c r="E18" s="27">
        <v>731</v>
      </c>
      <c r="F18" s="27">
        <v>79</v>
      </c>
      <c r="G18" s="27">
        <v>31</v>
      </c>
      <c r="H18" s="24">
        <v>43859.520000000004</v>
      </c>
    </row>
    <row r="19" spans="4:8" x14ac:dyDescent="0.35">
      <c r="D19" s="23" t="s">
        <v>11</v>
      </c>
      <c r="E19" s="27">
        <v>617</v>
      </c>
      <c r="F19" s="27">
        <v>177</v>
      </c>
      <c r="G19" s="27">
        <v>28</v>
      </c>
      <c r="H19" s="24">
        <v>42137.53</v>
      </c>
    </row>
    <row r="20" spans="4:8" x14ac:dyDescent="0.35">
      <c r="D20" s="23" t="s">
        <v>30</v>
      </c>
      <c r="E20" s="27">
        <v>1151</v>
      </c>
      <c r="F20" s="27">
        <v>69</v>
      </c>
      <c r="G20" s="27">
        <v>18</v>
      </c>
      <c r="H20" s="24">
        <v>41544.150000000009</v>
      </c>
    </row>
    <row r="21" spans="4:8" x14ac:dyDescent="0.35">
      <c r="D21" s="23" t="s">
        <v>32</v>
      </c>
      <c r="E21" s="27">
        <v>1180</v>
      </c>
      <c r="F21" s="27">
        <v>173</v>
      </c>
      <c r="G21" s="27">
        <v>4</v>
      </c>
      <c r="H21" s="24">
        <v>34781.939999999995</v>
      </c>
    </row>
    <row r="22" spans="4:8" x14ac:dyDescent="0.35">
      <c r="D22" s="23" t="s">
        <v>15</v>
      </c>
      <c r="E22" s="27">
        <v>924</v>
      </c>
      <c r="F22" s="27">
        <v>218</v>
      </c>
      <c r="G22" s="27">
        <v>30</v>
      </c>
      <c r="H22" s="24">
        <v>29842.950000000004</v>
      </c>
    </row>
    <row r="23" spans="4:8" x14ac:dyDescent="0.35">
      <c r="D23" s="23" t="s">
        <v>29</v>
      </c>
      <c r="E23" s="27">
        <v>246</v>
      </c>
      <c r="F23" s="27">
        <v>172</v>
      </c>
      <c r="G23" s="27">
        <v>17</v>
      </c>
      <c r="H23" s="24">
        <v>18659.18</v>
      </c>
    </row>
    <row r="24" spans="4:8" x14ac:dyDescent="0.35">
      <c r="D24" s="23" t="s">
        <v>12</v>
      </c>
      <c r="E24" s="27">
        <v>241</v>
      </c>
      <c r="F24" s="27">
        <v>80</v>
      </c>
      <c r="G24" s="27">
        <v>40</v>
      </c>
      <c r="H24" s="24">
        <v>18368.47</v>
      </c>
    </row>
    <row r="25" spans="4:8" x14ac:dyDescent="0.35">
      <c r="D25" s="23" t="s">
        <v>24</v>
      </c>
      <c r="E25" s="27">
        <v>1119</v>
      </c>
      <c r="F25" s="27">
        <v>61</v>
      </c>
      <c r="G25" s="27">
        <v>40</v>
      </c>
      <c r="H25" s="24">
        <v>14672.969999999998</v>
      </c>
    </row>
    <row r="26" spans="4:8" x14ac:dyDescent="0.35">
      <c r="D26" s="23" t="s">
        <v>28</v>
      </c>
      <c r="E26" s="27">
        <v>831</v>
      </c>
      <c r="F26" s="27">
        <v>154</v>
      </c>
      <c r="G26" s="27">
        <v>4</v>
      </c>
      <c r="H26" s="24">
        <v>14526.439999999999</v>
      </c>
    </row>
    <row r="27" spans="4:8" x14ac:dyDescent="0.35">
      <c r="D27" s="23" t="s">
        <v>17</v>
      </c>
      <c r="E27" s="27">
        <v>367</v>
      </c>
      <c r="F27" s="27">
        <v>217</v>
      </c>
      <c r="G27" s="27">
        <v>103</v>
      </c>
      <c r="H27" s="24">
        <v>14209.390000000001</v>
      </c>
    </row>
    <row r="28" spans="4:8" x14ac:dyDescent="0.35">
      <c r="D28" s="23" t="s">
        <v>13</v>
      </c>
      <c r="E28" s="27">
        <v>977</v>
      </c>
      <c r="F28" s="27">
        <v>166</v>
      </c>
      <c r="G28" s="27">
        <v>55</v>
      </c>
      <c r="H28" s="24">
        <v>12143.710000000001</v>
      </c>
    </row>
    <row r="29" spans="4:8" x14ac:dyDescent="0.35">
      <c r="D29" s="23" t="s">
        <v>18</v>
      </c>
      <c r="E29" s="27">
        <v>806</v>
      </c>
      <c r="F29" s="27">
        <v>184</v>
      </c>
      <c r="G29" s="27">
        <v>100</v>
      </c>
      <c r="H29" s="24">
        <v>12040.489999999998</v>
      </c>
    </row>
    <row r="30" spans="4:8" x14ac:dyDescent="0.35">
      <c r="D30" s="23" t="s">
        <v>19</v>
      </c>
      <c r="E30" s="27">
        <v>226</v>
      </c>
      <c r="F30" s="27">
        <v>91</v>
      </c>
      <c r="G30" s="27">
        <v>73</v>
      </c>
      <c r="H30" s="24">
        <v>9402.9399999999987</v>
      </c>
    </row>
    <row r="31" spans="4:8" x14ac:dyDescent="0.35">
      <c r="D31" s="23" t="s">
        <v>23</v>
      </c>
      <c r="E31" s="27">
        <v>747</v>
      </c>
      <c r="F31" s="27">
        <v>97</v>
      </c>
      <c r="G31" s="27">
        <v>31</v>
      </c>
      <c r="H31" s="24">
        <v>7844.18</v>
      </c>
    </row>
    <row r="32" spans="4:8" x14ac:dyDescent="0.35">
      <c r="D32" s="23" t="s">
        <v>31</v>
      </c>
      <c r="E32" s="27">
        <v>848</v>
      </c>
      <c r="F32" s="27">
        <v>99</v>
      </c>
      <c r="G32" s="27">
        <v>84</v>
      </c>
      <c r="H32" s="24">
        <v>6133.4100000000008</v>
      </c>
    </row>
    <row r="33" spans="4:8" x14ac:dyDescent="0.35">
      <c r="D33" s="23" t="s">
        <v>27</v>
      </c>
      <c r="E33" s="27">
        <v>1087</v>
      </c>
      <c r="F33" s="27">
        <v>212</v>
      </c>
      <c r="G33" s="27">
        <v>54</v>
      </c>
      <c r="H33" s="24">
        <v>5002.7100000000009</v>
      </c>
    </row>
    <row r="34" spans="4:8" x14ac:dyDescent="0.35">
      <c r="D34" s="23" t="s">
        <v>21</v>
      </c>
      <c r="E34" s="27">
        <v>882</v>
      </c>
      <c r="F34" s="27">
        <v>225</v>
      </c>
      <c r="G34" s="27">
        <v>30</v>
      </c>
      <c r="H34" s="24">
        <v>4278.2</v>
      </c>
    </row>
    <row r="35" spans="4:8" x14ac:dyDescent="0.35">
      <c r="D35" s="23" t="s">
        <v>33</v>
      </c>
      <c r="E35" s="27">
        <v>407</v>
      </c>
      <c r="F35" s="27">
        <v>130</v>
      </c>
      <c r="G35" s="27">
        <v>52</v>
      </c>
      <c r="H35" s="24">
        <v>2829.58</v>
      </c>
    </row>
    <row r="36" spans="4:8" x14ac:dyDescent="0.35">
      <c r="D36" s="23" t="s">
        <v>37</v>
      </c>
      <c r="E36" s="27">
        <v>18300</v>
      </c>
      <c r="F36" s="27">
        <v>3619</v>
      </c>
      <c r="G36" s="27">
        <v>1309</v>
      </c>
      <c r="H36" s="27">
        <v>706194.8899999999</v>
      </c>
    </row>
  </sheetData>
  <conditionalFormatting pivot="1" sqref="F10:F35">
    <cfRule type="dataBar" priority="6">
      <dataBar>
        <cfvo type="min"/>
        <cfvo type="max"/>
        <color rgb="FF638EC6"/>
      </dataBar>
      <extLst>
        <ext xmlns:x14="http://schemas.microsoft.com/office/spreadsheetml/2009/9/main" uri="{B025F937-C7B1-47D3-B67F-A62EFF666E3E}">
          <x14:id>{C3F5E343-A0D2-430C-9FA5-E4375BEB0BA3}</x14:id>
        </ext>
      </extLst>
    </cfRule>
  </conditionalFormatting>
  <conditionalFormatting pivot="1" sqref="E10:E35">
    <cfRule type="dataBar" priority="5">
      <dataBar>
        <cfvo type="min"/>
        <cfvo type="max"/>
        <color rgb="FFFFFF66"/>
      </dataBar>
      <extLst>
        <ext xmlns:x14="http://schemas.microsoft.com/office/spreadsheetml/2009/9/main" uri="{B025F937-C7B1-47D3-B67F-A62EFF666E3E}">
          <x14:id>{846C80FF-7C80-4583-BA1C-B587EFCFA569}</x14:id>
        </ext>
      </extLst>
    </cfRule>
  </conditionalFormatting>
  <conditionalFormatting pivot="1" sqref="G10:G35">
    <cfRule type="dataBar" priority="2">
      <dataBar>
        <cfvo type="min"/>
        <cfvo type="max"/>
        <color rgb="FF7030A0"/>
      </dataBar>
      <extLst>
        <ext xmlns:x14="http://schemas.microsoft.com/office/spreadsheetml/2009/9/main" uri="{B025F937-C7B1-47D3-B67F-A62EFF666E3E}">
          <x14:id>{1E41335D-64ED-4167-BF10-1A47F564FDBB}</x14:id>
        </ext>
      </extLst>
    </cfRule>
  </conditionalFormatting>
  <conditionalFormatting pivot="1" sqref="H10:H35">
    <cfRule type="dataBar" priority="1">
      <dataBar>
        <cfvo type="min"/>
        <cfvo type="max"/>
        <color rgb="FF7030A0"/>
      </dataBar>
      <extLst>
        <ext xmlns:x14="http://schemas.microsoft.com/office/spreadsheetml/2009/9/main" uri="{B025F937-C7B1-47D3-B67F-A62EFF666E3E}">
          <x14:id>{D2063A1C-1837-493E-B5DF-9225727D774F}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3F5E343-A0D2-430C-9FA5-E4375BEB0BA3}">
            <x14:dataBar minLength="0" maxLength="100">
              <x14:cfvo type="autoMin"/>
              <x14:cfvo type="autoMax"/>
              <x14:negativeFillColor rgb="FFFF0000"/>
              <x14:axisColor rgb="FF000000"/>
            </x14:dataBar>
          </x14:cfRule>
          <xm:sqref>F10:F35</xm:sqref>
        </x14:conditionalFormatting>
        <x14:conditionalFormatting xmlns:xm="http://schemas.microsoft.com/office/excel/2006/main" pivot="1">
          <x14:cfRule type="dataBar" id="{846C80FF-7C80-4583-BA1C-B587EFCFA569}">
            <x14:dataBar minLength="0" maxLength="100">
              <x14:cfvo type="autoMin"/>
              <x14:cfvo type="autoMax"/>
              <x14:negativeFillColor rgb="FFFF0000"/>
              <x14:axisColor rgb="FF000000"/>
            </x14:dataBar>
          </x14:cfRule>
          <xm:sqref>E10:E35</xm:sqref>
        </x14:conditionalFormatting>
        <x14:conditionalFormatting xmlns:xm="http://schemas.microsoft.com/office/excel/2006/main" pivot="1">
          <x14:cfRule type="dataBar" id="{1E41335D-64ED-4167-BF10-1A47F564FDBB}">
            <x14:dataBar minLength="0" maxLength="100">
              <x14:cfvo type="autoMin"/>
              <x14:cfvo type="autoMax"/>
              <x14:negativeFillColor rgb="FFFF0000"/>
              <x14:axisColor rgb="FF000000"/>
            </x14:dataBar>
          </x14:cfRule>
          <xm:sqref>G10:G35</xm:sqref>
        </x14:conditionalFormatting>
        <x14:conditionalFormatting xmlns:xm="http://schemas.microsoft.com/office/excel/2006/main" pivot="1">
          <x14:cfRule type="dataBar" id="{D2063A1C-1837-493E-B5DF-9225727D774F}">
            <x14:dataBar minLength="0" maxLength="100">
              <x14:cfvo type="autoMin"/>
              <x14:cfvo type="autoMax"/>
              <x14:negativeFillColor rgb="FFFF0000"/>
              <x14:axisColor rgb="FF000000"/>
            </x14:dataBar>
          </x14:cfRule>
          <xm:sqref>H10:H35</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CBFD2-1E7D-455C-B1AF-DC631BFBFC3D}">
  <dimension ref="A3:H23"/>
  <sheetViews>
    <sheetView zoomScale="120" zoomScaleNormal="120" workbookViewId="0">
      <selection activeCell="A26" sqref="A26"/>
    </sheetView>
  </sheetViews>
  <sheetFormatPr defaultRowHeight="14.5" x14ac:dyDescent="0.35"/>
  <cols>
    <col min="1" max="1" width="18.36328125" bestFit="1" customWidth="1"/>
    <col min="2" max="2" width="9.6328125" bestFit="1" customWidth="1"/>
    <col min="3" max="3" width="18.08984375" bestFit="1" customWidth="1"/>
    <col min="4" max="4" width="9.6328125" bestFit="1" customWidth="1"/>
    <col min="5" max="5" width="20.81640625" bestFit="1" customWidth="1"/>
    <col min="7" max="7" width="9.6328125" bestFit="1" customWidth="1"/>
    <col min="8" max="8" width="20.1796875" bestFit="1" customWidth="1"/>
  </cols>
  <sheetData>
    <row r="3" spans="1:5" x14ac:dyDescent="0.35">
      <c r="A3" s="6" t="s">
        <v>42</v>
      </c>
      <c r="D3" s="6" t="s">
        <v>59</v>
      </c>
      <c r="E3" t="s">
        <v>41</v>
      </c>
    </row>
    <row r="4" spans="1:5" x14ac:dyDescent="0.35">
      <c r="A4" s="7" t="s">
        <v>38</v>
      </c>
      <c r="B4" s="9">
        <v>18300</v>
      </c>
      <c r="D4" t="s">
        <v>47</v>
      </c>
      <c r="E4" s="11">
        <v>57863.17</v>
      </c>
    </row>
    <row r="5" spans="1:5" x14ac:dyDescent="0.35">
      <c r="A5" s="7" t="s">
        <v>39</v>
      </c>
      <c r="B5" s="9">
        <v>3619</v>
      </c>
      <c r="D5" t="s">
        <v>48</v>
      </c>
      <c r="E5" s="11">
        <v>59230.42</v>
      </c>
    </row>
    <row r="6" spans="1:5" x14ac:dyDescent="0.35">
      <c r="A6" s="7" t="s">
        <v>40</v>
      </c>
      <c r="B6" s="9">
        <v>1309</v>
      </c>
      <c r="D6" t="s">
        <v>49</v>
      </c>
      <c r="E6" s="11">
        <v>60127</v>
      </c>
    </row>
    <row r="7" spans="1:5" x14ac:dyDescent="0.35">
      <c r="A7" s="7" t="s">
        <v>41</v>
      </c>
      <c r="B7" s="11">
        <v>706194.88999999966</v>
      </c>
      <c r="D7" t="s">
        <v>50</v>
      </c>
      <c r="E7" s="11">
        <v>58604.41</v>
      </c>
    </row>
    <row r="8" spans="1:5" x14ac:dyDescent="0.35">
      <c r="D8" t="s">
        <v>51</v>
      </c>
      <c r="E8" s="11">
        <v>58564.01999999999</v>
      </c>
    </row>
    <row r="9" spans="1:5" x14ac:dyDescent="0.35">
      <c r="D9" t="s">
        <v>52</v>
      </c>
      <c r="E9" s="11">
        <v>58260.729999999996</v>
      </c>
    </row>
    <row r="10" spans="1:5" x14ac:dyDescent="0.35">
      <c r="D10" t="s">
        <v>53</v>
      </c>
      <c r="E10" s="11">
        <v>58845.83</v>
      </c>
    </row>
    <row r="11" spans="1:5" x14ac:dyDescent="0.35">
      <c r="D11" t="s">
        <v>54</v>
      </c>
      <c r="E11" s="11">
        <v>58668.120000000017</v>
      </c>
    </row>
    <row r="12" spans="1:5" x14ac:dyDescent="0.35">
      <c r="D12" t="s">
        <v>55</v>
      </c>
      <c r="E12" s="11">
        <v>59025.210000000006</v>
      </c>
    </row>
    <row r="13" spans="1:5" x14ac:dyDescent="0.35">
      <c r="D13" t="s">
        <v>56</v>
      </c>
      <c r="E13" s="11">
        <v>58653.95</v>
      </c>
    </row>
    <row r="14" spans="1:5" x14ac:dyDescent="0.35">
      <c r="D14" t="s">
        <v>57</v>
      </c>
      <c r="E14" s="11">
        <v>59136.610000000008</v>
      </c>
    </row>
    <row r="15" spans="1:5" x14ac:dyDescent="0.35">
      <c r="D15" t="s">
        <v>58</v>
      </c>
      <c r="E15" s="11">
        <v>59215.419999999984</v>
      </c>
    </row>
    <row r="18" spans="4:8" x14ac:dyDescent="0.35">
      <c r="D18" s="6" t="s">
        <v>62</v>
      </c>
      <c r="E18" t="s">
        <v>72</v>
      </c>
    </row>
    <row r="19" spans="4:8" x14ac:dyDescent="0.35">
      <c r="D19" t="s">
        <v>68</v>
      </c>
      <c r="E19" s="18">
        <v>1.9830508474576272</v>
      </c>
      <c r="G19" t="str">
        <f t="shared" ref="G19:G23" si="0">D19</f>
        <v>Barisal</v>
      </c>
      <c r="H19" s="25">
        <f t="shared" ref="H19:H23" si="1">E19</f>
        <v>1.9830508474576272</v>
      </c>
    </row>
    <row r="20" spans="4:8" x14ac:dyDescent="0.35">
      <c r="D20" t="s">
        <v>67</v>
      </c>
      <c r="E20" s="18">
        <v>1.9767441860465116</v>
      </c>
      <c r="G20" t="str">
        <f t="shared" si="0"/>
        <v>Chittagong</v>
      </c>
      <c r="H20" s="25">
        <f t="shared" si="1"/>
        <v>1.9767441860465116</v>
      </c>
    </row>
    <row r="21" spans="4:8" x14ac:dyDescent="0.35">
      <c r="D21" t="s">
        <v>64</v>
      </c>
      <c r="E21" s="18">
        <v>2</v>
      </c>
      <c r="G21" t="str">
        <f t="shared" si="0"/>
        <v>Dhaka</v>
      </c>
      <c r="H21" s="25">
        <f t="shared" si="1"/>
        <v>2</v>
      </c>
    </row>
    <row r="22" spans="4:8" x14ac:dyDescent="0.35">
      <c r="D22" t="s">
        <v>65</v>
      </c>
      <c r="E22" s="18">
        <v>1.9787234042553192</v>
      </c>
      <c r="G22" t="str">
        <f t="shared" si="0"/>
        <v>Rangpur</v>
      </c>
      <c r="H22" s="25">
        <f t="shared" si="1"/>
        <v>1.9787234042553192</v>
      </c>
    </row>
    <row r="23" spans="4:8" x14ac:dyDescent="0.35">
      <c r="D23" t="s">
        <v>66</v>
      </c>
      <c r="E23" s="18">
        <v>1.9545454545454546</v>
      </c>
      <c r="G23" t="str">
        <f t="shared" si="0"/>
        <v>Sylhet</v>
      </c>
      <c r="H23" s="25">
        <f t="shared" si="1"/>
        <v>1.9545454545454546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ABD7-3D01-43A9-B66D-9D8B61EE4989}">
  <dimension ref="B1:H36"/>
  <sheetViews>
    <sheetView showGridLines="0" zoomScale="88" zoomScaleNormal="88" workbookViewId="0">
      <selection activeCell="B2" sqref="B2"/>
    </sheetView>
  </sheetViews>
  <sheetFormatPr defaultRowHeight="14.5" x14ac:dyDescent="0.35"/>
  <cols>
    <col min="1" max="1" width="4.36328125" customWidth="1"/>
    <col min="2" max="2" width="6.81640625" customWidth="1"/>
    <col min="3" max="3" width="9.7265625" customWidth="1"/>
    <col min="4" max="4" width="10.36328125" bestFit="1" customWidth="1"/>
    <col min="5" max="5" width="9.90625" bestFit="1" customWidth="1"/>
    <col min="6" max="6" width="13.26953125" bestFit="1" customWidth="1"/>
    <col min="7" max="7" width="12.08984375" bestFit="1" customWidth="1"/>
    <col min="8" max="8" width="12.7265625" bestFit="1" customWidth="1"/>
    <col min="12" max="12" width="8.7265625" customWidth="1"/>
  </cols>
  <sheetData>
    <row r="1" spans="2:8" s="3" customFormat="1" x14ac:dyDescent="0.35"/>
    <row r="2" spans="2:8" s="3" customFormat="1" ht="47.5" x14ac:dyDescent="1.1000000000000001">
      <c r="B2" s="4" t="s">
        <v>35</v>
      </c>
    </row>
    <row r="3" spans="2:8" s="3" customFormat="1" ht="18.5" x14ac:dyDescent="0.45">
      <c r="B3" s="5" t="s">
        <v>36</v>
      </c>
    </row>
    <row r="4" spans="2:8" s="3" customFormat="1" x14ac:dyDescent="0.35"/>
    <row r="5" spans="2:8" s="3" customFormat="1" x14ac:dyDescent="0.35"/>
    <row r="6" spans="2:8" s="3" customFormat="1" x14ac:dyDescent="0.35"/>
    <row r="7" spans="2:8" s="3" customFormat="1" x14ac:dyDescent="0.35"/>
    <row r="8" spans="2:8" s="3" customFormat="1" x14ac:dyDescent="0.35"/>
    <row r="9" spans="2:8" x14ac:dyDescent="0.35">
      <c r="D9" s="12" t="s">
        <v>0</v>
      </c>
      <c r="E9" s="12" t="s">
        <v>43</v>
      </c>
      <c r="F9" s="12" t="s">
        <v>44</v>
      </c>
      <c r="G9" s="12" t="s">
        <v>45</v>
      </c>
      <c r="H9" s="12" t="s">
        <v>46</v>
      </c>
    </row>
    <row r="10" spans="2:8" x14ac:dyDescent="0.35">
      <c r="D10" s="7" t="s">
        <v>34</v>
      </c>
      <c r="E10">
        <v>453</v>
      </c>
      <c r="F10">
        <v>184</v>
      </c>
      <c r="G10">
        <v>92</v>
      </c>
      <c r="H10" s="11">
        <v>50524.4</v>
      </c>
    </row>
    <row r="11" spans="2:8" x14ac:dyDescent="0.35">
      <c r="D11" s="7" t="s">
        <v>16</v>
      </c>
      <c r="E11">
        <v>660</v>
      </c>
      <c r="F11">
        <v>92</v>
      </c>
      <c r="G11">
        <v>71</v>
      </c>
      <c r="H11" s="11">
        <v>49072.98</v>
      </c>
    </row>
    <row r="12" spans="2:8" x14ac:dyDescent="0.35">
      <c r="D12" s="7" t="s">
        <v>9</v>
      </c>
      <c r="E12">
        <v>783</v>
      </c>
      <c r="F12">
        <v>181</v>
      </c>
      <c r="G12">
        <v>77</v>
      </c>
      <c r="H12" s="11">
        <v>49041</v>
      </c>
    </row>
    <row r="13" spans="2:8" x14ac:dyDescent="0.35">
      <c r="D13" s="7" t="s">
        <v>22</v>
      </c>
      <c r="E13">
        <v>379</v>
      </c>
      <c r="F13">
        <v>87</v>
      </c>
      <c r="G13">
        <v>18</v>
      </c>
      <c r="H13" s="11">
        <v>45591.429999999993</v>
      </c>
    </row>
    <row r="14" spans="2:8" x14ac:dyDescent="0.35">
      <c r="D14" s="7" t="s">
        <v>25</v>
      </c>
      <c r="E14">
        <v>1023</v>
      </c>
      <c r="F14">
        <v>76</v>
      </c>
      <c r="G14">
        <v>64</v>
      </c>
      <c r="H14" s="11">
        <v>45365.2</v>
      </c>
    </row>
    <row r="15" spans="2:8" x14ac:dyDescent="0.35">
      <c r="D15" s="7" t="s">
        <v>10</v>
      </c>
      <c r="E15">
        <v>907</v>
      </c>
      <c r="F15">
        <v>141</v>
      </c>
      <c r="G15">
        <v>53</v>
      </c>
      <c r="H15" s="11">
        <v>45196.26</v>
      </c>
    </row>
    <row r="16" spans="2:8" x14ac:dyDescent="0.35">
      <c r="D16" s="7" t="s">
        <v>26</v>
      </c>
      <c r="E16">
        <v>288</v>
      </c>
      <c r="F16">
        <v>180</v>
      </c>
      <c r="G16">
        <v>81</v>
      </c>
      <c r="H16" s="11">
        <v>44979.729999999996</v>
      </c>
    </row>
    <row r="17" spans="4:8" x14ac:dyDescent="0.35">
      <c r="D17" s="7" t="s">
        <v>20</v>
      </c>
      <c r="E17">
        <v>420</v>
      </c>
      <c r="F17">
        <v>74</v>
      </c>
      <c r="G17">
        <v>59</v>
      </c>
      <c r="H17" s="11">
        <v>44146.13</v>
      </c>
    </row>
    <row r="18" spans="4:8" x14ac:dyDescent="0.35">
      <c r="D18" s="7" t="s">
        <v>14</v>
      </c>
      <c r="E18">
        <v>731</v>
      </c>
      <c r="F18">
        <v>79</v>
      </c>
      <c r="G18">
        <v>31</v>
      </c>
      <c r="H18" s="11">
        <v>43859.520000000004</v>
      </c>
    </row>
    <row r="19" spans="4:8" x14ac:dyDescent="0.35">
      <c r="D19" s="7" t="s">
        <v>11</v>
      </c>
      <c r="E19">
        <v>617</v>
      </c>
      <c r="F19">
        <v>177</v>
      </c>
      <c r="G19">
        <v>28</v>
      </c>
      <c r="H19" s="11">
        <v>42137.53</v>
      </c>
    </row>
    <row r="20" spans="4:8" x14ac:dyDescent="0.35">
      <c r="D20" s="7" t="s">
        <v>30</v>
      </c>
      <c r="E20">
        <v>1151</v>
      </c>
      <c r="F20">
        <v>69</v>
      </c>
      <c r="G20">
        <v>18</v>
      </c>
      <c r="H20" s="11">
        <v>41544.150000000009</v>
      </c>
    </row>
    <row r="21" spans="4:8" x14ac:dyDescent="0.35">
      <c r="D21" s="7" t="s">
        <v>32</v>
      </c>
      <c r="E21">
        <v>1180</v>
      </c>
      <c r="F21">
        <v>173</v>
      </c>
      <c r="G21">
        <v>4</v>
      </c>
      <c r="H21" s="11">
        <v>34781.939999999995</v>
      </c>
    </row>
    <row r="22" spans="4:8" x14ac:dyDescent="0.35">
      <c r="D22" s="7" t="s">
        <v>15</v>
      </c>
      <c r="E22">
        <v>924</v>
      </c>
      <c r="F22">
        <v>218</v>
      </c>
      <c r="G22">
        <v>30</v>
      </c>
      <c r="H22" s="11">
        <v>29842.950000000004</v>
      </c>
    </row>
    <row r="23" spans="4:8" x14ac:dyDescent="0.35">
      <c r="D23" s="7" t="s">
        <v>29</v>
      </c>
      <c r="E23">
        <v>246</v>
      </c>
      <c r="F23">
        <v>172</v>
      </c>
      <c r="G23">
        <v>17</v>
      </c>
      <c r="H23" s="11">
        <v>18659.18</v>
      </c>
    </row>
    <row r="24" spans="4:8" x14ac:dyDescent="0.35">
      <c r="D24" s="7" t="s">
        <v>12</v>
      </c>
      <c r="E24">
        <v>241</v>
      </c>
      <c r="F24">
        <v>80</v>
      </c>
      <c r="G24">
        <v>40</v>
      </c>
      <c r="H24" s="11">
        <v>18368.47</v>
      </c>
    </row>
    <row r="25" spans="4:8" x14ac:dyDescent="0.35">
      <c r="D25" s="7" t="s">
        <v>24</v>
      </c>
      <c r="E25">
        <v>1119</v>
      </c>
      <c r="F25">
        <v>61</v>
      </c>
      <c r="G25">
        <v>40</v>
      </c>
      <c r="H25" s="11">
        <v>14672.969999999998</v>
      </c>
    </row>
    <row r="26" spans="4:8" x14ac:dyDescent="0.35">
      <c r="D26" s="7" t="s">
        <v>28</v>
      </c>
      <c r="E26">
        <v>831</v>
      </c>
      <c r="F26">
        <v>154</v>
      </c>
      <c r="G26">
        <v>4</v>
      </c>
      <c r="H26" s="11">
        <v>14526.439999999999</v>
      </c>
    </row>
    <row r="27" spans="4:8" x14ac:dyDescent="0.35">
      <c r="D27" s="7" t="s">
        <v>17</v>
      </c>
      <c r="E27">
        <v>367</v>
      </c>
      <c r="F27">
        <v>217</v>
      </c>
      <c r="G27">
        <v>103</v>
      </c>
      <c r="H27" s="11">
        <v>14209.390000000001</v>
      </c>
    </row>
    <row r="28" spans="4:8" x14ac:dyDescent="0.35">
      <c r="D28" s="7" t="s">
        <v>13</v>
      </c>
      <c r="E28">
        <v>977</v>
      </c>
      <c r="F28">
        <v>166</v>
      </c>
      <c r="G28">
        <v>55</v>
      </c>
      <c r="H28" s="11">
        <v>12143.710000000001</v>
      </c>
    </row>
    <row r="29" spans="4:8" x14ac:dyDescent="0.35">
      <c r="D29" s="7" t="s">
        <v>18</v>
      </c>
      <c r="E29">
        <v>806</v>
      </c>
      <c r="F29">
        <v>184</v>
      </c>
      <c r="G29">
        <v>100</v>
      </c>
      <c r="H29" s="11">
        <v>12040.489999999998</v>
      </c>
    </row>
    <row r="30" spans="4:8" x14ac:dyDescent="0.35">
      <c r="D30" s="7" t="s">
        <v>19</v>
      </c>
      <c r="E30">
        <v>226</v>
      </c>
      <c r="F30">
        <v>91</v>
      </c>
      <c r="G30">
        <v>73</v>
      </c>
      <c r="H30" s="11">
        <v>9402.9399999999987</v>
      </c>
    </row>
    <row r="31" spans="4:8" x14ac:dyDescent="0.35">
      <c r="D31" s="7" t="s">
        <v>23</v>
      </c>
      <c r="E31">
        <v>747</v>
      </c>
      <c r="F31">
        <v>97</v>
      </c>
      <c r="G31">
        <v>31</v>
      </c>
      <c r="H31" s="11">
        <v>7844.18</v>
      </c>
    </row>
    <row r="32" spans="4:8" x14ac:dyDescent="0.35">
      <c r="D32" s="7" t="s">
        <v>31</v>
      </c>
      <c r="E32">
        <v>848</v>
      </c>
      <c r="F32">
        <v>99</v>
      </c>
      <c r="G32">
        <v>84</v>
      </c>
      <c r="H32" s="11">
        <v>6133.4100000000008</v>
      </c>
    </row>
    <row r="33" spans="4:8" x14ac:dyDescent="0.35">
      <c r="D33" s="7" t="s">
        <v>27</v>
      </c>
      <c r="E33">
        <v>1087</v>
      </c>
      <c r="F33">
        <v>212</v>
      </c>
      <c r="G33">
        <v>54</v>
      </c>
      <c r="H33" s="11">
        <v>5002.7100000000009</v>
      </c>
    </row>
    <row r="34" spans="4:8" x14ac:dyDescent="0.35">
      <c r="D34" s="7" t="s">
        <v>21</v>
      </c>
      <c r="E34">
        <v>882</v>
      </c>
      <c r="F34">
        <v>225</v>
      </c>
      <c r="G34">
        <v>30</v>
      </c>
      <c r="H34" s="11">
        <v>4278.2</v>
      </c>
    </row>
    <row r="35" spans="4:8" x14ac:dyDescent="0.35">
      <c r="D35" s="7" t="s">
        <v>33</v>
      </c>
      <c r="E35">
        <v>407</v>
      </c>
      <c r="F35">
        <v>130</v>
      </c>
      <c r="G35">
        <v>52</v>
      </c>
      <c r="H35" s="11">
        <v>2829.58</v>
      </c>
    </row>
    <row r="36" spans="4:8" x14ac:dyDescent="0.35">
      <c r="D36" s="7" t="s">
        <v>37</v>
      </c>
      <c r="E36">
        <v>18300</v>
      </c>
      <c r="F36">
        <v>3619</v>
      </c>
      <c r="G36">
        <v>1309</v>
      </c>
      <c r="H36">
        <v>706194.8899999999</v>
      </c>
    </row>
  </sheetData>
  <conditionalFormatting pivot="1" sqref="E10:E35">
    <cfRule type="dataBar" priority="4">
      <dataBar>
        <cfvo type="min"/>
        <cfvo type="max"/>
        <color theme="8" tint="0.39997558519241921"/>
      </dataBar>
      <extLst>
        <ext xmlns:x14="http://schemas.microsoft.com/office/spreadsheetml/2009/9/main" uri="{B025F937-C7B1-47D3-B67F-A62EFF666E3E}">
          <x14:id>{CA37C6B1-4BFC-48DE-8AAF-AAEB6CCABADA}</x14:id>
        </ext>
      </extLst>
    </cfRule>
  </conditionalFormatting>
  <conditionalFormatting pivot="1" sqref="F10:F35">
    <cfRule type="dataBar" priority="3">
      <dataBar>
        <cfvo type="min"/>
        <cfvo type="max"/>
        <color theme="8" tint="0.39997558519241921"/>
      </dataBar>
      <extLst>
        <ext xmlns:x14="http://schemas.microsoft.com/office/spreadsheetml/2009/9/main" uri="{B025F937-C7B1-47D3-B67F-A62EFF666E3E}">
          <x14:id>{42B1F6CF-1FFA-47A6-9CA7-FC8BF563A83A}</x14:id>
        </ext>
      </extLst>
    </cfRule>
  </conditionalFormatting>
  <conditionalFormatting pivot="1" sqref="G10:G35">
    <cfRule type="dataBar" priority="2">
      <dataBar>
        <cfvo type="min"/>
        <cfvo type="max"/>
        <color theme="7" tint="0.59999389629810485"/>
      </dataBar>
      <extLst>
        <ext xmlns:x14="http://schemas.microsoft.com/office/spreadsheetml/2009/9/main" uri="{B025F937-C7B1-47D3-B67F-A62EFF666E3E}">
          <x14:id>{971F980C-BAB1-4C1F-8566-5DB8661567B1}</x14:id>
        </ext>
      </extLst>
    </cfRule>
  </conditionalFormatting>
  <conditionalFormatting pivot="1" sqref="H10:H35">
    <cfRule type="dataBar" priority="1">
      <dataBar>
        <cfvo type="min"/>
        <cfvo type="max"/>
        <color theme="4" tint="0.59999389629810485"/>
      </dataBar>
      <extLst>
        <ext xmlns:x14="http://schemas.microsoft.com/office/spreadsheetml/2009/9/main" uri="{B025F937-C7B1-47D3-B67F-A62EFF666E3E}">
          <x14:id>{8C597F82-8AF5-4DC9-BA4E-910B93E7DC76}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A37C6B1-4BFC-48DE-8AAF-AAEB6CCABADA}">
            <x14:dataBar minLength="0" maxLength="100">
              <x14:cfvo type="autoMin"/>
              <x14:cfvo type="autoMax"/>
              <x14:negativeFillColor rgb="FFFF0000"/>
              <x14:axisColor rgb="FF000000"/>
            </x14:dataBar>
          </x14:cfRule>
          <xm:sqref>E10:E35</xm:sqref>
        </x14:conditionalFormatting>
        <x14:conditionalFormatting xmlns:xm="http://schemas.microsoft.com/office/excel/2006/main" pivot="1">
          <x14:cfRule type="dataBar" id="{42B1F6CF-1FFA-47A6-9CA7-FC8BF563A83A}">
            <x14:dataBar minLength="0" maxLength="100">
              <x14:cfvo type="autoMin"/>
              <x14:cfvo type="autoMax"/>
              <x14:negativeFillColor rgb="FFFF0000"/>
              <x14:axisColor rgb="FF000000"/>
            </x14:dataBar>
          </x14:cfRule>
          <xm:sqref>F10:F35</xm:sqref>
        </x14:conditionalFormatting>
        <x14:conditionalFormatting xmlns:xm="http://schemas.microsoft.com/office/excel/2006/main" pivot="1">
          <x14:cfRule type="dataBar" id="{971F980C-BAB1-4C1F-8566-5DB8661567B1}">
            <x14:dataBar minLength="0" maxLength="100">
              <x14:cfvo type="autoMin"/>
              <x14:cfvo type="autoMax"/>
              <x14:negativeFillColor rgb="FFFF0000"/>
              <x14:axisColor rgb="FF000000"/>
            </x14:dataBar>
          </x14:cfRule>
          <xm:sqref>G10:G35</xm:sqref>
        </x14:conditionalFormatting>
        <x14:conditionalFormatting xmlns:xm="http://schemas.microsoft.com/office/excel/2006/main" pivot="1">
          <x14:cfRule type="dataBar" id="{8C597F82-8AF5-4DC9-BA4E-910B93E7DC76}">
            <x14:dataBar minLength="0" maxLength="100">
              <x14:cfvo type="autoMin"/>
              <x14:cfvo type="autoMax"/>
              <x14:negativeFillColor rgb="FFFF0000"/>
              <x14:axisColor rgb="FF000000"/>
            </x14:dataBar>
          </x14:cfRule>
          <xm:sqref>H10:H35</xm:sqref>
        </x14:conditionalFormatting>
      </x14:conditionalFormattings>
    </ex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092A0-9BD1-4365-8CF1-5D6ED6D57B4F}">
  <dimension ref="A1:I313"/>
  <sheetViews>
    <sheetView workbookViewId="0"/>
  </sheetViews>
  <sheetFormatPr defaultRowHeight="14.5" x14ac:dyDescent="0.35"/>
  <cols>
    <col min="1" max="9" width="16" customWidth="1"/>
  </cols>
  <sheetData>
    <row r="1" spans="1:9" x14ac:dyDescent="0.35">
      <c r="A1" t="s">
        <v>0</v>
      </c>
      <c r="B1" s="1" t="s">
        <v>1</v>
      </c>
      <c r="C1" t="s">
        <v>2</v>
      </c>
      <c r="D1" t="s">
        <v>3</v>
      </c>
      <c r="E1" t="s">
        <v>4</v>
      </c>
      <c r="F1" t="s">
        <v>5</v>
      </c>
      <c r="G1" s="2" t="s">
        <v>6</v>
      </c>
      <c r="H1" t="s">
        <v>7</v>
      </c>
      <c r="I1" t="s">
        <v>8</v>
      </c>
    </row>
    <row r="2" spans="1:9" x14ac:dyDescent="0.35">
      <c r="A2" t="s">
        <v>9</v>
      </c>
      <c r="B2" s="1">
        <v>45292</v>
      </c>
      <c r="C2">
        <v>74</v>
      </c>
      <c r="D2">
        <v>12</v>
      </c>
      <c r="E2">
        <v>330.42</v>
      </c>
      <c r="F2">
        <v>7</v>
      </c>
      <c r="G2" s="2">
        <v>0.58333333333333337</v>
      </c>
      <c r="H2">
        <v>4276.3100000000004</v>
      </c>
      <c r="I2" s="2">
        <v>2.9500000000000002E-2</v>
      </c>
    </row>
    <row r="3" spans="1:9" x14ac:dyDescent="0.35">
      <c r="A3" t="s">
        <v>10</v>
      </c>
      <c r="B3" s="1">
        <v>45292</v>
      </c>
      <c r="C3">
        <v>78</v>
      </c>
      <c r="D3">
        <v>12</v>
      </c>
      <c r="E3">
        <v>377.5</v>
      </c>
      <c r="F3">
        <v>4</v>
      </c>
      <c r="G3" s="2">
        <v>0.33333333333333331</v>
      </c>
      <c r="H3">
        <v>3880.98</v>
      </c>
      <c r="I3" s="2">
        <v>4.3400000000000001E-2</v>
      </c>
    </row>
    <row r="4" spans="1:9" x14ac:dyDescent="0.35">
      <c r="A4" t="s">
        <v>11</v>
      </c>
      <c r="B4" s="1">
        <v>45292</v>
      </c>
      <c r="C4">
        <v>47</v>
      </c>
      <c r="D4">
        <v>14</v>
      </c>
      <c r="E4">
        <v>418.92</v>
      </c>
      <c r="F4">
        <v>2</v>
      </c>
      <c r="G4" s="2">
        <v>0.14285714285714285</v>
      </c>
      <c r="H4">
        <v>3716</v>
      </c>
      <c r="I4" s="2">
        <v>4.3899999999999995E-2</v>
      </c>
    </row>
    <row r="5" spans="1:9" x14ac:dyDescent="0.35">
      <c r="A5" t="s">
        <v>12</v>
      </c>
      <c r="B5" s="1">
        <v>45292</v>
      </c>
      <c r="C5">
        <v>24</v>
      </c>
      <c r="D5">
        <v>6</v>
      </c>
      <c r="E5">
        <v>76.930000000000007</v>
      </c>
      <c r="F5">
        <v>4</v>
      </c>
      <c r="G5" s="2">
        <v>0.66666666666666663</v>
      </c>
      <c r="H5">
        <v>1552.35</v>
      </c>
      <c r="I5" s="2">
        <v>3.0800000000000001E-2</v>
      </c>
    </row>
    <row r="6" spans="1:9" x14ac:dyDescent="0.35">
      <c r="A6" t="s">
        <v>13</v>
      </c>
      <c r="B6" s="1">
        <v>45292</v>
      </c>
      <c r="C6">
        <v>81</v>
      </c>
      <c r="D6">
        <v>16</v>
      </c>
      <c r="E6">
        <v>516.23</v>
      </c>
      <c r="F6">
        <v>5</v>
      </c>
      <c r="G6" s="2">
        <v>0.3125</v>
      </c>
      <c r="H6">
        <v>1030.68</v>
      </c>
      <c r="I6" s="2">
        <v>4.1100000000000005E-2</v>
      </c>
    </row>
    <row r="7" spans="1:9" x14ac:dyDescent="0.35">
      <c r="A7" t="s">
        <v>14</v>
      </c>
      <c r="B7" s="1">
        <v>45292</v>
      </c>
      <c r="C7">
        <v>59</v>
      </c>
      <c r="D7">
        <v>5</v>
      </c>
      <c r="E7">
        <v>520.05999999999995</v>
      </c>
      <c r="F7">
        <v>3</v>
      </c>
      <c r="G7" s="2">
        <v>0.6</v>
      </c>
      <c r="H7">
        <v>3546.72</v>
      </c>
      <c r="I7" s="2">
        <v>1.2699999999999999E-2</v>
      </c>
    </row>
    <row r="8" spans="1:9" x14ac:dyDescent="0.35">
      <c r="A8" t="s">
        <v>15</v>
      </c>
      <c r="B8" s="1">
        <v>45292</v>
      </c>
      <c r="C8">
        <v>68</v>
      </c>
      <c r="D8">
        <v>19</v>
      </c>
      <c r="E8">
        <v>290.39</v>
      </c>
      <c r="F8">
        <v>3</v>
      </c>
      <c r="G8" s="2">
        <v>0.15789473684210525</v>
      </c>
      <c r="H8">
        <v>2472.2399999999998</v>
      </c>
      <c r="I8" s="2">
        <v>9.5399999999999985E-2</v>
      </c>
    </row>
    <row r="9" spans="1:9" x14ac:dyDescent="0.35">
      <c r="A9" t="s">
        <v>16</v>
      </c>
      <c r="B9" s="1">
        <v>45292</v>
      </c>
      <c r="C9">
        <v>60</v>
      </c>
      <c r="D9">
        <v>7</v>
      </c>
      <c r="E9">
        <v>251.7</v>
      </c>
      <c r="F9">
        <v>5</v>
      </c>
      <c r="G9" s="2">
        <v>0.7142857142857143</v>
      </c>
      <c r="H9">
        <v>3956.69</v>
      </c>
      <c r="I9" s="2">
        <v>4.1100000000000005E-2</v>
      </c>
    </row>
    <row r="10" spans="1:9" x14ac:dyDescent="0.35">
      <c r="A10" t="s">
        <v>17</v>
      </c>
      <c r="B10" s="1">
        <v>45292</v>
      </c>
      <c r="C10">
        <v>34</v>
      </c>
      <c r="D10">
        <v>21</v>
      </c>
      <c r="E10">
        <v>362.62</v>
      </c>
      <c r="F10">
        <v>9</v>
      </c>
      <c r="G10" s="2">
        <v>0.42857142857142855</v>
      </c>
      <c r="H10">
        <v>1140.08</v>
      </c>
      <c r="I10" s="2">
        <v>5.4600000000000003E-2</v>
      </c>
    </row>
    <row r="11" spans="1:9" x14ac:dyDescent="0.35">
      <c r="A11" t="s">
        <v>18</v>
      </c>
      <c r="B11" s="1">
        <v>45292</v>
      </c>
      <c r="C11">
        <v>59</v>
      </c>
      <c r="D11">
        <v>13</v>
      </c>
      <c r="E11">
        <v>307.49</v>
      </c>
      <c r="F11">
        <v>10</v>
      </c>
      <c r="G11" s="2">
        <v>0.76923076923076927</v>
      </c>
      <c r="H11">
        <v>979.09</v>
      </c>
      <c r="I11" s="2">
        <v>3.27E-2</v>
      </c>
    </row>
    <row r="12" spans="1:9" x14ac:dyDescent="0.35">
      <c r="A12" t="s">
        <v>19</v>
      </c>
      <c r="B12" s="1">
        <v>45292</v>
      </c>
      <c r="C12">
        <v>18</v>
      </c>
      <c r="D12">
        <v>8</v>
      </c>
      <c r="E12">
        <v>206.81</v>
      </c>
      <c r="F12">
        <v>7</v>
      </c>
      <c r="G12" s="2">
        <v>0.875</v>
      </c>
      <c r="H12">
        <v>720.56</v>
      </c>
      <c r="I12" s="2">
        <v>7.8899999999999998E-2</v>
      </c>
    </row>
    <row r="13" spans="1:9" x14ac:dyDescent="0.35">
      <c r="A13" t="s">
        <v>20</v>
      </c>
      <c r="B13" s="1">
        <v>45292</v>
      </c>
      <c r="C13">
        <v>36</v>
      </c>
      <c r="D13">
        <v>6</v>
      </c>
      <c r="E13">
        <v>547.6</v>
      </c>
      <c r="F13">
        <v>5</v>
      </c>
      <c r="G13" s="2">
        <v>0.83333333333333337</v>
      </c>
      <c r="H13">
        <v>3463.18</v>
      </c>
      <c r="I13" s="2">
        <v>3.7599999999999995E-2</v>
      </c>
    </row>
    <row r="14" spans="1:9" x14ac:dyDescent="0.35">
      <c r="A14" t="s">
        <v>21</v>
      </c>
      <c r="B14" s="1">
        <v>45292</v>
      </c>
      <c r="C14">
        <v>67</v>
      </c>
      <c r="D14">
        <v>17</v>
      </c>
      <c r="E14">
        <v>552.54999999999995</v>
      </c>
      <c r="F14">
        <v>2</v>
      </c>
      <c r="G14" s="2">
        <v>0.11764705882352941</v>
      </c>
      <c r="H14">
        <v>330.12</v>
      </c>
      <c r="I14" s="2">
        <v>3.7200000000000004E-2</v>
      </c>
    </row>
    <row r="15" spans="1:9" x14ac:dyDescent="0.35">
      <c r="A15" t="s">
        <v>22</v>
      </c>
      <c r="B15" s="1">
        <v>45292</v>
      </c>
      <c r="C15">
        <v>36</v>
      </c>
      <c r="D15">
        <v>9</v>
      </c>
      <c r="E15">
        <v>216.03</v>
      </c>
      <c r="F15">
        <v>2</v>
      </c>
      <c r="G15" s="2">
        <v>0.22222222222222221</v>
      </c>
      <c r="H15">
        <v>4072.07</v>
      </c>
      <c r="I15" s="2">
        <v>4.1200000000000001E-2</v>
      </c>
    </row>
    <row r="16" spans="1:9" x14ac:dyDescent="0.35">
      <c r="A16" t="s">
        <v>23</v>
      </c>
      <c r="B16" s="1">
        <v>45292</v>
      </c>
      <c r="C16">
        <v>54</v>
      </c>
      <c r="D16">
        <v>10</v>
      </c>
      <c r="E16">
        <v>208.23</v>
      </c>
      <c r="F16">
        <v>3</v>
      </c>
      <c r="G16" s="2">
        <v>0.3</v>
      </c>
      <c r="H16">
        <v>645.83000000000004</v>
      </c>
      <c r="I16" s="2">
        <v>2.7999999999999997E-2</v>
      </c>
    </row>
    <row r="17" spans="1:9" x14ac:dyDescent="0.35">
      <c r="A17" t="s">
        <v>24</v>
      </c>
      <c r="B17" s="1">
        <v>45292</v>
      </c>
      <c r="C17">
        <v>82</v>
      </c>
      <c r="D17">
        <v>4</v>
      </c>
      <c r="E17">
        <v>180.06</v>
      </c>
      <c r="F17">
        <v>4</v>
      </c>
      <c r="G17" s="2">
        <v>1</v>
      </c>
      <c r="H17">
        <v>1207.17</v>
      </c>
      <c r="I17" s="2">
        <v>8.4199999999999997E-2</v>
      </c>
    </row>
    <row r="18" spans="1:9" x14ac:dyDescent="0.35">
      <c r="A18" t="s">
        <v>25</v>
      </c>
      <c r="B18" s="1">
        <v>45292</v>
      </c>
      <c r="C18">
        <v>81</v>
      </c>
      <c r="D18">
        <v>7</v>
      </c>
      <c r="E18">
        <v>82.43</v>
      </c>
      <c r="F18">
        <v>7</v>
      </c>
      <c r="G18" s="2">
        <v>1</v>
      </c>
      <c r="H18">
        <v>3463.96</v>
      </c>
      <c r="I18" s="2">
        <v>8.4900000000000003E-2</v>
      </c>
    </row>
    <row r="19" spans="1:9" x14ac:dyDescent="0.35">
      <c r="A19" t="s">
        <v>26</v>
      </c>
      <c r="B19" s="1">
        <v>45292</v>
      </c>
      <c r="C19">
        <v>31</v>
      </c>
      <c r="D19">
        <v>17</v>
      </c>
      <c r="E19">
        <v>476.95</v>
      </c>
      <c r="F19">
        <v>7</v>
      </c>
      <c r="G19" s="2">
        <v>0.41176470588235292</v>
      </c>
      <c r="H19">
        <v>3945.43</v>
      </c>
      <c r="I19" s="2">
        <v>3.6000000000000004E-2</v>
      </c>
    </row>
    <row r="20" spans="1:9" x14ac:dyDescent="0.35">
      <c r="A20" t="s">
        <v>27</v>
      </c>
      <c r="B20" s="1">
        <v>45292</v>
      </c>
      <c r="C20">
        <v>92</v>
      </c>
      <c r="D20">
        <v>20</v>
      </c>
      <c r="E20">
        <v>161.41999999999999</v>
      </c>
      <c r="F20">
        <v>4</v>
      </c>
      <c r="G20" s="2">
        <v>0.2</v>
      </c>
      <c r="H20">
        <v>425.41</v>
      </c>
      <c r="I20" s="2">
        <v>0.1045</v>
      </c>
    </row>
    <row r="21" spans="1:9" x14ac:dyDescent="0.35">
      <c r="A21" t="s">
        <v>28</v>
      </c>
      <c r="B21" s="1">
        <v>45292</v>
      </c>
      <c r="C21">
        <v>73</v>
      </c>
      <c r="D21">
        <v>12</v>
      </c>
      <c r="E21">
        <v>507.45</v>
      </c>
      <c r="F21">
        <v>0</v>
      </c>
      <c r="G21" s="2">
        <v>0</v>
      </c>
      <c r="H21">
        <v>1123.8399999999999</v>
      </c>
      <c r="I21" s="2">
        <v>8.9999999999999998E-4</v>
      </c>
    </row>
    <row r="22" spans="1:9" x14ac:dyDescent="0.35">
      <c r="A22" t="s">
        <v>29</v>
      </c>
      <c r="B22" s="1">
        <v>45292</v>
      </c>
      <c r="C22">
        <v>25</v>
      </c>
      <c r="D22">
        <v>14</v>
      </c>
      <c r="E22">
        <v>279.95</v>
      </c>
      <c r="F22">
        <v>2</v>
      </c>
      <c r="G22" s="2">
        <v>0.14285714285714285</v>
      </c>
      <c r="H22">
        <v>1432.23</v>
      </c>
      <c r="I22" s="2">
        <v>5.1699999999999996E-2</v>
      </c>
    </row>
    <row r="23" spans="1:9" x14ac:dyDescent="0.35">
      <c r="A23" t="s">
        <v>30</v>
      </c>
      <c r="B23" s="1">
        <v>45292</v>
      </c>
      <c r="C23">
        <v>96</v>
      </c>
      <c r="D23">
        <v>6</v>
      </c>
      <c r="E23">
        <v>532.83000000000004</v>
      </c>
      <c r="F23">
        <v>1</v>
      </c>
      <c r="G23" s="2">
        <v>0.16666666666666666</v>
      </c>
      <c r="H23">
        <v>3173.13</v>
      </c>
      <c r="I23" s="2">
        <v>2.8300000000000002E-2</v>
      </c>
    </row>
    <row r="24" spans="1:9" x14ac:dyDescent="0.35">
      <c r="A24" t="s">
        <v>31</v>
      </c>
      <c r="B24" s="1">
        <v>45292</v>
      </c>
      <c r="C24">
        <v>63</v>
      </c>
      <c r="D24">
        <v>8</v>
      </c>
      <c r="E24">
        <v>170.49</v>
      </c>
      <c r="F24">
        <v>7</v>
      </c>
      <c r="G24" s="2">
        <v>0.875</v>
      </c>
      <c r="H24">
        <v>526.12</v>
      </c>
      <c r="I24" s="2">
        <v>8.3499999999999991E-2</v>
      </c>
    </row>
    <row r="25" spans="1:9" x14ac:dyDescent="0.35">
      <c r="A25" t="s">
        <v>32</v>
      </c>
      <c r="B25" s="1">
        <v>45292</v>
      </c>
      <c r="C25">
        <v>92</v>
      </c>
      <c r="D25">
        <v>13</v>
      </c>
      <c r="E25">
        <v>422.39</v>
      </c>
      <c r="F25">
        <v>1</v>
      </c>
      <c r="G25" s="2">
        <v>7.6923076923076927E-2</v>
      </c>
      <c r="H25">
        <v>2695.84</v>
      </c>
      <c r="I25" s="2">
        <v>2.46E-2</v>
      </c>
    </row>
    <row r="26" spans="1:9" x14ac:dyDescent="0.35">
      <c r="A26" t="s">
        <v>33</v>
      </c>
      <c r="B26" s="1">
        <v>45292</v>
      </c>
      <c r="C26">
        <v>38</v>
      </c>
      <c r="D26">
        <v>10</v>
      </c>
      <c r="E26">
        <v>514.25</v>
      </c>
      <c r="F26">
        <v>4</v>
      </c>
      <c r="G26" s="2">
        <v>0.4</v>
      </c>
      <c r="H26">
        <v>243.62</v>
      </c>
      <c r="I26" s="2">
        <v>6.4399999999999999E-2</v>
      </c>
    </row>
    <row r="27" spans="1:9" x14ac:dyDescent="0.35">
      <c r="A27" t="s">
        <v>34</v>
      </c>
      <c r="B27" s="1">
        <v>45292</v>
      </c>
      <c r="C27">
        <v>43</v>
      </c>
      <c r="D27">
        <v>15</v>
      </c>
      <c r="E27">
        <v>363.48</v>
      </c>
      <c r="F27">
        <v>7</v>
      </c>
      <c r="G27" s="2">
        <v>0.46666666666666667</v>
      </c>
      <c r="H27">
        <v>3843.52</v>
      </c>
      <c r="I27" s="2">
        <v>8.3400000000000002E-2</v>
      </c>
    </row>
    <row r="28" spans="1:9" x14ac:dyDescent="0.35">
      <c r="A28" t="s">
        <v>9</v>
      </c>
      <c r="B28" s="1">
        <v>45323</v>
      </c>
      <c r="C28">
        <v>62</v>
      </c>
      <c r="D28">
        <v>15</v>
      </c>
      <c r="E28">
        <v>361.38</v>
      </c>
      <c r="F28">
        <v>6</v>
      </c>
      <c r="G28" s="2">
        <v>0.4</v>
      </c>
      <c r="H28">
        <v>4195.1400000000003</v>
      </c>
      <c r="I28" s="2">
        <v>2.75E-2</v>
      </c>
    </row>
    <row r="29" spans="1:9" x14ac:dyDescent="0.35">
      <c r="A29" t="s">
        <v>10</v>
      </c>
      <c r="B29" s="1">
        <v>45323</v>
      </c>
      <c r="C29">
        <v>81</v>
      </c>
      <c r="D29">
        <v>14</v>
      </c>
      <c r="E29">
        <v>362.96</v>
      </c>
      <c r="F29">
        <v>5</v>
      </c>
      <c r="G29" s="2">
        <v>0.35714285714285715</v>
      </c>
      <c r="H29">
        <v>3620.19</v>
      </c>
      <c r="I29" s="2">
        <v>4.0800000000000003E-2</v>
      </c>
    </row>
    <row r="30" spans="1:9" x14ac:dyDescent="0.35">
      <c r="A30" t="s">
        <v>11</v>
      </c>
      <c r="B30" s="1">
        <v>45323</v>
      </c>
      <c r="C30">
        <v>52</v>
      </c>
      <c r="D30">
        <v>14</v>
      </c>
      <c r="E30">
        <v>382.59</v>
      </c>
      <c r="F30">
        <v>3</v>
      </c>
      <c r="G30" s="2">
        <v>0.21428571428571427</v>
      </c>
      <c r="H30">
        <v>3394.39</v>
      </c>
      <c r="I30" s="2">
        <v>4.5599999999999995E-2</v>
      </c>
    </row>
    <row r="31" spans="1:9" x14ac:dyDescent="0.35">
      <c r="A31" t="s">
        <v>12</v>
      </c>
      <c r="B31" s="1">
        <v>45323</v>
      </c>
      <c r="C31">
        <v>22</v>
      </c>
      <c r="D31">
        <v>7</v>
      </c>
      <c r="E31">
        <v>79.459999999999994</v>
      </c>
      <c r="F31">
        <v>3</v>
      </c>
      <c r="G31" s="2">
        <v>0.42857142857142855</v>
      </c>
      <c r="H31">
        <v>1638.74</v>
      </c>
      <c r="I31" s="2">
        <v>3.04E-2</v>
      </c>
    </row>
    <row r="32" spans="1:9" x14ac:dyDescent="0.35">
      <c r="A32" t="s">
        <v>13</v>
      </c>
      <c r="B32" s="1">
        <v>45323</v>
      </c>
      <c r="C32">
        <v>93</v>
      </c>
      <c r="D32">
        <v>11</v>
      </c>
      <c r="E32">
        <v>446.3</v>
      </c>
      <c r="F32">
        <v>5</v>
      </c>
      <c r="G32" s="2">
        <v>0.45454545454545453</v>
      </c>
      <c r="H32">
        <v>1057.1400000000001</v>
      </c>
      <c r="I32" s="2">
        <v>3.6900000000000002E-2</v>
      </c>
    </row>
    <row r="33" spans="1:9" x14ac:dyDescent="0.35">
      <c r="A33" t="s">
        <v>14</v>
      </c>
      <c r="B33" s="1">
        <v>45323</v>
      </c>
      <c r="C33">
        <v>65</v>
      </c>
      <c r="D33">
        <v>7</v>
      </c>
      <c r="E33">
        <v>461.67</v>
      </c>
      <c r="F33">
        <v>2</v>
      </c>
      <c r="G33" s="2">
        <v>0.2857142857142857</v>
      </c>
      <c r="H33">
        <v>3486.23</v>
      </c>
      <c r="I33" s="2">
        <v>1.1200000000000002E-2</v>
      </c>
    </row>
    <row r="34" spans="1:9" x14ac:dyDescent="0.35">
      <c r="A34" t="s">
        <v>15</v>
      </c>
      <c r="B34" s="1">
        <v>45323</v>
      </c>
      <c r="C34">
        <v>90</v>
      </c>
      <c r="D34">
        <v>20</v>
      </c>
      <c r="E34">
        <v>328.63</v>
      </c>
      <c r="F34">
        <v>3</v>
      </c>
      <c r="G34" s="2">
        <v>0.15</v>
      </c>
      <c r="H34">
        <v>2662.44</v>
      </c>
      <c r="I34" s="2">
        <v>0.10640000000000001</v>
      </c>
    </row>
    <row r="35" spans="1:9" x14ac:dyDescent="0.35">
      <c r="A35" t="s">
        <v>16</v>
      </c>
      <c r="B35" s="1">
        <v>45323</v>
      </c>
      <c r="C35">
        <v>48</v>
      </c>
      <c r="D35">
        <v>7</v>
      </c>
      <c r="E35">
        <v>247.66</v>
      </c>
      <c r="F35">
        <v>6</v>
      </c>
      <c r="G35" s="2">
        <v>0.8571428571428571</v>
      </c>
      <c r="H35">
        <v>4335.84</v>
      </c>
      <c r="I35" s="2">
        <v>3.9900000000000005E-2</v>
      </c>
    </row>
    <row r="36" spans="1:9" x14ac:dyDescent="0.35">
      <c r="A36" t="s">
        <v>17</v>
      </c>
      <c r="B36" s="1">
        <v>45323</v>
      </c>
      <c r="C36">
        <v>37</v>
      </c>
      <c r="D36">
        <v>17</v>
      </c>
      <c r="E36">
        <v>378.61</v>
      </c>
      <c r="F36">
        <v>10</v>
      </c>
      <c r="G36" s="2">
        <v>0.58823529411764708</v>
      </c>
      <c r="H36">
        <v>1295.07</v>
      </c>
      <c r="I36" s="2">
        <v>5.6299999999999996E-2</v>
      </c>
    </row>
    <row r="37" spans="1:9" x14ac:dyDescent="0.35">
      <c r="A37" t="s">
        <v>18</v>
      </c>
      <c r="B37" s="1">
        <v>45323</v>
      </c>
      <c r="C37">
        <v>68</v>
      </c>
      <c r="D37">
        <v>16</v>
      </c>
      <c r="E37">
        <v>299.58999999999997</v>
      </c>
      <c r="F37">
        <v>9</v>
      </c>
      <c r="G37" s="2">
        <v>0.5625</v>
      </c>
      <c r="H37">
        <v>979.47</v>
      </c>
      <c r="I37" s="2">
        <v>3.6900000000000002E-2</v>
      </c>
    </row>
    <row r="38" spans="1:9" x14ac:dyDescent="0.35">
      <c r="A38" t="s">
        <v>19</v>
      </c>
      <c r="B38" s="1">
        <v>45323</v>
      </c>
      <c r="C38">
        <v>20</v>
      </c>
      <c r="D38">
        <v>9</v>
      </c>
      <c r="E38">
        <v>202.4</v>
      </c>
      <c r="F38">
        <v>7</v>
      </c>
      <c r="G38" s="2">
        <v>0.77777777777777779</v>
      </c>
      <c r="H38">
        <v>732.99</v>
      </c>
      <c r="I38" s="2">
        <v>7.9000000000000001E-2</v>
      </c>
    </row>
    <row r="39" spans="1:9" x14ac:dyDescent="0.35">
      <c r="A39" t="s">
        <v>20</v>
      </c>
      <c r="B39" s="1">
        <v>45323</v>
      </c>
      <c r="C39">
        <v>35</v>
      </c>
      <c r="D39">
        <v>6</v>
      </c>
      <c r="E39">
        <v>568.38</v>
      </c>
      <c r="F39">
        <v>6</v>
      </c>
      <c r="G39" s="2">
        <v>1</v>
      </c>
      <c r="H39">
        <v>3949.69</v>
      </c>
      <c r="I39" s="2">
        <v>3.7499999999999999E-2</v>
      </c>
    </row>
    <row r="40" spans="1:9" x14ac:dyDescent="0.35">
      <c r="A40" t="s">
        <v>21</v>
      </c>
      <c r="B40" s="1">
        <v>45323</v>
      </c>
      <c r="C40">
        <v>68</v>
      </c>
      <c r="D40">
        <v>21</v>
      </c>
      <c r="E40">
        <v>553.08000000000004</v>
      </c>
      <c r="F40">
        <v>3</v>
      </c>
      <c r="G40" s="2">
        <v>0.14285714285714285</v>
      </c>
      <c r="H40">
        <v>360.7</v>
      </c>
      <c r="I40" s="2">
        <v>3.3399999999999999E-2</v>
      </c>
    </row>
    <row r="41" spans="1:9" x14ac:dyDescent="0.35">
      <c r="A41" t="s">
        <v>22</v>
      </c>
      <c r="B41" s="1">
        <v>45323</v>
      </c>
      <c r="C41">
        <v>30</v>
      </c>
      <c r="D41">
        <v>8</v>
      </c>
      <c r="E41">
        <v>223.22</v>
      </c>
      <c r="F41">
        <v>2</v>
      </c>
      <c r="G41" s="2">
        <v>0.25</v>
      </c>
      <c r="H41">
        <v>3595.12</v>
      </c>
      <c r="I41" s="2">
        <v>4.3400000000000001E-2</v>
      </c>
    </row>
    <row r="42" spans="1:9" x14ac:dyDescent="0.35">
      <c r="A42" t="s">
        <v>23</v>
      </c>
      <c r="B42" s="1">
        <v>45323</v>
      </c>
      <c r="C42">
        <v>69</v>
      </c>
      <c r="D42">
        <v>8</v>
      </c>
      <c r="E42">
        <v>199.93</v>
      </c>
      <c r="F42">
        <v>2</v>
      </c>
      <c r="G42" s="2">
        <v>0.25</v>
      </c>
      <c r="H42">
        <v>610.66</v>
      </c>
      <c r="I42" s="2">
        <v>2.8199999999999999E-2</v>
      </c>
    </row>
    <row r="43" spans="1:9" x14ac:dyDescent="0.35">
      <c r="A43" t="s">
        <v>24</v>
      </c>
      <c r="B43" s="1">
        <v>45323</v>
      </c>
      <c r="C43">
        <v>92</v>
      </c>
      <c r="D43">
        <v>6</v>
      </c>
      <c r="E43">
        <v>180.46</v>
      </c>
      <c r="F43">
        <v>5</v>
      </c>
      <c r="G43" s="2">
        <v>0.83333333333333337</v>
      </c>
      <c r="H43">
        <v>1173.27</v>
      </c>
      <c r="I43" s="2">
        <v>7.5300000000000006E-2</v>
      </c>
    </row>
    <row r="44" spans="1:9" x14ac:dyDescent="0.35">
      <c r="A44" t="s">
        <v>25</v>
      </c>
      <c r="B44" s="1">
        <v>45323</v>
      </c>
      <c r="C44">
        <v>92</v>
      </c>
      <c r="D44">
        <v>7</v>
      </c>
      <c r="E44">
        <v>80.12</v>
      </c>
      <c r="F44">
        <v>6</v>
      </c>
      <c r="G44" s="2">
        <v>0.8571428571428571</v>
      </c>
      <c r="H44">
        <v>3794.02</v>
      </c>
      <c r="I44" s="2">
        <v>9.5000000000000001E-2</v>
      </c>
    </row>
    <row r="45" spans="1:9" x14ac:dyDescent="0.35">
      <c r="A45" t="s">
        <v>26</v>
      </c>
      <c r="B45" s="1">
        <v>45323</v>
      </c>
      <c r="C45">
        <v>21</v>
      </c>
      <c r="D45">
        <v>14</v>
      </c>
      <c r="E45">
        <v>563.79</v>
      </c>
      <c r="F45">
        <v>8</v>
      </c>
      <c r="G45" s="2">
        <v>0.5714285714285714</v>
      </c>
      <c r="H45">
        <v>3616.21</v>
      </c>
      <c r="I45" s="2">
        <v>3.61E-2</v>
      </c>
    </row>
    <row r="46" spans="1:9" x14ac:dyDescent="0.35">
      <c r="A46" t="s">
        <v>27</v>
      </c>
      <c r="B46" s="1">
        <v>45323</v>
      </c>
      <c r="C46">
        <v>83</v>
      </c>
      <c r="D46">
        <v>20</v>
      </c>
      <c r="E46">
        <v>193.39</v>
      </c>
      <c r="F46">
        <v>5</v>
      </c>
      <c r="G46" s="2">
        <v>0.25</v>
      </c>
      <c r="H46">
        <v>402.53</v>
      </c>
      <c r="I46" s="2">
        <v>0.1013</v>
      </c>
    </row>
    <row r="47" spans="1:9" x14ac:dyDescent="0.35">
      <c r="A47" t="s">
        <v>28</v>
      </c>
      <c r="B47" s="1">
        <v>45323</v>
      </c>
      <c r="C47">
        <v>57</v>
      </c>
      <c r="D47">
        <v>11</v>
      </c>
      <c r="E47">
        <v>454.77</v>
      </c>
      <c r="F47">
        <v>1</v>
      </c>
      <c r="G47" s="2">
        <v>9.0909090909090912E-2</v>
      </c>
      <c r="H47">
        <v>1152.4100000000001</v>
      </c>
      <c r="I47" s="2">
        <v>1E-3</v>
      </c>
    </row>
    <row r="48" spans="1:9" x14ac:dyDescent="0.35">
      <c r="A48" t="s">
        <v>29</v>
      </c>
      <c r="B48" s="1">
        <v>45323</v>
      </c>
      <c r="C48">
        <v>22</v>
      </c>
      <c r="D48">
        <v>17</v>
      </c>
      <c r="E48">
        <v>291.97000000000003</v>
      </c>
      <c r="F48">
        <v>1</v>
      </c>
      <c r="G48" s="2">
        <v>5.8823529411764705E-2</v>
      </c>
      <c r="H48">
        <v>1703.6</v>
      </c>
      <c r="I48" s="2">
        <v>5.21E-2</v>
      </c>
    </row>
    <row r="49" spans="1:9" x14ac:dyDescent="0.35">
      <c r="A49" t="s">
        <v>30</v>
      </c>
      <c r="B49" s="1">
        <v>45323</v>
      </c>
      <c r="C49">
        <v>78</v>
      </c>
      <c r="D49">
        <v>5</v>
      </c>
      <c r="E49">
        <v>553.86</v>
      </c>
      <c r="F49">
        <v>1</v>
      </c>
      <c r="G49" s="2">
        <v>0.2</v>
      </c>
      <c r="H49">
        <v>3503.57</v>
      </c>
      <c r="I49" s="2">
        <v>3.1300000000000001E-2</v>
      </c>
    </row>
    <row r="50" spans="1:9" x14ac:dyDescent="0.35">
      <c r="A50" t="s">
        <v>31</v>
      </c>
      <c r="B50" s="1">
        <v>45323</v>
      </c>
      <c r="C50">
        <v>68</v>
      </c>
      <c r="D50">
        <v>7</v>
      </c>
      <c r="E50">
        <v>171.76</v>
      </c>
      <c r="F50">
        <v>7</v>
      </c>
      <c r="G50" s="2">
        <v>1</v>
      </c>
      <c r="H50">
        <v>548.36</v>
      </c>
      <c r="I50" s="2">
        <v>8.2500000000000004E-2</v>
      </c>
    </row>
    <row r="51" spans="1:9" x14ac:dyDescent="0.35">
      <c r="A51" t="s">
        <v>32</v>
      </c>
      <c r="B51" s="1">
        <v>45323</v>
      </c>
      <c r="C51">
        <v>83</v>
      </c>
      <c r="D51">
        <v>16</v>
      </c>
      <c r="E51">
        <v>382.21</v>
      </c>
      <c r="F51">
        <v>1</v>
      </c>
      <c r="G51" s="2">
        <v>6.25E-2</v>
      </c>
      <c r="H51">
        <v>3017.43</v>
      </c>
      <c r="I51" s="2">
        <v>2.4199999999999999E-2</v>
      </c>
    </row>
    <row r="52" spans="1:9" x14ac:dyDescent="0.35">
      <c r="A52" t="s">
        <v>33</v>
      </c>
      <c r="B52" s="1">
        <v>45323</v>
      </c>
      <c r="C52">
        <v>31</v>
      </c>
      <c r="D52">
        <v>11</v>
      </c>
      <c r="E52">
        <v>562.73</v>
      </c>
      <c r="F52">
        <v>4</v>
      </c>
      <c r="G52" s="2">
        <v>0.36363636363636365</v>
      </c>
      <c r="H52">
        <v>221.94</v>
      </c>
      <c r="I52" s="2">
        <v>6.7400000000000002E-2</v>
      </c>
    </row>
    <row r="53" spans="1:9" x14ac:dyDescent="0.35">
      <c r="A53" t="s">
        <v>34</v>
      </c>
      <c r="B53" s="1">
        <v>45323</v>
      </c>
      <c r="C53">
        <v>34</v>
      </c>
      <c r="D53">
        <v>17</v>
      </c>
      <c r="E53">
        <v>380.37</v>
      </c>
      <c r="F53">
        <v>7</v>
      </c>
      <c r="G53" s="2">
        <v>0.41176470588235292</v>
      </c>
      <c r="H53">
        <v>4183.2700000000004</v>
      </c>
      <c r="I53" s="2">
        <v>8.8699999999999987E-2</v>
      </c>
    </row>
    <row r="54" spans="1:9" x14ac:dyDescent="0.35">
      <c r="A54" t="s">
        <v>9</v>
      </c>
      <c r="B54" s="1">
        <v>45352</v>
      </c>
      <c r="C54">
        <v>55</v>
      </c>
      <c r="D54">
        <v>17</v>
      </c>
      <c r="E54">
        <v>315.62</v>
      </c>
      <c r="F54">
        <v>5</v>
      </c>
      <c r="G54" s="2">
        <v>0.29411764705882354</v>
      </c>
      <c r="H54">
        <v>3890.73</v>
      </c>
      <c r="I54" s="2">
        <v>2.8799999999999999E-2</v>
      </c>
    </row>
    <row r="55" spans="1:9" x14ac:dyDescent="0.35">
      <c r="A55" t="s">
        <v>10</v>
      </c>
      <c r="B55" s="1">
        <v>45352</v>
      </c>
      <c r="C55">
        <v>91</v>
      </c>
      <c r="D55">
        <v>10</v>
      </c>
      <c r="E55">
        <v>361.58</v>
      </c>
      <c r="F55">
        <v>4</v>
      </c>
      <c r="G55" s="2">
        <v>0.4</v>
      </c>
      <c r="H55">
        <v>3674.37</v>
      </c>
      <c r="I55" s="2">
        <v>4.0800000000000003E-2</v>
      </c>
    </row>
    <row r="56" spans="1:9" x14ac:dyDescent="0.35">
      <c r="A56" t="s">
        <v>11</v>
      </c>
      <c r="B56" s="1">
        <v>45352</v>
      </c>
      <c r="C56">
        <v>59</v>
      </c>
      <c r="D56">
        <v>13</v>
      </c>
      <c r="E56">
        <v>402.9</v>
      </c>
      <c r="F56">
        <v>2</v>
      </c>
      <c r="G56" s="2">
        <v>0.15384615384615385</v>
      </c>
      <c r="H56">
        <v>3357.27</v>
      </c>
      <c r="I56" s="2">
        <v>4.2599999999999999E-2</v>
      </c>
    </row>
    <row r="57" spans="1:9" x14ac:dyDescent="0.35">
      <c r="A57" t="s">
        <v>12</v>
      </c>
      <c r="B57" s="1">
        <v>45352</v>
      </c>
      <c r="C57">
        <v>19</v>
      </c>
      <c r="D57">
        <v>6</v>
      </c>
      <c r="E57">
        <v>82.65</v>
      </c>
      <c r="F57">
        <v>3</v>
      </c>
      <c r="G57" s="2">
        <v>0.5</v>
      </c>
      <c r="H57">
        <v>1469.62</v>
      </c>
      <c r="I57" s="2">
        <v>3.0699999999999998E-2</v>
      </c>
    </row>
    <row r="58" spans="1:9" x14ac:dyDescent="0.35">
      <c r="A58" t="s">
        <v>13</v>
      </c>
      <c r="B58" s="1">
        <v>45352</v>
      </c>
      <c r="C58">
        <v>77</v>
      </c>
      <c r="D58">
        <v>14</v>
      </c>
      <c r="E58">
        <v>494.43</v>
      </c>
      <c r="F58">
        <v>4</v>
      </c>
      <c r="G58" s="2">
        <v>0.2857142857142857</v>
      </c>
      <c r="H58">
        <v>963.35</v>
      </c>
      <c r="I58" s="2">
        <v>3.6699999999999997E-2</v>
      </c>
    </row>
    <row r="59" spans="1:9" x14ac:dyDescent="0.35">
      <c r="A59" t="s">
        <v>14</v>
      </c>
      <c r="B59" s="1">
        <v>45352</v>
      </c>
      <c r="C59">
        <v>50</v>
      </c>
      <c r="D59">
        <v>8</v>
      </c>
      <c r="E59">
        <v>512.92999999999995</v>
      </c>
      <c r="F59">
        <v>3</v>
      </c>
      <c r="G59" s="2">
        <v>0.375</v>
      </c>
      <c r="H59">
        <v>3725.66</v>
      </c>
      <c r="I59" s="2">
        <v>1.1599999999999999E-2</v>
      </c>
    </row>
    <row r="60" spans="1:9" x14ac:dyDescent="0.35">
      <c r="A60" t="s">
        <v>15</v>
      </c>
      <c r="B60" s="1">
        <v>45352</v>
      </c>
      <c r="C60">
        <v>88</v>
      </c>
      <c r="D60">
        <v>18</v>
      </c>
      <c r="E60">
        <v>291.04000000000002</v>
      </c>
      <c r="F60">
        <v>2</v>
      </c>
      <c r="G60" s="2">
        <v>0.1111111111111111</v>
      </c>
      <c r="H60">
        <v>2619.84</v>
      </c>
      <c r="I60" s="2">
        <v>0.10550000000000001</v>
      </c>
    </row>
    <row r="61" spans="1:9" x14ac:dyDescent="0.35">
      <c r="A61" t="s">
        <v>16</v>
      </c>
      <c r="B61" s="1">
        <v>45352</v>
      </c>
      <c r="C61">
        <v>62</v>
      </c>
      <c r="D61">
        <v>9</v>
      </c>
      <c r="E61">
        <v>252.77</v>
      </c>
      <c r="F61">
        <v>7</v>
      </c>
      <c r="G61" s="2">
        <v>0.77777777777777779</v>
      </c>
      <c r="H61">
        <v>4641.6099999999997</v>
      </c>
      <c r="I61" s="2">
        <v>4.0800000000000003E-2</v>
      </c>
    </row>
    <row r="62" spans="1:9" x14ac:dyDescent="0.35">
      <c r="A62" t="s">
        <v>17</v>
      </c>
      <c r="B62" s="1">
        <v>45352</v>
      </c>
      <c r="C62">
        <v>33</v>
      </c>
      <c r="D62">
        <v>18</v>
      </c>
      <c r="E62">
        <v>348.57</v>
      </c>
      <c r="F62">
        <v>8</v>
      </c>
      <c r="G62" s="2">
        <v>0.44444444444444442</v>
      </c>
      <c r="H62">
        <v>1169.6400000000001</v>
      </c>
      <c r="I62" s="2">
        <v>5.4800000000000001E-2</v>
      </c>
    </row>
    <row r="63" spans="1:9" x14ac:dyDescent="0.35">
      <c r="A63" t="s">
        <v>18</v>
      </c>
      <c r="B63" s="1">
        <v>45352</v>
      </c>
      <c r="C63">
        <v>54</v>
      </c>
      <c r="D63">
        <v>15</v>
      </c>
      <c r="E63">
        <v>321.99</v>
      </c>
      <c r="F63">
        <v>8</v>
      </c>
      <c r="G63" s="2">
        <v>0.53333333333333333</v>
      </c>
      <c r="H63">
        <v>1080.0899999999999</v>
      </c>
      <c r="I63" s="2">
        <v>3.5499999999999997E-2</v>
      </c>
    </row>
    <row r="64" spans="1:9" x14ac:dyDescent="0.35">
      <c r="A64" t="s">
        <v>19</v>
      </c>
      <c r="B64" s="1">
        <v>45352</v>
      </c>
      <c r="C64">
        <v>16</v>
      </c>
      <c r="D64">
        <v>9</v>
      </c>
      <c r="E64">
        <v>199.87</v>
      </c>
      <c r="F64">
        <v>9</v>
      </c>
      <c r="G64" s="2">
        <v>1</v>
      </c>
      <c r="H64">
        <v>818.64</v>
      </c>
      <c r="I64" s="2">
        <v>7.46E-2</v>
      </c>
    </row>
    <row r="65" spans="1:9" x14ac:dyDescent="0.35">
      <c r="A65" t="s">
        <v>20</v>
      </c>
      <c r="B65" s="1">
        <v>45352</v>
      </c>
      <c r="C65">
        <v>30</v>
      </c>
      <c r="D65">
        <v>5</v>
      </c>
      <c r="E65">
        <v>565.19000000000005</v>
      </c>
      <c r="F65">
        <v>4</v>
      </c>
      <c r="G65" s="2">
        <v>0.8</v>
      </c>
      <c r="H65">
        <v>3621.51</v>
      </c>
      <c r="I65" s="2">
        <v>4.3099999999999999E-2</v>
      </c>
    </row>
    <row r="66" spans="1:9" x14ac:dyDescent="0.35">
      <c r="A66" t="s">
        <v>21</v>
      </c>
      <c r="B66" s="1">
        <v>45352</v>
      </c>
      <c r="C66">
        <v>68</v>
      </c>
      <c r="D66">
        <v>19</v>
      </c>
      <c r="E66">
        <v>623.25</v>
      </c>
      <c r="F66">
        <v>3</v>
      </c>
      <c r="G66" s="2">
        <v>0.15789473684210525</v>
      </c>
      <c r="H66">
        <v>355.96</v>
      </c>
      <c r="I66" s="2">
        <v>3.6299999999999999E-2</v>
      </c>
    </row>
    <row r="67" spans="1:9" x14ac:dyDescent="0.35">
      <c r="A67" t="s">
        <v>22</v>
      </c>
      <c r="B67" s="1">
        <v>45352</v>
      </c>
      <c r="C67">
        <v>31</v>
      </c>
      <c r="D67">
        <v>9</v>
      </c>
      <c r="E67">
        <v>209.18</v>
      </c>
      <c r="F67">
        <v>2</v>
      </c>
      <c r="G67" s="2">
        <v>0.22222222222222221</v>
      </c>
      <c r="H67">
        <v>4153.3100000000004</v>
      </c>
      <c r="I67" s="2">
        <v>4.0399999999999998E-2</v>
      </c>
    </row>
    <row r="68" spans="1:9" x14ac:dyDescent="0.35">
      <c r="A68" t="s">
        <v>23</v>
      </c>
      <c r="B68" s="1">
        <v>45352</v>
      </c>
      <c r="C68">
        <v>61</v>
      </c>
      <c r="D68">
        <v>7</v>
      </c>
      <c r="E68">
        <v>190.5</v>
      </c>
      <c r="F68">
        <v>3</v>
      </c>
      <c r="G68" s="2">
        <v>0.42857142857142855</v>
      </c>
      <c r="H68">
        <v>661.2</v>
      </c>
      <c r="I68" s="2">
        <v>2.7699999999999999E-2</v>
      </c>
    </row>
    <row r="69" spans="1:9" x14ac:dyDescent="0.35">
      <c r="A69" t="s">
        <v>24</v>
      </c>
      <c r="B69" s="1">
        <v>45352</v>
      </c>
      <c r="C69">
        <v>83</v>
      </c>
      <c r="D69">
        <v>5</v>
      </c>
      <c r="E69">
        <v>170.12</v>
      </c>
      <c r="F69">
        <v>3</v>
      </c>
      <c r="G69" s="2">
        <v>0.6</v>
      </c>
      <c r="H69">
        <v>1171.95</v>
      </c>
      <c r="I69" s="2">
        <v>7.690000000000001E-2</v>
      </c>
    </row>
    <row r="70" spans="1:9" x14ac:dyDescent="0.35">
      <c r="A70" t="s">
        <v>25</v>
      </c>
      <c r="B70" s="1">
        <v>45352</v>
      </c>
      <c r="C70">
        <v>74</v>
      </c>
      <c r="D70">
        <v>7</v>
      </c>
      <c r="E70">
        <v>87.89</v>
      </c>
      <c r="F70">
        <v>7</v>
      </c>
      <c r="G70" s="2">
        <v>1</v>
      </c>
      <c r="H70">
        <v>3848.14</v>
      </c>
      <c r="I70" s="2">
        <v>8.6699999999999999E-2</v>
      </c>
    </row>
    <row r="71" spans="1:9" x14ac:dyDescent="0.35">
      <c r="A71" t="s">
        <v>26</v>
      </c>
      <c r="B71" s="1">
        <v>45352</v>
      </c>
      <c r="C71">
        <v>21</v>
      </c>
      <c r="D71">
        <v>14</v>
      </c>
      <c r="E71">
        <v>498.82</v>
      </c>
      <c r="F71">
        <v>5</v>
      </c>
      <c r="G71" s="2">
        <v>0.35714285714285715</v>
      </c>
      <c r="H71">
        <v>4039.26</v>
      </c>
      <c r="I71" s="2">
        <v>3.4000000000000002E-2</v>
      </c>
    </row>
    <row r="72" spans="1:9" x14ac:dyDescent="0.35">
      <c r="A72" t="s">
        <v>27</v>
      </c>
      <c r="B72" s="1">
        <v>45352</v>
      </c>
      <c r="C72">
        <v>84</v>
      </c>
      <c r="D72">
        <v>15</v>
      </c>
      <c r="E72">
        <v>163.21</v>
      </c>
      <c r="F72">
        <v>5</v>
      </c>
      <c r="G72" s="2">
        <v>0.33333333333333331</v>
      </c>
      <c r="H72">
        <v>411.36</v>
      </c>
      <c r="I72" s="2">
        <v>0.1014</v>
      </c>
    </row>
    <row r="73" spans="1:9" x14ac:dyDescent="0.35">
      <c r="A73" t="s">
        <v>28</v>
      </c>
      <c r="B73" s="1">
        <v>45352</v>
      </c>
      <c r="C73">
        <v>64</v>
      </c>
      <c r="D73">
        <v>13</v>
      </c>
      <c r="E73">
        <v>496.4</v>
      </c>
      <c r="F73">
        <v>0</v>
      </c>
      <c r="G73" s="2">
        <v>0</v>
      </c>
      <c r="H73">
        <v>1306.3800000000001</v>
      </c>
      <c r="I73" s="2">
        <v>1.1000000000000001E-3</v>
      </c>
    </row>
    <row r="74" spans="1:9" x14ac:dyDescent="0.35">
      <c r="A74" t="s">
        <v>29</v>
      </c>
      <c r="B74" s="1">
        <v>45352</v>
      </c>
      <c r="C74">
        <v>21</v>
      </c>
      <c r="D74">
        <v>13</v>
      </c>
      <c r="E74">
        <v>315.41000000000003</v>
      </c>
      <c r="F74">
        <v>1</v>
      </c>
      <c r="G74" s="2">
        <v>7.6923076923076927E-2</v>
      </c>
      <c r="H74">
        <v>1692.59</v>
      </c>
      <c r="I74" s="2">
        <v>5.0999999999999997E-2</v>
      </c>
    </row>
    <row r="75" spans="1:9" x14ac:dyDescent="0.35">
      <c r="A75" t="s">
        <v>30</v>
      </c>
      <c r="B75" s="1">
        <v>45352</v>
      </c>
      <c r="C75">
        <v>110</v>
      </c>
      <c r="D75">
        <v>6</v>
      </c>
      <c r="E75">
        <v>535.37</v>
      </c>
      <c r="F75">
        <v>2</v>
      </c>
      <c r="G75" s="2">
        <v>0.33333333333333331</v>
      </c>
      <c r="H75">
        <v>3113.29</v>
      </c>
      <c r="I75" s="2">
        <v>3.2099999999999997E-2</v>
      </c>
    </row>
    <row r="76" spans="1:9" x14ac:dyDescent="0.35">
      <c r="A76" t="s">
        <v>31</v>
      </c>
      <c r="B76" s="1">
        <v>45352</v>
      </c>
      <c r="C76">
        <v>62</v>
      </c>
      <c r="D76">
        <v>8</v>
      </c>
      <c r="E76">
        <v>198.84</v>
      </c>
      <c r="F76">
        <v>8</v>
      </c>
      <c r="G76" s="2">
        <v>1</v>
      </c>
      <c r="H76">
        <v>534.58000000000004</v>
      </c>
      <c r="I76" s="2">
        <v>8.8000000000000009E-2</v>
      </c>
    </row>
    <row r="77" spans="1:9" x14ac:dyDescent="0.35">
      <c r="A77" t="s">
        <v>32</v>
      </c>
      <c r="B77" s="1">
        <v>45352</v>
      </c>
      <c r="C77">
        <v>108</v>
      </c>
      <c r="D77">
        <v>14</v>
      </c>
      <c r="E77">
        <v>416.78</v>
      </c>
      <c r="F77">
        <v>1</v>
      </c>
      <c r="G77" s="2">
        <v>7.1428571428571425E-2</v>
      </c>
      <c r="H77">
        <v>2989.69</v>
      </c>
      <c r="I77" s="2">
        <v>2.5499999999999998E-2</v>
      </c>
    </row>
    <row r="78" spans="1:9" x14ac:dyDescent="0.35">
      <c r="A78" t="s">
        <v>33</v>
      </c>
      <c r="B78" s="1">
        <v>45352</v>
      </c>
      <c r="C78">
        <v>28</v>
      </c>
      <c r="D78">
        <v>12</v>
      </c>
      <c r="E78">
        <v>533.85</v>
      </c>
      <c r="F78">
        <v>5</v>
      </c>
      <c r="G78" s="2">
        <v>0.41666666666666669</v>
      </c>
      <c r="H78">
        <v>224.87</v>
      </c>
      <c r="I78" s="2">
        <v>6.480000000000001E-2</v>
      </c>
    </row>
    <row r="79" spans="1:9" x14ac:dyDescent="0.35">
      <c r="A79" t="s">
        <v>34</v>
      </c>
      <c r="B79" s="1">
        <v>45352</v>
      </c>
      <c r="C79">
        <v>39</v>
      </c>
      <c r="D79">
        <v>16</v>
      </c>
      <c r="E79">
        <v>312.8</v>
      </c>
      <c r="F79">
        <v>8</v>
      </c>
      <c r="G79" s="2">
        <v>0.5</v>
      </c>
      <c r="H79">
        <v>4592.09</v>
      </c>
      <c r="I79" s="2">
        <v>8.5500000000000007E-2</v>
      </c>
    </row>
    <row r="80" spans="1:9" x14ac:dyDescent="0.35">
      <c r="A80" t="s">
        <v>9</v>
      </c>
      <c r="B80" s="1">
        <v>45383</v>
      </c>
      <c r="C80">
        <v>69</v>
      </c>
      <c r="D80">
        <v>17</v>
      </c>
      <c r="E80">
        <v>342.81</v>
      </c>
      <c r="F80">
        <v>6</v>
      </c>
      <c r="G80" s="2">
        <v>0.35294117647058826</v>
      </c>
      <c r="H80">
        <v>3728.2</v>
      </c>
      <c r="I80" s="2">
        <v>2.9600000000000001E-2</v>
      </c>
    </row>
    <row r="81" spans="1:9" x14ac:dyDescent="0.35">
      <c r="A81" t="s">
        <v>10</v>
      </c>
      <c r="B81" s="1">
        <v>45383</v>
      </c>
      <c r="C81">
        <v>83</v>
      </c>
      <c r="D81">
        <v>11</v>
      </c>
      <c r="E81">
        <v>365.12</v>
      </c>
      <c r="F81">
        <v>5</v>
      </c>
      <c r="G81" s="2">
        <v>0.45454545454545453</v>
      </c>
      <c r="H81">
        <v>3682.69</v>
      </c>
      <c r="I81" s="2">
        <v>3.8199999999999998E-2</v>
      </c>
    </row>
    <row r="82" spans="1:9" x14ac:dyDescent="0.35">
      <c r="A82" t="s">
        <v>11</v>
      </c>
      <c r="B82" s="1">
        <v>45383</v>
      </c>
      <c r="C82">
        <v>41</v>
      </c>
      <c r="D82">
        <v>14</v>
      </c>
      <c r="E82">
        <v>416.88</v>
      </c>
      <c r="F82">
        <v>2</v>
      </c>
      <c r="G82" s="2">
        <v>0.14285714285714285</v>
      </c>
      <c r="H82">
        <v>3638.83</v>
      </c>
      <c r="I82" s="2">
        <v>4.41E-2</v>
      </c>
    </row>
    <row r="83" spans="1:9" x14ac:dyDescent="0.35">
      <c r="A83" t="s">
        <v>12</v>
      </c>
      <c r="B83" s="1">
        <v>45383</v>
      </c>
      <c r="C83">
        <v>17</v>
      </c>
      <c r="D83">
        <v>7</v>
      </c>
      <c r="E83">
        <v>81.14</v>
      </c>
      <c r="F83">
        <v>3</v>
      </c>
      <c r="G83" s="2">
        <v>0.42857142857142855</v>
      </c>
      <c r="H83">
        <v>1419.04</v>
      </c>
      <c r="I83" s="2">
        <v>2.9399999999999999E-2</v>
      </c>
    </row>
    <row r="84" spans="1:9" x14ac:dyDescent="0.35">
      <c r="A84" t="s">
        <v>13</v>
      </c>
      <c r="B84" s="1">
        <v>45383</v>
      </c>
      <c r="C84">
        <v>76</v>
      </c>
      <c r="D84">
        <v>16</v>
      </c>
      <c r="E84">
        <v>449.04</v>
      </c>
      <c r="F84">
        <v>4</v>
      </c>
      <c r="G84" s="2">
        <v>0.25</v>
      </c>
      <c r="H84">
        <v>1019.97</v>
      </c>
      <c r="I84" s="2">
        <v>3.8100000000000002E-2</v>
      </c>
    </row>
    <row r="85" spans="1:9" x14ac:dyDescent="0.35">
      <c r="A85" t="s">
        <v>14</v>
      </c>
      <c r="B85" s="1">
        <v>45383</v>
      </c>
      <c r="C85">
        <v>72</v>
      </c>
      <c r="D85">
        <v>6</v>
      </c>
      <c r="E85">
        <v>508.55</v>
      </c>
      <c r="F85">
        <v>3</v>
      </c>
      <c r="G85" s="2">
        <v>0.5</v>
      </c>
      <c r="H85">
        <v>3633.75</v>
      </c>
      <c r="I85" s="2">
        <v>1.1399999999999999E-2</v>
      </c>
    </row>
    <row r="86" spans="1:9" x14ac:dyDescent="0.35">
      <c r="A86" t="s">
        <v>15</v>
      </c>
      <c r="B86" s="1">
        <v>45383</v>
      </c>
      <c r="C86">
        <v>72</v>
      </c>
      <c r="D86">
        <v>18</v>
      </c>
      <c r="E86">
        <v>299.08999999999997</v>
      </c>
      <c r="F86">
        <v>2</v>
      </c>
      <c r="G86" s="2">
        <v>0.1111111111111111</v>
      </c>
      <c r="H86">
        <v>2378.29</v>
      </c>
      <c r="I86" s="2">
        <v>0.1052</v>
      </c>
    </row>
    <row r="87" spans="1:9" x14ac:dyDescent="0.35">
      <c r="A87" t="s">
        <v>16</v>
      </c>
      <c r="B87" s="1">
        <v>45383</v>
      </c>
      <c r="C87">
        <v>44</v>
      </c>
      <c r="D87">
        <v>6</v>
      </c>
      <c r="E87">
        <v>246.21</v>
      </c>
      <c r="F87">
        <v>5</v>
      </c>
      <c r="G87" s="2">
        <v>0.83333333333333337</v>
      </c>
      <c r="H87">
        <v>4155.8</v>
      </c>
      <c r="I87" s="2">
        <v>4.3299999999999998E-2</v>
      </c>
    </row>
    <row r="88" spans="1:9" x14ac:dyDescent="0.35">
      <c r="A88" t="s">
        <v>17</v>
      </c>
      <c r="B88" s="1">
        <v>45383</v>
      </c>
      <c r="C88">
        <v>29</v>
      </c>
      <c r="D88">
        <v>16</v>
      </c>
      <c r="E88">
        <v>412.07</v>
      </c>
      <c r="F88">
        <v>10</v>
      </c>
      <c r="G88" s="2">
        <v>0.625</v>
      </c>
      <c r="H88">
        <v>1075.94</v>
      </c>
      <c r="I88" s="2">
        <v>6.2400000000000004E-2</v>
      </c>
    </row>
    <row r="89" spans="1:9" x14ac:dyDescent="0.35">
      <c r="A89" t="s">
        <v>18</v>
      </c>
      <c r="B89" s="1">
        <v>45383</v>
      </c>
      <c r="C89">
        <v>64</v>
      </c>
      <c r="D89">
        <v>13</v>
      </c>
      <c r="E89">
        <v>317.58</v>
      </c>
      <c r="F89">
        <v>8</v>
      </c>
      <c r="G89" s="2">
        <v>0.61538461538461542</v>
      </c>
      <c r="H89">
        <v>1088.22</v>
      </c>
      <c r="I89" s="2">
        <v>3.49E-2</v>
      </c>
    </row>
    <row r="90" spans="1:9" x14ac:dyDescent="0.35">
      <c r="A90" t="s">
        <v>19</v>
      </c>
      <c r="B90" s="1">
        <v>45383</v>
      </c>
      <c r="C90">
        <v>16</v>
      </c>
      <c r="D90">
        <v>7</v>
      </c>
      <c r="E90">
        <v>181.58</v>
      </c>
      <c r="F90">
        <v>6</v>
      </c>
      <c r="G90" s="2">
        <v>0.8571428571428571</v>
      </c>
      <c r="H90">
        <v>868.4</v>
      </c>
      <c r="I90" s="2">
        <v>8.4100000000000008E-2</v>
      </c>
    </row>
    <row r="91" spans="1:9" x14ac:dyDescent="0.35">
      <c r="A91" t="s">
        <v>20</v>
      </c>
      <c r="B91" s="1">
        <v>45383</v>
      </c>
      <c r="C91">
        <v>37</v>
      </c>
      <c r="D91">
        <v>7</v>
      </c>
      <c r="E91">
        <v>470.85</v>
      </c>
      <c r="F91">
        <v>7</v>
      </c>
      <c r="G91" s="2">
        <v>1</v>
      </c>
      <c r="H91">
        <v>3483.6</v>
      </c>
      <c r="I91" s="2">
        <v>4.2599999999999999E-2</v>
      </c>
    </row>
    <row r="92" spans="1:9" x14ac:dyDescent="0.35">
      <c r="A92" t="s">
        <v>21</v>
      </c>
      <c r="B92" s="1">
        <v>45383</v>
      </c>
      <c r="C92">
        <v>81</v>
      </c>
      <c r="D92">
        <v>16</v>
      </c>
      <c r="E92">
        <v>584.29999999999995</v>
      </c>
      <c r="F92">
        <v>3</v>
      </c>
      <c r="G92" s="2">
        <v>0.1875</v>
      </c>
      <c r="H92">
        <v>377.45</v>
      </c>
      <c r="I92" s="2">
        <v>3.32E-2</v>
      </c>
    </row>
    <row r="93" spans="1:9" x14ac:dyDescent="0.35">
      <c r="A93" t="s">
        <v>22</v>
      </c>
      <c r="B93" s="1">
        <v>45383</v>
      </c>
      <c r="C93">
        <v>26</v>
      </c>
      <c r="D93">
        <v>6</v>
      </c>
      <c r="E93">
        <v>231.59</v>
      </c>
      <c r="F93">
        <v>2</v>
      </c>
      <c r="G93" s="2">
        <v>0.33333333333333331</v>
      </c>
      <c r="H93">
        <v>3988.15</v>
      </c>
      <c r="I93" s="2">
        <v>3.8399999999999997E-2</v>
      </c>
    </row>
    <row r="94" spans="1:9" x14ac:dyDescent="0.35">
      <c r="A94" t="s">
        <v>23</v>
      </c>
      <c r="B94" s="1">
        <v>45383</v>
      </c>
      <c r="C94">
        <v>69</v>
      </c>
      <c r="D94">
        <v>9</v>
      </c>
      <c r="E94">
        <v>221.01</v>
      </c>
      <c r="F94">
        <v>3</v>
      </c>
      <c r="G94" s="2">
        <v>0.33333333333333331</v>
      </c>
      <c r="H94">
        <v>643.44000000000005</v>
      </c>
      <c r="I94" s="2">
        <v>3.2000000000000001E-2</v>
      </c>
    </row>
    <row r="95" spans="1:9" x14ac:dyDescent="0.35">
      <c r="A95" t="s">
        <v>24</v>
      </c>
      <c r="B95" s="1">
        <v>45383</v>
      </c>
      <c r="C95">
        <v>103</v>
      </c>
      <c r="D95">
        <v>6</v>
      </c>
      <c r="E95">
        <v>165.74</v>
      </c>
      <c r="F95">
        <v>6</v>
      </c>
      <c r="G95" s="2">
        <v>1</v>
      </c>
      <c r="H95">
        <v>1169.3800000000001</v>
      </c>
      <c r="I95" s="2">
        <v>7.7699999999999991E-2</v>
      </c>
    </row>
    <row r="96" spans="1:9" x14ac:dyDescent="0.35">
      <c r="A96" t="s">
        <v>25</v>
      </c>
      <c r="B96" s="1">
        <v>45383</v>
      </c>
      <c r="C96">
        <v>100</v>
      </c>
      <c r="D96">
        <v>7</v>
      </c>
      <c r="E96">
        <v>82.62</v>
      </c>
      <c r="F96">
        <v>6</v>
      </c>
      <c r="G96" s="2">
        <v>0.8571428571428571</v>
      </c>
      <c r="H96">
        <v>4085.91</v>
      </c>
      <c r="I96" s="2">
        <v>9.0500000000000011E-2</v>
      </c>
    </row>
    <row r="97" spans="1:9" x14ac:dyDescent="0.35">
      <c r="A97" t="s">
        <v>26</v>
      </c>
      <c r="B97" s="1">
        <v>45383</v>
      </c>
      <c r="C97">
        <v>26</v>
      </c>
      <c r="D97">
        <v>17</v>
      </c>
      <c r="E97">
        <v>526.34</v>
      </c>
      <c r="F97">
        <v>6</v>
      </c>
      <c r="G97" s="2">
        <v>0.35294117647058826</v>
      </c>
      <c r="H97">
        <v>3360.11</v>
      </c>
      <c r="I97" s="2">
        <v>3.0600000000000002E-2</v>
      </c>
    </row>
    <row r="98" spans="1:9" x14ac:dyDescent="0.35">
      <c r="A98" t="s">
        <v>27</v>
      </c>
      <c r="B98" s="1">
        <v>45383</v>
      </c>
      <c r="C98">
        <v>104</v>
      </c>
      <c r="D98">
        <v>22</v>
      </c>
      <c r="E98">
        <v>190.87</v>
      </c>
      <c r="F98">
        <v>4</v>
      </c>
      <c r="G98" s="2">
        <v>0.18181818181818182</v>
      </c>
      <c r="H98">
        <v>433.41</v>
      </c>
      <c r="I98" s="2">
        <v>9.3599999999999989E-2</v>
      </c>
    </row>
    <row r="99" spans="1:9" x14ac:dyDescent="0.35">
      <c r="A99" t="s">
        <v>28</v>
      </c>
      <c r="B99" s="1">
        <v>45383</v>
      </c>
      <c r="C99">
        <v>63</v>
      </c>
      <c r="D99">
        <v>11</v>
      </c>
      <c r="E99">
        <v>554.51</v>
      </c>
      <c r="F99">
        <v>1</v>
      </c>
      <c r="G99" s="2">
        <v>9.0909090909090912E-2</v>
      </c>
      <c r="H99">
        <v>1138.51</v>
      </c>
      <c r="I99" s="2">
        <v>1E-3</v>
      </c>
    </row>
    <row r="100" spans="1:9" x14ac:dyDescent="0.35">
      <c r="A100" t="s">
        <v>29</v>
      </c>
      <c r="B100" s="1">
        <v>45383</v>
      </c>
      <c r="C100">
        <v>22</v>
      </c>
      <c r="D100">
        <v>13</v>
      </c>
      <c r="E100">
        <v>302.49</v>
      </c>
      <c r="F100">
        <v>2</v>
      </c>
      <c r="G100" s="2">
        <v>0.15384615384615385</v>
      </c>
      <c r="H100">
        <v>1591.45</v>
      </c>
      <c r="I100" s="2">
        <v>4.9599999999999998E-2</v>
      </c>
    </row>
    <row r="101" spans="1:9" x14ac:dyDescent="0.35">
      <c r="A101" t="s">
        <v>30</v>
      </c>
      <c r="B101" s="1">
        <v>45383</v>
      </c>
      <c r="C101">
        <v>91</v>
      </c>
      <c r="D101">
        <v>5</v>
      </c>
      <c r="E101">
        <v>605.11</v>
      </c>
      <c r="F101">
        <v>2</v>
      </c>
      <c r="G101" s="2">
        <v>0.4</v>
      </c>
      <c r="H101">
        <v>3499.88</v>
      </c>
      <c r="I101" s="2">
        <v>3.0200000000000001E-2</v>
      </c>
    </row>
    <row r="102" spans="1:9" x14ac:dyDescent="0.35">
      <c r="A102" t="s">
        <v>31</v>
      </c>
      <c r="B102" s="1">
        <v>45383</v>
      </c>
      <c r="C102">
        <v>77</v>
      </c>
      <c r="D102">
        <v>8</v>
      </c>
      <c r="E102">
        <v>173.88</v>
      </c>
      <c r="F102">
        <v>6</v>
      </c>
      <c r="G102" s="2">
        <v>0.75</v>
      </c>
      <c r="H102">
        <v>462.44</v>
      </c>
      <c r="I102" s="2">
        <v>7.9899999999999999E-2</v>
      </c>
    </row>
    <row r="103" spans="1:9" x14ac:dyDescent="0.35">
      <c r="A103" t="s">
        <v>32</v>
      </c>
      <c r="B103" s="1">
        <v>45383</v>
      </c>
      <c r="C103">
        <v>90</v>
      </c>
      <c r="D103">
        <v>17</v>
      </c>
      <c r="E103">
        <v>366.84</v>
      </c>
      <c r="F103">
        <v>0</v>
      </c>
      <c r="G103" s="2">
        <v>0</v>
      </c>
      <c r="H103">
        <v>3153.56</v>
      </c>
      <c r="I103" s="2">
        <v>2.4500000000000001E-2</v>
      </c>
    </row>
    <row r="104" spans="1:9" x14ac:dyDescent="0.35">
      <c r="A104" t="s">
        <v>33</v>
      </c>
      <c r="B104" s="1">
        <v>45383</v>
      </c>
      <c r="C104">
        <v>33</v>
      </c>
      <c r="D104">
        <v>9</v>
      </c>
      <c r="E104">
        <v>578.41999999999996</v>
      </c>
      <c r="F104">
        <v>4</v>
      </c>
      <c r="G104" s="2">
        <v>0.44444444444444442</v>
      </c>
      <c r="H104">
        <v>229.72</v>
      </c>
      <c r="I104" s="2">
        <v>7.46E-2</v>
      </c>
    </row>
    <row r="105" spans="1:9" x14ac:dyDescent="0.35">
      <c r="A105" t="s">
        <v>34</v>
      </c>
      <c r="B105" s="1">
        <v>45383</v>
      </c>
      <c r="C105">
        <v>42</v>
      </c>
      <c r="D105">
        <v>14</v>
      </c>
      <c r="E105">
        <v>321.29000000000002</v>
      </c>
      <c r="F105">
        <v>7</v>
      </c>
      <c r="G105" s="2">
        <v>0.5</v>
      </c>
      <c r="H105">
        <v>4298.2700000000004</v>
      </c>
      <c r="I105" s="2">
        <v>7.4499999999999997E-2</v>
      </c>
    </row>
    <row r="106" spans="1:9" x14ac:dyDescent="0.35">
      <c r="A106" t="s">
        <v>9</v>
      </c>
      <c r="B106" s="1">
        <v>45413</v>
      </c>
      <c r="C106">
        <v>69</v>
      </c>
      <c r="D106">
        <v>16</v>
      </c>
      <c r="E106">
        <v>299.22000000000003</v>
      </c>
      <c r="F106">
        <v>6</v>
      </c>
      <c r="G106" s="2">
        <v>0.375</v>
      </c>
      <c r="H106">
        <v>3716.14</v>
      </c>
      <c r="I106" s="2">
        <v>2.63E-2</v>
      </c>
    </row>
    <row r="107" spans="1:9" x14ac:dyDescent="0.35">
      <c r="A107" t="s">
        <v>10</v>
      </c>
      <c r="B107" s="1">
        <v>45413</v>
      </c>
      <c r="C107">
        <v>68</v>
      </c>
      <c r="D107">
        <v>11</v>
      </c>
      <c r="E107">
        <v>345.62</v>
      </c>
      <c r="F107">
        <v>4</v>
      </c>
      <c r="G107" s="2">
        <v>0.36363636363636365</v>
      </c>
      <c r="H107">
        <v>3558.13</v>
      </c>
      <c r="I107" s="2">
        <v>4.0800000000000003E-2</v>
      </c>
    </row>
    <row r="108" spans="1:9" x14ac:dyDescent="0.35">
      <c r="A108" t="s">
        <v>11</v>
      </c>
      <c r="B108" s="1">
        <v>45413</v>
      </c>
      <c r="C108">
        <v>45</v>
      </c>
      <c r="D108">
        <v>17</v>
      </c>
      <c r="E108">
        <v>416.96</v>
      </c>
      <c r="F108">
        <v>3</v>
      </c>
      <c r="G108" s="2">
        <v>0.17647058823529413</v>
      </c>
      <c r="H108">
        <v>3327.07</v>
      </c>
      <c r="I108" s="2">
        <v>4.0999999999999995E-2</v>
      </c>
    </row>
    <row r="109" spans="1:9" x14ac:dyDescent="0.35">
      <c r="A109" t="s">
        <v>12</v>
      </c>
      <c r="B109" s="1">
        <v>45413</v>
      </c>
      <c r="C109">
        <v>17</v>
      </c>
      <c r="D109">
        <v>8</v>
      </c>
      <c r="E109">
        <v>72.05</v>
      </c>
      <c r="F109">
        <v>3</v>
      </c>
      <c r="G109" s="2">
        <v>0.375</v>
      </c>
      <c r="H109">
        <v>1672.82</v>
      </c>
      <c r="I109" s="2">
        <v>3.0299999999999997E-2</v>
      </c>
    </row>
    <row r="110" spans="1:9" x14ac:dyDescent="0.35">
      <c r="A110" t="s">
        <v>13</v>
      </c>
      <c r="B110" s="1">
        <v>45413</v>
      </c>
      <c r="C110">
        <v>85</v>
      </c>
      <c r="D110">
        <v>13</v>
      </c>
      <c r="E110">
        <v>475.61</v>
      </c>
      <c r="F110">
        <v>5</v>
      </c>
      <c r="G110" s="2">
        <v>0.38461538461538464</v>
      </c>
      <c r="H110">
        <v>939.32</v>
      </c>
      <c r="I110" s="2">
        <v>3.6400000000000002E-2</v>
      </c>
    </row>
    <row r="111" spans="1:9" x14ac:dyDescent="0.35">
      <c r="A111" t="s">
        <v>14</v>
      </c>
      <c r="B111" s="1">
        <v>45413</v>
      </c>
      <c r="C111">
        <v>49</v>
      </c>
      <c r="D111">
        <v>7</v>
      </c>
      <c r="E111">
        <v>469.53</v>
      </c>
      <c r="F111">
        <v>3</v>
      </c>
      <c r="G111" s="2">
        <v>0.42857142857142855</v>
      </c>
      <c r="H111">
        <v>3623.32</v>
      </c>
      <c r="I111" s="2">
        <v>1.21E-2</v>
      </c>
    </row>
    <row r="112" spans="1:9" x14ac:dyDescent="0.35">
      <c r="A112" t="s">
        <v>15</v>
      </c>
      <c r="B112" s="1">
        <v>45413</v>
      </c>
      <c r="C112">
        <v>66</v>
      </c>
      <c r="D112">
        <v>15</v>
      </c>
      <c r="E112">
        <v>333.1</v>
      </c>
      <c r="F112">
        <v>2</v>
      </c>
      <c r="G112" s="2">
        <v>0.13333333333333333</v>
      </c>
      <c r="H112">
        <v>2631.58</v>
      </c>
      <c r="I112" s="2">
        <v>0.10249999999999999</v>
      </c>
    </row>
    <row r="113" spans="1:9" x14ac:dyDescent="0.35">
      <c r="A113" t="s">
        <v>16</v>
      </c>
      <c r="B113" s="1">
        <v>45413</v>
      </c>
      <c r="C113">
        <v>63</v>
      </c>
      <c r="D113">
        <v>9</v>
      </c>
      <c r="E113">
        <v>258.11</v>
      </c>
      <c r="F113">
        <v>7</v>
      </c>
      <c r="G113" s="2">
        <v>0.77777777777777779</v>
      </c>
      <c r="H113">
        <v>4064.36</v>
      </c>
      <c r="I113" s="2">
        <v>4.1599999999999998E-2</v>
      </c>
    </row>
    <row r="114" spans="1:9" x14ac:dyDescent="0.35">
      <c r="A114" t="s">
        <v>17</v>
      </c>
      <c r="B114" s="1">
        <v>45413</v>
      </c>
      <c r="C114">
        <v>31</v>
      </c>
      <c r="D114">
        <v>20</v>
      </c>
      <c r="E114">
        <v>400.8</v>
      </c>
      <c r="F114">
        <v>8</v>
      </c>
      <c r="G114" s="2">
        <v>0.4</v>
      </c>
      <c r="H114">
        <v>1294.3599999999999</v>
      </c>
      <c r="I114" s="2">
        <v>5.6399999999999999E-2</v>
      </c>
    </row>
    <row r="115" spans="1:9" x14ac:dyDescent="0.35">
      <c r="A115" t="s">
        <v>18</v>
      </c>
      <c r="B115" s="1">
        <v>45413</v>
      </c>
      <c r="C115">
        <v>75</v>
      </c>
      <c r="D115">
        <v>19</v>
      </c>
      <c r="E115">
        <v>343.28</v>
      </c>
      <c r="F115">
        <v>9</v>
      </c>
      <c r="G115" s="2">
        <v>0.47368421052631576</v>
      </c>
      <c r="H115">
        <v>899.46</v>
      </c>
      <c r="I115" s="2">
        <v>3.2199999999999999E-2</v>
      </c>
    </row>
    <row r="116" spans="1:9" x14ac:dyDescent="0.35">
      <c r="A116" t="s">
        <v>19</v>
      </c>
      <c r="B116" s="1">
        <v>45413</v>
      </c>
      <c r="C116">
        <v>18</v>
      </c>
      <c r="D116">
        <v>7</v>
      </c>
      <c r="E116">
        <v>204.63</v>
      </c>
      <c r="F116">
        <v>7</v>
      </c>
      <c r="G116" s="2">
        <v>1</v>
      </c>
      <c r="H116">
        <v>789.77</v>
      </c>
      <c r="I116" s="2">
        <v>7.4499999999999997E-2</v>
      </c>
    </row>
    <row r="117" spans="1:9" x14ac:dyDescent="0.35">
      <c r="A117" t="s">
        <v>20</v>
      </c>
      <c r="B117" s="1">
        <v>45413</v>
      </c>
      <c r="C117">
        <v>35</v>
      </c>
      <c r="D117">
        <v>6</v>
      </c>
      <c r="E117">
        <v>553.11</v>
      </c>
      <c r="F117">
        <v>4</v>
      </c>
      <c r="G117" s="2">
        <v>0.66666666666666663</v>
      </c>
      <c r="H117">
        <v>3867.67</v>
      </c>
      <c r="I117" s="2">
        <v>3.8300000000000001E-2</v>
      </c>
    </row>
    <row r="118" spans="1:9" x14ac:dyDescent="0.35">
      <c r="A118" t="s">
        <v>21</v>
      </c>
      <c r="B118" s="1">
        <v>45413</v>
      </c>
      <c r="C118">
        <v>74</v>
      </c>
      <c r="D118">
        <v>20</v>
      </c>
      <c r="E118">
        <v>623.33000000000004</v>
      </c>
      <c r="F118">
        <v>2</v>
      </c>
      <c r="G118" s="2">
        <v>0.1</v>
      </c>
      <c r="H118">
        <v>359.97</v>
      </c>
      <c r="I118" s="2">
        <v>3.8399999999999997E-2</v>
      </c>
    </row>
    <row r="119" spans="1:9" x14ac:dyDescent="0.35">
      <c r="A119" t="s">
        <v>22</v>
      </c>
      <c r="B119" s="1">
        <v>45413</v>
      </c>
      <c r="C119">
        <v>26</v>
      </c>
      <c r="D119">
        <v>7</v>
      </c>
      <c r="E119">
        <v>200.45</v>
      </c>
      <c r="F119">
        <v>1</v>
      </c>
      <c r="G119" s="2">
        <v>0.14285714285714285</v>
      </c>
      <c r="H119">
        <v>3797.35</v>
      </c>
      <c r="I119" s="2">
        <v>4.1399999999999999E-2</v>
      </c>
    </row>
    <row r="120" spans="1:9" x14ac:dyDescent="0.35">
      <c r="A120" t="s">
        <v>23</v>
      </c>
      <c r="B120" s="1">
        <v>45413</v>
      </c>
      <c r="C120">
        <v>50</v>
      </c>
      <c r="D120">
        <v>7</v>
      </c>
      <c r="E120">
        <v>196.2</v>
      </c>
      <c r="F120">
        <v>2</v>
      </c>
      <c r="G120" s="2">
        <v>0.2857142857142857</v>
      </c>
      <c r="H120">
        <v>592.71</v>
      </c>
      <c r="I120" s="2">
        <v>2.76E-2</v>
      </c>
    </row>
    <row r="121" spans="1:9" x14ac:dyDescent="0.35">
      <c r="A121" t="s">
        <v>24</v>
      </c>
      <c r="B121" s="1">
        <v>45413</v>
      </c>
      <c r="C121">
        <v>97</v>
      </c>
      <c r="D121">
        <v>5</v>
      </c>
      <c r="E121">
        <v>185.62</v>
      </c>
      <c r="F121">
        <v>4</v>
      </c>
      <c r="G121" s="2">
        <v>0.8</v>
      </c>
      <c r="H121">
        <v>1282.81</v>
      </c>
      <c r="I121" s="2">
        <v>7.22E-2</v>
      </c>
    </row>
    <row r="122" spans="1:9" x14ac:dyDescent="0.35">
      <c r="A122" t="s">
        <v>25</v>
      </c>
      <c r="B122" s="1">
        <v>45413</v>
      </c>
      <c r="C122">
        <v>91</v>
      </c>
      <c r="D122">
        <v>7</v>
      </c>
      <c r="E122">
        <v>89.39</v>
      </c>
      <c r="F122">
        <v>6</v>
      </c>
      <c r="G122" s="2">
        <v>0.8571428571428571</v>
      </c>
      <c r="H122">
        <v>3971.59</v>
      </c>
      <c r="I122" s="2">
        <v>9.0700000000000003E-2</v>
      </c>
    </row>
    <row r="123" spans="1:9" x14ac:dyDescent="0.35">
      <c r="A123" t="s">
        <v>26</v>
      </c>
      <c r="B123" s="1">
        <v>45413</v>
      </c>
      <c r="C123">
        <v>21</v>
      </c>
      <c r="D123">
        <v>14</v>
      </c>
      <c r="E123">
        <v>472.79</v>
      </c>
      <c r="F123">
        <v>8</v>
      </c>
      <c r="G123" s="2">
        <v>0.5714285714285714</v>
      </c>
      <c r="H123">
        <v>3830.32</v>
      </c>
      <c r="I123" s="2">
        <v>3.5200000000000002E-2</v>
      </c>
    </row>
    <row r="124" spans="1:9" x14ac:dyDescent="0.35">
      <c r="A124" t="s">
        <v>27</v>
      </c>
      <c r="B124" s="1">
        <v>45413</v>
      </c>
      <c r="C124">
        <v>91</v>
      </c>
      <c r="D124">
        <v>15</v>
      </c>
      <c r="E124">
        <v>173.03</v>
      </c>
      <c r="F124">
        <v>4</v>
      </c>
      <c r="G124" s="2">
        <v>0.26666666666666666</v>
      </c>
      <c r="H124">
        <v>386.08</v>
      </c>
      <c r="I124" s="2">
        <v>9.820000000000001E-2</v>
      </c>
    </row>
    <row r="125" spans="1:9" x14ac:dyDescent="0.35">
      <c r="A125" t="s">
        <v>28</v>
      </c>
      <c r="B125" s="1">
        <v>45413</v>
      </c>
      <c r="C125">
        <v>67</v>
      </c>
      <c r="D125">
        <v>15</v>
      </c>
      <c r="E125">
        <v>499.68</v>
      </c>
      <c r="F125">
        <v>0</v>
      </c>
      <c r="G125" s="2">
        <v>0</v>
      </c>
      <c r="H125">
        <v>1287.1300000000001</v>
      </c>
      <c r="I125" s="2">
        <v>1E-3</v>
      </c>
    </row>
    <row r="126" spans="1:9" x14ac:dyDescent="0.35">
      <c r="A126" t="s">
        <v>29</v>
      </c>
      <c r="B126" s="1">
        <v>45413</v>
      </c>
      <c r="C126">
        <v>19</v>
      </c>
      <c r="D126">
        <v>13</v>
      </c>
      <c r="E126">
        <v>316.23</v>
      </c>
      <c r="F126">
        <v>1</v>
      </c>
      <c r="G126" s="2">
        <v>7.6923076923076927E-2</v>
      </c>
      <c r="H126">
        <v>1598.49</v>
      </c>
      <c r="I126" s="2">
        <v>5.8299999999999998E-2</v>
      </c>
    </row>
    <row r="127" spans="1:9" x14ac:dyDescent="0.35">
      <c r="A127" t="s">
        <v>30</v>
      </c>
      <c r="B127" s="1">
        <v>45413</v>
      </c>
      <c r="C127">
        <v>105</v>
      </c>
      <c r="D127">
        <v>6</v>
      </c>
      <c r="E127">
        <v>567.03</v>
      </c>
      <c r="F127">
        <v>1</v>
      </c>
      <c r="G127" s="2">
        <v>0.16666666666666666</v>
      </c>
      <c r="H127">
        <v>3496.65</v>
      </c>
      <c r="I127" s="2">
        <v>3.0600000000000002E-2</v>
      </c>
    </row>
    <row r="128" spans="1:9" x14ac:dyDescent="0.35">
      <c r="A128" t="s">
        <v>31</v>
      </c>
      <c r="B128" s="1">
        <v>45413</v>
      </c>
      <c r="C128">
        <v>73</v>
      </c>
      <c r="D128">
        <v>8</v>
      </c>
      <c r="E128">
        <v>175.52</v>
      </c>
      <c r="F128">
        <v>7</v>
      </c>
      <c r="G128" s="2">
        <v>0.875</v>
      </c>
      <c r="H128">
        <v>455.32</v>
      </c>
      <c r="I128" s="2">
        <v>9.35E-2</v>
      </c>
    </row>
    <row r="129" spans="1:9" x14ac:dyDescent="0.35">
      <c r="A129" t="s">
        <v>32</v>
      </c>
      <c r="B129" s="1">
        <v>45413</v>
      </c>
      <c r="C129">
        <v>111</v>
      </c>
      <c r="D129">
        <v>13</v>
      </c>
      <c r="E129">
        <v>358.31</v>
      </c>
      <c r="F129">
        <v>0</v>
      </c>
      <c r="G129" s="2">
        <v>0</v>
      </c>
      <c r="H129">
        <v>2811.77</v>
      </c>
      <c r="I129" s="2">
        <v>2.7099999999999999E-2</v>
      </c>
    </row>
    <row r="130" spans="1:9" x14ac:dyDescent="0.35">
      <c r="A130" t="s">
        <v>33</v>
      </c>
      <c r="B130" s="1">
        <v>45413</v>
      </c>
      <c r="C130">
        <v>38</v>
      </c>
      <c r="D130">
        <v>12</v>
      </c>
      <c r="E130">
        <v>556.33000000000004</v>
      </c>
      <c r="F130">
        <v>4</v>
      </c>
      <c r="G130" s="2">
        <v>0.33333333333333331</v>
      </c>
      <c r="H130">
        <v>241.08</v>
      </c>
      <c r="I130" s="2">
        <v>7.0599999999999996E-2</v>
      </c>
    </row>
    <row r="131" spans="1:9" x14ac:dyDescent="0.35">
      <c r="A131" t="s">
        <v>34</v>
      </c>
      <c r="B131" s="1">
        <v>45413</v>
      </c>
      <c r="C131">
        <v>33</v>
      </c>
      <c r="D131">
        <v>17</v>
      </c>
      <c r="E131">
        <v>371.65</v>
      </c>
      <c r="F131">
        <v>9</v>
      </c>
      <c r="G131" s="2">
        <v>0.52941176470588236</v>
      </c>
      <c r="H131">
        <v>4068.75</v>
      </c>
      <c r="I131" s="2">
        <v>8.5500000000000007E-2</v>
      </c>
    </row>
    <row r="132" spans="1:9" x14ac:dyDescent="0.35">
      <c r="A132" t="s">
        <v>9</v>
      </c>
      <c r="B132" s="1">
        <v>45444</v>
      </c>
      <c r="C132">
        <v>59</v>
      </c>
      <c r="D132">
        <v>16</v>
      </c>
      <c r="E132">
        <v>359.47</v>
      </c>
      <c r="F132">
        <v>7</v>
      </c>
      <c r="G132" s="2">
        <v>0.4375</v>
      </c>
      <c r="H132">
        <v>3958.94</v>
      </c>
      <c r="I132" s="2">
        <v>2.46E-2</v>
      </c>
    </row>
    <row r="133" spans="1:9" x14ac:dyDescent="0.35">
      <c r="A133" t="s">
        <v>10</v>
      </c>
      <c r="B133" s="1">
        <v>45444</v>
      </c>
      <c r="C133">
        <v>71</v>
      </c>
      <c r="D133">
        <v>11</v>
      </c>
      <c r="E133">
        <v>379.33</v>
      </c>
      <c r="F133">
        <v>4</v>
      </c>
      <c r="G133" s="2">
        <v>0.36363636363636365</v>
      </c>
      <c r="H133">
        <v>4003.52</v>
      </c>
      <c r="I133" s="2">
        <v>4.2900000000000001E-2</v>
      </c>
    </row>
    <row r="134" spans="1:9" x14ac:dyDescent="0.35">
      <c r="A134" t="s">
        <v>11</v>
      </c>
      <c r="B134" s="1">
        <v>45444</v>
      </c>
      <c r="C134">
        <v>48</v>
      </c>
      <c r="D134">
        <v>14</v>
      </c>
      <c r="E134">
        <v>383.94</v>
      </c>
      <c r="F134">
        <v>3</v>
      </c>
      <c r="G134" s="2">
        <v>0.21428571428571427</v>
      </c>
      <c r="H134">
        <v>3173.36</v>
      </c>
      <c r="I134" s="2">
        <v>4.0999999999999995E-2</v>
      </c>
    </row>
    <row r="135" spans="1:9" x14ac:dyDescent="0.35">
      <c r="A135" t="s">
        <v>12</v>
      </c>
      <c r="B135" s="1">
        <v>45444</v>
      </c>
      <c r="C135">
        <v>18</v>
      </c>
      <c r="D135">
        <v>7</v>
      </c>
      <c r="E135">
        <v>85.32</v>
      </c>
      <c r="F135">
        <v>3</v>
      </c>
      <c r="G135" s="2">
        <v>0.42857142857142855</v>
      </c>
      <c r="H135">
        <v>1431.69</v>
      </c>
      <c r="I135" s="2">
        <v>3.1600000000000003E-2</v>
      </c>
    </row>
    <row r="136" spans="1:9" x14ac:dyDescent="0.35">
      <c r="A136" t="s">
        <v>13</v>
      </c>
      <c r="B136" s="1">
        <v>45444</v>
      </c>
      <c r="C136">
        <v>93</v>
      </c>
      <c r="D136">
        <v>14</v>
      </c>
      <c r="E136">
        <v>466.81</v>
      </c>
      <c r="F136">
        <v>5</v>
      </c>
      <c r="G136" s="2">
        <v>0.35714285714285715</v>
      </c>
      <c r="H136">
        <v>988.98</v>
      </c>
      <c r="I136" s="2">
        <v>4.2300000000000004E-2</v>
      </c>
    </row>
    <row r="137" spans="1:9" x14ac:dyDescent="0.35">
      <c r="A137" t="s">
        <v>14</v>
      </c>
      <c r="B137" s="1">
        <v>45444</v>
      </c>
      <c r="C137">
        <v>49</v>
      </c>
      <c r="D137">
        <v>7</v>
      </c>
      <c r="E137">
        <v>512.88</v>
      </c>
      <c r="F137">
        <v>2</v>
      </c>
      <c r="G137" s="2">
        <v>0.2857142857142857</v>
      </c>
      <c r="H137">
        <v>3545.66</v>
      </c>
      <c r="I137" s="2">
        <v>1.2699999999999999E-2</v>
      </c>
    </row>
    <row r="138" spans="1:9" x14ac:dyDescent="0.35">
      <c r="A138" t="s">
        <v>15</v>
      </c>
      <c r="B138" s="1">
        <v>45444</v>
      </c>
      <c r="C138">
        <v>85</v>
      </c>
      <c r="D138">
        <v>17</v>
      </c>
      <c r="E138">
        <v>324.56</v>
      </c>
      <c r="F138">
        <v>3</v>
      </c>
      <c r="G138" s="2">
        <v>0.17647058823529413</v>
      </c>
      <c r="H138">
        <v>2420.5300000000002</v>
      </c>
      <c r="I138" s="2">
        <v>8.929999999999999E-2</v>
      </c>
    </row>
    <row r="139" spans="1:9" x14ac:dyDescent="0.35">
      <c r="A139" t="s">
        <v>16</v>
      </c>
      <c r="B139" s="1">
        <v>45444</v>
      </c>
      <c r="C139">
        <v>61</v>
      </c>
      <c r="D139">
        <v>7</v>
      </c>
      <c r="E139">
        <v>219.53</v>
      </c>
      <c r="F139">
        <v>7</v>
      </c>
      <c r="G139" s="2">
        <v>1</v>
      </c>
      <c r="H139">
        <v>3860.12</v>
      </c>
      <c r="I139" s="2">
        <v>4.3499999999999997E-2</v>
      </c>
    </row>
    <row r="140" spans="1:9" x14ac:dyDescent="0.35">
      <c r="A140" t="s">
        <v>17</v>
      </c>
      <c r="B140" s="1">
        <v>45444</v>
      </c>
      <c r="C140">
        <v>30</v>
      </c>
      <c r="D140">
        <v>16</v>
      </c>
      <c r="E140">
        <v>353.65</v>
      </c>
      <c r="F140">
        <v>9</v>
      </c>
      <c r="G140" s="2">
        <v>0.5625</v>
      </c>
      <c r="H140">
        <v>1213.5899999999999</v>
      </c>
      <c r="I140" s="2">
        <v>6.2E-2</v>
      </c>
    </row>
    <row r="141" spans="1:9" x14ac:dyDescent="0.35">
      <c r="A141" t="s">
        <v>18</v>
      </c>
      <c r="B141" s="1">
        <v>45444</v>
      </c>
      <c r="C141">
        <v>54</v>
      </c>
      <c r="D141">
        <v>16</v>
      </c>
      <c r="E141">
        <v>334.41</v>
      </c>
      <c r="F141">
        <v>9</v>
      </c>
      <c r="G141" s="2">
        <v>0.5625</v>
      </c>
      <c r="H141">
        <v>1056.98</v>
      </c>
      <c r="I141" s="2">
        <v>3.5200000000000002E-2</v>
      </c>
    </row>
    <row r="142" spans="1:9" x14ac:dyDescent="0.35">
      <c r="A142" t="s">
        <v>19</v>
      </c>
      <c r="B142" s="1">
        <v>45444</v>
      </c>
      <c r="C142">
        <v>19</v>
      </c>
      <c r="D142">
        <v>7</v>
      </c>
      <c r="E142">
        <v>199.46</v>
      </c>
      <c r="F142">
        <v>7</v>
      </c>
      <c r="G142" s="2">
        <v>1</v>
      </c>
      <c r="H142">
        <v>809.56</v>
      </c>
      <c r="I142" s="2">
        <v>7.1399999999999991E-2</v>
      </c>
    </row>
    <row r="143" spans="1:9" x14ac:dyDescent="0.35">
      <c r="A143" t="s">
        <v>20</v>
      </c>
      <c r="B143" s="1">
        <v>45444</v>
      </c>
      <c r="C143">
        <v>40</v>
      </c>
      <c r="D143">
        <v>6</v>
      </c>
      <c r="E143">
        <v>509.67</v>
      </c>
      <c r="F143">
        <v>4</v>
      </c>
      <c r="G143" s="2">
        <v>0.66666666666666663</v>
      </c>
      <c r="H143">
        <v>3330.44</v>
      </c>
      <c r="I143" s="2">
        <v>3.8300000000000001E-2</v>
      </c>
    </row>
    <row r="144" spans="1:9" x14ac:dyDescent="0.35">
      <c r="A144" t="s">
        <v>21</v>
      </c>
      <c r="B144" s="1">
        <v>45444</v>
      </c>
      <c r="C144">
        <v>73</v>
      </c>
      <c r="D144">
        <v>21</v>
      </c>
      <c r="E144">
        <v>601.02</v>
      </c>
      <c r="F144">
        <v>2</v>
      </c>
      <c r="G144" s="2">
        <v>9.5238095238095233E-2</v>
      </c>
      <c r="H144">
        <v>364.56</v>
      </c>
      <c r="I144" s="2">
        <v>3.4300000000000004E-2</v>
      </c>
    </row>
    <row r="145" spans="1:9" x14ac:dyDescent="0.35">
      <c r="A145" t="s">
        <v>22</v>
      </c>
      <c r="B145" s="1">
        <v>45444</v>
      </c>
      <c r="C145">
        <v>36</v>
      </c>
      <c r="D145">
        <v>9</v>
      </c>
      <c r="E145">
        <v>196.74</v>
      </c>
      <c r="F145">
        <v>1</v>
      </c>
      <c r="G145" s="2">
        <v>0.1111111111111111</v>
      </c>
      <c r="H145">
        <v>3760.57</v>
      </c>
      <c r="I145" s="2">
        <v>3.9800000000000002E-2</v>
      </c>
    </row>
    <row r="146" spans="1:9" x14ac:dyDescent="0.35">
      <c r="A146" t="s">
        <v>23</v>
      </c>
      <c r="B146" s="1">
        <v>45444</v>
      </c>
      <c r="C146">
        <v>58</v>
      </c>
      <c r="D146">
        <v>8</v>
      </c>
      <c r="E146">
        <v>196.58</v>
      </c>
      <c r="F146">
        <v>3</v>
      </c>
      <c r="G146" s="2">
        <v>0.375</v>
      </c>
      <c r="H146">
        <v>692.47</v>
      </c>
      <c r="I146" s="2">
        <v>3.27E-2</v>
      </c>
    </row>
    <row r="147" spans="1:9" x14ac:dyDescent="0.35">
      <c r="A147" t="s">
        <v>24</v>
      </c>
      <c r="B147" s="1">
        <v>45444</v>
      </c>
      <c r="C147">
        <v>100</v>
      </c>
      <c r="D147">
        <v>5</v>
      </c>
      <c r="E147">
        <v>153.87</v>
      </c>
      <c r="F147">
        <v>2</v>
      </c>
      <c r="G147" s="2">
        <v>0.4</v>
      </c>
      <c r="H147">
        <v>1190.24</v>
      </c>
      <c r="I147" s="2">
        <v>8.0600000000000005E-2</v>
      </c>
    </row>
    <row r="148" spans="1:9" x14ac:dyDescent="0.35">
      <c r="A148" t="s">
        <v>25</v>
      </c>
      <c r="B148" s="1">
        <v>45444</v>
      </c>
      <c r="C148">
        <v>93</v>
      </c>
      <c r="D148">
        <v>5</v>
      </c>
      <c r="E148">
        <v>85.65</v>
      </c>
      <c r="F148">
        <v>5</v>
      </c>
      <c r="G148" s="2">
        <v>1</v>
      </c>
      <c r="H148">
        <v>3913.17</v>
      </c>
      <c r="I148" s="2">
        <v>9.5700000000000007E-2</v>
      </c>
    </row>
    <row r="149" spans="1:9" x14ac:dyDescent="0.35">
      <c r="A149" t="s">
        <v>26</v>
      </c>
      <c r="B149" s="1">
        <v>45444</v>
      </c>
      <c r="C149">
        <v>28</v>
      </c>
      <c r="D149">
        <v>16</v>
      </c>
      <c r="E149">
        <v>506.95</v>
      </c>
      <c r="F149">
        <v>6</v>
      </c>
      <c r="G149" s="2">
        <v>0.375</v>
      </c>
      <c r="H149">
        <v>3993.03</v>
      </c>
      <c r="I149" s="2">
        <v>3.0600000000000002E-2</v>
      </c>
    </row>
    <row r="150" spans="1:9" x14ac:dyDescent="0.35">
      <c r="A150" t="s">
        <v>27</v>
      </c>
      <c r="B150" s="1">
        <v>45444</v>
      </c>
      <c r="C150">
        <v>88</v>
      </c>
      <c r="D150">
        <v>18</v>
      </c>
      <c r="E150">
        <v>181.21</v>
      </c>
      <c r="F150">
        <v>4</v>
      </c>
      <c r="G150" s="2">
        <v>0.22222222222222221</v>
      </c>
      <c r="H150">
        <v>377.13</v>
      </c>
      <c r="I150" s="2">
        <v>0.10009999999999999</v>
      </c>
    </row>
    <row r="151" spans="1:9" x14ac:dyDescent="0.35">
      <c r="A151" t="s">
        <v>28</v>
      </c>
      <c r="B151" s="1">
        <v>45444</v>
      </c>
      <c r="C151">
        <v>69</v>
      </c>
      <c r="D151">
        <v>16</v>
      </c>
      <c r="E151">
        <v>495.32</v>
      </c>
      <c r="F151">
        <v>0</v>
      </c>
      <c r="G151" s="2">
        <v>0</v>
      </c>
      <c r="H151">
        <v>1262.99</v>
      </c>
      <c r="I151" s="2">
        <v>1E-3</v>
      </c>
    </row>
    <row r="152" spans="1:9" x14ac:dyDescent="0.35">
      <c r="A152" t="s">
        <v>29</v>
      </c>
      <c r="B152" s="1">
        <v>45444</v>
      </c>
      <c r="C152">
        <v>21</v>
      </c>
      <c r="D152">
        <v>16</v>
      </c>
      <c r="E152">
        <v>315.91000000000003</v>
      </c>
      <c r="F152">
        <v>1</v>
      </c>
      <c r="G152" s="2">
        <v>6.25E-2</v>
      </c>
      <c r="H152">
        <v>1455.83</v>
      </c>
      <c r="I152" s="2">
        <v>5.1299999999999998E-2</v>
      </c>
    </row>
    <row r="153" spans="1:9" x14ac:dyDescent="0.35">
      <c r="A153" t="s">
        <v>30</v>
      </c>
      <c r="B153" s="1">
        <v>45444</v>
      </c>
      <c r="C153">
        <v>92</v>
      </c>
      <c r="D153">
        <v>5</v>
      </c>
      <c r="E153">
        <v>569.75</v>
      </c>
      <c r="F153">
        <v>2</v>
      </c>
      <c r="G153" s="2">
        <v>0.4</v>
      </c>
      <c r="H153">
        <v>3734.43</v>
      </c>
      <c r="I153" s="2">
        <v>2.76E-2</v>
      </c>
    </row>
    <row r="154" spans="1:9" x14ac:dyDescent="0.35">
      <c r="A154" t="s">
        <v>31</v>
      </c>
      <c r="B154" s="1">
        <v>45444</v>
      </c>
      <c r="C154">
        <v>58</v>
      </c>
      <c r="D154">
        <v>7</v>
      </c>
      <c r="E154">
        <v>173.24</v>
      </c>
      <c r="F154">
        <v>7</v>
      </c>
      <c r="G154" s="2">
        <v>1</v>
      </c>
      <c r="H154">
        <v>525.73</v>
      </c>
      <c r="I154" s="2">
        <v>8.2299999999999998E-2</v>
      </c>
    </row>
    <row r="155" spans="1:9" x14ac:dyDescent="0.35">
      <c r="A155" t="s">
        <v>32</v>
      </c>
      <c r="B155" s="1">
        <v>45444</v>
      </c>
      <c r="C155">
        <v>114</v>
      </c>
      <c r="D155">
        <v>13</v>
      </c>
      <c r="E155">
        <v>364.35</v>
      </c>
      <c r="F155">
        <v>0</v>
      </c>
      <c r="G155" s="2">
        <v>0</v>
      </c>
      <c r="H155">
        <v>2988.28</v>
      </c>
      <c r="I155" s="2">
        <v>2.58E-2</v>
      </c>
    </row>
    <row r="156" spans="1:9" x14ac:dyDescent="0.35">
      <c r="A156" t="s">
        <v>33</v>
      </c>
      <c r="B156" s="1">
        <v>45444</v>
      </c>
      <c r="C156">
        <v>35</v>
      </c>
      <c r="D156">
        <v>12</v>
      </c>
      <c r="E156">
        <v>515.24</v>
      </c>
      <c r="F156">
        <v>5</v>
      </c>
      <c r="G156" s="2">
        <v>0.41666666666666669</v>
      </c>
      <c r="H156">
        <v>224.24</v>
      </c>
      <c r="I156" s="2">
        <v>6.9800000000000001E-2</v>
      </c>
    </row>
    <row r="157" spans="1:9" x14ac:dyDescent="0.35">
      <c r="A157" t="s">
        <v>34</v>
      </c>
      <c r="B157" s="1">
        <v>45444</v>
      </c>
      <c r="C157">
        <v>35</v>
      </c>
      <c r="D157">
        <v>16</v>
      </c>
      <c r="E157">
        <v>351.71</v>
      </c>
      <c r="F157">
        <v>9</v>
      </c>
      <c r="G157" s="2">
        <v>0.5625</v>
      </c>
      <c r="H157">
        <v>3984.69</v>
      </c>
      <c r="I157" s="2">
        <v>7.4099999999999999E-2</v>
      </c>
    </row>
    <row r="158" spans="1:9" x14ac:dyDescent="0.35">
      <c r="A158" t="s">
        <v>9</v>
      </c>
      <c r="B158" s="1">
        <v>45474</v>
      </c>
      <c r="C158">
        <v>71</v>
      </c>
      <c r="D158">
        <v>17</v>
      </c>
      <c r="E158">
        <v>360.1</v>
      </c>
      <c r="F158">
        <v>6</v>
      </c>
      <c r="G158" s="2">
        <v>0.35294117647058826</v>
      </c>
      <c r="H158">
        <v>4444.83</v>
      </c>
      <c r="I158" s="2">
        <v>2.9500000000000002E-2</v>
      </c>
    </row>
    <row r="159" spans="1:9" x14ac:dyDescent="0.35">
      <c r="A159" t="s">
        <v>10</v>
      </c>
      <c r="B159" s="1">
        <v>45474</v>
      </c>
      <c r="C159">
        <v>62</v>
      </c>
      <c r="D159">
        <v>13</v>
      </c>
      <c r="E159">
        <v>364.64</v>
      </c>
      <c r="F159">
        <v>4</v>
      </c>
      <c r="G159" s="2">
        <v>0.30769230769230771</v>
      </c>
      <c r="H159">
        <v>3704.33</v>
      </c>
      <c r="I159" s="2">
        <v>3.7499999999999999E-2</v>
      </c>
    </row>
    <row r="160" spans="1:9" x14ac:dyDescent="0.35">
      <c r="A160" t="s">
        <v>11</v>
      </c>
      <c r="B160" s="1">
        <v>45474</v>
      </c>
      <c r="C160">
        <v>53</v>
      </c>
      <c r="D160">
        <v>14</v>
      </c>
      <c r="E160">
        <v>367.56</v>
      </c>
      <c r="F160">
        <v>2</v>
      </c>
      <c r="G160" s="2">
        <v>0.14285714285714285</v>
      </c>
      <c r="H160">
        <v>3514.07</v>
      </c>
      <c r="I160" s="2">
        <v>4.0099999999999997E-2</v>
      </c>
    </row>
    <row r="161" spans="1:9" x14ac:dyDescent="0.35">
      <c r="A161" t="s">
        <v>12</v>
      </c>
      <c r="B161" s="1">
        <v>45474</v>
      </c>
      <c r="C161">
        <v>18</v>
      </c>
      <c r="D161">
        <v>6</v>
      </c>
      <c r="E161">
        <v>76.27</v>
      </c>
      <c r="F161">
        <v>4</v>
      </c>
      <c r="G161" s="2">
        <v>0.66666666666666663</v>
      </c>
      <c r="H161">
        <v>1597.98</v>
      </c>
      <c r="I161" s="2">
        <v>2.81E-2</v>
      </c>
    </row>
    <row r="162" spans="1:9" x14ac:dyDescent="0.35">
      <c r="A162" t="s">
        <v>13</v>
      </c>
      <c r="B162" s="1">
        <v>45474</v>
      </c>
      <c r="C162">
        <v>71</v>
      </c>
      <c r="D162">
        <v>12</v>
      </c>
      <c r="E162">
        <v>487.04</v>
      </c>
      <c r="F162">
        <v>5</v>
      </c>
      <c r="G162" s="2">
        <v>0.41666666666666669</v>
      </c>
      <c r="H162">
        <v>1004.9</v>
      </c>
      <c r="I162" s="2">
        <v>4.2099999999999999E-2</v>
      </c>
    </row>
    <row r="163" spans="1:9" x14ac:dyDescent="0.35">
      <c r="A163" t="s">
        <v>14</v>
      </c>
      <c r="B163" s="1">
        <v>45474</v>
      </c>
      <c r="C163">
        <v>70</v>
      </c>
      <c r="D163">
        <v>5</v>
      </c>
      <c r="E163">
        <v>491.31</v>
      </c>
      <c r="F163">
        <v>3</v>
      </c>
      <c r="G163" s="2">
        <v>0.6</v>
      </c>
      <c r="H163">
        <v>3289.06</v>
      </c>
      <c r="I163" s="2">
        <v>1.1299999999999999E-2</v>
      </c>
    </row>
    <row r="164" spans="1:9" x14ac:dyDescent="0.35">
      <c r="A164" t="s">
        <v>15</v>
      </c>
      <c r="B164" s="1">
        <v>45474</v>
      </c>
      <c r="C164">
        <v>77</v>
      </c>
      <c r="D164">
        <v>15</v>
      </c>
      <c r="E164">
        <v>282.58999999999997</v>
      </c>
      <c r="F164">
        <v>2</v>
      </c>
      <c r="G164" s="2">
        <v>0.13333333333333333</v>
      </c>
      <c r="H164">
        <v>2296.14</v>
      </c>
      <c r="I164" s="2">
        <v>9.5799999999999996E-2</v>
      </c>
    </row>
    <row r="165" spans="1:9" x14ac:dyDescent="0.35">
      <c r="A165" t="s">
        <v>16</v>
      </c>
      <c r="B165" s="1">
        <v>45474</v>
      </c>
      <c r="C165">
        <v>50</v>
      </c>
      <c r="D165">
        <v>9</v>
      </c>
      <c r="E165">
        <v>246.06</v>
      </c>
      <c r="F165">
        <v>5</v>
      </c>
      <c r="G165" s="2">
        <v>0.55555555555555558</v>
      </c>
      <c r="H165">
        <v>4227.22</v>
      </c>
      <c r="I165" s="2">
        <v>3.7200000000000004E-2</v>
      </c>
    </row>
    <row r="166" spans="1:9" x14ac:dyDescent="0.35">
      <c r="A166" t="s">
        <v>17</v>
      </c>
      <c r="B166" s="1">
        <v>45474</v>
      </c>
      <c r="C166">
        <v>31</v>
      </c>
      <c r="D166">
        <v>15</v>
      </c>
      <c r="E166">
        <v>347.38</v>
      </c>
      <c r="F166">
        <v>10</v>
      </c>
      <c r="G166" s="2">
        <v>0.66666666666666663</v>
      </c>
      <c r="H166">
        <v>1101.06</v>
      </c>
      <c r="I166" s="2">
        <v>6.0100000000000001E-2</v>
      </c>
    </row>
    <row r="167" spans="1:9" x14ac:dyDescent="0.35">
      <c r="A167" t="s">
        <v>18</v>
      </c>
      <c r="B167" s="1">
        <v>45474</v>
      </c>
      <c r="C167">
        <v>77</v>
      </c>
      <c r="D167">
        <v>16</v>
      </c>
      <c r="E167">
        <v>335.59</v>
      </c>
      <c r="F167">
        <v>7</v>
      </c>
      <c r="G167" s="2">
        <v>0.4375</v>
      </c>
      <c r="H167">
        <v>1087.4100000000001</v>
      </c>
      <c r="I167" s="2">
        <v>3.6900000000000002E-2</v>
      </c>
    </row>
    <row r="168" spans="1:9" x14ac:dyDescent="0.35">
      <c r="A168" t="s">
        <v>19</v>
      </c>
      <c r="B168" s="1">
        <v>45474</v>
      </c>
      <c r="C168">
        <v>17</v>
      </c>
      <c r="D168">
        <v>8</v>
      </c>
      <c r="E168">
        <v>208.21</v>
      </c>
      <c r="F168">
        <v>4</v>
      </c>
      <c r="G168" s="2">
        <v>0.5</v>
      </c>
      <c r="H168">
        <v>828.73</v>
      </c>
      <c r="I168" s="2">
        <v>7.4200000000000002E-2</v>
      </c>
    </row>
    <row r="169" spans="1:9" x14ac:dyDescent="0.35">
      <c r="A169" t="s">
        <v>20</v>
      </c>
      <c r="B169" s="1">
        <v>45474</v>
      </c>
      <c r="C169">
        <v>32</v>
      </c>
      <c r="D169">
        <v>6</v>
      </c>
      <c r="E169">
        <v>553.58000000000004</v>
      </c>
      <c r="F169">
        <v>3</v>
      </c>
      <c r="G169" s="2">
        <v>0.5</v>
      </c>
      <c r="H169">
        <v>3939.56</v>
      </c>
      <c r="I169" s="2">
        <v>3.78E-2</v>
      </c>
    </row>
    <row r="170" spans="1:9" x14ac:dyDescent="0.35">
      <c r="A170" t="s">
        <v>21</v>
      </c>
      <c r="B170" s="1">
        <v>45474</v>
      </c>
      <c r="C170">
        <v>72</v>
      </c>
      <c r="D170">
        <v>21</v>
      </c>
      <c r="E170">
        <v>604.57000000000005</v>
      </c>
      <c r="F170">
        <v>2</v>
      </c>
      <c r="G170" s="2">
        <v>9.5238095238095233E-2</v>
      </c>
      <c r="H170">
        <v>327.82</v>
      </c>
      <c r="I170" s="2">
        <v>3.6699999999999997E-2</v>
      </c>
    </row>
    <row r="171" spans="1:9" x14ac:dyDescent="0.35">
      <c r="A171" t="s">
        <v>22</v>
      </c>
      <c r="B171" s="1">
        <v>45474</v>
      </c>
      <c r="C171">
        <v>34</v>
      </c>
      <c r="D171">
        <v>7</v>
      </c>
      <c r="E171">
        <v>199.39</v>
      </c>
      <c r="F171">
        <v>1</v>
      </c>
      <c r="G171" s="2">
        <v>0.14285714285714285</v>
      </c>
      <c r="H171">
        <v>3767.74</v>
      </c>
      <c r="I171" s="2">
        <v>3.85E-2</v>
      </c>
    </row>
    <row r="172" spans="1:9" x14ac:dyDescent="0.35">
      <c r="A172" t="s">
        <v>23</v>
      </c>
      <c r="B172" s="1">
        <v>45474</v>
      </c>
      <c r="C172">
        <v>71</v>
      </c>
      <c r="D172">
        <v>9</v>
      </c>
      <c r="E172">
        <v>220.4</v>
      </c>
      <c r="F172">
        <v>2</v>
      </c>
      <c r="G172" s="2">
        <v>0.22222222222222221</v>
      </c>
      <c r="H172">
        <v>692.29</v>
      </c>
      <c r="I172" s="2">
        <v>2.8999999999999998E-2</v>
      </c>
    </row>
    <row r="173" spans="1:9" x14ac:dyDescent="0.35">
      <c r="A173" t="s">
        <v>24</v>
      </c>
      <c r="B173" s="1">
        <v>45474</v>
      </c>
      <c r="C173">
        <v>83</v>
      </c>
      <c r="D173">
        <v>5</v>
      </c>
      <c r="E173">
        <v>166.85</v>
      </c>
      <c r="F173">
        <v>4</v>
      </c>
      <c r="G173" s="2">
        <v>0.8</v>
      </c>
      <c r="H173">
        <v>1364.24</v>
      </c>
      <c r="I173" s="2">
        <v>8.3100000000000007E-2</v>
      </c>
    </row>
    <row r="174" spans="1:9" x14ac:dyDescent="0.35">
      <c r="A174" t="s">
        <v>25</v>
      </c>
      <c r="B174" s="1">
        <v>45474</v>
      </c>
      <c r="C174">
        <v>71</v>
      </c>
      <c r="D174">
        <v>7</v>
      </c>
      <c r="E174">
        <v>78.53</v>
      </c>
      <c r="F174">
        <v>4</v>
      </c>
      <c r="G174" s="2">
        <v>0.5714285714285714</v>
      </c>
      <c r="H174">
        <v>3652.64</v>
      </c>
      <c r="I174" s="2">
        <v>8.6999999999999994E-2</v>
      </c>
    </row>
    <row r="175" spans="1:9" x14ac:dyDescent="0.35">
      <c r="A175" t="s">
        <v>26</v>
      </c>
      <c r="B175" s="1">
        <v>45474</v>
      </c>
      <c r="C175">
        <v>24</v>
      </c>
      <c r="D175">
        <v>13</v>
      </c>
      <c r="E175">
        <v>471.72</v>
      </c>
      <c r="F175">
        <v>7</v>
      </c>
      <c r="G175" s="2">
        <v>0.53846153846153844</v>
      </c>
      <c r="H175">
        <v>3588.89</v>
      </c>
      <c r="I175" s="2">
        <v>3.5400000000000001E-2</v>
      </c>
    </row>
    <row r="176" spans="1:9" x14ac:dyDescent="0.35">
      <c r="A176" t="s">
        <v>27</v>
      </c>
      <c r="B176" s="1">
        <v>45474</v>
      </c>
      <c r="C176">
        <v>75</v>
      </c>
      <c r="D176">
        <v>17</v>
      </c>
      <c r="E176">
        <v>176.07</v>
      </c>
      <c r="F176">
        <v>5</v>
      </c>
      <c r="G176" s="2">
        <v>0.29411764705882354</v>
      </c>
      <c r="H176">
        <v>458.18</v>
      </c>
      <c r="I176" s="2">
        <v>9.9399999999999988E-2</v>
      </c>
    </row>
    <row r="177" spans="1:9" x14ac:dyDescent="0.35">
      <c r="A177" t="s">
        <v>28</v>
      </c>
      <c r="B177" s="1">
        <v>45474</v>
      </c>
      <c r="C177">
        <v>76</v>
      </c>
      <c r="D177">
        <v>11</v>
      </c>
      <c r="E177">
        <v>486.93</v>
      </c>
      <c r="F177">
        <v>0</v>
      </c>
      <c r="G177" s="2">
        <v>0</v>
      </c>
      <c r="H177">
        <v>1219.29</v>
      </c>
      <c r="I177" s="2">
        <v>1E-3</v>
      </c>
    </row>
    <row r="178" spans="1:9" x14ac:dyDescent="0.35">
      <c r="A178" t="s">
        <v>29</v>
      </c>
      <c r="B178" s="1">
        <v>45474</v>
      </c>
      <c r="C178">
        <v>20</v>
      </c>
      <c r="D178">
        <v>14</v>
      </c>
      <c r="E178">
        <v>283.66000000000003</v>
      </c>
      <c r="F178">
        <v>2</v>
      </c>
      <c r="G178" s="2">
        <v>0.14285714285714285</v>
      </c>
      <c r="H178">
        <v>1494.14</v>
      </c>
      <c r="I178" s="2">
        <v>5.7800000000000004E-2</v>
      </c>
    </row>
    <row r="179" spans="1:9" x14ac:dyDescent="0.35">
      <c r="A179" t="s">
        <v>30</v>
      </c>
      <c r="B179" s="1">
        <v>45474</v>
      </c>
      <c r="C179">
        <v>79</v>
      </c>
      <c r="D179">
        <v>6</v>
      </c>
      <c r="E179">
        <v>536.04999999999995</v>
      </c>
      <c r="F179">
        <v>1</v>
      </c>
      <c r="G179" s="2">
        <v>0.16666666666666666</v>
      </c>
      <c r="H179">
        <v>3682.29</v>
      </c>
      <c r="I179" s="2">
        <v>3.2099999999999997E-2</v>
      </c>
    </row>
    <row r="180" spans="1:9" x14ac:dyDescent="0.35">
      <c r="A180" t="s">
        <v>31</v>
      </c>
      <c r="B180" s="1">
        <v>45474</v>
      </c>
      <c r="C180">
        <v>82</v>
      </c>
      <c r="D180">
        <v>9</v>
      </c>
      <c r="E180">
        <v>171.86</v>
      </c>
      <c r="F180">
        <v>7</v>
      </c>
      <c r="G180" s="2">
        <v>0.77777777777777779</v>
      </c>
      <c r="H180">
        <v>506.88</v>
      </c>
      <c r="I180" s="2">
        <v>9.4100000000000003E-2</v>
      </c>
    </row>
    <row r="181" spans="1:9" x14ac:dyDescent="0.35">
      <c r="A181" t="s">
        <v>32</v>
      </c>
      <c r="B181" s="1">
        <v>45474</v>
      </c>
      <c r="C181">
        <v>103</v>
      </c>
      <c r="D181">
        <v>15</v>
      </c>
      <c r="E181">
        <v>359.16</v>
      </c>
      <c r="F181">
        <v>1</v>
      </c>
      <c r="G181" s="2">
        <v>6.6666666666666666E-2</v>
      </c>
      <c r="H181">
        <v>2949.94</v>
      </c>
      <c r="I181" s="2">
        <v>2.3599999999999999E-2</v>
      </c>
    </row>
    <row r="182" spans="1:9" x14ac:dyDescent="0.35">
      <c r="A182" t="s">
        <v>33</v>
      </c>
      <c r="B182" s="1">
        <v>45474</v>
      </c>
      <c r="C182">
        <v>41</v>
      </c>
      <c r="D182">
        <v>9</v>
      </c>
      <c r="E182">
        <v>569.97</v>
      </c>
      <c r="F182">
        <v>5</v>
      </c>
      <c r="G182" s="2">
        <v>0.55555555555555558</v>
      </c>
      <c r="H182">
        <v>259.86</v>
      </c>
      <c r="I182" s="2">
        <v>6.3299999999999995E-2</v>
      </c>
    </row>
    <row r="183" spans="1:9" x14ac:dyDescent="0.35">
      <c r="A183" t="s">
        <v>34</v>
      </c>
      <c r="B183" s="1">
        <v>45474</v>
      </c>
      <c r="C183">
        <v>38</v>
      </c>
      <c r="D183">
        <v>14</v>
      </c>
      <c r="E183">
        <v>359.22</v>
      </c>
      <c r="F183">
        <v>8</v>
      </c>
      <c r="G183" s="2">
        <v>0.5714285714285714</v>
      </c>
      <c r="H183">
        <v>3846.34</v>
      </c>
      <c r="I183" s="2">
        <v>8.5900000000000004E-2</v>
      </c>
    </row>
    <row r="184" spans="1:9" x14ac:dyDescent="0.35">
      <c r="A184" t="s">
        <v>9</v>
      </c>
      <c r="B184" s="1">
        <v>45505</v>
      </c>
      <c r="C184">
        <v>71</v>
      </c>
      <c r="D184">
        <v>15</v>
      </c>
      <c r="E184">
        <v>297.05</v>
      </c>
      <c r="F184">
        <v>6</v>
      </c>
      <c r="G184" s="2">
        <v>0.4</v>
      </c>
      <c r="H184">
        <v>4043.62</v>
      </c>
      <c r="I184" s="2">
        <v>2.7200000000000002E-2</v>
      </c>
    </row>
    <row r="185" spans="1:9" x14ac:dyDescent="0.35">
      <c r="A185" t="s">
        <v>10</v>
      </c>
      <c r="B185" s="1">
        <v>45505</v>
      </c>
      <c r="C185">
        <v>66</v>
      </c>
      <c r="D185">
        <v>13</v>
      </c>
      <c r="E185">
        <v>376.76</v>
      </c>
      <c r="F185">
        <v>5</v>
      </c>
      <c r="G185" s="2">
        <v>0.38461538461538464</v>
      </c>
      <c r="H185">
        <v>3819.73</v>
      </c>
      <c r="I185" s="2">
        <v>4.4900000000000002E-2</v>
      </c>
    </row>
    <row r="186" spans="1:9" x14ac:dyDescent="0.35">
      <c r="A186" t="s">
        <v>11</v>
      </c>
      <c r="B186" s="1">
        <v>45505</v>
      </c>
      <c r="C186">
        <v>53</v>
      </c>
      <c r="D186">
        <v>15</v>
      </c>
      <c r="E186">
        <v>379.29</v>
      </c>
      <c r="F186">
        <v>2</v>
      </c>
      <c r="G186" s="2">
        <v>0.13333333333333333</v>
      </c>
      <c r="H186">
        <v>3409.69</v>
      </c>
      <c r="I186" s="2">
        <v>4.41E-2</v>
      </c>
    </row>
    <row r="187" spans="1:9" x14ac:dyDescent="0.35">
      <c r="A187" t="s">
        <v>12</v>
      </c>
      <c r="B187" s="1">
        <v>45505</v>
      </c>
      <c r="C187">
        <v>18</v>
      </c>
      <c r="D187">
        <v>8</v>
      </c>
      <c r="E187">
        <v>82.91</v>
      </c>
      <c r="F187">
        <v>3</v>
      </c>
      <c r="G187" s="2">
        <v>0.375</v>
      </c>
      <c r="H187">
        <v>1387.86</v>
      </c>
      <c r="I187" s="2">
        <v>3.0099999999999998E-2</v>
      </c>
    </row>
    <row r="188" spans="1:9" x14ac:dyDescent="0.35">
      <c r="A188" t="s">
        <v>13</v>
      </c>
      <c r="B188" s="1">
        <v>45505</v>
      </c>
      <c r="C188">
        <v>72</v>
      </c>
      <c r="D188">
        <v>14</v>
      </c>
      <c r="E188">
        <v>437.47</v>
      </c>
      <c r="F188">
        <v>4</v>
      </c>
      <c r="G188" s="2">
        <v>0.2857142857142857</v>
      </c>
      <c r="H188">
        <v>958.02</v>
      </c>
      <c r="I188" s="2">
        <v>3.9100000000000003E-2</v>
      </c>
    </row>
    <row r="189" spans="1:9" x14ac:dyDescent="0.35">
      <c r="A189" t="s">
        <v>14</v>
      </c>
      <c r="B189" s="1">
        <v>45505</v>
      </c>
      <c r="C189">
        <v>64</v>
      </c>
      <c r="D189">
        <v>7</v>
      </c>
      <c r="E189">
        <v>554.20000000000005</v>
      </c>
      <c r="F189">
        <v>2</v>
      </c>
      <c r="G189" s="2">
        <v>0.2857142857142857</v>
      </c>
      <c r="H189">
        <v>3620.9</v>
      </c>
      <c r="I189" s="2">
        <v>1.23E-2</v>
      </c>
    </row>
    <row r="190" spans="1:9" x14ac:dyDescent="0.35">
      <c r="A190" t="s">
        <v>15</v>
      </c>
      <c r="B190" s="1">
        <v>45505</v>
      </c>
      <c r="C190">
        <v>76</v>
      </c>
      <c r="D190">
        <v>21</v>
      </c>
      <c r="E190">
        <v>293.93</v>
      </c>
      <c r="F190">
        <v>2</v>
      </c>
      <c r="G190" s="2">
        <v>9.5238095238095233E-2</v>
      </c>
      <c r="H190">
        <v>2531.4</v>
      </c>
      <c r="I190" s="2">
        <v>0.1012</v>
      </c>
    </row>
    <row r="191" spans="1:9" x14ac:dyDescent="0.35">
      <c r="A191" t="s">
        <v>16</v>
      </c>
      <c r="B191" s="1">
        <v>45505</v>
      </c>
      <c r="C191">
        <v>64</v>
      </c>
      <c r="D191">
        <v>9</v>
      </c>
      <c r="E191">
        <v>255.17</v>
      </c>
      <c r="F191">
        <v>6</v>
      </c>
      <c r="G191" s="2">
        <v>0.66666666666666663</v>
      </c>
      <c r="H191">
        <v>4136.6899999999996</v>
      </c>
      <c r="I191" s="2">
        <v>3.8199999999999998E-2</v>
      </c>
    </row>
    <row r="192" spans="1:9" x14ac:dyDescent="0.35">
      <c r="A192" t="s">
        <v>17</v>
      </c>
      <c r="B192" s="1">
        <v>45505</v>
      </c>
      <c r="C192">
        <v>26</v>
      </c>
      <c r="D192">
        <v>17</v>
      </c>
      <c r="E192">
        <v>391.73</v>
      </c>
      <c r="F192">
        <v>7</v>
      </c>
      <c r="G192" s="2">
        <v>0.41176470588235292</v>
      </c>
      <c r="H192">
        <v>1166.55</v>
      </c>
      <c r="I192" s="2">
        <v>6.1200000000000004E-2</v>
      </c>
    </row>
    <row r="193" spans="1:9" x14ac:dyDescent="0.35">
      <c r="A193" t="s">
        <v>18</v>
      </c>
      <c r="B193" s="1">
        <v>45505</v>
      </c>
      <c r="C193">
        <v>65</v>
      </c>
      <c r="D193">
        <v>13</v>
      </c>
      <c r="E193">
        <v>324.26</v>
      </c>
      <c r="F193">
        <v>7</v>
      </c>
      <c r="G193" s="2">
        <v>0.53846153846153844</v>
      </c>
      <c r="H193">
        <v>1044.8599999999999</v>
      </c>
      <c r="I193" s="2">
        <v>3.5200000000000002E-2</v>
      </c>
    </row>
    <row r="194" spans="1:9" x14ac:dyDescent="0.35">
      <c r="A194" t="s">
        <v>19</v>
      </c>
      <c r="B194" s="1">
        <v>45505</v>
      </c>
      <c r="C194">
        <v>22</v>
      </c>
      <c r="D194">
        <v>9</v>
      </c>
      <c r="E194">
        <v>211.28</v>
      </c>
      <c r="F194">
        <v>8</v>
      </c>
      <c r="G194" s="2">
        <v>0.88888888888888884</v>
      </c>
      <c r="H194">
        <v>772.77</v>
      </c>
      <c r="I194" s="2">
        <v>8.0600000000000005E-2</v>
      </c>
    </row>
    <row r="195" spans="1:9" x14ac:dyDescent="0.35">
      <c r="A195" t="s">
        <v>20</v>
      </c>
      <c r="B195" s="1">
        <v>45505</v>
      </c>
      <c r="C195">
        <v>30</v>
      </c>
      <c r="D195">
        <v>6</v>
      </c>
      <c r="E195">
        <v>549.26</v>
      </c>
      <c r="F195">
        <v>2</v>
      </c>
      <c r="G195" s="2">
        <v>0.33333333333333331</v>
      </c>
      <c r="H195">
        <v>3868.36</v>
      </c>
      <c r="I195" s="2">
        <v>4.2800000000000005E-2</v>
      </c>
    </row>
    <row r="196" spans="1:9" x14ac:dyDescent="0.35">
      <c r="A196" t="s">
        <v>21</v>
      </c>
      <c r="B196" s="1">
        <v>45505</v>
      </c>
      <c r="C196">
        <v>83</v>
      </c>
      <c r="D196">
        <v>15</v>
      </c>
      <c r="E196">
        <v>601.05999999999995</v>
      </c>
      <c r="F196">
        <v>3</v>
      </c>
      <c r="G196" s="2">
        <v>0.2</v>
      </c>
      <c r="H196">
        <v>350.62</v>
      </c>
      <c r="I196" s="2">
        <v>3.6600000000000001E-2</v>
      </c>
    </row>
    <row r="197" spans="1:9" x14ac:dyDescent="0.35">
      <c r="A197" t="s">
        <v>22</v>
      </c>
      <c r="B197" s="1">
        <v>45505</v>
      </c>
      <c r="C197">
        <v>35</v>
      </c>
      <c r="D197">
        <v>6</v>
      </c>
      <c r="E197">
        <v>192.19</v>
      </c>
      <c r="F197">
        <v>1</v>
      </c>
      <c r="G197" s="2">
        <v>0.16666666666666666</v>
      </c>
      <c r="H197">
        <v>3963.32</v>
      </c>
      <c r="I197" s="2">
        <v>3.9800000000000002E-2</v>
      </c>
    </row>
    <row r="198" spans="1:9" x14ac:dyDescent="0.35">
      <c r="A198" t="s">
        <v>23</v>
      </c>
      <c r="B198" s="1">
        <v>45505</v>
      </c>
      <c r="C198">
        <v>73</v>
      </c>
      <c r="D198">
        <v>8</v>
      </c>
      <c r="E198">
        <v>191.76</v>
      </c>
      <c r="F198">
        <v>3</v>
      </c>
      <c r="G198" s="2">
        <v>0.375</v>
      </c>
      <c r="H198">
        <v>675.97</v>
      </c>
      <c r="I198" s="2">
        <v>3.0200000000000001E-2</v>
      </c>
    </row>
    <row r="199" spans="1:9" x14ac:dyDescent="0.35">
      <c r="A199" t="s">
        <v>24</v>
      </c>
      <c r="B199" s="1">
        <v>45505</v>
      </c>
      <c r="C199">
        <v>104</v>
      </c>
      <c r="D199">
        <v>4</v>
      </c>
      <c r="E199">
        <v>169.75</v>
      </c>
      <c r="F199">
        <v>3</v>
      </c>
      <c r="G199" s="2">
        <v>0.75</v>
      </c>
      <c r="H199">
        <v>1255.83</v>
      </c>
      <c r="I199" s="2">
        <v>7.7600000000000002E-2</v>
      </c>
    </row>
    <row r="200" spans="1:9" x14ac:dyDescent="0.35">
      <c r="A200" t="s">
        <v>25</v>
      </c>
      <c r="B200" s="1">
        <v>45505</v>
      </c>
      <c r="C200">
        <v>71</v>
      </c>
      <c r="D200">
        <v>6</v>
      </c>
      <c r="E200">
        <v>87.5</v>
      </c>
      <c r="F200">
        <v>3</v>
      </c>
      <c r="G200" s="2">
        <v>0.5</v>
      </c>
      <c r="H200">
        <v>3666.64</v>
      </c>
      <c r="I200" s="2">
        <v>9.1300000000000006E-2</v>
      </c>
    </row>
    <row r="201" spans="1:9" x14ac:dyDescent="0.35">
      <c r="A201" t="s">
        <v>26</v>
      </c>
      <c r="B201" s="1">
        <v>45505</v>
      </c>
      <c r="C201">
        <v>22</v>
      </c>
      <c r="D201">
        <v>14</v>
      </c>
      <c r="E201">
        <v>477.3</v>
      </c>
      <c r="F201">
        <v>6</v>
      </c>
      <c r="G201" s="2">
        <v>0.42857142857142855</v>
      </c>
      <c r="H201">
        <v>3790.05</v>
      </c>
      <c r="I201" s="2">
        <v>3.32E-2</v>
      </c>
    </row>
    <row r="202" spans="1:9" x14ac:dyDescent="0.35">
      <c r="A202" t="s">
        <v>27</v>
      </c>
      <c r="B202" s="1">
        <v>45505</v>
      </c>
      <c r="C202">
        <v>85</v>
      </c>
      <c r="D202">
        <v>17</v>
      </c>
      <c r="E202">
        <v>187.72</v>
      </c>
      <c r="F202">
        <v>5</v>
      </c>
      <c r="G202" s="2">
        <v>0.29411764705882354</v>
      </c>
      <c r="H202">
        <v>443.22</v>
      </c>
      <c r="I202" s="2">
        <v>0.1016</v>
      </c>
    </row>
    <row r="203" spans="1:9" x14ac:dyDescent="0.35">
      <c r="A203" t="s">
        <v>28</v>
      </c>
      <c r="B203" s="1">
        <v>45505</v>
      </c>
      <c r="C203">
        <v>80</v>
      </c>
      <c r="D203">
        <v>13</v>
      </c>
      <c r="E203">
        <v>504.59</v>
      </c>
      <c r="F203">
        <v>0</v>
      </c>
      <c r="G203" s="2">
        <v>0</v>
      </c>
      <c r="H203">
        <v>1265.47</v>
      </c>
      <c r="I203" s="2">
        <v>1E-3</v>
      </c>
    </row>
    <row r="204" spans="1:9" x14ac:dyDescent="0.35">
      <c r="A204" t="s">
        <v>29</v>
      </c>
      <c r="B204" s="1">
        <v>45505</v>
      </c>
      <c r="C204">
        <v>18</v>
      </c>
      <c r="D204">
        <v>12</v>
      </c>
      <c r="E204">
        <v>262.26</v>
      </c>
      <c r="F204">
        <v>1</v>
      </c>
      <c r="G204" s="2">
        <v>8.3333333333333329E-2</v>
      </c>
      <c r="H204">
        <v>1573.7</v>
      </c>
      <c r="I204" s="2">
        <v>5.1299999999999998E-2</v>
      </c>
    </row>
    <row r="205" spans="1:9" x14ac:dyDescent="0.35">
      <c r="A205" t="s">
        <v>30</v>
      </c>
      <c r="B205" s="1">
        <v>45505</v>
      </c>
      <c r="C205">
        <v>106</v>
      </c>
      <c r="D205">
        <v>6</v>
      </c>
      <c r="E205">
        <v>572.16</v>
      </c>
      <c r="F205">
        <v>2</v>
      </c>
      <c r="G205" s="2">
        <v>0.33333333333333331</v>
      </c>
      <c r="H205">
        <v>3398.37</v>
      </c>
      <c r="I205" s="2">
        <v>2.87E-2</v>
      </c>
    </row>
    <row r="206" spans="1:9" x14ac:dyDescent="0.35">
      <c r="A206" t="s">
        <v>31</v>
      </c>
      <c r="B206" s="1">
        <v>45505</v>
      </c>
      <c r="C206">
        <v>71</v>
      </c>
      <c r="D206">
        <v>9</v>
      </c>
      <c r="E206">
        <v>172.96</v>
      </c>
      <c r="F206">
        <v>6</v>
      </c>
      <c r="G206" s="2">
        <v>0.66666666666666663</v>
      </c>
      <c r="H206">
        <v>464.49</v>
      </c>
      <c r="I206" s="2">
        <v>8.2699999999999996E-2</v>
      </c>
    </row>
    <row r="207" spans="1:9" x14ac:dyDescent="0.35">
      <c r="A207" t="s">
        <v>32</v>
      </c>
      <c r="B207" s="1">
        <v>45505</v>
      </c>
      <c r="C207">
        <v>115</v>
      </c>
      <c r="D207">
        <v>17</v>
      </c>
      <c r="E207">
        <v>422.48</v>
      </c>
      <c r="F207">
        <v>0</v>
      </c>
      <c r="G207" s="2">
        <v>0</v>
      </c>
      <c r="H207">
        <v>2681.51</v>
      </c>
      <c r="I207" s="2">
        <v>2.5000000000000001E-2</v>
      </c>
    </row>
    <row r="208" spans="1:9" x14ac:dyDescent="0.35">
      <c r="A208" t="s">
        <v>33</v>
      </c>
      <c r="B208" s="1">
        <v>45505</v>
      </c>
      <c r="C208">
        <v>34</v>
      </c>
      <c r="D208">
        <v>10</v>
      </c>
      <c r="E208">
        <v>565.11</v>
      </c>
      <c r="F208">
        <v>5</v>
      </c>
      <c r="G208" s="2">
        <v>0.5</v>
      </c>
      <c r="H208">
        <v>222.62</v>
      </c>
      <c r="I208" s="2">
        <v>7.1800000000000003E-2</v>
      </c>
    </row>
    <row r="209" spans="1:9" x14ac:dyDescent="0.35">
      <c r="A209" t="s">
        <v>34</v>
      </c>
      <c r="B209" s="1">
        <v>45505</v>
      </c>
      <c r="C209">
        <v>40</v>
      </c>
      <c r="D209">
        <v>17</v>
      </c>
      <c r="E209">
        <v>355.83</v>
      </c>
      <c r="F209">
        <v>6</v>
      </c>
      <c r="G209" s="2">
        <v>0.35294117647058826</v>
      </c>
      <c r="H209">
        <v>4155.8599999999997</v>
      </c>
      <c r="I209" s="2">
        <v>8.8000000000000009E-2</v>
      </c>
    </row>
    <row r="210" spans="1:9" x14ac:dyDescent="0.35">
      <c r="A210" t="s">
        <v>9</v>
      </c>
      <c r="B210" s="1">
        <v>45536</v>
      </c>
      <c r="C210">
        <v>51</v>
      </c>
      <c r="D210">
        <v>15</v>
      </c>
      <c r="E210">
        <v>349.71</v>
      </c>
      <c r="F210">
        <v>8</v>
      </c>
      <c r="G210" s="2">
        <v>0.53333333333333333</v>
      </c>
      <c r="H210">
        <v>4017.54</v>
      </c>
      <c r="I210" s="2">
        <v>2.92E-2</v>
      </c>
    </row>
    <row r="211" spans="1:9" x14ac:dyDescent="0.35">
      <c r="A211" t="s">
        <v>10</v>
      </c>
      <c r="B211" s="1">
        <v>45536</v>
      </c>
      <c r="C211">
        <v>79</v>
      </c>
      <c r="D211">
        <v>9</v>
      </c>
      <c r="E211">
        <v>358.67</v>
      </c>
      <c r="F211">
        <v>5</v>
      </c>
      <c r="G211" s="2">
        <v>0.55555555555555558</v>
      </c>
      <c r="H211">
        <v>3658.64</v>
      </c>
      <c r="I211" s="2">
        <v>3.7499999999999999E-2</v>
      </c>
    </row>
    <row r="212" spans="1:9" x14ac:dyDescent="0.35">
      <c r="A212" t="s">
        <v>11</v>
      </c>
      <c r="B212" s="1">
        <v>45536</v>
      </c>
      <c r="C212">
        <v>57</v>
      </c>
      <c r="D212">
        <v>18</v>
      </c>
      <c r="E212">
        <v>403.41</v>
      </c>
      <c r="F212">
        <v>3</v>
      </c>
      <c r="G212" s="2">
        <v>0.16666666666666666</v>
      </c>
      <c r="H212">
        <v>3767.63</v>
      </c>
      <c r="I212" s="2">
        <v>4.24E-2</v>
      </c>
    </row>
    <row r="213" spans="1:9" x14ac:dyDescent="0.35">
      <c r="A213" t="s">
        <v>12</v>
      </c>
      <c r="B213" s="1">
        <v>45536</v>
      </c>
      <c r="C213">
        <v>24</v>
      </c>
      <c r="D213">
        <v>7</v>
      </c>
      <c r="E213">
        <v>79.62</v>
      </c>
      <c r="F213">
        <v>4</v>
      </c>
      <c r="G213" s="2">
        <v>0.5714285714285714</v>
      </c>
      <c r="H213">
        <v>1650.69</v>
      </c>
      <c r="I213" s="2">
        <v>3.0600000000000002E-2</v>
      </c>
    </row>
    <row r="214" spans="1:9" x14ac:dyDescent="0.35">
      <c r="A214" t="s">
        <v>13</v>
      </c>
      <c r="B214" s="1">
        <v>45536</v>
      </c>
      <c r="C214">
        <v>77</v>
      </c>
      <c r="D214">
        <v>11</v>
      </c>
      <c r="E214">
        <v>487.47</v>
      </c>
      <c r="F214">
        <v>4</v>
      </c>
      <c r="G214" s="2">
        <v>0.36363636363636365</v>
      </c>
      <c r="H214">
        <v>990.89</v>
      </c>
      <c r="I214" s="2">
        <v>4.3299999999999998E-2</v>
      </c>
    </row>
    <row r="215" spans="1:9" x14ac:dyDescent="0.35">
      <c r="A215" t="s">
        <v>14</v>
      </c>
      <c r="B215" s="1">
        <v>45536</v>
      </c>
      <c r="C215">
        <v>69</v>
      </c>
      <c r="D215">
        <v>7</v>
      </c>
      <c r="E215">
        <v>549.77</v>
      </c>
      <c r="F215">
        <v>2</v>
      </c>
      <c r="G215" s="2">
        <v>0.2857142857142857</v>
      </c>
      <c r="H215">
        <v>3916.58</v>
      </c>
      <c r="I215" s="2">
        <v>1.2E-2</v>
      </c>
    </row>
    <row r="216" spans="1:9" x14ac:dyDescent="0.35">
      <c r="A216" t="s">
        <v>15</v>
      </c>
      <c r="B216" s="1">
        <v>45536</v>
      </c>
      <c r="C216">
        <v>74</v>
      </c>
      <c r="D216">
        <v>18</v>
      </c>
      <c r="E216">
        <v>306.89999999999998</v>
      </c>
      <c r="F216">
        <v>3</v>
      </c>
      <c r="G216" s="2">
        <v>0.16666666666666666</v>
      </c>
      <c r="H216">
        <v>2254.16</v>
      </c>
      <c r="I216" s="2">
        <v>9.64E-2</v>
      </c>
    </row>
    <row r="217" spans="1:9" x14ac:dyDescent="0.35">
      <c r="A217" t="s">
        <v>16</v>
      </c>
      <c r="B217" s="1">
        <v>45536</v>
      </c>
      <c r="C217">
        <v>57</v>
      </c>
      <c r="D217">
        <v>7</v>
      </c>
      <c r="E217">
        <v>262.27999999999997</v>
      </c>
      <c r="F217">
        <v>7</v>
      </c>
      <c r="G217" s="2">
        <v>1</v>
      </c>
      <c r="H217">
        <v>3929.11</v>
      </c>
      <c r="I217" s="2">
        <v>4.4299999999999999E-2</v>
      </c>
    </row>
    <row r="218" spans="1:9" x14ac:dyDescent="0.35">
      <c r="A218" t="s">
        <v>17</v>
      </c>
      <c r="B218" s="1">
        <v>45536</v>
      </c>
      <c r="C218">
        <v>26</v>
      </c>
      <c r="D218">
        <v>21</v>
      </c>
      <c r="E218">
        <v>359.51</v>
      </c>
      <c r="F218">
        <v>9</v>
      </c>
      <c r="G218" s="2">
        <v>0.42857142857142855</v>
      </c>
      <c r="H218">
        <v>1187.3699999999999</v>
      </c>
      <c r="I218" s="2">
        <v>5.33E-2</v>
      </c>
    </row>
    <row r="219" spans="1:9" x14ac:dyDescent="0.35">
      <c r="A219" t="s">
        <v>18</v>
      </c>
      <c r="B219" s="1">
        <v>45536</v>
      </c>
      <c r="C219">
        <v>76</v>
      </c>
      <c r="D219">
        <v>18</v>
      </c>
      <c r="E219">
        <v>339.1</v>
      </c>
      <c r="F219">
        <v>8</v>
      </c>
      <c r="G219" s="2">
        <v>0.44444444444444442</v>
      </c>
      <c r="H219">
        <v>924.79</v>
      </c>
      <c r="I219" s="2">
        <v>3.6000000000000004E-2</v>
      </c>
    </row>
    <row r="220" spans="1:9" x14ac:dyDescent="0.35">
      <c r="A220" t="s">
        <v>19</v>
      </c>
      <c r="B220" s="1">
        <v>45536</v>
      </c>
      <c r="C220">
        <v>22</v>
      </c>
      <c r="D220">
        <v>7</v>
      </c>
      <c r="E220">
        <v>182.47</v>
      </c>
      <c r="F220">
        <v>7</v>
      </c>
      <c r="G220" s="2">
        <v>1</v>
      </c>
      <c r="H220">
        <v>779.86</v>
      </c>
      <c r="I220" s="2">
        <v>7.2700000000000001E-2</v>
      </c>
    </row>
    <row r="221" spans="1:9" x14ac:dyDescent="0.35">
      <c r="A221" t="s">
        <v>20</v>
      </c>
      <c r="B221" s="1">
        <v>45536</v>
      </c>
      <c r="C221">
        <v>38</v>
      </c>
      <c r="D221">
        <v>6</v>
      </c>
      <c r="E221">
        <v>553.89</v>
      </c>
      <c r="F221">
        <v>6</v>
      </c>
      <c r="G221" s="2">
        <v>1</v>
      </c>
      <c r="H221">
        <v>4013.79</v>
      </c>
      <c r="I221" s="2">
        <v>4.3200000000000002E-2</v>
      </c>
    </row>
    <row r="222" spans="1:9" x14ac:dyDescent="0.35">
      <c r="A222" t="s">
        <v>21</v>
      </c>
      <c r="B222" s="1">
        <v>45536</v>
      </c>
      <c r="C222">
        <v>87</v>
      </c>
      <c r="D222">
        <v>21</v>
      </c>
      <c r="E222">
        <v>633.13</v>
      </c>
      <c r="F222">
        <v>2</v>
      </c>
      <c r="G222" s="2">
        <v>9.5238095238095233E-2</v>
      </c>
      <c r="H222">
        <v>336.22</v>
      </c>
      <c r="I222" s="2">
        <v>3.4500000000000003E-2</v>
      </c>
    </row>
    <row r="223" spans="1:9" x14ac:dyDescent="0.35">
      <c r="A223" t="s">
        <v>22</v>
      </c>
      <c r="B223" s="1">
        <v>45536</v>
      </c>
      <c r="C223">
        <v>37</v>
      </c>
      <c r="D223">
        <v>8</v>
      </c>
      <c r="E223">
        <v>215.09</v>
      </c>
      <c r="F223">
        <v>2</v>
      </c>
      <c r="G223" s="2">
        <v>0.25</v>
      </c>
      <c r="H223">
        <v>3424.83</v>
      </c>
      <c r="I223" s="2">
        <v>4.07E-2</v>
      </c>
    </row>
    <row r="224" spans="1:9" x14ac:dyDescent="0.35">
      <c r="A224" t="s">
        <v>23</v>
      </c>
      <c r="B224" s="1">
        <v>45536</v>
      </c>
      <c r="C224">
        <v>71</v>
      </c>
      <c r="D224">
        <v>8</v>
      </c>
      <c r="E224">
        <v>199.19</v>
      </c>
      <c r="F224">
        <v>2</v>
      </c>
      <c r="G224" s="2">
        <v>0.25</v>
      </c>
      <c r="H224">
        <v>635.24</v>
      </c>
      <c r="I224" s="2">
        <v>2.9500000000000002E-2</v>
      </c>
    </row>
    <row r="225" spans="1:9" x14ac:dyDescent="0.35">
      <c r="A225" t="s">
        <v>24</v>
      </c>
      <c r="B225" s="1">
        <v>45536</v>
      </c>
      <c r="C225">
        <v>81</v>
      </c>
      <c r="D225">
        <v>5</v>
      </c>
      <c r="E225">
        <v>153.5</v>
      </c>
      <c r="F225">
        <v>2</v>
      </c>
      <c r="G225" s="2">
        <v>0.4</v>
      </c>
      <c r="H225">
        <v>1307.47</v>
      </c>
      <c r="I225" s="2">
        <v>7.3300000000000004E-2</v>
      </c>
    </row>
    <row r="226" spans="1:9" x14ac:dyDescent="0.35">
      <c r="A226" t="s">
        <v>25</v>
      </c>
      <c r="B226" s="1">
        <v>45536</v>
      </c>
      <c r="C226">
        <v>93</v>
      </c>
      <c r="D226">
        <v>5</v>
      </c>
      <c r="E226">
        <v>77.12</v>
      </c>
      <c r="F226">
        <v>2</v>
      </c>
      <c r="G226" s="2">
        <v>0.4</v>
      </c>
      <c r="H226">
        <v>3483.91</v>
      </c>
      <c r="I226" s="2">
        <v>9.9000000000000005E-2</v>
      </c>
    </row>
    <row r="227" spans="1:9" x14ac:dyDescent="0.35">
      <c r="A227" t="s">
        <v>26</v>
      </c>
      <c r="B227" s="1">
        <v>45536</v>
      </c>
      <c r="C227">
        <v>21</v>
      </c>
      <c r="D227">
        <v>17</v>
      </c>
      <c r="E227">
        <v>533.41999999999996</v>
      </c>
      <c r="F227">
        <v>7</v>
      </c>
      <c r="G227" s="2">
        <v>0.41176470588235292</v>
      </c>
      <c r="H227">
        <v>3895.32</v>
      </c>
      <c r="I227" s="2">
        <v>3.4000000000000002E-2</v>
      </c>
    </row>
    <row r="228" spans="1:9" x14ac:dyDescent="0.35">
      <c r="A228" t="s">
        <v>27</v>
      </c>
      <c r="B228" s="1">
        <v>45536</v>
      </c>
      <c r="C228">
        <v>86</v>
      </c>
      <c r="D228">
        <v>17</v>
      </c>
      <c r="E228">
        <v>160.88999999999999</v>
      </c>
      <c r="F228">
        <v>4</v>
      </c>
      <c r="G228" s="2">
        <v>0.23529411764705882</v>
      </c>
      <c r="H228">
        <v>418.33</v>
      </c>
      <c r="I228" s="2">
        <v>8.8100000000000012E-2</v>
      </c>
    </row>
    <row r="229" spans="1:9" x14ac:dyDescent="0.35">
      <c r="A229" t="s">
        <v>28</v>
      </c>
      <c r="B229" s="1">
        <v>45536</v>
      </c>
      <c r="C229">
        <v>72</v>
      </c>
      <c r="D229">
        <v>11</v>
      </c>
      <c r="E229">
        <v>459.86</v>
      </c>
      <c r="F229">
        <v>0</v>
      </c>
      <c r="G229" s="2">
        <v>0</v>
      </c>
      <c r="H229">
        <v>1269.5999999999999</v>
      </c>
      <c r="I229" s="2">
        <v>1E-3</v>
      </c>
    </row>
    <row r="230" spans="1:9" x14ac:dyDescent="0.35">
      <c r="A230" t="s">
        <v>29</v>
      </c>
      <c r="B230" s="1">
        <v>45536</v>
      </c>
      <c r="C230">
        <v>18</v>
      </c>
      <c r="D230">
        <v>13</v>
      </c>
      <c r="E230">
        <v>290.14</v>
      </c>
      <c r="F230">
        <v>2</v>
      </c>
      <c r="G230" s="2">
        <v>0.15384615384615385</v>
      </c>
      <c r="H230">
        <v>1444.65</v>
      </c>
      <c r="I230" s="2">
        <v>5.4699999999999999E-2</v>
      </c>
    </row>
    <row r="231" spans="1:9" x14ac:dyDescent="0.35">
      <c r="A231" t="s">
        <v>30</v>
      </c>
      <c r="B231" s="1">
        <v>45536</v>
      </c>
      <c r="C231">
        <v>105</v>
      </c>
      <c r="D231">
        <v>7</v>
      </c>
      <c r="E231">
        <v>587.83000000000004</v>
      </c>
      <c r="F231">
        <v>1</v>
      </c>
      <c r="G231" s="2">
        <v>0.14285714285714285</v>
      </c>
      <c r="H231">
        <v>3601.93</v>
      </c>
      <c r="I231" s="2">
        <v>3.2199999999999999E-2</v>
      </c>
    </row>
    <row r="232" spans="1:9" x14ac:dyDescent="0.35">
      <c r="A232" t="s">
        <v>31</v>
      </c>
      <c r="B232" s="1">
        <v>45536</v>
      </c>
      <c r="C232">
        <v>75</v>
      </c>
      <c r="D232">
        <v>8</v>
      </c>
      <c r="E232">
        <v>177.88</v>
      </c>
      <c r="F232">
        <v>7</v>
      </c>
      <c r="G232" s="2">
        <v>0.875</v>
      </c>
      <c r="H232">
        <v>507.1</v>
      </c>
      <c r="I232" s="2">
        <v>9.5199999999999993E-2</v>
      </c>
    </row>
    <row r="233" spans="1:9" x14ac:dyDescent="0.35">
      <c r="A233" t="s">
        <v>32</v>
      </c>
      <c r="B233" s="1">
        <v>45536</v>
      </c>
      <c r="C233">
        <v>98</v>
      </c>
      <c r="D233">
        <v>12</v>
      </c>
      <c r="E233">
        <v>406.95</v>
      </c>
      <c r="F233">
        <v>0</v>
      </c>
      <c r="G233" s="2">
        <v>0</v>
      </c>
      <c r="H233">
        <v>2978.09</v>
      </c>
      <c r="I233" s="2">
        <v>2.3700000000000002E-2</v>
      </c>
    </row>
    <row r="234" spans="1:9" x14ac:dyDescent="0.35">
      <c r="A234" t="s">
        <v>33</v>
      </c>
      <c r="B234" s="1">
        <v>45536</v>
      </c>
      <c r="C234">
        <v>33</v>
      </c>
      <c r="D234">
        <v>13</v>
      </c>
      <c r="E234">
        <v>517.1</v>
      </c>
      <c r="F234">
        <v>4</v>
      </c>
      <c r="G234" s="2">
        <v>0.30769230769230771</v>
      </c>
      <c r="H234">
        <v>250.08</v>
      </c>
      <c r="I234" s="2">
        <v>6.5299999999999997E-2</v>
      </c>
    </row>
    <row r="235" spans="1:9" x14ac:dyDescent="0.35">
      <c r="A235" t="s">
        <v>34</v>
      </c>
      <c r="B235" s="1">
        <v>45536</v>
      </c>
      <c r="C235">
        <v>35</v>
      </c>
      <c r="D235">
        <v>18</v>
      </c>
      <c r="E235">
        <v>348.92</v>
      </c>
      <c r="F235">
        <v>7</v>
      </c>
      <c r="G235" s="2">
        <v>0.3888888888888889</v>
      </c>
      <c r="H235">
        <v>4381.3900000000003</v>
      </c>
      <c r="I235" s="2">
        <v>8.8599999999999998E-2</v>
      </c>
    </row>
    <row r="236" spans="1:9" x14ac:dyDescent="0.35">
      <c r="A236" t="s">
        <v>9</v>
      </c>
      <c r="B236" s="1">
        <v>45566</v>
      </c>
      <c r="C236">
        <v>74</v>
      </c>
      <c r="D236">
        <v>16</v>
      </c>
      <c r="E236">
        <v>308.51</v>
      </c>
      <c r="F236">
        <v>7</v>
      </c>
      <c r="G236" s="2">
        <v>0.4375</v>
      </c>
      <c r="H236">
        <v>4267.5</v>
      </c>
      <c r="I236" s="2">
        <v>2.9399999999999999E-2</v>
      </c>
    </row>
    <row r="237" spans="1:9" x14ac:dyDescent="0.35">
      <c r="A237" t="s">
        <v>10</v>
      </c>
      <c r="B237" s="1">
        <v>45566</v>
      </c>
      <c r="C237">
        <v>72</v>
      </c>
      <c r="D237">
        <v>10</v>
      </c>
      <c r="E237">
        <v>362.58</v>
      </c>
      <c r="F237">
        <v>5</v>
      </c>
      <c r="G237" s="2">
        <v>0.5</v>
      </c>
      <c r="H237">
        <v>3679.65</v>
      </c>
      <c r="I237" s="2">
        <v>3.8599999999999995E-2</v>
      </c>
    </row>
    <row r="238" spans="1:9" x14ac:dyDescent="0.35">
      <c r="A238" t="s">
        <v>11</v>
      </c>
      <c r="B238" s="1">
        <v>45566</v>
      </c>
      <c r="C238">
        <v>58</v>
      </c>
      <c r="D238">
        <v>13</v>
      </c>
      <c r="E238">
        <v>368.06</v>
      </c>
      <c r="F238">
        <v>2</v>
      </c>
      <c r="G238" s="2">
        <v>0.15384615384615385</v>
      </c>
      <c r="H238">
        <v>3626.22</v>
      </c>
      <c r="I238" s="2">
        <v>4.1399999999999999E-2</v>
      </c>
    </row>
    <row r="239" spans="1:9" x14ac:dyDescent="0.35">
      <c r="A239" t="s">
        <v>12</v>
      </c>
      <c r="B239" s="1">
        <v>45566</v>
      </c>
      <c r="C239">
        <v>22</v>
      </c>
      <c r="D239">
        <v>7</v>
      </c>
      <c r="E239">
        <v>74.680000000000007</v>
      </c>
      <c r="F239">
        <v>4</v>
      </c>
      <c r="G239" s="2">
        <v>0.5714285714285714</v>
      </c>
      <c r="H239">
        <v>1543.72</v>
      </c>
      <c r="I239" s="2">
        <v>2.75E-2</v>
      </c>
    </row>
    <row r="240" spans="1:9" x14ac:dyDescent="0.35">
      <c r="A240" t="s">
        <v>13</v>
      </c>
      <c r="B240" s="1">
        <v>45566</v>
      </c>
      <c r="C240">
        <v>74</v>
      </c>
      <c r="D240">
        <v>15</v>
      </c>
      <c r="E240">
        <v>460.2</v>
      </c>
      <c r="F240">
        <v>4</v>
      </c>
      <c r="G240" s="2">
        <v>0.26666666666666666</v>
      </c>
      <c r="H240">
        <v>980.1</v>
      </c>
      <c r="I240" s="2">
        <v>3.7900000000000003E-2</v>
      </c>
    </row>
    <row r="241" spans="1:9" x14ac:dyDescent="0.35">
      <c r="A241" t="s">
        <v>14</v>
      </c>
      <c r="B241" s="1">
        <v>45566</v>
      </c>
      <c r="C241">
        <v>62</v>
      </c>
      <c r="D241">
        <v>8</v>
      </c>
      <c r="E241">
        <v>540.79999999999995</v>
      </c>
      <c r="F241">
        <v>3</v>
      </c>
      <c r="G241" s="2">
        <v>0.375</v>
      </c>
      <c r="H241">
        <v>3928.71</v>
      </c>
      <c r="I241" s="2">
        <v>1.09E-2</v>
      </c>
    </row>
    <row r="242" spans="1:9" x14ac:dyDescent="0.35">
      <c r="A242" t="s">
        <v>15</v>
      </c>
      <c r="B242" s="1">
        <v>45566</v>
      </c>
      <c r="C242">
        <v>70</v>
      </c>
      <c r="D242">
        <v>21</v>
      </c>
      <c r="E242">
        <v>319.62</v>
      </c>
      <c r="F242">
        <v>3</v>
      </c>
      <c r="G242" s="2">
        <v>0.14285714285714285</v>
      </c>
      <c r="H242">
        <v>2486.2199999999998</v>
      </c>
      <c r="I242" s="2">
        <v>0.1036</v>
      </c>
    </row>
    <row r="243" spans="1:9" x14ac:dyDescent="0.35">
      <c r="A243" t="s">
        <v>16</v>
      </c>
      <c r="B243" s="1">
        <v>45566</v>
      </c>
      <c r="C243">
        <v>51</v>
      </c>
      <c r="D243">
        <v>7</v>
      </c>
      <c r="E243">
        <v>248.37</v>
      </c>
      <c r="F243">
        <v>7</v>
      </c>
      <c r="G243" s="2">
        <v>1</v>
      </c>
      <c r="H243">
        <v>3946.23</v>
      </c>
      <c r="I243" s="2">
        <v>4.2699999999999995E-2</v>
      </c>
    </row>
    <row r="244" spans="1:9" x14ac:dyDescent="0.35">
      <c r="A244" t="s">
        <v>17</v>
      </c>
      <c r="B244" s="1">
        <v>45566</v>
      </c>
      <c r="C244">
        <v>32</v>
      </c>
      <c r="D244">
        <v>16</v>
      </c>
      <c r="E244">
        <v>393.04</v>
      </c>
      <c r="F244">
        <v>7</v>
      </c>
      <c r="G244" s="2">
        <v>0.4375</v>
      </c>
      <c r="H244">
        <v>1286.18</v>
      </c>
      <c r="I244" s="2">
        <v>5.6399999999999999E-2</v>
      </c>
    </row>
    <row r="245" spans="1:9" x14ac:dyDescent="0.35">
      <c r="A245" t="s">
        <v>18</v>
      </c>
      <c r="B245" s="1">
        <v>45566</v>
      </c>
      <c r="C245">
        <v>71</v>
      </c>
      <c r="D245">
        <v>16</v>
      </c>
      <c r="E245">
        <v>323.56</v>
      </c>
      <c r="F245">
        <v>9</v>
      </c>
      <c r="G245" s="2">
        <v>0.5625</v>
      </c>
      <c r="H245">
        <v>957.05</v>
      </c>
      <c r="I245" s="2">
        <v>3.1099999999999999E-2</v>
      </c>
    </row>
    <row r="246" spans="1:9" x14ac:dyDescent="0.35">
      <c r="A246" t="s">
        <v>19</v>
      </c>
      <c r="B246" s="1">
        <v>45566</v>
      </c>
      <c r="C246">
        <v>17</v>
      </c>
      <c r="D246">
        <v>7</v>
      </c>
      <c r="E246">
        <v>205.3</v>
      </c>
      <c r="F246">
        <v>4</v>
      </c>
      <c r="G246" s="2">
        <v>0.5714285714285714</v>
      </c>
      <c r="H246">
        <v>762.2</v>
      </c>
      <c r="I246" s="2">
        <v>7.2300000000000003E-2</v>
      </c>
    </row>
    <row r="247" spans="1:9" x14ac:dyDescent="0.35">
      <c r="A247" t="s">
        <v>20</v>
      </c>
      <c r="B247" s="1">
        <v>45566</v>
      </c>
      <c r="C247">
        <v>35</v>
      </c>
      <c r="D247">
        <v>6</v>
      </c>
      <c r="E247">
        <v>544.78</v>
      </c>
      <c r="F247">
        <v>5</v>
      </c>
      <c r="G247" s="2">
        <v>0.83333333333333337</v>
      </c>
      <c r="H247">
        <v>3420.99</v>
      </c>
      <c r="I247" s="2">
        <v>4.0500000000000001E-2</v>
      </c>
    </row>
    <row r="248" spans="1:9" x14ac:dyDescent="0.35">
      <c r="A248" t="s">
        <v>21</v>
      </c>
      <c r="B248" s="1">
        <v>45566</v>
      </c>
      <c r="C248">
        <v>73</v>
      </c>
      <c r="D248">
        <v>17</v>
      </c>
      <c r="E248">
        <v>557.29999999999995</v>
      </c>
      <c r="F248">
        <v>3</v>
      </c>
      <c r="G248" s="2">
        <v>0.17647058823529413</v>
      </c>
      <c r="H248">
        <v>376.66</v>
      </c>
      <c r="I248" s="2">
        <v>3.4700000000000002E-2</v>
      </c>
    </row>
    <row r="249" spans="1:9" x14ac:dyDescent="0.35">
      <c r="A249" t="s">
        <v>22</v>
      </c>
      <c r="B249" s="1">
        <v>45566</v>
      </c>
      <c r="C249">
        <v>27</v>
      </c>
      <c r="D249">
        <v>6</v>
      </c>
      <c r="E249">
        <v>202.37</v>
      </c>
      <c r="F249">
        <v>1</v>
      </c>
      <c r="G249" s="2">
        <v>0.16666666666666666</v>
      </c>
      <c r="H249">
        <v>3781.81</v>
      </c>
      <c r="I249" s="2">
        <v>4.3099999999999999E-2</v>
      </c>
    </row>
    <row r="250" spans="1:9" x14ac:dyDescent="0.35">
      <c r="A250" t="s">
        <v>23</v>
      </c>
      <c r="B250" s="1">
        <v>45566</v>
      </c>
      <c r="C250">
        <v>49</v>
      </c>
      <c r="D250">
        <v>7</v>
      </c>
      <c r="E250">
        <v>204.14</v>
      </c>
      <c r="F250">
        <v>3</v>
      </c>
      <c r="G250" s="2">
        <v>0.42857142857142855</v>
      </c>
      <c r="H250">
        <v>636.65</v>
      </c>
      <c r="I250" s="2">
        <v>2.9500000000000002E-2</v>
      </c>
    </row>
    <row r="251" spans="1:9" x14ac:dyDescent="0.35">
      <c r="A251" t="s">
        <v>24</v>
      </c>
      <c r="B251" s="1">
        <v>45566</v>
      </c>
      <c r="C251">
        <v>106</v>
      </c>
      <c r="D251">
        <v>5</v>
      </c>
      <c r="E251">
        <v>163.38</v>
      </c>
      <c r="F251">
        <v>1</v>
      </c>
      <c r="G251" s="2">
        <v>0.2</v>
      </c>
      <c r="H251">
        <v>1148.1400000000001</v>
      </c>
      <c r="I251" s="2">
        <v>7.8799999999999995E-2</v>
      </c>
    </row>
    <row r="252" spans="1:9" x14ac:dyDescent="0.35">
      <c r="A252" t="s">
        <v>25</v>
      </c>
      <c r="B252" s="1">
        <v>45566</v>
      </c>
      <c r="C252">
        <v>102</v>
      </c>
      <c r="D252">
        <v>5</v>
      </c>
      <c r="E252">
        <v>86.37</v>
      </c>
      <c r="F252">
        <v>5</v>
      </c>
      <c r="G252" s="2">
        <v>1</v>
      </c>
      <c r="H252">
        <v>3851.19</v>
      </c>
      <c r="I252" s="2">
        <v>8.3800000000000013E-2</v>
      </c>
    </row>
    <row r="253" spans="1:9" x14ac:dyDescent="0.35">
      <c r="A253" t="s">
        <v>26</v>
      </c>
      <c r="B253" s="1">
        <v>45566</v>
      </c>
      <c r="C253">
        <v>21</v>
      </c>
      <c r="D253">
        <v>14</v>
      </c>
      <c r="E253">
        <v>537.36</v>
      </c>
      <c r="F253">
        <v>7</v>
      </c>
      <c r="G253" s="2">
        <v>0.5</v>
      </c>
      <c r="H253">
        <v>3767.78</v>
      </c>
      <c r="I253" s="2">
        <v>3.44E-2</v>
      </c>
    </row>
    <row r="254" spans="1:9" x14ac:dyDescent="0.35">
      <c r="A254" t="s">
        <v>27</v>
      </c>
      <c r="B254" s="1">
        <v>45566</v>
      </c>
      <c r="C254">
        <v>104</v>
      </c>
      <c r="D254">
        <v>20</v>
      </c>
      <c r="E254">
        <v>181.9</v>
      </c>
      <c r="F254">
        <v>4</v>
      </c>
      <c r="G254" s="2">
        <v>0.2</v>
      </c>
      <c r="H254">
        <v>400.92</v>
      </c>
      <c r="I254" s="2">
        <v>0.10009999999999999</v>
      </c>
    </row>
    <row r="255" spans="1:9" x14ac:dyDescent="0.35">
      <c r="A255" t="s">
        <v>28</v>
      </c>
      <c r="B255" s="1">
        <v>45566</v>
      </c>
      <c r="C255">
        <v>64</v>
      </c>
      <c r="D255">
        <v>15</v>
      </c>
      <c r="E255">
        <v>514.38</v>
      </c>
      <c r="F255">
        <v>0</v>
      </c>
      <c r="G255" s="2">
        <v>0</v>
      </c>
      <c r="H255">
        <v>1220.5899999999999</v>
      </c>
      <c r="I255" s="2">
        <v>1E-3</v>
      </c>
    </row>
    <row r="256" spans="1:9" x14ac:dyDescent="0.35">
      <c r="A256" t="s">
        <v>29</v>
      </c>
      <c r="B256" s="1">
        <v>45566</v>
      </c>
      <c r="C256">
        <v>21</v>
      </c>
      <c r="D256">
        <v>15</v>
      </c>
      <c r="E256">
        <v>309.75</v>
      </c>
      <c r="F256">
        <v>2</v>
      </c>
      <c r="G256" s="2">
        <v>0.13333333333333333</v>
      </c>
      <c r="H256">
        <v>1649.09</v>
      </c>
      <c r="I256" s="2">
        <v>5.0999999999999997E-2</v>
      </c>
    </row>
    <row r="257" spans="1:9" x14ac:dyDescent="0.35">
      <c r="A257" t="s">
        <v>30</v>
      </c>
      <c r="B257" s="1">
        <v>45566</v>
      </c>
      <c r="C257">
        <v>108</v>
      </c>
      <c r="D257">
        <v>6</v>
      </c>
      <c r="E257">
        <v>515.27</v>
      </c>
      <c r="F257">
        <v>2</v>
      </c>
      <c r="G257" s="2">
        <v>0.33333333333333331</v>
      </c>
      <c r="H257">
        <v>3183.87</v>
      </c>
      <c r="I257" s="2">
        <v>3.04E-2</v>
      </c>
    </row>
    <row r="258" spans="1:9" x14ac:dyDescent="0.35">
      <c r="A258" t="s">
        <v>31</v>
      </c>
      <c r="B258" s="1">
        <v>45566</v>
      </c>
      <c r="C258">
        <v>63</v>
      </c>
      <c r="D258">
        <v>10</v>
      </c>
      <c r="E258">
        <v>194.21</v>
      </c>
      <c r="F258">
        <v>7</v>
      </c>
      <c r="G258" s="2">
        <v>0.7</v>
      </c>
      <c r="H258">
        <v>508.84</v>
      </c>
      <c r="I258" s="2">
        <v>9.3900000000000011E-2</v>
      </c>
    </row>
    <row r="259" spans="1:9" x14ac:dyDescent="0.35">
      <c r="A259" t="s">
        <v>32</v>
      </c>
      <c r="B259" s="1">
        <v>45566</v>
      </c>
      <c r="C259">
        <v>85</v>
      </c>
      <c r="D259">
        <v>15</v>
      </c>
      <c r="E259">
        <v>400.65</v>
      </c>
      <c r="F259">
        <v>0</v>
      </c>
      <c r="G259" s="2">
        <v>0</v>
      </c>
      <c r="H259">
        <v>2890.62</v>
      </c>
      <c r="I259" s="2">
        <v>2.4700000000000003E-2</v>
      </c>
    </row>
    <row r="260" spans="1:9" x14ac:dyDescent="0.35">
      <c r="A260" t="s">
        <v>33</v>
      </c>
      <c r="B260" s="1">
        <v>45566</v>
      </c>
      <c r="C260">
        <v>36</v>
      </c>
      <c r="D260">
        <v>10</v>
      </c>
      <c r="E260">
        <v>535.44000000000005</v>
      </c>
      <c r="F260">
        <v>4</v>
      </c>
      <c r="G260" s="2">
        <v>0.4</v>
      </c>
      <c r="H260">
        <v>241.26</v>
      </c>
      <c r="I260" s="2">
        <v>6.3E-2</v>
      </c>
    </row>
    <row r="261" spans="1:9" x14ac:dyDescent="0.35">
      <c r="A261" t="s">
        <v>34</v>
      </c>
      <c r="B261" s="1">
        <v>45566</v>
      </c>
      <c r="C261">
        <v>34</v>
      </c>
      <c r="D261">
        <v>12</v>
      </c>
      <c r="E261">
        <v>356.4</v>
      </c>
      <c r="F261">
        <v>8</v>
      </c>
      <c r="G261" s="2">
        <v>0.66666666666666663</v>
      </c>
      <c r="H261">
        <v>4111.76</v>
      </c>
      <c r="I261" s="2">
        <v>8.4700000000000011E-2</v>
      </c>
    </row>
    <row r="262" spans="1:9" x14ac:dyDescent="0.35">
      <c r="A262" t="s">
        <v>9</v>
      </c>
      <c r="B262" s="1">
        <v>45597</v>
      </c>
      <c r="C262">
        <v>67</v>
      </c>
      <c r="D262">
        <v>12</v>
      </c>
      <c r="E262">
        <v>352.6</v>
      </c>
      <c r="F262">
        <v>6</v>
      </c>
      <c r="G262" s="2">
        <v>0.5</v>
      </c>
      <c r="H262">
        <v>4402.41</v>
      </c>
      <c r="I262" s="2">
        <v>2.8999999999999998E-2</v>
      </c>
    </row>
    <row r="263" spans="1:9" x14ac:dyDescent="0.35">
      <c r="A263" t="s">
        <v>10</v>
      </c>
      <c r="B263" s="1">
        <v>45597</v>
      </c>
      <c r="C263">
        <v>76</v>
      </c>
      <c r="D263">
        <v>14</v>
      </c>
      <c r="E263">
        <v>351.42</v>
      </c>
      <c r="F263">
        <v>4</v>
      </c>
      <c r="G263" s="2">
        <v>0.2857142857142857</v>
      </c>
      <c r="H263">
        <v>3917.99</v>
      </c>
      <c r="I263" s="2">
        <v>4.2999999999999997E-2</v>
      </c>
    </row>
    <row r="264" spans="1:9" x14ac:dyDescent="0.35">
      <c r="A264" t="s">
        <v>11</v>
      </c>
      <c r="B264" s="1">
        <v>45597</v>
      </c>
      <c r="C264">
        <v>53</v>
      </c>
      <c r="D264">
        <v>17</v>
      </c>
      <c r="E264">
        <v>404.22</v>
      </c>
      <c r="F264">
        <v>2</v>
      </c>
      <c r="G264" s="2">
        <v>0.11764705882352941</v>
      </c>
      <c r="H264">
        <v>3669.4</v>
      </c>
      <c r="I264" s="2">
        <v>4.4500000000000005E-2</v>
      </c>
    </row>
    <row r="265" spans="1:9" x14ac:dyDescent="0.35">
      <c r="A265" t="s">
        <v>12</v>
      </c>
      <c r="B265" s="1">
        <v>45597</v>
      </c>
      <c r="C265">
        <v>22</v>
      </c>
      <c r="D265">
        <v>6</v>
      </c>
      <c r="E265">
        <v>80.02</v>
      </c>
      <c r="F265">
        <v>3</v>
      </c>
      <c r="G265" s="2">
        <v>0.5</v>
      </c>
      <c r="H265">
        <v>1476.69</v>
      </c>
      <c r="I265" s="2">
        <v>2.9300000000000003E-2</v>
      </c>
    </row>
    <row r="266" spans="1:9" x14ac:dyDescent="0.35">
      <c r="A266" t="s">
        <v>13</v>
      </c>
      <c r="B266" s="1">
        <v>45597</v>
      </c>
      <c r="C266">
        <v>77</v>
      </c>
      <c r="D266">
        <v>16</v>
      </c>
      <c r="E266">
        <v>502.41</v>
      </c>
      <c r="F266">
        <v>5</v>
      </c>
      <c r="G266" s="2">
        <v>0.3125</v>
      </c>
      <c r="H266">
        <v>1093.75</v>
      </c>
      <c r="I266" s="2">
        <v>3.8399999999999997E-2</v>
      </c>
    </row>
    <row r="267" spans="1:9" x14ac:dyDescent="0.35">
      <c r="A267" t="s">
        <v>14</v>
      </c>
      <c r="B267" s="1">
        <v>45597</v>
      </c>
      <c r="C267">
        <v>52</v>
      </c>
      <c r="D267">
        <v>6</v>
      </c>
      <c r="E267">
        <v>492.23</v>
      </c>
      <c r="F267">
        <v>2</v>
      </c>
      <c r="G267" s="2">
        <v>0.33333333333333331</v>
      </c>
      <c r="H267">
        <v>3775.84</v>
      </c>
      <c r="I267" s="2">
        <v>1.1000000000000001E-2</v>
      </c>
    </row>
    <row r="268" spans="1:9" x14ac:dyDescent="0.35">
      <c r="A268" t="s">
        <v>15</v>
      </c>
      <c r="B268" s="1">
        <v>45597</v>
      </c>
      <c r="C268">
        <v>74</v>
      </c>
      <c r="D268">
        <v>17</v>
      </c>
      <c r="E268">
        <v>284.91000000000003</v>
      </c>
      <c r="F268">
        <v>3</v>
      </c>
      <c r="G268" s="2">
        <v>0.17647058823529413</v>
      </c>
      <c r="H268">
        <v>2481.64</v>
      </c>
      <c r="I268" s="2">
        <v>9.0500000000000011E-2</v>
      </c>
    </row>
    <row r="269" spans="1:9" x14ac:dyDescent="0.35">
      <c r="A269" t="s">
        <v>16</v>
      </c>
      <c r="B269" s="1">
        <v>45597</v>
      </c>
      <c r="C269">
        <v>50</v>
      </c>
      <c r="D269">
        <v>9</v>
      </c>
      <c r="E269">
        <v>237.95</v>
      </c>
      <c r="F269">
        <v>5</v>
      </c>
      <c r="G269" s="2">
        <v>0.55555555555555558</v>
      </c>
      <c r="H269">
        <v>3982.36</v>
      </c>
      <c r="I269" s="2">
        <v>4.4299999999999999E-2</v>
      </c>
    </row>
    <row r="270" spans="1:9" x14ac:dyDescent="0.35">
      <c r="A270" t="s">
        <v>17</v>
      </c>
      <c r="B270" s="1">
        <v>45597</v>
      </c>
      <c r="C270">
        <v>30</v>
      </c>
      <c r="D270">
        <v>21</v>
      </c>
      <c r="E270">
        <v>372.34</v>
      </c>
      <c r="F270">
        <v>7</v>
      </c>
      <c r="G270" s="2">
        <v>0.33333333333333331</v>
      </c>
      <c r="H270">
        <v>1172.04</v>
      </c>
      <c r="I270" s="2">
        <v>5.4800000000000001E-2</v>
      </c>
    </row>
    <row r="271" spans="1:9" x14ac:dyDescent="0.35">
      <c r="A271" t="s">
        <v>18</v>
      </c>
      <c r="B271" s="1">
        <v>45597</v>
      </c>
      <c r="C271">
        <v>74</v>
      </c>
      <c r="D271">
        <v>13</v>
      </c>
      <c r="E271">
        <v>324.77999999999997</v>
      </c>
      <c r="F271">
        <v>7</v>
      </c>
      <c r="G271" s="2">
        <v>0.53846153846153844</v>
      </c>
      <c r="H271">
        <v>995.6</v>
      </c>
      <c r="I271" s="2">
        <v>3.0699999999999998E-2</v>
      </c>
    </row>
    <row r="272" spans="1:9" x14ac:dyDescent="0.35">
      <c r="A272" t="s">
        <v>19</v>
      </c>
      <c r="B272" s="1">
        <v>45597</v>
      </c>
      <c r="C272">
        <v>23</v>
      </c>
      <c r="D272">
        <v>7</v>
      </c>
      <c r="E272">
        <v>190.12</v>
      </c>
      <c r="F272">
        <v>4</v>
      </c>
      <c r="G272" s="2">
        <v>0.5714285714285714</v>
      </c>
      <c r="H272">
        <v>788.65</v>
      </c>
      <c r="I272" s="2">
        <v>7.2000000000000008E-2</v>
      </c>
    </row>
    <row r="273" spans="1:9" x14ac:dyDescent="0.35">
      <c r="A273" t="s">
        <v>20</v>
      </c>
      <c r="B273" s="1">
        <v>45597</v>
      </c>
      <c r="C273">
        <v>32</v>
      </c>
      <c r="D273">
        <v>7</v>
      </c>
      <c r="E273">
        <v>563.41999999999996</v>
      </c>
      <c r="F273">
        <v>6</v>
      </c>
      <c r="G273" s="2">
        <v>0.8571428571428571</v>
      </c>
      <c r="H273">
        <v>3543.71</v>
      </c>
      <c r="I273" s="2">
        <v>4.3799999999999999E-2</v>
      </c>
    </row>
    <row r="274" spans="1:9" x14ac:dyDescent="0.35">
      <c r="A274" t="s">
        <v>21</v>
      </c>
      <c r="B274" s="1">
        <v>45597</v>
      </c>
      <c r="C274">
        <v>59</v>
      </c>
      <c r="D274">
        <v>21</v>
      </c>
      <c r="E274">
        <v>633.37</v>
      </c>
      <c r="F274">
        <v>2</v>
      </c>
      <c r="G274" s="2">
        <v>9.5238095238095233E-2</v>
      </c>
      <c r="H274">
        <v>358.29</v>
      </c>
      <c r="I274" s="2">
        <v>3.27E-2</v>
      </c>
    </row>
    <row r="275" spans="1:9" x14ac:dyDescent="0.35">
      <c r="A275" t="s">
        <v>22</v>
      </c>
      <c r="B275" s="1">
        <v>45597</v>
      </c>
      <c r="C275">
        <v>30</v>
      </c>
      <c r="D275">
        <v>6</v>
      </c>
      <c r="E275">
        <v>209.84</v>
      </c>
      <c r="F275">
        <v>1</v>
      </c>
      <c r="G275" s="2">
        <v>0.16666666666666666</v>
      </c>
      <c r="H275">
        <v>3534.1</v>
      </c>
      <c r="I275" s="2">
        <v>4.2000000000000003E-2</v>
      </c>
    </row>
    <row r="276" spans="1:9" x14ac:dyDescent="0.35">
      <c r="A276" t="s">
        <v>23</v>
      </c>
      <c r="B276" s="1">
        <v>45597</v>
      </c>
      <c r="C276">
        <v>65</v>
      </c>
      <c r="D276">
        <v>9</v>
      </c>
      <c r="E276">
        <v>220.46</v>
      </c>
      <c r="F276">
        <v>3</v>
      </c>
      <c r="G276" s="2">
        <v>0.33333333333333331</v>
      </c>
      <c r="H276">
        <v>707.75</v>
      </c>
      <c r="I276" s="2">
        <v>2.76E-2</v>
      </c>
    </row>
    <row r="277" spans="1:9" x14ac:dyDescent="0.35">
      <c r="A277" t="s">
        <v>24</v>
      </c>
      <c r="B277" s="1">
        <v>45597</v>
      </c>
      <c r="C277">
        <v>100</v>
      </c>
      <c r="D277">
        <v>6</v>
      </c>
      <c r="E277">
        <v>153.34</v>
      </c>
      <c r="F277">
        <v>3</v>
      </c>
      <c r="G277" s="2">
        <v>0.5</v>
      </c>
      <c r="H277">
        <v>1248.54</v>
      </c>
      <c r="I277" s="2">
        <v>7.9000000000000001E-2</v>
      </c>
    </row>
    <row r="278" spans="1:9" x14ac:dyDescent="0.35">
      <c r="A278" t="s">
        <v>25</v>
      </c>
      <c r="B278" s="1">
        <v>45597</v>
      </c>
      <c r="C278">
        <v>81</v>
      </c>
      <c r="D278">
        <v>7</v>
      </c>
      <c r="E278">
        <v>79.62</v>
      </c>
      <c r="F278">
        <v>7</v>
      </c>
      <c r="G278" s="2">
        <v>1</v>
      </c>
      <c r="H278">
        <v>3892.76</v>
      </c>
      <c r="I278" s="2">
        <v>9.74E-2</v>
      </c>
    </row>
    <row r="279" spans="1:9" x14ac:dyDescent="0.35">
      <c r="A279" t="s">
        <v>26</v>
      </c>
      <c r="B279" s="1">
        <v>45597</v>
      </c>
      <c r="C279">
        <v>26</v>
      </c>
      <c r="D279">
        <v>17</v>
      </c>
      <c r="E279">
        <v>504.54</v>
      </c>
      <c r="F279">
        <v>8</v>
      </c>
      <c r="G279" s="2">
        <v>0.47058823529411764</v>
      </c>
      <c r="H279">
        <v>3359.77</v>
      </c>
      <c r="I279" s="2">
        <v>3.2000000000000001E-2</v>
      </c>
    </row>
    <row r="280" spans="1:9" x14ac:dyDescent="0.35">
      <c r="A280" t="s">
        <v>27</v>
      </c>
      <c r="B280" s="1">
        <v>45597</v>
      </c>
      <c r="C280">
        <v>96</v>
      </c>
      <c r="D280">
        <v>16</v>
      </c>
      <c r="E280">
        <v>161.69</v>
      </c>
      <c r="F280">
        <v>5</v>
      </c>
      <c r="G280" s="2">
        <v>0.3125</v>
      </c>
      <c r="H280">
        <v>392.05</v>
      </c>
      <c r="I280" s="2">
        <v>9.5700000000000007E-2</v>
      </c>
    </row>
    <row r="281" spans="1:9" x14ac:dyDescent="0.35">
      <c r="A281" t="s">
        <v>28</v>
      </c>
      <c r="B281" s="1">
        <v>45597</v>
      </c>
      <c r="C281">
        <v>72</v>
      </c>
      <c r="D281">
        <v>12</v>
      </c>
      <c r="E281">
        <v>474.28</v>
      </c>
      <c r="F281">
        <v>1</v>
      </c>
      <c r="G281" s="2">
        <v>8.3333333333333329E-2</v>
      </c>
      <c r="H281">
        <v>1097.5999999999999</v>
      </c>
      <c r="I281" s="2">
        <v>1E-3</v>
      </c>
    </row>
    <row r="282" spans="1:9" x14ac:dyDescent="0.35">
      <c r="A282" t="s">
        <v>29</v>
      </c>
      <c r="B282" s="1">
        <v>45597</v>
      </c>
      <c r="C282">
        <v>18</v>
      </c>
      <c r="D282">
        <v>15</v>
      </c>
      <c r="E282">
        <v>268.94</v>
      </c>
      <c r="F282">
        <v>1</v>
      </c>
      <c r="G282" s="2">
        <v>6.6666666666666666E-2</v>
      </c>
      <c r="H282">
        <v>1469.71</v>
      </c>
      <c r="I282" s="2">
        <v>5.0900000000000001E-2</v>
      </c>
    </row>
    <row r="283" spans="1:9" x14ac:dyDescent="0.35">
      <c r="A283" t="s">
        <v>30</v>
      </c>
      <c r="B283" s="1">
        <v>45597</v>
      </c>
      <c r="C283">
        <v>87</v>
      </c>
      <c r="D283">
        <v>5</v>
      </c>
      <c r="E283">
        <v>601.28</v>
      </c>
      <c r="F283">
        <v>2</v>
      </c>
      <c r="G283" s="2">
        <v>0.4</v>
      </c>
      <c r="H283">
        <v>3491.19</v>
      </c>
      <c r="I283" s="2">
        <v>2.9700000000000001E-2</v>
      </c>
    </row>
    <row r="284" spans="1:9" x14ac:dyDescent="0.35">
      <c r="A284" t="s">
        <v>31</v>
      </c>
      <c r="B284" s="1">
        <v>45597</v>
      </c>
      <c r="C284">
        <v>73</v>
      </c>
      <c r="D284">
        <v>8</v>
      </c>
      <c r="E284">
        <v>182.48</v>
      </c>
      <c r="F284">
        <v>8</v>
      </c>
      <c r="G284" s="2">
        <v>1</v>
      </c>
      <c r="H284">
        <v>548.46</v>
      </c>
      <c r="I284" s="2">
        <v>8.8200000000000001E-2</v>
      </c>
    </row>
    <row r="285" spans="1:9" x14ac:dyDescent="0.35">
      <c r="A285" t="s">
        <v>32</v>
      </c>
      <c r="B285" s="1">
        <v>45597</v>
      </c>
      <c r="C285">
        <v>97</v>
      </c>
      <c r="D285">
        <v>14</v>
      </c>
      <c r="E285">
        <v>368.16</v>
      </c>
      <c r="F285">
        <v>0</v>
      </c>
      <c r="G285" s="2">
        <v>0</v>
      </c>
      <c r="H285">
        <v>3020.19</v>
      </c>
      <c r="I285" s="2">
        <v>2.5099999999999997E-2</v>
      </c>
    </row>
    <row r="286" spans="1:9" x14ac:dyDescent="0.35">
      <c r="A286" t="s">
        <v>33</v>
      </c>
      <c r="B286" s="1">
        <v>45597</v>
      </c>
      <c r="C286">
        <v>28</v>
      </c>
      <c r="D286">
        <v>12</v>
      </c>
      <c r="E286">
        <v>565.51</v>
      </c>
      <c r="F286">
        <v>4</v>
      </c>
      <c r="G286" s="2">
        <v>0.33333333333333331</v>
      </c>
      <c r="H286">
        <v>231.16</v>
      </c>
      <c r="I286" s="2">
        <v>6.2699999999999992E-2</v>
      </c>
    </row>
    <row r="287" spans="1:9" x14ac:dyDescent="0.35">
      <c r="A287" t="s">
        <v>34</v>
      </c>
      <c r="B287" s="1">
        <v>45597</v>
      </c>
      <c r="C287">
        <v>41</v>
      </c>
      <c r="D287">
        <v>13</v>
      </c>
      <c r="E287">
        <v>370.44</v>
      </c>
      <c r="F287">
        <v>9</v>
      </c>
      <c r="G287" s="2">
        <v>0.69230769230769229</v>
      </c>
      <c r="H287">
        <v>4484.96</v>
      </c>
      <c r="I287" s="2">
        <v>8.5199999999999998E-2</v>
      </c>
    </row>
    <row r="288" spans="1:9" x14ac:dyDescent="0.35">
      <c r="A288" t="s">
        <v>9</v>
      </c>
      <c r="B288" s="1">
        <v>45627</v>
      </c>
      <c r="C288">
        <v>61</v>
      </c>
      <c r="D288">
        <v>13</v>
      </c>
      <c r="E288">
        <v>356.61</v>
      </c>
      <c r="F288">
        <v>7</v>
      </c>
      <c r="G288" s="2">
        <f t="shared" ref="G288:G313" si="0">F288/D288</f>
        <v>0.53846153846153844</v>
      </c>
      <c r="H288">
        <v>4099.6400000000003</v>
      </c>
      <c r="I288" s="2">
        <v>2.9600000000000001E-2</v>
      </c>
    </row>
    <row r="289" spans="1:9" x14ac:dyDescent="0.35">
      <c r="A289" t="s">
        <v>10</v>
      </c>
      <c r="B289" s="1">
        <v>45627</v>
      </c>
      <c r="C289">
        <v>80</v>
      </c>
      <c r="D289">
        <v>13</v>
      </c>
      <c r="E289">
        <v>369.46</v>
      </c>
      <c r="F289">
        <v>4</v>
      </c>
      <c r="G289" s="2">
        <f t="shared" si="0"/>
        <v>0.30769230769230771</v>
      </c>
      <c r="H289">
        <v>3996.04</v>
      </c>
      <c r="I289" s="2">
        <v>3.7499999999999999E-2</v>
      </c>
    </row>
    <row r="290" spans="1:9" x14ac:dyDescent="0.35">
      <c r="A290" t="s">
        <v>11</v>
      </c>
      <c r="B290" s="1">
        <v>45627</v>
      </c>
      <c r="C290">
        <v>51</v>
      </c>
      <c r="D290">
        <v>14</v>
      </c>
      <c r="E290">
        <v>419.93</v>
      </c>
      <c r="F290">
        <v>2</v>
      </c>
      <c r="G290" s="2">
        <f t="shared" si="0"/>
        <v>0.14285714285714285</v>
      </c>
      <c r="H290">
        <v>3543.6</v>
      </c>
      <c r="I290" s="2">
        <v>4.6300000000000001E-2</v>
      </c>
    </row>
    <row r="291" spans="1:9" x14ac:dyDescent="0.35">
      <c r="A291" t="s">
        <v>12</v>
      </c>
      <c r="B291" s="1">
        <v>45627</v>
      </c>
      <c r="C291">
        <v>20</v>
      </c>
      <c r="D291">
        <v>5</v>
      </c>
      <c r="E291">
        <v>71.41</v>
      </c>
      <c r="F291">
        <v>3</v>
      </c>
      <c r="G291" s="2">
        <f t="shared" si="0"/>
        <v>0.6</v>
      </c>
      <c r="H291">
        <v>1527.27</v>
      </c>
      <c r="I291" s="2">
        <v>2.7000000000000003E-2</v>
      </c>
    </row>
    <row r="292" spans="1:9" x14ac:dyDescent="0.35">
      <c r="A292" t="s">
        <v>13</v>
      </c>
      <c r="B292" s="1">
        <v>45627</v>
      </c>
      <c r="C292">
        <v>101</v>
      </c>
      <c r="D292">
        <v>14</v>
      </c>
      <c r="E292">
        <v>503.93</v>
      </c>
      <c r="F292">
        <v>5</v>
      </c>
      <c r="G292" s="2">
        <f t="shared" si="0"/>
        <v>0.35714285714285715</v>
      </c>
      <c r="H292">
        <v>1116.6099999999999</v>
      </c>
      <c r="I292" s="2">
        <v>3.7000000000000005E-2</v>
      </c>
    </row>
    <row r="293" spans="1:9" x14ac:dyDescent="0.35">
      <c r="A293" t="s">
        <v>14</v>
      </c>
      <c r="B293" s="1">
        <v>45627</v>
      </c>
      <c r="C293">
        <v>70</v>
      </c>
      <c r="D293">
        <v>6</v>
      </c>
      <c r="E293">
        <v>488.97</v>
      </c>
      <c r="F293">
        <v>3</v>
      </c>
      <c r="G293" s="2">
        <f t="shared" si="0"/>
        <v>0.5</v>
      </c>
      <c r="H293">
        <v>3767.09</v>
      </c>
      <c r="I293" s="2">
        <v>1.0800000000000001E-2</v>
      </c>
    </row>
    <row r="294" spans="1:9" x14ac:dyDescent="0.35">
      <c r="A294" t="s">
        <v>15</v>
      </c>
      <c r="B294" s="1">
        <v>45627</v>
      </c>
      <c r="C294">
        <v>84</v>
      </c>
      <c r="D294">
        <v>19</v>
      </c>
      <c r="E294">
        <v>301.2</v>
      </c>
      <c r="F294">
        <v>2</v>
      </c>
      <c r="G294" s="2">
        <f t="shared" si="0"/>
        <v>0.10526315789473684</v>
      </c>
      <c r="H294">
        <v>2608.4699999999998</v>
      </c>
      <c r="I294" s="2">
        <v>0.1032</v>
      </c>
    </row>
    <row r="295" spans="1:9" x14ac:dyDescent="0.35">
      <c r="A295" t="s">
        <v>16</v>
      </c>
      <c r="B295" s="1">
        <v>45627</v>
      </c>
      <c r="C295">
        <v>50</v>
      </c>
      <c r="D295">
        <v>6</v>
      </c>
      <c r="E295">
        <v>219.19</v>
      </c>
      <c r="F295">
        <v>4</v>
      </c>
      <c r="G295" s="2">
        <f t="shared" si="0"/>
        <v>0.66666666666666663</v>
      </c>
      <c r="H295">
        <v>3836.95</v>
      </c>
      <c r="I295" s="2">
        <v>3.8699999999999998E-2</v>
      </c>
    </row>
    <row r="296" spans="1:9" x14ac:dyDescent="0.35">
      <c r="A296" t="s">
        <v>17</v>
      </c>
      <c r="B296" s="1">
        <v>45627</v>
      </c>
      <c r="C296">
        <v>28</v>
      </c>
      <c r="D296">
        <v>19</v>
      </c>
      <c r="E296">
        <v>352.06</v>
      </c>
      <c r="F296">
        <v>9</v>
      </c>
      <c r="G296" s="2">
        <f t="shared" si="0"/>
        <v>0.47368421052631576</v>
      </c>
      <c r="H296">
        <v>1107.51</v>
      </c>
      <c r="I296" s="2">
        <v>5.5E-2</v>
      </c>
    </row>
    <row r="297" spans="1:9" x14ac:dyDescent="0.35">
      <c r="A297" t="s">
        <v>18</v>
      </c>
      <c r="B297" s="1">
        <v>45627</v>
      </c>
      <c r="C297">
        <v>69</v>
      </c>
      <c r="D297">
        <v>16</v>
      </c>
      <c r="E297">
        <v>337.7</v>
      </c>
      <c r="F297">
        <v>9</v>
      </c>
      <c r="G297" s="2">
        <f t="shared" si="0"/>
        <v>0.5625</v>
      </c>
      <c r="H297">
        <v>947.47</v>
      </c>
      <c r="I297" s="2">
        <v>3.56E-2</v>
      </c>
    </row>
    <row r="298" spans="1:9" x14ac:dyDescent="0.35">
      <c r="A298" t="s">
        <v>19</v>
      </c>
      <c r="B298" s="1">
        <v>45627</v>
      </c>
      <c r="C298">
        <v>18</v>
      </c>
      <c r="D298">
        <v>6</v>
      </c>
      <c r="E298">
        <v>212.39</v>
      </c>
      <c r="F298">
        <v>3</v>
      </c>
      <c r="G298" s="2">
        <f t="shared" si="0"/>
        <v>0.5</v>
      </c>
      <c r="H298">
        <v>730.81</v>
      </c>
      <c r="I298" s="2">
        <v>8.6699999999999999E-2</v>
      </c>
    </row>
    <row r="299" spans="1:9" x14ac:dyDescent="0.35">
      <c r="A299" t="s">
        <v>20</v>
      </c>
      <c r="B299" s="1">
        <v>45627</v>
      </c>
      <c r="C299">
        <v>40</v>
      </c>
      <c r="D299">
        <v>7</v>
      </c>
      <c r="E299">
        <v>486.93</v>
      </c>
      <c r="F299">
        <v>7</v>
      </c>
      <c r="G299" s="2">
        <f t="shared" si="0"/>
        <v>1</v>
      </c>
      <c r="H299">
        <v>3643.63</v>
      </c>
      <c r="I299" s="2">
        <v>4.0199999999999993E-2</v>
      </c>
    </row>
    <row r="300" spans="1:9" x14ac:dyDescent="0.35">
      <c r="A300" t="s">
        <v>21</v>
      </c>
      <c r="B300" s="1">
        <v>45627</v>
      </c>
      <c r="C300">
        <v>77</v>
      </c>
      <c r="D300">
        <v>16</v>
      </c>
      <c r="E300">
        <v>539.26</v>
      </c>
      <c r="F300">
        <v>3</v>
      </c>
      <c r="G300" s="2">
        <f t="shared" si="0"/>
        <v>0.1875</v>
      </c>
      <c r="H300">
        <v>379.83</v>
      </c>
      <c r="I300" s="2">
        <v>3.7999999999999999E-2</v>
      </c>
    </row>
    <row r="301" spans="1:9" x14ac:dyDescent="0.35">
      <c r="A301" t="s">
        <v>22</v>
      </c>
      <c r="B301" s="1">
        <v>45627</v>
      </c>
      <c r="C301">
        <v>31</v>
      </c>
      <c r="D301">
        <v>6</v>
      </c>
      <c r="E301">
        <v>191.66</v>
      </c>
      <c r="F301">
        <v>2</v>
      </c>
      <c r="G301" s="2">
        <f t="shared" si="0"/>
        <v>0.33333333333333331</v>
      </c>
      <c r="H301">
        <v>3753.06</v>
      </c>
      <c r="I301" s="2">
        <v>3.8300000000000001E-2</v>
      </c>
    </row>
    <row r="302" spans="1:9" x14ac:dyDescent="0.35">
      <c r="A302" t="s">
        <v>23</v>
      </c>
      <c r="B302" s="1">
        <v>45627</v>
      </c>
      <c r="C302">
        <v>57</v>
      </c>
      <c r="D302">
        <v>7</v>
      </c>
      <c r="E302">
        <v>190.08</v>
      </c>
      <c r="F302">
        <v>2</v>
      </c>
      <c r="G302" s="2">
        <f t="shared" si="0"/>
        <v>0.2857142857142857</v>
      </c>
      <c r="H302">
        <v>649.97</v>
      </c>
      <c r="I302" s="2">
        <v>2.8799999999999999E-2</v>
      </c>
    </row>
    <row r="303" spans="1:9" x14ac:dyDescent="0.35">
      <c r="A303" t="s">
        <v>24</v>
      </c>
      <c r="B303" s="1">
        <v>45627</v>
      </c>
      <c r="C303">
        <v>88</v>
      </c>
      <c r="D303">
        <v>5</v>
      </c>
      <c r="E303">
        <v>168.89</v>
      </c>
      <c r="F303">
        <v>3</v>
      </c>
      <c r="G303" s="2">
        <f t="shared" si="0"/>
        <v>0.6</v>
      </c>
      <c r="H303">
        <v>1153.93</v>
      </c>
      <c r="I303" s="2">
        <v>8.2500000000000004E-2</v>
      </c>
    </row>
    <row r="304" spans="1:9" x14ac:dyDescent="0.35">
      <c r="A304" t="s">
        <v>25</v>
      </c>
      <c r="B304" s="1">
        <v>45627</v>
      </c>
      <c r="C304">
        <v>74</v>
      </c>
      <c r="D304">
        <v>6</v>
      </c>
      <c r="E304">
        <v>87.83</v>
      </c>
      <c r="F304">
        <v>6</v>
      </c>
      <c r="G304" s="2">
        <f t="shared" si="0"/>
        <v>1</v>
      </c>
      <c r="H304">
        <v>3741.27</v>
      </c>
      <c r="I304" s="2">
        <v>9.9700000000000011E-2</v>
      </c>
    </row>
    <row r="305" spans="1:9" x14ac:dyDescent="0.35">
      <c r="A305" t="s">
        <v>26</v>
      </c>
      <c r="B305" s="1">
        <v>45627</v>
      </c>
      <c r="C305">
        <v>26</v>
      </c>
      <c r="D305">
        <v>13</v>
      </c>
      <c r="E305">
        <v>543.15</v>
      </c>
      <c r="F305">
        <v>6</v>
      </c>
      <c r="G305" s="2">
        <f t="shared" si="0"/>
        <v>0.46153846153846156</v>
      </c>
      <c r="H305">
        <v>3793.56</v>
      </c>
      <c r="I305" s="2">
        <v>3.56E-2</v>
      </c>
    </row>
    <row r="306" spans="1:9" x14ac:dyDescent="0.35">
      <c r="A306" t="s">
        <v>27</v>
      </c>
      <c r="B306" s="1">
        <v>45627</v>
      </c>
      <c r="C306">
        <v>99</v>
      </c>
      <c r="D306">
        <v>15</v>
      </c>
      <c r="E306">
        <v>181.12</v>
      </c>
      <c r="F306">
        <v>5</v>
      </c>
      <c r="G306" s="2">
        <f t="shared" si="0"/>
        <v>0.33333333333333331</v>
      </c>
      <c r="H306">
        <v>454.09</v>
      </c>
      <c r="I306" s="2">
        <v>9.3599999999999989E-2</v>
      </c>
    </row>
    <row r="307" spans="1:9" x14ac:dyDescent="0.35">
      <c r="A307" t="s">
        <v>28</v>
      </c>
      <c r="B307" s="1">
        <v>45627</v>
      </c>
      <c r="C307">
        <v>74</v>
      </c>
      <c r="D307">
        <v>14</v>
      </c>
      <c r="E307">
        <v>508.85</v>
      </c>
      <c r="F307">
        <v>1</v>
      </c>
      <c r="G307" s="2">
        <f t="shared" si="0"/>
        <v>7.1428571428571425E-2</v>
      </c>
      <c r="H307">
        <v>1182.6300000000001</v>
      </c>
      <c r="I307" s="2">
        <v>8.9999999999999998E-4</v>
      </c>
    </row>
    <row r="308" spans="1:9" x14ac:dyDescent="0.35">
      <c r="A308" t="s">
        <v>29</v>
      </c>
      <c r="B308" s="1">
        <v>45627</v>
      </c>
      <c r="C308">
        <v>21</v>
      </c>
      <c r="D308">
        <v>17</v>
      </c>
      <c r="E308">
        <v>297.83999999999997</v>
      </c>
      <c r="F308">
        <v>1</v>
      </c>
      <c r="G308" s="2">
        <f t="shared" si="0"/>
        <v>5.8823529411764705E-2</v>
      </c>
      <c r="H308">
        <v>1553.7</v>
      </c>
      <c r="I308" s="2">
        <v>5.0700000000000002E-2</v>
      </c>
    </row>
    <row r="309" spans="1:9" x14ac:dyDescent="0.35">
      <c r="A309" t="s">
        <v>30</v>
      </c>
      <c r="B309" s="1">
        <v>45627</v>
      </c>
      <c r="C309">
        <v>94</v>
      </c>
      <c r="D309">
        <v>6</v>
      </c>
      <c r="E309">
        <v>537.26</v>
      </c>
      <c r="F309">
        <v>1</v>
      </c>
      <c r="G309" s="2">
        <f t="shared" si="0"/>
        <v>0.16666666666666666</v>
      </c>
      <c r="H309">
        <v>3665.55</v>
      </c>
      <c r="I309" s="2">
        <v>3.0800000000000001E-2</v>
      </c>
    </row>
    <row r="310" spans="1:9" x14ac:dyDescent="0.35">
      <c r="A310" t="s">
        <v>31</v>
      </c>
      <c r="B310" s="1">
        <v>45627</v>
      </c>
      <c r="C310">
        <v>83</v>
      </c>
      <c r="D310">
        <v>9</v>
      </c>
      <c r="E310">
        <v>188.49</v>
      </c>
      <c r="F310">
        <v>7</v>
      </c>
      <c r="G310" s="2">
        <f t="shared" si="0"/>
        <v>0.77777777777777779</v>
      </c>
      <c r="H310">
        <v>545.09</v>
      </c>
      <c r="I310" s="2">
        <v>8.5600000000000009E-2</v>
      </c>
    </row>
    <row r="311" spans="1:9" x14ac:dyDescent="0.35">
      <c r="A311" t="s">
        <v>32</v>
      </c>
      <c r="B311" s="1">
        <v>45627</v>
      </c>
      <c r="C311">
        <v>84</v>
      </c>
      <c r="D311">
        <v>14</v>
      </c>
      <c r="E311">
        <v>370.36</v>
      </c>
      <c r="F311">
        <v>0</v>
      </c>
      <c r="G311" s="2">
        <f t="shared" si="0"/>
        <v>0</v>
      </c>
      <c r="H311">
        <v>2605.02</v>
      </c>
      <c r="I311" s="2">
        <v>2.5499999999999998E-2</v>
      </c>
    </row>
    <row r="312" spans="1:9" x14ac:dyDescent="0.35">
      <c r="A312" t="s">
        <v>33</v>
      </c>
      <c r="B312" s="1">
        <v>45627</v>
      </c>
      <c r="C312">
        <v>32</v>
      </c>
      <c r="D312">
        <v>10</v>
      </c>
      <c r="E312">
        <v>500.83</v>
      </c>
      <c r="F312">
        <v>4</v>
      </c>
      <c r="G312" s="2">
        <f t="shared" si="0"/>
        <v>0.4</v>
      </c>
      <c r="H312">
        <v>239.13</v>
      </c>
      <c r="I312" s="2">
        <v>6.1900000000000004E-2</v>
      </c>
    </row>
    <row r="313" spans="1:9" x14ac:dyDescent="0.35">
      <c r="A313" t="s">
        <v>34</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BFFF5-A1F7-49E8-B561-6D3383C2F02F}">
  <dimension ref="A1:I28"/>
  <sheetViews>
    <sheetView workbookViewId="0">
      <selection activeCell="C14" sqref="C14"/>
    </sheetView>
  </sheetViews>
  <sheetFormatPr defaultRowHeight="14.5" x14ac:dyDescent="0.35"/>
  <cols>
    <col min="1" max="1" width="18.36328125" bestFit="1" customWidth="1"/>
    <col min="2" max="2" width="8.6328125" bestFit="1" customWidth="1"/>
    <col min="3" max="3" width="18.08984375" bestFit="1" customWidth="1"/>
    <col min="4" max="4" width="14.81640625" bestFit="1" customWidth="1"/>
    <col min="5" max="5" width="26.08984375" bestFit="1" customWidth="1"/>
    <col min="6" max="6" width="18.08984375" bestFit="1" customWidth="1"/>
    <col min="7" max="7" width="14.81640625" bestFit="1" customWidth="1"/>
    <col min="8" max="8" width="22.36328125" bestFit="1" customWidth="1"/>
    <col min="9" max="9" width="18.7265625" bestFit="1" customWidth="1"/>
    <col min="10" max="92" width="15.6328125" bestFit="1" customWidth="1"/>
    <col min="93" max="93" width="10.36328125" bestFit="1" customWidth="1"/>
  </cols>
  <sheetData>
    <row r="1" spans="1:9" x14ac:dyDescent="0.35">
      <c r="A1" s="6" t="s">
        <v>42</v>
      </c>
      <c r="D1" s="6" t="s">
        <v>59</v>
      </c>
      <c r="E1" t="s">
        <v>39</v>
      </c>
      <c r="F1" t="s">
        <v>40</v>
      </c>
      <c r="H1" s="6" t="s">
        <v>59</v>
      </c>
      <c r="I1" t="s">
        <v>41</v>
      </c>
    </row>
    <row r="2" spans="1:9" x14ac:dyDescent="0.35">
      <c r="A2" s="7" t="s">
        <v>38</v>
      </c>
      <c r="B2" s="9">
        <v>18300</v>
      </c>
      <c r="D2" t="s">
        <v>47</v>
      </c>
      <c r="E2" s="9">
        <v>301</v>
      </c>
      <c r="F2" s="9">
        <v>115</v>
      </c>
      <c r="H2" t="s">
        <v>47</v>
      </c>
      <c r="I2" s="10">
        <v>57863.17</v>
      </c>
    </row>
    <row r="3" spans="1:9" x14ac:dyDescent="0.35">
      <c r="A3" s="7" t="s">
        <v>39</v>
      </c>
      <c r="B3" s="9">
        <v>3619</v>
      </c>
      <c r="D3" t="s">
        <v>48</v>
      </c>
      <c r="E3" s="9">
        <v>311</v>
      </c>
      <c r="F3" s="9">
        <v>118</v>
      </c>
      <c r="H3" t="s">
        <v>48</v>
      </c>
      <c r="I3" s="10">
        <v>59230.42</v>
      </c>
    </row>
    <row r="4" spans="1:9" x14ac:dyDescent="0.35">
      <c r="A4" s="7" t="s">
        <v>40</v>
      </c>
      <c r="B4" s="9">
        <v>1309</v>
      </c>
      <c r="D4" t="s">
        <v>49</v>
      </c>
      <c r="E4" s="9">
        <v>300</v>
      </c>
      <c r="F4" s="9">
        <v>112</v>
      </c>
      <c r="H4" t="s">
        <v>49</v>
      </c>
      <c r="I4" s="10">
        <v>60127</v>
      </c>
    </row>
    <row r="5" spans="1:9" x14ac:dyDescent="0.35">
      <c r="A5" s="7" t="s">
        <v>41</v>
      </c>
      <c r="B5" s="9">
        <v>706194.88999999966</v>
      </c>
      <c r="D5" t="s">
        <v>50</v>
      </c>
      <c r="E5" s="9">
        <v>298</v>
      </c>
      <c r="F5" s="9">
        <v>113</v>
      </c>
      <c r="H5" t="s">
        <v>50</v>
      </c>
      <c r="I5" s="10">
        <v>58604.41</v>
      </c>
    </row>
    <row r="6" spans="1:9" x14ac:dyDescent="0.35">
      <c r="D6" t="s">
        <v>51</v>
      </c>
      <c r="E6" s="9">
        <v>307</v>
      </c>
      <c r="F6" s="9">
        <v>110</v>
      </c>
      <c r="H6" t="s">
        <v>51</v>
      </c>
      <c r="I6" s="10">
        <v>58564.01999999999</v>
      </c>
    </row>
    <row r="7" spans="1:9" x14ac:dyDescent="0.35">
      <c r="D7" t="s">
        <v>52</v>
      </c>
      <c r="E7" s="9">
        <v>305</v>
      </c>
      <c r="F7" s="9">
        <v>110</v>
      </c>
      <c r="H7" t="s">
        <v>52</v>
      </c>
      <c r="I7" s="10">
        <v>58260.729999999996</v>
      </c>
    </row>
    <row r="8" spans="1:9" x14ac:dyDescent="0.35">
      <c r="D8" t="s">
        <v>53</v>
      </c>
      <c r="E8" s="9">
        <v>293</v>
      </c>
      <c r="F8" s="9">
        <v>104</v>
      </c>
      <c r="H8" t="s">
        <v>53</v>
      </c>
      <c r="I8" s="10">
        <v>58845.83</v>
      </c>
    </row>
    <row r="9" spans="1:9" x14ac:dyDescent="0.35">
      <c r="D9" t="s">
        <v>54</v>
      </c>
      <c r="E9" s="9">
        <v>301</v>
      </c>
      <c r="F9" s="9">
        <v>98</v>
      </c>
      <c r="H9" t="s">
        <v>54</v>
      </c>
      <c r="I9" s="10">
        <v>58668.120000000017</v>
      </c>
    </row>
    <row r="10" spans="1:9" x14ac:dyDescent="0.35">
      <c r="D10" t="s">
        <v>55</v>
      </c>
      <c r="E10" s="9">
        <v>307</v>
      </c>
      <c r="F10" s="9">
        <v>108</v>
      </c>
      <c r="H10" t="s">
        <v>55</v>
      </c>
      <c r="I10" s="10">
        <v>59025.210000000006</v>
      </c>
    </row>
    <row r="11" spans="1:9" x14ac:dyDescent="0.35">
      <c r="D11" t="s">
        <v>56</v>
      </c>
      <c r="E11" s="9">
        <v>299</v>
      </c>
      <c r="F11" s="9">
        <v>107</v>
      </c>
      <c r="H11" t="s">
        <v>56</v>
      </c>
      <c r="I11" s="10">
        <v>58653.95</v>
      </c>
    </row>
    <row r="12" spans="1:9" x14ac:dyDescent="0.35">
      <c r="D12" t="s">
        <v>57</v>
      </c>
      <c r="E12" s="9">
        <v>306</v>
      </c>
      <c r="F12" s="9">
        <v>108</v>
      </c>
      <c r="H12" t="s">
        <v>57</v>
      </c>
      <c r="I12" s="10">
        <v>59136.610000000008</v>
      </c>
    </row>
    <row r="13" spans="1:9" x14ac:dyDescent="0.35">
      <c r="D13" t="s">
        <v>58</v>
      </c>
      <c r="E13" s="9">
        <v>291</v>
      </c>
      <c r="F13" s="9">
        <v>106</v>
      </c>
      <c r="H13" t="s">
        <v>58</v>
      </c>
      <c r="I13" s="10">
        <v>59215.419999999984</v>
      </c>
    </row>
    <row r="16" spans="1:9" x14ac:dyDescent="0.35">
      <c r="D16" s="6" t="s">
        <v>59</v>
      </c>
      <c r="E16" t="s">
        <v>60</v>
      </c>
      <c r="G16" s="6" t="s">
        <v>59</v>
      </c>
      <c r="H16" t="s">
        <v>61</v>
      </c>
    </row>
    <row r="17" spans="4:8" x14ac:dyDescent="0.35">
      <c r="D17" t="s">
        <v>47</v>
      </c>
      <c r="E17" s="8">
        <v>8875.18</v>
      </c>
      <c r="G17" t="s">
        <v>47</v>
      </c>
      <c r="H17" s="13">
        <v>1.2944999999999998</v>
      </c>
    </row>
    <row r="18" spans="4:8" x14ac:dyDescent="0.35">
      <c r="D18" t="s">
        <v>48</v>
      </c>
      <c r="E18" s="8">
        <v>8911.2900000000027</v>
      </c>
      <c r="G18" t="s">
        <v>48</v>
      </c>
      <c r="H18" s="13">
        <v>1.3083</v>
      </c>
    </row>
    <row r="19" spans="4:8" x14ac:dyDescent="0.35">
      <c r="D19" t="s">
        <v>49</v>
      </c>
      <c r="E19" s="8">
        <v>8901.9599999999991</v>
      </c>
      <c r="G19" t="s">
        <v>49</v>
      </c>
      <c r="H19" s="13">
        <v>1.2968999999999999</v>
      </c>
    </row>
    <row r="20" spans="4:8" x14ac:dyDescent="0.35">
      <c r="D20" t="s">
        <v>50</v>
      </c>
      <c r="E20" s="8">
        <v>8995.93</v>
      </c>
      <c r="G20" t="s">
        <v>50</v>
      </c>
      <c r="H20" s="13">
        <v>1.2936000000000001</v>
      </c>
    </row>
    <row r="21" spans="4:8" x14ac:dyDescent="0.35">
      <c r="D21" t="s">
        <v>51</v>
      </c>
      <c r="E21" s="8">
        <v>8957.58</v>
      </c>
      <c r="G21" t="s">
        <v>51</v>
      </c>
      <c r="H21" s="13">
        <v>1.3026999999999997</v>
      </c>
    </row>
    <row r="22" spans="4:8" x14ac:dyDescent="0.35">
      <c r="D22" t="s">
        <v>52</v>
      </c>
      <c r="E22" s="8">
        <v>8836.5699999999979</v>
      </c>
      <c r="G22" t="s">
        <v>52</v>
      </c>
      <c r="H22" s="13">
        <v>1.2805000000000002</v>
      </c>
    </row>
    <row r="23" spans="4:8" x14ac:dyDescent="0.35">
      <c r="D23" t="s">
        <v>53</v>
      </c>
      <c r="E23" s="8">
        <v>8804.7099999999991</v>
      </c>
      <c r="G23" t="s">
        <v>53</v>
      </c>
      <c r="H23" s="13">
        <v>1.2975000000000001</v>
      </c>
    </row>
    <row r="24" spans="4:8" x14ac:dyDescent="0.35">
      <c r="D24" t="s">
        <v>54</v>
      </c>
      <c r="E24" s="8">
        <v>8915.9800000000014</v>
      </c>
      <c r="G24" t="s">
        <v>54</v>
      </c>
      <c r="H24" s="13">
        <v>1.3157000000000001</v>
      </c>
    </row>
    <row r="25" spans="4:8" x14ac:dyDescent="0.35">
      <c r="D25" t="s">
        <v>55</v>
      </c>
      <c r="E25" s="8">
        <v>8993.82</v>
      </c>
      <c r="G25" t="s">
        <v>55</v>
      </c>
      <c r="H25" s="13">
        <v>1.3006999999999997</v>
      </c>
    </row>
    <row r="26" spans="4:8" x14ac:dyDescent="0.35">
      <c r="D26" t="s">
        <v>56</v>
      </c>
      <c r="E26" s="8">
        <v>8908.4199999999983</v>
      </c>
      <c r="G26" t="s">
        <v>56</v>
      </c>
      <c r="H26" s="13">
        <v>1.2853999999999999</v>
      </c>
    </row>
    <row r="27" spans="4:8" x14ac:dyDescent="0.35">
      <c r="D27" t="s">
        <v>57</v>
      </c>
      <c r="E27" s="8">
        <v>8950.369999999999</v>
      </c>
      <c r="G27" t="s">
        <v>57</v>
      </c>
      <c r="H27" s="13">
        <v>1.2805</v>
      </c>
    </row>
    <row r="28" spans="4:8" x14ac:dyDescent="0.35">
      <c r="D28" t="s">
        <v>58</v>
      </c>
      <c r="E28" s="8">
        <v>8744.49</v>
      </c>
      <c r="G28" t="s">
        <v>58</v>
      </c>
      <c r="H28" s="13">
        <v>1.2999000000000005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Dashbaord-2</vt:lpstr>
      <vt:lpstr>Calculation</vt:lpstr>
      <vt:lpstr>KPI Dashboard</vt:lpstr>
      <vt:lpstr>Analysis</vt:lpstr>
      <vt:lpstr>Raw Data 2</vt:lpstr>
      <vt:lpstr>Dashboard.</vt:lpstr>
      <vt:lpstr>Calculation-1</vt:lpstr>
      <vt:lpstr>Dashboard</vt:lpstr>
      <vt:lpstr>Data</vt:lpstr>
      <vt:lpstr>Calculation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Rashed Munshi</dc:creator>
  <cp:lastModifiedBy>Rashed Munshi</cp:lastModifiedBy>
  <dcterms:created xsi:type="dcterms:W3CDTF">2024-12-09T15:23:40Z</dcterms:created>
  <dcterms:modified xsi:type="dcterms:W3CDTF">2026-03-04T17:48:21Z</dcterms:modified>
</cp:coreProperties>
</file>